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a5cb2e1641df9/Desktop/DATA/Projects/Personal Projects/Portfolio Project/"/>
    </mc:Choice>
  </mc:AlternateContent>
  <xr:revisionPtr revIDLastSave="339" documentId="8_{07C90E50-9C63-40EA-9468-71FB5C93A640}" xr6:coauthVersionLast="47" xr6:coauthVersionMax="47" xr10:uidLastSave="{2CC86087-3C95-49EB-981C-7009F5672006}"/>
  <bookViews>
    <workbookView xWindow="-108" yWindow="-108" windowWidth="23256" windowHeight="12456" xr2:uid="{564220D3-2973-4BC0-8A74-4674B689A587}"/>
  </bookViews>
  <sheets>
    <sheet name="customer_subscriptions" sheetId="1" r:id="rId1"/>
    <sheet name="Sheet8" sheetId="9" r:id="rId2"/>
  </sheets>
  <calcPr calcId="0"/>
  <pivotCaches>
    <pivotCache cacheId="7" r:id="rId3"/>
    <pivotCache cacheId="11" r:id="rId4"/>
    <pivotCache cacheId="15" r:id="rId5"/>
    <pivotCache cacheId="19" r:id="rId6"/>
  </pivotCaches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3" i="1"/>
  <c r="O4" i="1"/>
  <c r="O5" i="1"/>
  <c r="O6" i="1"/>
  <c r="O2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3" i="1"/>
  <c r="N4" i="1"/>
  <c r="N5" i="1"/>
  <c r="N6" i="1"/>
  <c r="N2" i="1"/>
  <c r="M2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7" i="1"/>
  <c r="M8" i="1"/>
  <c r="M9" i="1"/>
  <c r="M10" i="1"/>
  <c r="M5" i="1"/>
  <c r="M6" i="1"/>
  <c r="M4" i="1"/>
  <c r="M3" i="1"/>
  <c r="L9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17" i="1"/>
  <c r="K18" i="1"/>
  <c r="K19" i="1"/>
  <c r="K20" i="1"/>
  <c r="K21" i="1"/>
  <c r="K12" i="1"/>
  <c r="K13" i="1"/>
  <c r="K14" i="1"/>
  <c r="K15" i="1"/>
  <c r="K16" i="1"/>
  <c r="K7" i="1"/>
  <c r="K8" i="1"/>
  <c r="K9" i="1"/>
  <c r="K10" i="1"/>
  <c r="K11" i="1"/>
  <c r="K5" i="1"/>
  <c r="K6" i="1"/>
  <c r="K3" i="1"/>
  <c r="K4" i="1"/>
  <c r="K2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7" i="1"/>
  <c r="L8" i="1"/>
  <c r="L4" i="1"/>
  <c r="L5" i="1"/>
  <c r="L6" i="1"/>
  <c r="L3" i="1"/>
  <c r="L2" i="1"/>
</calcChain>
</file>

<file path=xl/sharedStrings.xml><?xml version="1.0" encoding="utf-8"?>
<sst xmlns="http://schemas.openxmlformats.org/spreadsheetml/2006/main" count="5647" uniqueCount="39">
  <si>
    <t>user_id</t>
  </si>
  <si>
    <t>signup_date</t>
  </si>
  <si>
    <t>plan_type</t>
  </si>
  <si>
    <t>monthly_fee</t>
  </si>
  <si>
    <t>avg_weekly_usage_hours</t>
  </si>
  <si>
    <t>support_tickets</t>
  </si>
  <si>
    <t>payment_failures</t>
  </si>
  <si>
    <t>tenure_months</t>
  </si>
  <si>
    <t>last_login_days_ago</t>
  </si>
  <si>
    <t>churn</t>
  </si>
  <si>
    <t>Premium</t>
  </si>
  <si>
    <t>Yes</t>
  </si>
  <si>
    <t>Basic</t>
  </si>
  <si>
    <t>No</t>
  </si>
  <si>
    <t>Standard</t>
  </si>
  <si>
    <t>Row Labels</t>
  </si>
  <si>
    <t>(blank)</t>
  </si>
  <si>
    <t>Grand Total</t>
  </si>
  <si>
    <t>0 Failures</t>
  </si>
  <si>
    <t>1+ Failures</t>
  </si>
  <si>
    <t>Average of Churn Flag</t>
  </si>
  <si>
    <t>0-5 hrs</t>
  </si>
  <si>
    <t>10-20hrs</t>
  </si>
  <si>
    <t>20+ hrs</t>
  </si>
  <si>
    <t>5-10 hrs</t>
  </si>
  <si>
    <t>Count of Churn Flag</t>
  </si>
  <si>
    <t>Customer Count</t>
  </si>
  <si>
    <t>.</t>
  </si>
  <si>
    <t>0-3months</t>
  </si>
  <si>
    <t>12+ months</t>
  </si>
  <si>
    <t>3-6months</t>
  </si>
  <si>
    <t>6-12months</t>
  </si>
  <si>
    <t>tenure_bucket</t>
  </si>
  <si>
    <t>churn_flag</t>
  </si>
  <si>
    <t>payment_failure_group</t>
  </si>
  <si>
    <t>usage_level</t>
  </si>
  <si>
    <t>plan_types</t>
  </si>
  <si>
    <t>N/A</t>
  </si>
  <si>
    <t>snapshot_date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</si>
</sst>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3" borderId="10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3" fillId="33" borderId="11" xfId="0" applyFont="1" applyFill="1" applyBorder="1"/>
    <xf numFmtId="164" fontId="0" fillId="0" borderId="0" xfId="0" applyNumberFormat="1"/>
    <xf numFmtId="164" fontId="13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yyyy\-mm\-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beily" refreshedDate="46054.630857523145" createdVersion="8" refreshedVersion="8" minRefreshableVersion="3" recordCount="2801" xr:uid="{D0521A98-DD13-40D5-8B65-4919F86440A6}">
  <cacheSource type="worksheet">
    <worksheetSource ref="A1:M1048576" sheet="customer_subscriptions"/>
  </cacheSource>
  <cacheFields count="18">
    <cacheField name="user_id" numFmtId="0">
      <sharedItems containsString="0" containsBlank="1" containsNumber="1" containsInteger="1" minValue="1" maxValue="2800"/>
    </cacheField>
    <cacheField name="signup_date" numFmtId="0">
      <sharedItems containsNonDate="0" containsDate="1" containsString="0" containsBlank="1" minDate="2023-01-01T00:00:00" maxDate="2025-01-01T00:00:00"/>
    </cacheField>
    <cacheField name="plan_type" numFmtId="0">
      <sharedItems containsBlank="1"/>
    </cacheField>
    <cacheField name="monthly_fee" numFmtId="0">
      <sharedItems containsString="0" containsBlank="1" containsNumber="1" containsInteger="1" minValue="199" maxValue="699"/>
    </cacheField>
    <cacheField name="avg_weekly_usage_hours" numFmtId="0">
      <sharedItems containsString="0" containsBlank="1" containsNumber="1" minValue="0.5" maxValue="25"/>
    </cacheField>
    <cacheField name="support_tickets" numFmtId="0">
      <sharedItems containsString="0" containsBlank="1" containsNumber="1" containsInteger="1" minValue="0" maxValue="8"/>
    </cacheField>
    <cacheField name="payment_failures" numFmtId="0">
      <sharedItems containsString="0" containsBlank="1" containsNumber="1" containsInteger="1" minValue="0" maxValue="5" count="7">
        <n v="1"/>
        <n v="0"/>
        <n v="3"/>
        <n v="2"/>
        <n v="5"/>
        <n v="4"/>
        <m/>
      </sharedItems>
    </cacheField>
    <cacheField name="tenure_months" numFmtId="0">
      <sharedItems containsString="0" containsBlank="1" containsNumber="1" containsInteger="1" minValue="1" maxValue="36"/>
    </cacheField>
    <cacheField name="last_login_days_ago" numFmtId="0">
      <sharedItems containsString="0" containsBlank="1" containsNumber="1" containsInteger="1" minValue="0" maxValue="60"/>
    </cacheField>
    <cacheField name="churn" numFmtId="0">
      <sharedItems containsBlank="1"/>
    </cacheField>
    <cacheField name="Low Usage Flag" numFmtId="0">
      <sharedItems containsBlank="1"/>
    </cacheField>
    <cacheField name="Payment Failure Flag" numFmtId="0">
      <sharedItems containsBlank="1"/>
    </cacheField>
    <cacheField name="High Support Flag" numFmtId="0">
      <sharedItems containsBlank="1"/>
    </cacheField>
    <cacheField name="Inactive Recently" numFmtId="0">
      <sharedItems containsBlank="1"/>
    </cacheField>
    <cacheField name="Early Tenure" numFmtId="0">
      <sharedItems containsBlank="1"/>
    </cacheField>
    <cacheField name="Comments" numFmtId="0">
      <sharedItems containsNonDate="0" containsString="0" containsBlank="1"/>
    </cacheField>
    <cacheField name="Payment Failure Group" numFmtId="0">
      <sharedItems containsBlank="1" count="3">
        <s v="1+ Failures"/>
        <s v="0 Failures"/>
        <m/>
      </sharedItems>
    </cacheField>
    <cacheField name="Churn Fla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beily" refreshedDate="46054.651460995374" createdVersion="8" refreshedVersion="8" minRefreshableVersion="3" recordCount="2801" xr:uid="{226CAEDA-2B41-484D-8511-6C09237159D6}">
  <cacheSource type="worksheet">
    <worksheetSource ref="A1:N1048576" sheet="customer_subscriptions"/>
  </cacheSource>
  <cacheFields count="19">
    <cacheField name="user_id" numFmtId="0">
      <sharedItems containsString="0" containsBlank="1" containsNumber="1" containsInteger="1" minValue="1" maxValue="2800"/>
    </cacheField>
    <cacheField name="signup_date" numFmtId="0">
      <sharedItems containsNonDate="0" containsDate="1" containsString="0" containsBlank="1" minDate="2023-01-01T00:00:00" maxDate="2025-01-01T00:00:00"/>
    </cacheField>
    <cacheField name="plan_type" numFmtId="0">
      <sharedItems containsBlank="1"/>
    </cacheField>
    <cacheField name="monthly_fee" numFmtId="0">
      <sharedItems containsString="0" containsBlank="1" containsNumber="1" containsInteger="1" minValue="199" maxValue="699"/>
    </cacheField>
    <cacheField name="avg_weekly_usage_hours" numFmtId="0">
      <sharedItems containsString="0" containsBlank="1" containsNumber="1" minValue="0.5" maxValue="25"/>
    </cacheField>
    <cacheField name="support_tickets" numFmtId="0">
      <sharedItems containsString="0" containsBlank="1" containsNumber="1" containsInteger="1" minValue="0" maxValue="8"/>
    </cacheField>
    <cacheField name="payment_failures" numFmtId="0">
      <sharedItems containsString="0" containsBlank="1" containsNumber="1" containsInteger="1" minValue="0" maxValue="5"/>
    </cacheField>
    <cacheField name="tenure_months" numFmtId="0">
      <sharedItems containsString="0" containsBlank="1" containsNumber="1" containsInteger="1" minValue="1" maxValue="36"/>
    </cacheField>
    <cacheField name="last_login_days_ago" numFmtId="0">
      <sharedItems containsString="0" containsBlank="1" containsNumber="1" containsInteger="1" minValue="0" maxValue="60"/>
    </cacheField>
    <cacheField name="churn" numFmtId="0">
      <sharedItems containsBlank="1"/>
    </cacheField>
    <cacheField name="Low Usage Flag" numFmtId="0">
      <sharedItems containsBlank="1"/>
    </cacheField>
    <cacheField name="Payment Failure Flag" numFmtId="0">
      <sharedItems containsBlank="1"/>
    </cacheField>
    <cacheField name="High Support Flag" numFmtId="0">
      <sharedItems containsBlank="1"/>
    </cacheField>
    <cacheField name="Inactive Recently" numFmtId="0">
      <sharedItems containsBlank="1"/>
    </cacheField>
    <cacheField name="Early Tenure" numFmtId="0">
      <sharedItems containsBlank="1"/>
    </cacheField>
    <cacheField name="Comments" numFmtId="0">
      <sharedItems containsNonDate="0" containsString="0" containsBlank="1"/>
    </cacheField>
    <cacheField name="Payment Failure Group" numFmtId="0">
      <sharedItems containsBlank="1"/>
    </cacheField>
    <cacheField name="Churn Flag" numFmtId="0">
      <sharedItems containsString="0" containsBlank="1" containsNumber="1" containsInteger="1" minValue="0" maxValue="1"/>
    </cacheField>
    <cacheField name="Usage Level" numFmtId="0">
      <sharedItems containsBlank="1" count="5">
        <s v="0-5 hrs"/>
        <s v="10-20hrs"/>
        <s v="5-10 hrs"/>
        <s v="20+ h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beily" refreshedDate="46054.944580324074" createdVersion="8" refreshedVersion="8" minRefreshableVersion="3" recordCount="2801" xr:uid="{F29CDF37-4E06-43A2-95F8-28B275715A4A}">
  <cacheSource type="worksheet">
    <worksheetSource ref="A1:O1048576" sheet="customer_subscriptions"/>
  </cacheSource>
  <cacheFields count="20">
    <cacheField name="user_id" numFmtId="0">
      <sharedItems containsString="0" containsBlank="1" containsNumber="1" containsInteger="1" minValue="1" maxValue="2800"/>
    </cacheField>
    <cacheField name="signup_date" numFmtId="0">
      <sharedItems containsNonDate="0" containsDate="1" containsString="0" containsBlank="1" minDate="2023-01-01T00:00:00" maxDate="2025-01-01T00:00:00"/>
    </cacheField>
    <cacheField name="plan_type" numFmtId="0">
      <sharedItems containsBlank="1"/>
    </cacheField>
    <cacheField name="monthly_fee" numFmtId="0">
      <sharedItems containsString="0" containsBlank="1" containsNumber="1" containsInteger="1" minValue="199" maxValue="699"/>
    </cacheField>
    <cacheField name="avg_weekly_usage_hours" numFmtId="0">
      <sharedItems containsString="0" containsBlank="1" containsNumber="1" minValue="0.5" maxValue="25"/>
    </cacheField>
    <cacheField name="support_tickets" numFmtId="0">
      <sharedItems containsString="0" containsBlank="1" containsNumber="1" containsInteger="1" minValue="0" maxValue="8"/>
    </cacheField>
    <cacheField name="payment_failures" numFmtId="0">
      <sharedItems containsString="0" containsBlank="1" containsNumber="1" containsInteger="1" minValue="0" maxValue="5"/>
    </cacheField>
    <cacheField name="tenure_months" numFmtId="0">
      <sharedItems containsString="0" containsBlank="1" containsNumber="1" containsInteger="1" minValue="1" maxValue="36"/>
    </cacheField>
    <cacheField name="last_login_days_ago" numFmtId="0">
      <sharedItems containsString="0" containsBlank="1" containsNumber="1" containsInteger="1" minValue="0" maxValue="60"/>
    </cacheField>
    <cacheField name="churn" numFmtId="0">
      <sharedItems containsBlank="1"/>
    </cacheField>
    <cacheField name="Low Usage Flag" numFmtId="0">
      <sharedItems containsBlank="1"/>
    </cacheField>
    <cacheField name="Payment Failure Flag" numFmtId="0">
      <sharedItems containsBlank="1"/>
    </cacheField>
    <cacheField name="High Support Flag" numFmtId="0">
      <sharedItems containsBlank="1"/>
    </cacheField>
    <cacheField name="Inactive Recently" numFmtId="0">
      <sharedItems containsBlank="1"/>
    </cacheField>
    <cacheField name="Early Tenure" numFmtId="0">
      <sharedItems containsBlank="1"/>
    </cacheField>
    <cacheField name="Comments" numFmtId="0">
      <sharedItems containsNonDate="0" containsString="0" containsBlank="1"/>
    </cacheField>
    <cacheField name="Payment Failure Group" numFmtId="0">
      <sharedItems containsBlank="1"/>
    </cacheField>
    <cacheField name="Churn Flag" numFmtId="0">
      <sharedItems containsString="0" containsBlank="1" containsNumber="1" containsInteger="1" minValue="0" maxValue="1"/>
    </cacheField>
    <cacheField name="Usage Level" numFmtId="0">
      <sharedItems containsBlank="1"/>
    </cacheField>
    <cacheField name="Tenure Months" numFmtId="0">
      <sharedItems containsBlank="1" count="5">
        <s v="6-12months"/>
        <s v="12+ months"/>
        <s v="0-3months"/>
        <s v="3-6month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beily" refreshedDate="46054.955370717595" createdVersion="8" refreshedVersion="8" minRefreshableVersion="3" recordCount="2801" xr:uid="{264194D9-FD9E-4726-A9DA-6C94D980AFDF}">
  <cacheSource type="worksheet">
    <worksheetSource ref="A1:P1048576" sheet="customer_subscriptions"/>
  </cacheSource>
  <cacheFields count="21">
    <cacheField name="user_id" numFmtId="0">
      <sharedItems containsString="0" containsBlank="1" containsNumber="1" containsInteger="1" minValue="1" maxValue="2800"/>
    </cacheField>
    <cacheField name="signup_date" numFmtId="0">
      <sharedItems containsNonDate="0" containsDate="1" containsString="0" containsBlank="1" minDate="2023-01-01T00:00:00" maxDate="2025-01-01T00:00:00"/>
    </cacheField>
    <cacheField name="plan_type" numFmtId="0">
      <sharedItems containsBlank="1"/>
    </cacheField>
    <cacheField name="monthly_fee" numFmtId="0">
      <sharedItems containsString="0" containsBlank="1" containsNumber="1" containsInteger="1" minValue="199" maxValue="699"/>
    </cacheField>
    <cacheField name="avg_weekly_usage_hours" numFmtId="0">
      <sharedItems containsString="0" containsBlank="1" containsNumber="1" minValue="0.5" maxValue="25"/>
    </cacheField>
    <cacheField name="support_tickets" numFmtId="0">
      <sharedItems containsString="0" containsBlank="1" containsNumber="1" containsInteger="1" minValue="0" maxValue="8"/>
    </cacheField>
    <cacheField name="payment_failures" numFmtId="0">
      <sharedItems containsString="0" containsBlank="1" containsNumber="1" containsInteger="1" minValue="0" maxValue="5"/>
    </cacheField>
    <cacheField name="tenure_months" numFmtId="0">
      <sharedItems containsString="0" containsBlank="1" containsNumber="1" containsInteger="1" minValue="1" maxValue="36"/>
    </cacheField>
    <cacheField name="last_login_days_ago" numFmtId="0">
      <sharedItems containsString="0" containsBlank="1" containsNumber="1" containsInteger="1" minValue="0" maxValue="60"/>
    </cacheField>
    <cacheField name="churn" numFmtId="0">
      <sharedItems containsBlank="1"/>
    </cacheField>
    <cacheField name="Low Usage Flag" numFmtId="0">
      <sharedItems containsBlank="1"/>
    </cacheField>
    <cacheField name="Payment Failure Flag" numFmtId="0">
      <sharedItems containsBlank="1"/>
    </cacheField>
    <cacheField name="High Support Flag" numFmtId="0">
      <sharedItems containsBlank="1"/>
    </cacheField>
    <cacheField name="Inactive Recently" numFmtId="0">
      <sharedItems containsBlank="1"/>
    </cacheField>
    <cacheField name="Early Tenure" numFmtId="0">
      <sharedItems containsBlank="1"/>
    </cacheField>
    <cacheField name="Comments" numFmtId="0">
      <sharedItems containsNonDate="0" containsString="0" containsBlank="1"/>
    </cacheField>
    <cacheField name="Payment Failure Group" numFmtId="0">
      <sharedItems containsBlank="1"/>
    </cacheField>
    <cacheField name="Churn Flag" numFmtId="0">
      <sharedItems containsString="0" containsBlank="1" containsNumber="1" containsInteger="1" minValue="0" maxValue="1"/>
    </cacheField>
    <cacheField name="Usage Level" numFmtId="0">
      <sharedItems containsBlank="1"/>
    </cacheField>
    <cacheField name="Tenure Months" numFmtId="0">
      <sharedItems containsBlank="1"/>
    </cacheField>
    <cacheField name="Plan Types" numFmtId="0">
      <sharedItems containsBlank="1" count="3">
        <s v="Premium"/>
        <s v="Basi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n v="1"/>
    <d v="2023-04-15T00:00:00"/>
    <s v="Premium"/>
    <n v="699"/>
    <n v="1.1000000000000001"/>
    <n v="4"/>
    <x v="0"/>
    <n v="8"/>
    <n v="14"/>
    <s v="Yes"/>
    <s v="Yes"/>
    <s v="Yes"/>
    <s v="No"/>
    <s v="No"/>
    <s v="No"/>
    <m/>
    <x v="0"/>
    <n v="1"/>
  </r>
  <r>
    <n v="2"/>
    <d v="2023-08-27T00:00:00"/>
    <s v="Premium"/>
    <n v="699"/>
    <n v="2.6"/>
    <n v="6"/>
    <x v="1"/>
    <n v="35"/>
    <n v="1"/>
    <s v="Yes"/>
    <s v="Yes"/>
    <s v="No"/>
    <s v="Yes"/>
    <s v="No"/>
    <s v="No"/>
    <m/>
    <x v="1"/>
    <n v="1"/>
  </r>
  <r>
    <n v="3"/>
    <d v="2023-10-12T00:00:00"/>
    <s v="Premium"/>
    <n v="699"/>
    <n v="14.3"/>
    <n v="8"/>
    <x v="2"/>
    <n v="2"/>
    <n v="14"/>
    <s v="Yes"/>
    <s v="No"/>
    <s v="Yes"/>
    <s v="Yes"/>
    <s v="No"/>
    <s v="Yes"/>
    <m/>
    <x v="0"/>
    <n v="1"/>
  </r>
  <r>
    <n v="4"/>
    <d v="2023-12-11T00:00:00"/>
    <s v="Basic"/>
    <n v="199"/>
    <n v="17.600000000000001"/>
    <n v="5"/>
    <x v="3"/>
    <n v="11"/>
    <n v="9"/>
    <s v="Yes"/>
    <s v="No"/>
    <s v="Yes"/>
    <s v="Yes"/>
    <s v="No"/>
    <s v="No"/>
    <m/>
    <x v="0"/>
    <n v="1"/>
  </r>
  <r>
    <n v="5"/>
    <d v="2023-02-14T00:00:00"/>
    <s v="Basic"/>
    <n v="199"/>
    <n v="9.8000000000000007"/>
    <n v="5"/>
    <x v="3"/>
    <n v="6"/>
    <n v="38"/>
    <s v="Yes"/>
    <s v="No"/>
    <s v="Yes"/>
    <s v="Yes"/>
    <s v="Yes"/>
    <s v="No"/>
    <m/>
    <x v="0"/>
    <n v="1"/>
  </r>
  <r>
    <n v="6"/>
    <d v="2024-10-05T00:00:00"/>
    <s v="Premium"/>
    <n v="699"/>
    <n v="13.6"/>
    <n v="6"/>
    <x v="1"/>
    <n v="30"/>
    <n v="35"/>
    <s v="Yes"/>
    <s v="No"/>
    <s v="No"/>
    <s v="Yes"/>
    <s v="Yes"/>
    <s v="No"/>
    <m/>
    <x v="1"/>
    <n v="1"/>
  </r>
  <r>
    <n v="7"/>
    <d v="2023-10-24T00:00:00"/>
    <s v="Premium"/>
    <n v="699"/>
    <n v="14.6"/>
    <n v="1"/>
    <x v="1"/>
    <n v="24"/>
    <n v="42"/>
    <s v="Yes"/>
    <s v="No"/>
    <s v="No"/>
    <s v="No"/>
    <s v="Yes"/>
    <s v="No"/>
    <m/>
    <x v="1"/>
    <n v="1"/>
  </r>
  <r>
    <n v="8"/>
    <d v="2024-01-09T00:00:00"/>
    <s v="Basic"/>
    <n v="199"/>
    <n v="21.7"/>
    <n v="6"/>
    <x v="3"/>
    <n v="15"/>
    <n v="29"/>
    <s v="Yes"/>
    <s v="No"/>
    <s v="Yes"/>
    <s v="Yes"/>
    <s v="Yes"/>
    <s v="No"/>
    <m/>
    <x v="0"/>
    <n v="1"/>
  </r>
  <r>
    <n v="9"/>
    <d v="2023-03-15T00:00:00"/>
    <s v="Basic"/>
    <n v="199"/>
    <n v="9.1999999999999993"/>
    <n v="4"/>
    <x v="4"/>
    <n v="24"/>
    <n v="59"/>
    <s v="Yes"/>
    <s v="No"/>
    <s v="Yes"/>
    <s v="No"/>
    <s v="Yes"/>
    <s v="No"/>
    <m/>
    <x v="0"/>
    <n v="1"/>
  </r>
  <r>
    <n v="10"/>
    <d v="2024-10-17T00:00:00"/>
    <s v="Premium"/>
    <n v="699"/>
    <n v="13.6"/>
    <n v="3"/>
    <x v="0"/>
    <n v="11"/>
    <n v="29"/>
    <s v="No"/>
    <s v="No"/>
    <s v="Yes"/>
    <s v="No"/>
    <s v="Yes"/>
    <s v="No"/>
    <m/>
    <x v="0"/>
    <n v="0"/>
  </r>
  <r>
    <n v="11"/>
    <d v="2023-11-20T00:00:00"/>
    <s v="Premium"/>
    <n v="699"/>
    <n v="5.9"/>
    <n v="5"/>
    <x v="1"/>
    <n v="36"/>
    <n v="14"/>
    <s v="No"/>
    <s v="No"/>
    <s v="No"/>
    <s v="Yes"/>
    <s v="No"/>
    <s v="No"/>
    <m/>
    <x v="1"/>
    <n v="0"/>
  </r>
  <r>
    <n v="12"/>
    <d v="2024-10-20T00:00:00"/>
    <s v="Standard"/>
    <n v="399"/>
    <n v="2.1"/>
    <n v="5"/>
    <x v="0"/>
    <n v="18"/>
    <n v="41"/>
    <s v="Yes"/>
    <s v="Yes"/>
    <s v="Yes"/>
    <s v="Yes"/>
    <s v="Yes"/>
    <s v="No"/>
    <m/>
    <x v="0"/>
    <n v="1"/>
  </r>
  <r>
    <n v="13"/>
    <d v="2024-08-21T00:00:00"/>
    <s v="Standard"/>
    <n v="399"/>
    <n v="7"/>
    <n v="3"/>
    <x v="4"/>
    <n v="10"/>
    <n v="35"/>
    <s v="Yes"/>
    <s v="No"/>
    <s v="Yes"/>
    <s v="No"/>
    <s v="Yes"/>
    <s v="No"/>
    <m/>
    <x v="0"/>
    <n v="1"/>
  </r>
  <r>
    <n v="14"/>
    <d v="2023-02-18T00:00:00"/>
    <s v="Standard"/>
    <n v="399"/>
    <n v="9.4"/>
    <n v="2"/>
    <x v="5"/>
    <n v="26"/>
    <n v="31"/>
    <s v="Yes"/>
    <s v="No"/>
    <s v="Yes"/>
    <s v="No"/>
    <s v="Yes"/>
    <s v="No"/>
    <m/>
    <x v="0"/>
    <n v="1"/>
  </r>
  <r>
    <n v="15"/>
    <d v="2024-09-02T00:00:00"/>
    <s v="Basic"/>
    <n v="199"/>
    <n v="15.9"/>
    <n v="6"/>
    <x v="5"/>
    <n v="10"/>
    <n v="4"/>
    <s v="Yes"/>
    <s v="No"/>
    <s v="Yes"/>
    <s v="Yes"/>
    <s v="No"/>
    <s v="No"/>
    <m/>
    <x v="0"/>
    <n v="1"/>
  </r>
  <r>
    <n v="16"/>
    <d v="2024-11-29T00:00:00"/>
    <s v="Standard"/>
    <n v="399"/>
    <n v="6.7"/>
    <n v="8"/>
    <x v="1"/>
    <n v="34"/>
    <n v="43"/>
    <s v="No"/>
    <s v="No"/>
    <s v="No"/>
    <s v="Yes"/>
    <s v="Yes"/>
    <s v="No"/>
    <m/>
    <x v="1"/>
    <n v="0"/>
  </r>
  <r>
    <n v="17"/>
    <d v="2024-04-09T00:00:00"/>
    <s v="Premium"/>
    <n v="699"/>
    <n v="19.3"/>
    <n v="5"/>
    <x v="1"/>
    <n v="18"/>
    <n v="18"/>
    <s v="No"/>
    <s v="No"/>
    <s v="No"/>
    <s v="Yes"/>
    <s v="Yes"/>
    <s v="No"/>
    <m/>
    <x v="1"/>
    <n v="0"/>
  </r>
  <r>
    <n v="18"/>
    <d v="2024-10-02T00:00:00"/>
    <s v="Basic"/>
    <n v="199"/>
    <n v="24.3"/>
    <n v="2"/>
    <x v="5"/>
    <n v="17"/>
    <n v="58"/>
    <s v="Yes"/>
    <s v="No"/>
    <s v="Yes"/>
    <s v="No"/>
    <s v="Yes"/>
    <s v="No"/>
    <m/>
    <x v="0"/>
    <n v="1"/>
  </r>
  <r>
    <n v="19"/>
    <d v="2024-06-27T00:00:00"/>
    <s v="Standard"/>
    <n v="399"/>
    <n v="15.4"/>
    <n v="2"/>
    <x v="3"/>
    <n v="33"/>
    <n v="48"/>
    <s v="Yes"/>
    <s v="No"/>
    <s v="Yes"/>
    <s v="No"/>
    <s v="Yes"/>
    <s v="No"/>
    <m/>
    <x v="0"/>
    <n v="1"/>
  </r>
  <r>
    <n v="20"/>
    <d v="2023-11-11T00:00:00"/>
    <s v="Basic"/>
    <n v="199"/>
    <n v="12.5"/>
    <n v="1"/>
    <x v="3"/>
    <n v="21"/>
    <n v="56"/>
    <s v="No"/>
    <s v="No"/>
    <s v="Yes"/>
    <s v="No"/>
    <s v="Yes"/>
    <s v="No"/>
    <m/>
    <x v="0"/>
    <n v="0"/>
  </r>
  <r>
    <n v="21"/>
    <d v="2023-03-12T00:00:00"/>
    <s v="Basic"/>
    <n v="199"/>
    <n v="6.4"/>
    <n v="1"/>
    <x v="1"/>
    <n v="4"/>
    <n v="46"/>
    <s v="No"/>
    <s v="No"/>
    <s v="No"/>
    <s v="No"/>
    <s v="Yes"/>
    <s v="Yes"/>
    <m/>
    <x v="1"/>
    <n v="0"/>
  </r>
  <r>
    <n v="22"/>
    <d v="2024-09-13T00:00:00"/>
    <s v="Premium"/>
    <n v="699"/>
    <n v="3.6"/>
    <n v="7"/>
    <x v="5"/>
    <n v="9"/>
    <n v="10"/>
    <s v="Yes"/>
    <s v="Yes"/>
    <s v="Yes"/>
    <s v="Yes"/>
    <s v="No"/>
    <s v="No"/>
    <m/>
    <x v="0"/>
    <n v="1"/>
  </r>
  <r>
    <n v="23"/>
    <d v="2024-11-18T00:00:00"/>
    <s v="Standard"/>
    <n v="399"/>
    <n v="23.3"/>
    <n v="3"/>
    <x v="4"/>
    <n v="14"/>
    <n v="19"/>
    <s v="No"/>
    <s v="No"/>
    <s v="Yes"/>
    <s v="No"/>
    <s v="Yes"/>
    <s v="No"/>
    <m/>
    <x v="0"/>
    <n v="0"/>
  </r>
  <r>
    <n v="24"/>
    <d v="2023-03-07T00:00:00"/>
    <s v="Premium"/>
    <n v="699"/>
    <n v="11.2"/>
    <n v="8"/>
    <x v="2"/>
    <n v="24"/>
    <n v="7"/>
    <s v="Yes"/>
    <s v="No"/>
    <s v="Yes"/>
    <s v="Yes"/>
    <s v="No"/>
    <s v="No"/>
    <m/>
    <x v="0"/>
    <n v="1"/>
  </r>
  <r>
    <n v="25"/>
    <d v="2024-12-25T00:00:00"/>
    <s v="Standard"/>
    <n v="399"/>
    <n v="14.9"/>
    <n v="3"/>
    <x v="5"/>
    <n v="2"/>
    <n v="14"/>
    <s v="Yes"/>
    <s v="No"/>
    <s v="Yes"/>
    <s v="No"/>
    <s v="No"/>
    <s v="Yes"/>
    <m/>
    <x v="0"/>
    <n v="1"/>
  </r>
  <r>
    <n v="26"/>
    <d v="2023-10-13T00:00:00"/>
    <s v="Premium"/>
    <n v="699"/>
    <n v="6.1"/>
    <n v="0"/>
    <x v="3"/>
    <n v="4"/>
    <n v="4"/>
    <s v="No"/>
    <s v="No"/>
    <s v="Yes"/>
    <s v="No"/>
    <s v="No"/>
    <s v="Yes"/>
    <m/>
    <x v="0"/>
    <n v="0"/>
  </r>
  <r>
    <n v="27"/>
    <d v="2024-08-13T00:00:00"/>
    <s v="Premium"/>
    <n v="699"/>
    <n v="5.7"/>
    <n v="2"/>
    <x v="4"/>
    <n v="32"/>
    <n v="59"/>
    <s v="No"/>
    <s v="No"/>
    <s v="Yes"/>
    <s v="No"/>
    <s v="Yes"/>
    <s v="No"/>
    <m/>
    <x v="0"/>
    <n v="0"/>
  </r>
  <r>
    <n v="28"/>
    <d v="2024-03-17T00:00:00"/>
    <s v="Standard"/>
    <n v="399"/>
    <n v="19.7"/>
    <n v="6"/>
    <x v="0"/>
    <n v="16"/>
    <n v="6"/>
    <s v="Yes"/>
    <s v="No"/>
    <s v="Yes"/>
    <s v="Yes"/>
    <s v="No"/>
    <s v="No"/>
    <m/>
    <x v="0"/>
    <n v="1"/>
  </r>
  <r>
    <n v="29"/>
    <d v="2023-04-11T00:00:00"/>
    <s v="Standard"/>
    <n v="399"/>
    <n v="10.6"/>
    <n v="0"/>
    <x v="4"/>
    <n v="28"/>
    <n v="41"/>
    <s v="No"/>
    <s v="No"/>
    <s v="Yes"/>
    <s v="No"/>
    <s v="Yes"/>
    <s v="No"/>
    <m/>
    <x v="0"/>
    <n v="0"/>
  </r>
  <r>
    <n v="30"/>
    <d v="2024-04-04T00:00:00"/>
    <s v="Basic"/>
    <n v="199"/>
    <n v="18.3"/>
    <n v="1"/>
    <x v="0"/>
    <n v="26"/>
    <n v="12"/>
    <s v="No"/>
    <s v="No"/>
    <s v="Yes"/>
    <s v="No"/>
    <s v="No"/>
    <s v="No"/>
    <m/>
    <x v="0"/>
    <n v="0"/>
  </r>
  <r>
    <n v="31"/>
    <d v="2024-03-29T00:00:00"/>
    <s v="Basic"/>
    <n v="199"/>
    <n v="5"/>
    <n v="7"/>
    <x v="0"/>
    <n v="28"/>
    <n v="55"/>
    <s v="No"/>
    <s v="No"/>
    <s v="Yes"/>
    <s v="Yes"/>
    <s v="Yes"/>
    <s v="No"/>
    <m/>
    <x v="0"/>
    <n v="0"/>
  </r>
  <r>
    <n v="32"/>
    <d v="2023-08-31T00:00:00"/>
    <s v="Premium"/>
    <n v="699"/>
    <n v="1.7"/>
    <n v="8"/>
    <x v="1"/>
    <n v="7"/>
    <n v="5"/>
    <s v="No"/>
    <s v="Yes"/>
    <s v="No"/>
    <s v="Yes"/>
    <s v="No"/>
    <s v="No"/>
    <m/>
    <x v="1"/>
    <n v="0"/>
  </r>
  <r>
    <n v="33"/>
    <d v="2024-01-24T00:00:00"/>
    <s v="Basic"/>
    <n v="199"/>
    <n v="12.4"/>
    <n v="3"/>
    <x v="2"/>
    <n v="27"/>
    <n v="57"/>
    <s v="Yes"/>
    <s v="No"/>
    <s v="Yes"/>
    <s v="No"/>
    <s v="Yes"/>
    <s v="No"/>
    <m/>
    <x v="0"/>
    <n v="1"/>
  </r>
  <r>
    <n v="34"/>
    <d v="2024-07-23T00:00:00"/>
    <s v="Basic"/>
    <n v="199"/>
    <n v="7"/>
    <n v="7"/>
    <x v="3"/>
    <n v="25"/>
    <n v="27"/>
    <s v="Yes"/>
    <s v="No"/>
    <s v="Yes"/>
    <s v="Yes"/>
    <s v="Yes"/>
    <s v="No"/>
    <m/>
    <x v="0"/>
    <n v="1"/>
  </r>
  <r>
    <n v="35"/>
    <d v="2024-07-09T00:00:00"/>
    <s v="Premium"/>
    <n v="699"/>
    <n v="4.3"/>
    <n v="4"/>
    <x v="0"/>
    <n v="32"/>
    <n v="3"/>
    <s v="No"/>
    <s v="Yes"/>
    <s v="Yes"/>
    <s v="No"/>
    <s v="No"/>
    <s v="No"/>
    <m/>
    <x v="0"/>
    <n v="0"/>
  </r>
  <r>
    <n v="36"/>
    <d v="2023-06-11T00:00:00"/>
    <s v="Basic"/>
    <n v="199"/>
    <n v="1.9"/>
    <n v="7"/>
    <x v="5"/>
    <n v="21"/>
    <n v="58"/>
    <s v="Yes"/>
    <s v="Yes"/>
    <s v="Yes"/>
    <s v="Yes"/>
    <s v="Yes"/>
    <s v="No"/>
    <m/>
    <x v="0"/>
    <n v="1"/>
  </r>
  <r>
    <n v="37"/>
    <d v="2023-08-29T00:00:00"/>
    <s v="Basic"/>
    <n v="199"/>
    <n v="2.5"/>
    <n v="2"/>
    <x v="1"/>
    <n v="33"/>
    <n v="38"/>
    <s v="Yes"/>
    <s v="Yes"/>
    <s v="No"/>
    <s v="No"/>
    <s v="Yes"/>
    <s v="No"/>
    <m/>
    <x v="1"/>
    <n v="1"/>
  </r>
  <r>
    <n v="38"/>
    <d v="2023-03-25T00:00:00"/>
    <s v="Standard"/>
    <n v="399"/>
    <n v="23.6"/>
    <n v="3"/>
    <x v="5"/>
    <n v="8"/>
    <n v="38"/>
    <s v="Yes"/>
    <s v="No"/>
    <s v="Yes"/>
    <s v="No"/>
    <s v="Yes"/>
    <s v="No"/>
    <m/>
    <x v="0"/>
    <n v="1"/>
  </r>
  <r>
    <n v="39"/>
    <d v="2023-09-02T00:00:00"/>
    <s v="Standard"/>
    <n v="399"/>
    <n v="8.3000000000000007"/>
    <n v="4"/>
    <x v="0"/>
    <n v="34"/>
    <n v="42"/>
    <s v="No"/>
    <s v="No"/>
    <s v="Yes"/>
    <s v="No"/>
    <s v="Yes"/>
    <s v="No"/>
    <m/>
    <x v="0"/>
    <n v="0"/>
  </r>
  <r>
    <n v="40"/>
    <d v="2023-03-16T00:00:00"/>
    <s v="Standard"/>
    <n v="399"/>
    <n v="3.7"/>
    <n v="4"/>
    <x v="2"/>
    <n v="26"/>
    <n v="20"/>
    <s v="No"/>
    <s v="Yes"/>
    <s v="Yes"/>
    <s v="No"/>
    <s v="Yes"/>
    <s v="No"/>
    <m/>
    <x v="0"/>
    <n v="0"/>
  </r>
  <r>
    <n v="41"/>
    <d v="2023-09-29T00:00:00"/>
    <s v="Basic"/>
    <n v="199"/>
    <n v="15.7"/>
    <n v="1"/>
    <x v="1"/>
    <n v="30"/>
    <n v="34"/>
    <s v="Yes"/>
    <s v="No"/>
    <s v="No"/>
    <s v="No"/>
    <s v="Yes"/>
    <s v="No"/>
    <m/>
    <x v="1"/>
    <n v="1"/>
  </r>
  <r>
    <n v="42"/>
    <d v="2024-07-10T00:00:00"/>
    <s v="Basic"/>
    <n v="199"/>
    <n v="22.1"/>
    <n v="3"/>
    <x v="3"/>
    <n v="23"/>
    <n v="18"/>
    <s v="Yes"/>
    <s v="No"/>
    <s v="Yes"/>
    <s v="No"/>
    <s v="Yes"/>
    <s v="No"/>
    <m/>
    <x v="0"/>
    <n v="1"/>
  </r>
  <r>
    <n v="43"/>
    <d v="2023-11-03T00:00:00"/>
    <s v="Premium"/>
    <n v="699"/>
    <n v="15.5"/>
    <n v="8"/>
    <x v="1"/>
    <n v="20"/>
    <n v="42"/>
    <s v="No"/>
    <s v="No"/>
    <s v="No"/>
    <s v="Yes"/>
    <s v="Yes"/>
    <s v="No"/>
    <m/>
    <x v="1"/>
    <n v="0"/>
  </r>
  <r>
    <n v="44"/>
    <d v="2024-07-20T00:00:00"/>
    <s v="Premium"/>
    <n v="699"/>
    <n v="23.5"/>
    <n v="2"/>
    <x v="3"/>
    <n v="7"/>
    <n v="7"/>
    <s v="No"/>
    <s v="No"/>
    <s v="Yes"/>
    <s v="No"/>
    <s v="No"/>
    <s v="No"/>
    <m/>
    <x v="0"/>
    <n v="0"/>
  </r>
  <r>
    <n v="45"/>
    <d v="2024-10-11T00:00:00"/>
    <s v="Basic"/>
    <n v="199"/>
    <n v="7.4"/>
    <n v="3"/>
    <x v="4"/>
    <n v="18"/>
    <n v="21"/>
    <s v="Yes"/>
    <s v="No"/>
    <s v="Yes"/>
    <s v="No"/>
    <s v="Yes"/>
    <s v="No"/>
    <m/>
    <x v="0"/>
    <n v="1"/>
  </r>
  <r>
    <n v="46"/>
    <d v="2023-10-11T00:00:00"/>
    <s v="Standard"/>
    <n v="399"/>
    <n v="12.5"/>
    <n v="0"/>
    <x v="1"/>
    <n v="33"/>
    <n v="40"/>
    <s v="No"/>
    <s v="No"/>
    <s v="No"/>
    <s v="No"/>
    <s v="Yes"/>
    <s v="No"/>
    <m/>
    <x v="1"/>
    <n v="0"/>
  </r>
  <r>
    <n v="47"/>
    <d v="2024-03-28T00:00:00"/>
    <s v="Basic"/>
    <n v="199"/>
    <n v="8.6999999999999993"/>
    <n v="2"/>
    <x v="4"/>
    <n v="1"/>
    <n v="16"/>
    <s v="Yes"/>
    <s v="No"/>
    <s v="Yes"/>
    <s v="No"/>
    <s v="Yes"/>
    <s v="Yes"/>
    <m/>
    <x v="0"/>
    <n v="1"/>
  </r>
  <r>
    <n v="48"/>
    <d v="2023-06-02T00:00:00"/>
    <s v="Premium"/>
    <n v="699"/>
    <n v="14.2"/>
    <n v="1"/>
    <x v="1"/>
    <n v="28"/>
    <n v="60"/>
    <s v="No"/>
    <s v="No"/>
    <s v="No"/>
    <s v="No"/>
    <s v="Yes"/>
    <s v="No"/>
    <m/>
    <x v="1"/>
    <n v="0"/>
  </r>
  <r>
    <n v="49"/>
    <d v="2023-11-12T00:00:00"/>
    <s v="Premium"/>
    <n v="699"/>
    <n v="20.9"/>
    <n v="8"/>
    <x v="0"/>
    <n v="3"/>
    <n v="27"/>
    <s v="Yes"/>
    <s v="No"/>
    <s v="Yes"/>
    <s v="Yes"/>
    <s v="Yes"/>
    <s v="Yes"/>
    <m/>
    <x v="0"/>
    <n v="1"/>
  </r>
  <r>
    <n v="50"/>
    <d v="2023-12-29T00:00:00"/>
    <s v="Standard"/>
    <n v="399"/>
    <n v="22.5"/>
    <n v="3"/>
    <x v="4"/>
    <n v="3"/>
    <n v="15"/>
    <s v="No"/>
    <s v="No"/>
    <s v="Yes"/>
    <s v="No"/>
    <s v="Yes"/>
    <s v="Yes"/>
    <m/>
    <x v="0"/>
    <n v="0"/>
  </r>
  <r>
    <n v="51"/>
    <d v="2023-07-01T00:00:00"/>
    <s v="Premium"/>
    <n v="699"/>
    <n v="24.4"/>
    <n v="2"/>
    <x v="0"/>
    <n v="27"/>
    <n v="55"/>
    <s v="Yes"/>
    <s v="No"/>
    <s v="Yes"/>
    <s v="No"/>
    <s v="Yes"/>
    <s v="No"/>
    <m/>
    <x v="0"/>
    <n v="1"/>
  </r>
  <r>
    <n v="52"/>
    <d v="2023-09-12T00:00:00"/>
    <s v="Standard"/>
    <n v="399"/>
    <n v="4.9000000000000004"/>
    <n v="5"/>
    <x v="2"/>
    <n v="2"/>
    <n v="51"/>
    <s v="Yes"/>
    <s v="Yes"/>
    <s v="Yes"/>
    <s v="Yes"/>
    <s v="Yes"/>
    <s v="Yes"/>
    <m/>
    <x v="0"/>
    <n v="1"/>
  </r>
  <r>
    <n v="53"/>
    <d v="2024-04-26T00:00:00"/>
    <s v="Standard"/>
    <n v="399"/>
    <n v="19.8"/>
    <n v="1"/>
    <x v="2"/>
    <n v="11"/>
    <n v="55"/>
    <s v="Yes"/>
    <s v="No"/>
    <s v="Yes"/>
    <s v="No"/>
    <s v="Yes"/>
    <s v="No"/>
    <m/>
    <x v="0"/>
    <n v="1"/>
  </r>
  <r>
    <n v="54"/>
    <d v="2023-08-22T00:00:00"/>
    <s v="Basic"/>
    <n v="199"/>
    <n v="20.5"/>
    <n v="7"/>
    <x v="3"/>
    <n v="13"/>
    <n v="19"/>
    <s v="No"/>
    <s v="No"/>
    <s v="Yes"/>
    <s v="Yes"/>
    <s v="Yes"/>
    <s v="No"/>
    <m/>
    <x v="0"/>
    <n v="0"/>
  </r>
  <r>
    <n v="55"/>
    <d v="2023-10-13T00:00:00"/>
    <s v="Basic"/>
    <n v="199"/>
    <n v="16.7"/>
    <n v="6"/>
    <x v="3"/>
    <n v="2"/>
    <n v="17"/>
    <s v="No"/>
    <s v="No"/>
    <s v="Yes"/>
    <s v="Yes"/>
    <s v="Yes"/>
    <s v="Yes"/>
    <m/>
    <x v="0"/>
    <n v="0"/>
  </r>
  <r>
    <n v="56"/>
    <d v="2023-09-25T00:00:00"/>
    <s v="Standard"/>
    <n v="399"/>
    <n v="10.3"/>
    <n v="8"/>
    <x v="3"/>
    <n v="33"/>
    <n v="60"/>
    <s v="Yes"/>
    <s v="No"/>
    <s v="Yes"/>
    <s v="Yes"/>
    <s v="Yes"/>
    <s v="No"/>
    <m/>
    <x v="0"/>
    <n v="1"/>
  </r>
  <r>
    <n v="57"/>
    <d v="2024-03-22T00:00:00"/>
    <s v="Basic"/>
    <n v="199"/>
    <n v="1.4"/>
    <n v="6"/>
    <x v="3"/>
    <n v="17"/>
    <n v="46"/>
    <s v="Yes"/>
    <s v="Yes"/>
    <s v="Yes"/>
    <s v="Yes"/>
    <s v="Yes"/>
    <s v="No"/>
    <m/>
    <x v="0"/>
    <n v="1"/>
  </r>
  <r>
    <n v="58"/>
    <d v="2023-01-02T00:00:00"/>
    <s v="Premium"/>
    <n v="699"/>
    <n v="3.3"/>
    <n v="3"/>
    <x v="3"/>
    <n v="33"/>
    <n v="2"/>
    <s v="No"/>
    <s v="Yes"/>
    <s v="Yes"/>
    <s v="No"/>
    <s v="No"/>
    <s v="No"/>
    <m/>
    <x v="0"/>
    <n v="0"/>
  </r>
  <r>
    <n v="59"/>
    <d v="2024-11-11T00:00:00"/>
    <s v="Premium"/>
    <n v="699"/>
    <n v="17.3"/>
    <n v="3"/>
    <x v="3"/>
    <n v="35"/>
    <n v="27"/>
    <s v="Yes"/>
    <s v="No"/>
    <s v="Yes"/>
    <s v="No"/>
    <s v="Yes"/>
    <s v="No"/>
    <m/>
    <x v="0"/>
    <n v="1"/>
  </r>
  <r>
    <n v="60"/>
    <d v="2023-11-13T00:00:00"/>
    <s v="Standard"/>
    <n v="399"/>
    <n v="16.8"/>
    <n v="1"/>
    <x v="4"/>
    <n v="21"/>
    <n v="57"/>
    <s v="Yes"/>
    <s v="No"/>
    <s v="Yes"/>
    <s v="No"/>
    <s v="Yes"/>
    <s v="No"/>
    <m/>
    <x v="0"/>
    <n v="1"/>
  </r>
  <r>
    <n v="61"/>
    <d v="2024-11-11T00:00:00"/>
    <s v="Premium"/>
    <n v="699"/>
    <n v="8.5"/>
    <n v="4"/>
    <x v="5"/>
    <n v="27"/>
    <n v="8"/>
    <s v="Yes"/>
    <s v="No"/>
    <s v="Yes"/>
    <s v="No"/>
    <s v="No"/>
    <s v="No"/>
    <m/>
    <x v="0"/>
    <n v="1"/>
  </r>
  <r>
    <n v="62"/>
    <d v="2023-11-08T00:00:00"/>
    <s v="Standard"/>
    <n v="399"/>
    <n v="15.6"/>
    <n v="4"/>
    <x v="2"/>
    <n v="12"/>
    <n v="35"/>
    <s v="No"/>
    <s v="No"/>
    <s v="Yes"/>
    <s v="No"/>
    <s v="Yes"/>
    <s v="No"/>
    <m/>
    <x v="0"/>
    <n v="0"/>
  </r>
  <r>
    <n v="63"/>
    <d v="2023-08-07T00:00:00"/>
    <s v="Standard"/>
    <n v="399"/>
    <n v="11"/>
    <n v="5"/>
    <x v="2"/>
    <n v="14"/>
    <n v="28"/>
    <s v="Yes"/>
    <s v="No"/>
    <s v="Yes"/>
    <s v="Yes"/>
    <s v="Yes"/>
    <s v="No"/>
    <m/>
    <x v="0"/>
    <n v="1"/>
  </r>
  <r>
    <n v="64"/>
    <d v="2024-11-10T00:00:00"/>
    <s v="Premium"/>
    <n v="699"/>
    <n v="19.899999999999999"/>
    <n v="2"/>
    <x v="4"/>
    <n v="31"/>
    <n v="5"/>
    <s v="Yes"/>
    <s v="No"/>
    <s v="Yes"/>
    <s v="No"/>
    <s v="No"/>
    <s v="No"/>
    <m/>
    <x v="0"/>
    <n v="1"/>
  </r>
  <r>
    <n v="65"/>
    <d v="2023-07-23T00:00:00"/>
    <s v="Premium"/>
    <n v="699"/>
    <n v="2.8"/>
    <n v="3"/>
    <x v="4"/>
    <n v="22"/>
    <n v="19"/>
    <s v="Yes"/>
    <s v="Yes"/>
    <s v="Yes"/>
    <s v="No"/>
    <s v="Yes"/>
    <s v="No"/>
    <m/>
    <x v="0"/>
    <n v="1"/>
  </r>
  <r>
    <n v="66"/>
    <d v="2024-04-11T00:00:00"/>
    <s v="Basic"/>
    <n v="199"/>
    <n v="1.6"/>
    <n v="7"/>
    <x v="5"/>
    <n v="2"/>
    <n v="54"/>
    <s v="Yes"/>
    <s v="Yes"/>
    <s v="Yes"/>
    <s v="Yes"/>
    <s v="Yes"/>
    <s v="Yes"/>
    <m/>
    <x v="0"/>
    <n v="1"/>
  </r>
  <r>
    <n v="67"/>
    <d v="2024-11-02T00:00:00"/>
    <s v="Standard"/>
    <n v="399"/>
    <n v="18.100000000000001"/>
    <n v="6"/>
    <x v="2"/>
    <n v="13"/>
    <n v="25"/>
    <s v="Yes"/>
    <s v="No"/>
    <s v="Yes"/>
    <s v="Yes"/>
    <s v="Yes"/>
    <s v="No"/>
    <m/>
    <x v="0"/>
    <n v="1"/>
  </r>
  <r>
    <n v="68"/>
    <d v="2024-12-13T00:00:00"/>
    <s v="Premium"/>
    <n v="699"/>
    <n v="22.4"/>
    <n v="1"/>
    <x v="2"/>
    <n v="1"/>
    <n v="14"/>
    <s v="Yes"/>
    <s v="No"/>
    <s v="Yes"/>
    <s v="No"/>
    <s v="No"/>
    <s v="Yes"/>
    <m/>
    <x v="0"/>
    <n v="1"/>
  </r>
  <r>
    <n v="69"/>
    <d v="2024-04-20T00:00:00"/>
    <s v="Premium"/>
    <n v="699"/>
    <n v="1.7"/>
    <n v="3"/>
    <x v="1"/>
    <n v="30"/>
    <n v="29"/>
    <s v="Yes"/>
    <s v="Yes"/>
    <s v="No"/>
    <s v="No"/>
    <s v="Yes"/>
    <s v="No"/>
    <m/>
    <x v="1"/>
    <n v="1"/>
  </r>
  <r>
    <n v="70"/>
    <d v="2024-05-31T00:00:00"/>
    <s v="Premium"/>
    <n v="699"/>
    <n v="24.7"/>
    <n v="5"/>
    <x v="2"/>
    <n v="34"/>
    <n v="39"/>
    <s v="No"/>
    <s v="No"/>
    <s v="Yes"/>
    <s v="Yes"/>
    <s v="Yes"/>
    <s v="No"/>
    <m/>
    <x v="0"/>
    <n v="0"/>
  </r>
  <r>
    <n v="71"/>
    <d v="2023-09-23T00:00:00"/>
    <s v="Standard"/>
    <n v="399"/>
    <n v="11.4"/>
    <n v="2"/>
    <x v="4"/>
    <n v="36"/>
    <n v="55"/>
    <s v="Yes"/>
    <s v="No"/>
    <s v="Yes"/>
    <s v="No"/>
    <s v="Yes"/>
    <s v="No"/>
    <m/>
    <x v="0"/>
    <n v="1"/>
  </r>
  <r>
    <n v="72"/>
    <d v="2024-03-26T00:00:00"/>
    <s v="Basic"/>
    <n v="199"/>
    <n v="19.3"/>
    <n v="8"/>
    <x v="2"/>
    <n v="18"/>
    <n v="40"/>
    <s v="Yes"/>
    <s v="No"/>
    <s v="Yes"/>
    <s v="Yes"/>
    <s v="Yes"/>
    <s v="No"/>
    <m/>
    <x v="0"/>
    <n v="1"/>
  </r>
  <r>
    <n v="73"/>
    <d v="2023-05-22T00:00:00"/>
    <s v="Basic"/>
    <n v="199"/>
    <n v="6.2"/>
    <n v="5"/>
    <x v="3"/>
    <n v="19"/>
    <n v="57"/>
    <s v="Yes"/>
    <s v="No"/>
    <s v="Yes"/>
    <s v="Yes"/>
    <s v="Yes"/>
    <s v="No"/>
    <m/>
    <x v="0"/>
    <n v="1"/>
  </r>
  <r>
    <n v="74"/>
    <d v="2024-02-22T00:00:00"/>
    <s v="Basic"/>
    <n v="199"/>
    <n v="9.9"/>
    <n v="2"/>
    <x v="4"/>
    <n v="15"/>
    <n v="13"/>
    <s v="Yes"/>
    <s v="No"/>
    <s v="Yes"/>
    <s v="No"/>
    <s v="No"/>
    <s v="No"/>
    <m/>
    <x v="0"/>
    <n v="1"/>
  </r>
  <r>
    <n v="75"/>
    <d v="2024-08-21T00:00:00"/>
    <s v="Standard"/>
    <n v="399"/>
    <n v="11.9"/>
    <n v="0"/>
    <x v="0"/>
    <n v="35"/>
    <n v="53"/>
    <s v="No"/>
    <s v="No"/>
    <s v="Yes"/>
    <s v="No"/>
    <s v="Yes"/>
    <s v="No"/>
    <m/>
    <x v="0"/>
    <n v="0"/>
  </r>
  <r>
    <n v="76"/>
    <d v="2023-11-02T00:00:00"/>
    <s v="Premium"/>
    <n v="699"/>
    <n v="21.5"/>
    <n v="6"/>
    <x v="2"/>
    <n v="2"/>
    <n v="0"/>
    <s v="No"/>
    <s v="No"/>
    <s v="Yes"/>
    <s v="Yes"/>
    <s v="No"/>
    <s v="Yes"/>
    <m/>
    <x v="0"/>
    <n v="0"/>
  </r>
  <r>
    <n v="77"/>
    <d v="2023-08-13T00:00:00"/>
    <s v="Standard"/>
    <n v="399"/>
    <n v="13.7"/>
    <n v="8"/>
    <x v="5"/>
    <n v="27"/>
    <n v="57"/>
    <s v="Yes"/>
    <s v="No"/>
    <s v="Yes"/>
    <s v="Yes"/>
    <s v="Yes"/>
    <s v="No"/>
    <m/>
    <x v="0"/>
    <n v="1"/>
  </r>
  <r>
    <n v="78"/>
    <d v="2024-02-19T00:00:00"/>
    <s v="Standard"/>
    <n v="399"/>
    <n v="12.4"/>
    <n v="6"/>
    <x v="3"/>
    <n v="28"/>
    <n v="42"/>
    <s v="Yes"/>
    <s v="No"/>
    <s v="Yes"/>
    <s v="Yes"/>
    <s v="Yes"/>
    <s v="No"/>
    <m/>
    <x v="0"/>
    <n v="1"/>
  </r>
  <r>
    <n v="79"/>
    <d v="2024-02-08T00:00:00"/>
    <s v="Premium"/>
    <n v="699"/>
    <n v="21.1"/>
    <n v="2"/>
    <x v="5"/>
    <n v="11"/>
    <n v="34"/>
    <s v="Yes"/>
    <s v="No"/>
    <s v="Yes"/>
    <s v="No"/>
    <s v="Yes"/>
    <s v="No"/>
    <m/>
    <x v="0"/>
    <n v="1"/>
  </r>
  <r>
    <n v="80"/>
    <d v="2023-02-21T00:00:00"/>
    <s v="Premium"/>
    <n v="699"/>
    <n v="2.6"/>
    <n v="6"/>
    <x v="0"/>
    <n v="2"/>
    <n v="55"/>
    <s v="Yes"/>
    <s v="Yes"/>
    <s v="Yes"/>
    <s v="Yes"/>
    <s v="Yes"/>
    <s v="Yes"/>
    <m/>
    <x v="0"/>
    <n v="1"/>
  </r>
  <r>
    <n v="81"/>
    <d v="2024-01-24T00:00:00"/>
    <s v="Standard"/>
    <n v="399"/>
    <n v="8.5"/>
    <n v="7"/>
    <x v="3"/>
    <n v="25"/>
    <n v="21"/>
    <s v="No"/>
    <s v="No"/>
    <s v="Yes"/>
    <s v="Yes"/>
    <s v="Yes"/>
    <s v="No"/>
    <m/>
    <x v="0"/>
    <n v="0"/>
  </r>
  <r>
    <n v="82"/>
    <d v="2023-02-23T00:00:00"/>
    <s v="Standard"/>
    <n v="399"/>
    <n v="6.7"/>
    <n v="1"/>
    <x v="2"/>
    <n v="27"/>
    <n v="1"/>
    <s v="No"/>
    <s v="No"/>
    <s v="Yes"/>
    <s v="No"/>
    <s v="No"/>
    <s v="No"/>
    <m/>
    <x v="0"/>
    <n v="0"/>
  </r>
  <r>
    <n v="83"/>
    <d v="2023-01-21T00:00:00"/>
    <s v="Standard"/>
    <n v="399"/>
    <n v="16.399999999999999"/>
    <n v="0"/>
    <x v="1"/>
    <n v="15"/>
    <n v="60"/>
    <s v="Yes"/>
    <s v="No"/>
    <s v="No"/>
    <s v="No"/>
    <s v="Yes"/>
    <s v="No"/>
    <m/>
    <x v="1"/>
    <n v="1"/>
  </r>
  <r>
    <n v="84"/>
    <d v="2023-08-12T00:00:00"/>
    <s v="Premium"/>
    <n v="699"/>
    <n v="6.3"/>
    <n v="7"/>
    <x v="4"/>
    <n v="10"/>
    <n v="7"/>
    <s v="No"/>
    <s v="No"/>
    <s v="Yes"/>
    <s v="Yes"/>
    <s v="No"/>
    <s v="No"/>
    <m/>
    <x v="0"/>
    <n v="0"/>
  </r>
  <r>
    <n v="85"/>
    <d v="2023-04-28T00:00:00"/>
    <s v="Standard"/>
    <n v="399"/>
    <n v="19.3"/>
    <n v="2"/>
    <x v="5"/>
    <n v="17"/>
    <n v="38"/>
    <s v="No"/>
    <s v="No"/>
    <s v="Yes"/>
    <s v="No"/>
    <s v="Yes"/>
    <s v="No"/>
    <m/>
    <x v="0"/>
    <n v="0"/>
  </r>
  <r>
    <n v="86"/>
    <d v="2024-01-20T00:00:00"/>
    <s v="Basic"/>
    <n v="199"/>
    <n v="3.1"/>
    <n v="0"/>
    <x v="3"/>
    <n v="20"/>
    <n v="36"/>
    <s v="Yes"/>
    <s v="Yes"/>
    <s v="Yes"/>
    <s v="No"/>
    <s v="Yes"/>
    <s v="No"/>
    <m/>
    <x v="0"/>
    <n v="1"/>
  </r>
  <r>
    <n v="87"/>
    <d v="2024-12-01T00:00:00"/>
    <s v="Standard"/>
    <n v="399"/>
    <n v="2.4"/>
    <n v="3"/>
    <x v="1"/>
    <n v="13"/>
    <n v="44"/>
    <s v="No"/>
    <s v="Yes"/>
    <s v="No"/>
    <s v="No"/>
    <s v="Yes"/>
    <s v="No"/>
    <m/>
    <x v="1"/>
    <n v="0"/>
  </r>
  <r>
    <n v="88"/>
    <d v="2024-01-15T00:00:00"/>
    <s v="Premium"/>
    <n v="699"/>
    <n v="20"/>
    <n v="0"/>
    <x v="3"/>
    <n v="8"/>
    <n v="34"/>
    <s v="Yes"/>
    <s v="No"/>
    <s v="Yes"/>
    <s v="No"/>
    <s v="Yes"/>
    <s v="No"/>
    <m/>
    <x v="0"/>
    <n v="1"/>
  </r>
  <r>
    <n v="89"/>
    <d v="2024-03-19T00:00:00"/>
    <s v="Basic"/>
    <n v="199"/>
    <n v="16.399999999999999"/>
    <n v="0"/>
    <x v="2"/>
    <n v="33"/>
    <n v="52"/>
    <s v="Yes"/>
    <s v="No"/>
    <s v="Yes"/>
    <s v="No"/>
    <s v="Yes"/>
    <s v="No"/>
    <m/>
    <x v="0"/>
    <n v="1"/>
  </r>
  <r>
    <n v="90"/>
    <d v="2024-10-28T00:00:00"/>
    <s v="Standard"/>
    <n v="399"/>
    <n v="17.8"/>
    <n v="6"/>
    <x v="0"/>
    <n v="30"/>
    <n v="46"/>
    <s v="No"/>
    <s v="No"/>
    <s v="Yes"/>
    <s v="Yes"/>
    <s v="Yes"/>
    <s v="No"/>
    <m/>
    <x v="0"/>
    <n v="0"/>
  </r>
  <r>
    <n v="91"/>
    <d v="2023-10-02T00:00:00"/>
    <s v="Standard"/>
    <n v="399"/>
    <n v="19.5"/>
    <n v="7"/>
    <x v="2"/>
    <n v="35"/>
    <n v="52"/>
    <s v="Yes"/>
    <s v="No"/>
    <s v="Yes"/>
    <s v="Yes"/>
    <s v="Yes"/>
    <s v="No"/>
    <m/>
    <x v="0"/>
    <n v="1"/>
  </r>
  <r>
    <n v="92"/>
    <d v="2024-04-20T00:00:00"/>
    <s v="Standard"/>
    <n v="399"/>
    <n v="20.9"/>
    <n v="1"/>
    <x v="3"/>
    <n v="16"/>
    <n v="56"/>
    <s v="Yes"/>
    <s v="No"/>
    <s v="Yes"/>
    <s v="No"/>
    <s v="Yes"/>
    <s v="No"/>
    <m/>
    <x v="0"/>
    <n v="1"/>
  </r>
  <r>
    <n v="93"/>
    <d v="2023-12-30T00:00:00"/>
    <s v="Premium"/>
    <n v="699"/>
    <n v="8.6999999999999993"/>
    <n v="7"/>
    <x v="3"/>
    <n v="25"/>
    <n v="11"/>
    <s v="Yes"/>
    <s v="No"/>
    <s v="Yes"/>
    <s v="Yes"/>
    <s v="No"/>
    <s v="No"/>
    <m/>
    <x v="0"/>
    <n v="1"/>
  </r>
  <r>
    <n v="94"/>
    <d v="2023-07-15T00:00:00"/>
    <s v="Standard"/>
    <n v="399"/>
    <n v="7.4"/>
    <n v="4"/>
    <x v="5"/>
    <n v="22"/>
    <n v="0"/>
    <s v="No"/>
    <s v="No"/>
    <s v="Yes"/>
    <s v="No"/>
    <s v="No"/>
    <s v="No"/>
    <m/>
    <x v="0"/>
    <n v="0"/>
  </r>
  <r>
    <n v="95"/>
    <d v="2024-05-02T00:00:00"/>
    <s v="Basic"/>
    <n v="199"/>
    <n v="18.100000000000001"/>
    <n v="7"/>
    <x v="5"/>
    <n v="16"/>
    <n v="48"/>
    <s v="Yes"/>
    <s v="No"/>
    <s v="Yes"/>
    <s v="Yes"/>
    <s v="Yes"/>
    <s v="No"/>
    <m/>
    <x v="0"/>
    <n v="1"/>
  </r>
  <r>
    <n v="96"/>
    <d v="2024-12-09T00:00:00"/>
    <s v="Premium"/>
    <n v="699"/>
    <n v="11.5"/>
    <n v="0"/>
    <x v="1"/>
    <n v="32"/>
    <n v="18"/>
    <s v="No"/>
    <s v="No"/>
    <s v="No"/>
    <s v="No"/>
    <s v="Yes"/>
    <s v="No"/>
    <m/>
    <x v="1"/>
    <n v="0"/>
  </r>
  <r>
    <n v="97"/>
    <d v="2024-03-11T00:00:00"/>
    <s v="Basic"/>
    <n v="199"/>
    <n v="16.8"/>
    <n v="5"/>
    <x v="2"/>
    <n v="20"/>
    <n v="35"/>
    <s v="Yes"/>
    <s v="No"/>
    <s v="Yes"/>
    <s v="Yes"/>
    <s v="Yes"/>
    <s v="No"/>
    <m/>
    <x v="0"/>
    <n v="1"/>
  </r>
  <r>
    <n v="98"/>
    <d v="2023-05-04T00:00:00"/>
    <s v="Premium"/>
    <n v="699"/>
    <n v="8.6"/>
    <n v="7"/>
    <x v="3"/>
    <n v="36"/>
    <n v="19"/>
    <s v="Yes"/>
    <s v="No"/>
    <s v="Yes"/>
    <s v="Yes"/>
    <s v="Yes"/>
    <s v="No"/>
    <m/>
    <x v="0"/>
    <n v="1"/>
  </r>
  <r>
    <n v="99"/>
    <d v="2024-05-10T00:00:00"/>
    <s v="Premium"/>
    <n v="699"/>
    <n v="8.1999999999999993"/>
    <n v="8"/>
    <x v="4"/>
    <n v="13"/>
    <n v="11"/>
    <s v="Yes"/>
    <s v="No"/>
    <s v="Yes"/>
    <s v="Yes"/>
    <s v="No"/>
    <s v="No"/>
    <m/>
    <x v="0"/>
    <n v="1"/>
  </r>
  <r>
    <n v="100"/>
    <d v="2023-07-03T00:00:00"/>
    <s v="Standard"/>
    <n v="399"/>
    <n v="15.1"/>
    <n v="1"/>
    <x v="0"/>
    <n v="34"/>
    <n v="18"/>
    <s v="No"/>
    <s v="No"/>
    <s v="Yes"/>
    <s v="No"/>
    <s v="Yes"/>
    <s v="No"/>
    <m/>
    <x v="0"/>
    <n v="0"/>
  </r>
  <r>
    <n v="101"/>
    <d v="2024-07-20T00:00:00"/>
    <s v="Standard"/>
    <n v="399"/>
    <n v="17.8"/>
    <n v="2"/>
    <x v="3"/>
    <n v="1"/>
    <n v="2"/>
    <s v="No"/>
    <s v="No"/>
    <s v="Yes"/>
    <s v="No"/>
    <s v="No"/>
    <s v="Yes"/>
    <m/>
    <x v="0"/>
    <n v="0"/>
  </r>
  <r>
    <n v="102"/>
    <d v="2023-10-19T00:00:00"/>
    <s v="Standard"/>
    <n v="399"/>
    <n v="16.100000000000001"/>
    <n v="7"/>
    <x v="1"/>
    <n v="9"/>
    <n v="55"/>
    <s v="Yes"/>
    <s v="No"/>
    <s v="No"/>
    <s v="Yes"/>
    <s v="Yes"/>
    <s v="No"/>
    <m/>
    <x v="1"/>
    <n v="1"/>
  </r>
  <r>
    <n v="103"/>
    <d v="2024-05-04T00:00:00"/>
    <s v="Standard"/>
    <n v="399"/>
    <n v="11.3"/>
    <n v="2"/>
    <x v="1"/>
    <n v="31"/>
    <n v="16"/>
    <s v="No"/>
    <s v="No"/>
    <s v="No"/>
    <s v="No"/>
    <s v="Yes"/>
    <s v="No"/>
    <m/>
    <x v="1"/>
    <n v="0"/>
  </r>
  <r>
    <n v="104"/>
    <d v="2023-06-05T00:00:00"/>
    <s v="Basic"/>
    <n v="199"/>
    <n v="10.3"/>
    <n v="1"/>
    <x v="5"/>
    <n v="5"/>
    <n v="40"/>
    <s v="No"/>
    <s v="No"/>
    <s v="Yes"/>
    <s v="No"/>
    <s v="Yes"/>
    <s v="Yes"/>
    <m/>
    <x v="0"/>
    <n v="0"/>
  </r>
  <r>
    <n v="105"/>
    <d v="2024-09-12T00:00:00"/>
    <s v="Basic"/>
    <n v="199"/>
    <n v="2.6"/>
    <n v="3"/>
    <x v="1"/>
    <n v="20"/>
    <n v="35"/>
    <s v="No"/>
    <s v="Yes"/>
    <s v="No"/>
    <s v="No"/>
    <s v="Yes"/>
    <s v="No"/>
    <m/>
    <x v="1"/>
    <n v="0"/>
  </r>
  <r>
    <n v="106"/>
    <d v="2024-08-25T00:00:00"/>
    <s v="Premium"/>
    <n v="699"/>
    <n v="19.5"/>
    <n v="6"/>
    <x v="2"/>
    <n v="15"/>
    <n v="58"/>
    <s v="Yes"/>
    <s v="No"/>
    <s v="Yes"/>
    <s v="Yes"/>
    <s v="Yes"/>
    <s v="No"/>
    <m/>
    <x v="0"/>
    <n v="1"/>
  </r>
  <r>
    <n v="107"/>
    <d v="2023-08-01T00:00:00"/>
    <s v="Standard"/>
    <n v="399"/>
    <n v="14.4"/>
    <n v="0"/>
    <x v="5"/>
    <n v="20"/>
    <n v="47"/>
    <s v="Yes"/>
    <s v="No"/>
    <s v="Yes"/>
    <s v="No"/>
    <s v="Yes"/>
    <s v="No"/>
    <m/>
    <x v="0"/>
    <n v="1"/>
  </r>
  <r>
    <n v="108"/>
    <d v="2023-03-18T00:00:00"/>
    <s v="Premium"/>
    <n v="699"/>
    <n v="7"/>
    <n v="1"/>
    <x v="0"/>
    <n v="14"/>
    <n v="15"/>
    <s v="No"/>
    <s v="No"/>
    <s v="Yes"/>
    <s v="No"/>
    <s v="Yes"/>
    <s v="No"/>
    <m/>
    <x v="0"/>
    <n v="0"/>
  </r>
  <r>
    <n v="109"/>
    <d v="2024-12-24T00:00:00"/>
    <s v="Basic"/>
    <n v="199"/>
    <n v="10.5"/>
    <n v="7"/>
    <x v="3"/>
    <n v="1"/>
    <n v="2"/>
    <s v="Yes"/>
    <s v="No"/>
    <s v="Yes"/>
    <s v="Yes"/>
    <s v="No"/>
    <s v="Yes"/>
    <m/>
    <x v="0"/>
    <n v="1"/>
  </r>
  <r>
    <n v="110"/>
    <d v="2024-08-26T00:00:00"/>
    <s v="Standard"/>
    <n v="399"/>
    <n v="2.2000000000000002"/>
    <n v="3"/>
    <x v="3"/>
    <n v="30"/>
    <n v="50"/>
    <s v="Yes"/>
    <s v="Yes"/>
    <s v="Yes"/>
    <s v="No"/>
    <s v="Yes"/>
    <s v="No"/>
    <m/>
    <x v="0"/>
    <n v="1"/>
  </r>
  <r>
    <n v="111"/>
    <d v="2023-09-30T00:00:00"/>
    <s v="Premium"/>
    <n v="699"/>
    <n v="10.9"/>
    <n v="8"/>
    <x v="0"/>
    <n v="13"/>
    <n v="41"/>
    <s v="Yes"/>
    <s v="No"/>
    <s v="Yes"/>
    <s v="Yes"/>
    <s v="Yes"/>
    <s v="No"/>
    <m/>
    <x v="0"/>
    <n v="1"/>
  </r>
  <r>
    <n v="112"/>
    <d v="2023-10-23T00:00:00"/>
    <s v="Basic"/>
    <n v="199"/>
    <n v="2"/>
    <n v="4"/>
    <x v="5"/>
    <n v="5"/>
    <n v="47"/>
    <s v="Yes"/>
    <s v="Yes"/>
    <s v="Yes"/>
    <s v="No"/>
    <s v="Yes"/>
    <s v="Yes"/>
    <m/>
    <x v="0"/>
    <n v="1"/>
  </r>
  <r>
    <n v="113"/>
    <d v="2024-05-27T00:00:00"/>
    <s v="Standard"/>
    <n v="399"/>
    <n v="12"/>
    <n v="4"/>
    <x v="4"/>
    <n v="8"/>
    <n v="25"/>
    <s v="No"/>
    <s v="No"/>
    <s v="Yes"/>
    <s v="No"/>
    <s v="Yes"/>
    <s v="No"/>
    <m/>
    <x v="0"/>
    <n v="0"/>
  </r>
  <r>
    <n v="114"/>
    <d v="2023-09-14T00:00:00"/>
    <s v="Premium"/>
    <n v="699"/>
    <n v="11.2"/>
    <n v="0"/>
    <x v="2"/>
    <n v="32"/>
    <n v="47"/>
    <s v="Yes"/>
    <s v="No"/>
    <s v="Yes"/>
    <s v="No"/>
    <s v="Yes"/>
    <s v="No"/>
    <m/>
    <x v="0"/>
    <n v="1"/>
  </r>
  <r>
    <n v="115"/>
    <d v="2023-02-11T00:00:00"/>
    <s v="Basic"/>
    <n v="199"/>
    <n v="6.1"/>
    <n v="0"/>
    <x v="4"/>
    <n v="6"/>
    <n v="52"/>
    <s v="Yes"/>
    <s v="No"/>
    <s v="Yes"/>
    <s v="No"/>
    <s v="Yes"/>
    <s v="No"/>
    <m/>
    <x v="0"/>
    <n v="1"/>
  </r>
  <r>
    <n v="116"/>
    <d v="2024-03-22T00:00:00"/>
    <s v="Basic"/>
    <n v="199"/>
    <n v="13.2"/>
    <n v="7"/>
    <x v="3"/>
    <n v="31"/>
    <n v="11"/>
    <s v="No"/>
    <s v="No"/>
    <s v="Yes"/>
    <s v="Yes"/>
    <s v="No"/>
    <s v="No"/>
    <m/>
    <x v="0"/>
    <n v="0"/>
  </r>
  <r>
    <n v="117"/>
    <d v="2024-11-17T00:00:00"/>
    <s v="Premium"/>
    <n v="699"/>
    <n v="24.2"/>
    <n v="7"/>
    <x v="3"/>
    <n v="32"/>
    <n v="26"/>
    <s v="Yes"/>
    <s v="No"/>
    <s v="Yes"/>
    <s v="Yes"/>
    <s v="Yes"/>
    <s v="No"/>
    <m/>
    <x v="0"/>
    <n v="1"/>
  </r>
  <r>
    <n v="118"/>
    <d v="2024-07-17T00:00:00"/>
    <s v="Basic"/>
    <n v="199"/>
    <n v="8.6"/>
    <n v="7"/>
    <x v="3"/>
    <n v="11"/>
    <n v="42"/>
    <s v="No"/>
    <s v="No"/>
    <s v="Yes"/>
    <s v="Yes"/>
    <s v="Yes"/>
    <s v="No"/>
    <m/>
    <x v="0"/>
    <n v="0"/>
  </r>
  <r>
    <n v="119"/>
    <d v="2024-02-18T00:00:00"/>
    <s v="Basic"/>
    <n v="199"/>
    <n v="2.7"/>
    <n v="4"/>
    <x v="3"/>
    <n v="30"/>
    <n v="7"/>
    <s v="No"/>
    <s v="Yes"/>
    <s v="Yes"/>
    <s v="No"/>
    <s v="No"/>
    <s v="No"/>
    <m/>
    <x v="0"/>
    <n v="0"/>
  </r>
  <r>
    <n v="120"/>
    <d v="2024-06-14T00:00:00"/>
    <s v="Premium"/>
    <n v="699"/>
    <n v="16.600000000000001"/>
    <n v="8"/>
    <x v="2"/>
    <n v="1"/>
    <n v="26"/>
    <s v="Yes"/>
    <s v="No"/>
    <s v="Yes"/>
    <s v="Yes"/>
    <s v="Yes"/>
    <s v="Yes"/>
    <m/>
    <x v="0"/>
    <n v="1"/>
  </r>
  <r>
    <n v="121"/>
    <d v="2023-10-22T00:00:00"/>
    <s v="Standard"/>
    <n v="399"/>
    <n v="15.8"/>
    <n v="0"/>
    <x v="0"/>
    <n v="32"/>
    <n v="17"/>
    <s v="No"/>
    <s v="No"/>
    <s v="Yes"/>
    <s v="No"/>
    <s v="Yes"/>
    <s v="No"/>
    <m/>
    <x v="0"/>
    <n v="0"/>
  </r>
  <r>
    <n v="122"/>
    <d v="2023-01-15T00:00:00"/>
    <s v="Standard"/>
    <n v="399"/>
    <n v="3.5"/>
    <n v="3"/>
    <x v="4"/>
    <n v="32"/>
    <n v="10"/>
    <s v="Yes"/>
    <s v="Yes"/>
    <s v="Yes"/>
    <s v="No"/>
    <s v="No"/>
    <s v="No"/>
    <m/>
    <x v="0"/>
    <n v="1"/>
  </r>
  <r>
    <n v="123"/>
    <d v="2023-06-07T00:00:00"/>
    <s v="Premium"/>
    <n v="699"/>
    <n v="2.8"/>
    <n v="1"/>
    <x v="2"/>
    <n v="27"/>
    <n v="60"/>
    <s v="Yes"/>
    <s v="Yes"/>
    <s v="Yes"/>
    <s v="No"/>
    <s v="Yes"/>
    <s v="No"/>
    <m/>
    <x v="0"/>
    <n v="1"/>
  </r>
  <r>
    <n v="124"/>
    <d v="2024-04-28T00:00:00"/>
    <s v="Standard"/>
    <n v="399"/>
    <n v="13"/>
    <n v="4"/>
    <x v="2"/>
    <n v="19"/>
    <n v="53"/>
    <s v="Yes"/>
    <s v="No"/>
    <s v="Yes"/>
    <s v="No"/>
    <s v="Yes"/>
    <s v="No"/>
    <m/>
    <x v="0"/>
    <n v="1"/>
  </r>
  <r>
    <n v="125"/>
    <d v="2023-05-20T00:00:00"/>
    <s v="Basic"/>
    <n v="199"/>
    <n v="14"/>
    <n v="6"/>
    <x v="0"/>
    <n v="30"/>
    <n v="58"/>
    <s v="No"/>
    <s v="No"/>
    <s v="Yes"/>
    <s v="Yes"/>
    <s v="Yes"/>
    <s v="No"/>
    <m/>
    <x v="0"/>
    <n v="0"/>
  </r>
  <r>
    <n v="126"/>
    <d v="2023-10-01T00:00:00"/>
    <s v="Basic"/>
    <n v="199"/>
    <n v="19.399999999999999"/>
    <n v="6"/>
    <x v="3"/>
    <n v="18"/>
    <n v="59"/>
    <s v="No"/>
    <s v="No"/>
    <s v="Yes"/>
    <s v="Yes"/>
    <s v="Yes"/>
    <s v="No"/>
    <m/>
    <x v="0"/>
    <n v="0"/>
  </r>
  <r>
    <n v="127"/>
    <d v="2023-12-20T00:00:00"/>
    <s v="Basic"/>
    <n v="199"/>
    <n v="18.3"/>
    <n v="7"/>
    <x v="0"/>
    <n v="19"/>
    <n v="28"/>
    <s v="No"/>
    <s v="No"/>
    <s v="Yes"/>
    <s v="Yes"/>
    <s v="Yes"/>
    <s v="No"/>
    <m/>
    <x v="0"/>
    <n v="0"/>
  </r>
  <r>
    <n v="128"/>
    <d v="2023-07-13T00:00:00"/>
    <s v="Standard"/>
    <n v="399"/>
    <n v="19.2"/>
    <n v="6"/>
    <x v="2"/>
    <n v="36"/>
    <n v="59"/>
    <s v="Yes"/>
    <s v="No"/>
    <s v="Yes"/>
    <s v="Yes"/>
    <s v="Yes"/>
    <s v="No"/>
    <m/>
    <x v="0"/>
    <n v="1"/>
  </r>
  <r>
    <n v="129"/>
    <d v="2024-04-29T00:00:00"/>
    <s v="Premium"/>
    <n v="699"/>
    <n v="14.5"/>
    <n v="3"/>
    <x v="2"/>
    <n v="16"/>
    <n v="2"/>
    <s v="Yes"/>
    <s v="No"/>
    <s v="Yes"/>
    <s v="No"/>
    <s v="No"/>
    <s v="No"/>
    <m/>
    <x v="0"/>
    <n v="1"/>
  </r>
  <r>
    <n v="130"/>
    <d v="2024-08-27T00:00:00"/>
    <s v="Premium"/>
    <n v="699"/>
    <n v="10"/>
    <n v="2"/>
    <x v="2"/>
    <n v="25"/>
    <n v="2"/>
    <s v="Yes"/>
    <s v="No"/>
    <s v="Yes"/>
    <s v="No"/>
    <s v="No"/>
    <s v="No"/>
    <m/>
    <x v="0"/>
    <n v="1"/>
  </r>
  <r>
    <n v="131"/>
    <d v="2023-01-16T00:00:00"/>
    <s v="Standard"/>
    <n v="399"/>
    <n v="21.9"/>
    <n v="7"/>
    <x v="1"/>
    <n v="7"/>
    <n v="33"/>
    <s v="No"/>
    <s v="No"/>
    <s v="No"/>
    <s v="Yes"/>
    <s v="Yes"/>
    <s v="No"/>
    <m/>
    <x v="1"/>
    <n v="0"/>
  </r>
  <r>
    <n v="132"/>
    <d v="2023-09-29T00:00:00"/>
    <s v="Premium"/>
    <n v="699"/>
    <n v="10.5"/>
    <n v="2"/>
    <x v="1"/>
    <n v="10"/>
    <n v="30"/>
    <s v="No"/>
    <s v="No"/>
    <s v="No"/>
    <s v="No"/>
    <s v="Yes"/>
    <s v="No"/>
    <m/>
    <x v="1"/>
    <n v="0"/>
  </r>
  <r>
    <n v="133"/>
    <d v="2023-11-21T00:00:00"/>
    <s v="Standard"/>
    <n v="399"/>
    <n v="16.399999999999999"/>
    <n v="5"/>
    <x v="4"/>
    <n v="26"/>
    <n v="54"/>
    <s v="Yes"/>
    <s v="No"/>
    <s v="Yes"/>
    <s v="Yes"/>
    <s v="Yes"/>
    <s v="No"/>
    <m/>
    <x v="0"/>
    <n v="1"/>
  </r>
  <r>
    <n v="134"/>
    <d v="2024-12-01T00:00:00"/>
    <s v="Premium"/>
    <n v="699"/>
    <n v="21.9"/>
    <n v="0"/>
    <x v="5"/>
    <n v="32"/>
    <n v="4"/>
    <s v="Yes"/>
    <s v="No"/>
    <s v="Yes"/>
    <s v="No"/>
    <s v="No"/>
    <s v="No"/>
    <m/>
    <x v="0"/>
    <n v="1"/>
  </r>
  <r>
    <n v="135"/>
    <d v="2023-04-13T00:00:00"/>
    <s v="Standard"/>
    <n v="399"/>
    <n v="18.8"/>
    <n v="6"/>
    <x v="1"/>
    <n v="15"/>
    <n v="48"/>
    <s v="No"/>
    <s v="No"/>
    <s v="No"/>
    <s v="Yes"/>
    <s v="Yes"/>
    <s v="No"/>
    <m/>
    <x v="1"/>
    <n v="0"/>
  </r>
  <r>
    <n v="136"/>
    <d v="2023-10-28T00:00:00"/>
    <s v="Standard"/>
    <n v="399"/>
    <n v="17.5"/>
    <n v="0"/>
    <x v="1"/>
    <n v="11"/>
    <n v="20"/>
    <s v="No"/>
    <s v="No"/>
    <s v="No"/>
    <s v="No"/>
    <s v="Yes"/>
    <s v="No"/>
    <m/>
    <x v="1"/>
    <n v="0"/>
  </r>
  <r>
    <n v="137"/>
    <d v="2023-07-04T00:00:00"/>
    <s v="Standard"/>
    <n v="399"/>
    <n v="11.1"/>
    <n v="3"/>
    <x v="5"/>
    <n v="24"/>
    <n v="26"/>
    <s v="Yes"/>
    <s v="No"/>
    <s v="Yes"/>
    <s v="No"/>
    <s v="Yes"/>
    <s v="No"/>
    <m/>
    <x v="0"/>
    <n v="1"/>
  </r>
  <r>
    <n v="138"/>
    <d v="2024-08-20T00:00:00"/>
    <s v="Basic"/>
    <n v="199"/>
    <n v="2.4"/>
    <n v="6"/>
    <x v="5"/>
    <n v="12"/>
    <n v="43"/>
    <s v="Yes"/>
    <s v="Yes"/>
    <s v="Yes"/>
    <s v="Yes"/>
    <s v="Yes"/>
    <s v="No"/>
    <m/>
    <x v="0"/>
    <n v="1"/>
  </r>
  <r>
    <n v="139"/>
    <d v="2024-04-21T00:00:00"/>
    <s v="Basic"/>
    <n v="199"/>
    <n v="11.8"/>
    <n v="4"/>
    <x v="2"/>
    <n v="15"/>
    <n v="16"/>
    <s v="No"/>
    <s v="No"/>
    <s v="Yes"/>
    <s v="No"/>
    <s v="Yes"/>
    <s v="No"/>
    <m/>
    <x v="0"/>
    <n v="0"/>
  </r>
  <r>
    <n v="140"/>
    <d v="2024-03-10T00:00:00"/>
    <s v="Standard"/>
    <n v="399"/>
    <n v="4.4000000000000004"/>
    <n v="7"/>
    <x v="3"/>
    <n v="35"/>
    <n v="37"/>
    <s v="Yes"/>
    <s v="Yes"/>
    <s v="Yes"/>
    <s v="Yes"/>
    <s v="Yes"/>
    <s v="No"/>
    <m/>
    <x v="0"/>
    <n v="1"/>
  </r>
  <r>
    <n v="141"/>
    <d v="2023-04-20T00:00:00"/>
    <s v="Premium"/>
    <n v="699"/>
    <n v="11.7"/>
    <n v="4"/>
    <x v="0"/>
    <n v="17"/>
    <n v="24"/>
    <s v="No"/>
    <s v="No"/>
    <s v="Yes"/>
    <s v="No"/>
    <s v="Yes"/>
    <s v="No"/>
    <m/>
    <x v="0"/>
    <n v="0"/>
  </r>
  <r>
    <n v="142"/>
    <d v="2024-11-05T00:00:00"/>
    <s v="Basic"/>
    <n v="199"/>
    <n v="14.5"/>
    <n v="4"/>
    <x v="4"/>
    <n v="25"/>
    <n v="18"/>
    <s v="Yes"/>
    <s v="No"/>
    <s v="Yes"/>
    <s v="No"/>
    <s v="Yes"/>
    <s v="No"/>
    <m/>
    <x v="0"/>
    <n v="1"/>
  </r>
  <r>
    <n v="143"/>
    <d v="2023-10-21T00:00:00"/>
    <s v="Standard"/>
    <n v="399"/>
    <n v="0.7"/>
    <n v="0"/>
    <x v="5"/>
    <n v="18"/>
    <n v="47"/>
    <s v="Yes"/>
    <s v="Yes"/>
    <s v="Yes"/>
    <s v="No"/>
    <s v="Yes"/>
    <s v="No"/>
    <m/>
    <x v="0"/>
    <n v="1"/>
  </r>
  <r>
    <n v="144"/>
    <d v="2024-11-06T00:00:00"/>
    <s v="Basic"/>
    <n v="199"/>
    <n v="5.9"/>
    <n v="3"/>
    <x v="5"/>
    <n v="23"/>
    <n v="16"/>
    <s v="No"/>
    <s v="No"/>
    <s v="Yes"/>
    <s v="No"/>
    <s v="Yes"/>
    <s v="No"/>
    <m/>
    <x v="0"/>
    <n v="0"/>
  </r>
  <r>
    <n v="145"/>
    <d v="2024-08-16T00:00:00"/>
    <s v="Premium"/>
    <n v="699"/>
    <n v="15.9"/>
    <n v="0"/>
    <x v="3"/>
    <n v="9"/>
    <n v="50"/>
    <s v="Yes"/>
    <s v="No"/>
    <s v="Yes"/>
    <s v="No"/>
    <s v="Yes"/>
    <s v="No"/>
    <m/>
    <x v="0"/>
    <n v="1"/>
  </r>
  <r>
    <n v="146"/>
    <d v="2023-07-25T00:00:00"/>
    <s v="Standard"/>
    <n v="399"/>
    <n v="2.7"/>
    <n v="4"/>
    <x v="3"/>
    <n v="9"/>
    <n v="47"/>
    <s v="Yes"/>
    <s v="Yes"/>
    <s v="Yes"/>
    <s v="No"/>
    <s v="Yes"/>
    <s v="No"/>
    <m/>
    <x v="0"/>
    <n v="1"/>
  </r>
  <r>
    <n v="147"/>
    <d v="2023-06-18T00:00:00"/>
    <s v="Basic"/>
    <n v="199"/>
    <n v="22"/>
    <n v="5"/>
    <x v="5"/>
    <n v="35"/>
    <n v="32"/>
    <s v="No"/>
    <s v="No"/>
    <s v="Yes"/>
    <s v="Yes"/>
    <s v="Yes"/>
    <s v="No"/>
    <m/>
    <x v="0"/>
    <n v="0"/>
  </r>
  <r>
    <n v="148"/>
    <d v="2023-04-28T00:00:00"/>
    <s v="Standard"/>
    <n v="399"/>
    <n v="24.2"/>
    <n v="4"/>
    <x v="4"/>
    <n v="31"/>
    <n v="55"/>
    <s v="Yes"/>
    <s v="No"/>
    <s v="Yes"/>
    <s v="No"/>
    <s v="Yes"/>
    <s v="No"/>
    <m/>
    <x v="0"/>
    <n v="1"/>
  </r>
  <r>
    <n v="149"/>
    <d v="2024-02-11T00:00:00"/>
    <s v="Standard"/>
    <n v="399"/>
    <n v="3.9"/>
    <n v="3"/>
    <x v="4"/>
    <n v="5"/>
    <n v="46"/>
    <s v="Yes"/>
    <s v="Yes"/>
    <s v="Yes"/>
    <s v="No"/>
    <s v="Yes"/>
    <s v="Yes"/>
    <m/>
    <x v="0"/>
    <n v="1"/>
  </r>
  <r>
    <n v="150"/>
    <d v="2024-04-10T00:00:00"/>
    <s v="Premium"/>
    <n v="699"/>
    <n v="2.7"/>
    <n v="6"/>
    <x v="1"/>
    <n v="24"/>
    <n v="16"/>
    <s v="No"/>
    <s v="Yes"/>
    <s v="No"/>
    <s v="Yes"/>
    <s v="Yes"/>
    <s v="No"/>
    <m/>
    <x v="1"/>
    <n v="0"/>
  </r>
  <r>
    <n v="151"/>
    <d v="2023-01-26T00:00:00"/>
    <s v="Standard"/>
    <n v="399"/>
    <n v="14.8"/>
    <n v="5"/>
    <x v="1"/>
    <n v="17"/>
    <n v="43"/>
    <s v="Yes"/>
    <s v="No"/>
    <s v="No"/>
    <s v="Yes"/>
    <s v="Yes"/>
    <s v="No"/>
    <m/>
    <x v="1"/>
    <n v="1"/>
  </r>
  <r>
    <n v="152"/>
    <d v="2024-04-20T00:00:00"/>
    <s v="Premium"/>
    <n v="699"/>
    <n v="8.5"/>
    <n v="3"/>
    <x v="4"/>
    <n v="36"/>
    <n v="4"/>
    <s v="No"/>
    <s v="No"/>
    <s v="Yes"/>
    <s v="No"/>
    <s v="No"/>
    <s v="No"/>
    <m/>
    <x v="0"/>
    <n v="0"/>
  </r>
  <r>
    <n v="153"/>
    <d v="2023-11-08T00:00:00"/>
    <s v="Premium"/>
    <n v="699"/>
    <n v="16.399999999999999"/>
    <n v="1"/>
    <x v="0"/>
    <n v="20"/>
    <n v="2"/>
    <s v="No"/>
    <s v="No"/>
    <s v="Yes"/>
    <s v="No"/>
    <s v="No"/>
    <s v="No"/>
    <m/>
    <x v="0"/>
    <n v="0"/>
  </r>
  <r>
    <n v="154"/>
    <d v="2024-11-17T00:00:00"/>
    <s v="Standard"/>
    <n v="399"/>
    <n v="2.9"/>
    <n v="8"/>
    <x v="0"/>
    <n v="8"/>
    <n v="24"/>
    <s v="Yes"/>
    <s v="Yes"/>
    <s v="Yes"/>
    <s v="Yes"/>
    <s v="Yes"/>
    <s v="No"/>
    <m/>
    <x v="0"/>
    <n v="1"/>
  </r>
  <r>
    <n v="155"/>
    <d v="2024-05-16T00:00:00"/>
    <s v="Premium"/>
    <n v="699"/>
    <n v="10.8"/>
    <n v="2"/>
    <x v="2"/>
    <n v="35"/>
    <n v="41"/>
    <s v="Yes"/>
    <s v="No"/>
    <s v="Yes"/>
    <s v="No"/>
    <s v="Yes"/>
    <s v="No"/>
    <m/>
    <x v="0"/>
    <n v="1"/>
  </r>
  <r>
    <n v="156"/>
    <d v="2024-03-30T00:00:00"/>
    <s v="Premium"/>
    <n v="699"/>
    <n v="23.5"/>
    <n v="4"/>
    <x v="1"/>
    <n v="27"/>
    <n v="44"/>
    <s v="Yes"/>
    <s v="No"/>
    <s v="No"/>
    <s v="No"/>
    <s v="Yes"/>
    <s v="No"/>
    <m/>
    <x v="1"/>
    <n v="1"/>
  </r>
  <r>
    <n v="157"/>
    <d v="2024-10-22T00:00:00"/>
    <s v="Standard"/>
    <n v="399"/>
    <n v="21.5"/>
    <n v="1"/>
    <x v="4"/>
    <n v="16"/>
    <n v="23"/>
    <s v="Yes"/>
    <s v="No"/>
    <s v="Yes"/>
    <s v="No"/>
    <s v="Yes"/>
    <s v="No"/>
    <m/>
    <x v="0"/>
    <n v="1"/>
  </r>
  <r>
    <n v="158"/>
    <d v="2024-04-10T00:00:00"/>
    <s v="Standard"/>
    <n v="399"/>
    <n v="10.3"/>
    <n v="3"/>
    <x v="1"/>
    <n v="4"/>
    <n v="60"/>
    <s v="No"/>
    <s v="No"/>
    <s v="No"/>
    <s v="No"/>
    <s v="Yes"/>
    <s v="Yes"/>
    <m/>
    <x v="1"/>
    <n v="0"/>
  </r>
  <r>
    <n v="159"/>
    <d v="2023-05-09T00:00:00"/>
    <s v="Basic"/>
    <n v="199"/>
    <n v="16.2"/>
    <n v="0"/>
    <x v="1"/>
    <n v="14"/>
    <n v="50"/>
    <s v="Yes"/>
    <s v="No"/>
    <s v="No"/>
    <s v="No"/>
    <s v="Yes"/>
    <s v="No"/>
    <m/>
    <x v="1"/>
    <n v="1"/>
  </r>
  <r>
    <n v="160"/>
    <d v="2023-08-27T00:00:00"/>
    <s v="Premium"/>
    <n v="699"/>
    <n v="2.2000000000000002"/>
    <n v="8"/>
    <x v="0"/>
    <n v="14"/>
    <n v="37"/>
    <s v="Yes"/>
    <s v="Yes"/>
    <s v="Yes"/>
    <s v="Yes"/>
    <s v="Yes"/>
    <s v="No"/>
    <m/>
    <x v="0"/>
    <n v="1"/>
  </r>
  <r>
    <n v="161"/>
    <d v="2023-05-14T00:00:00"/>
    <s v="Standard"/>
    <n v="399"/>
    <n v="19.8"/>
    <n v="0"/>
    <x v="3"/>
    <n v="10"/>
    <n v="54"/>
    <s v="No"/>
    <s v="No"/>
    <s v="Yes"/>
    <s v="No"/>
    <s v="Yes"/>
    <s v="No"/>
    <m/>
    <x v="0"/>
    <n v="0"/>
  </r>
  <r>
    <n v="162"/>
    <d v="2023-01-16T00:00:00"/>
    <s v="Premium"/>
    <n v="699"/>
    <n v="20.100000000000001"/>
    <n v="1"/>
    <x v="4"/>
    <n v="17"/>
    <n v="55"/>
    <s v="Yes"/>
    <s v="No"/>
    <s v="Yes"/>
    <s v="No"/>
    <s v="Yes"/>
    <s v="No"/>
    <m/>
    <x v="0"/>
    <n v="1"/>
  </r>
  <r>
    <n v="163"/>
    <d v="2024-03-07T00:00:00"/>
    <s v="Standard"/>
    <n v="399"/>
    <n v="14.9"/>
    <n v="0"/>
    <x v="0"/>
    <n v="16"/>
    <n v="16"/>
    <s v="Yes"/>
    <s v="No"/>
    <s v="Yes"/>
    <s v="No"/>
    <s v="Yes"/>
    <s v="No"/>
    <m/>
    <x v="0"/>
    <n v="1"/>
  </r>
  <r>
    <n v="164"/>
    <d v="2024-08-30T00:00:00"/>
    <s v="Premium"/>
    <n v="699"/>
    <n v="18.8"/>
    <n v="7"/>
    <x v="2"/>
    <n v="8"/>
    <n v="49"/>
    <s v="Yes"/>
    <s v="No"/>
    <s v="Yes"/>
    <s v="Yes"/>
    <s v="Yes"/>
    <s v="No"/>
    <m/>
    <x v="0"/>
    <n v="1"/>
  </r>
  <r>
    <n v="165"/>
    <d v="2024-11-05T00:00:00"/>
    <s v="Basic"/>
    <n v="199"/>
    <n v="12.8"/>
    <n v="0"/>
    <x v="4"/>
    <n v="29"/>
    <n v="50"/>
    <s v="No"/>
    <s v="No"/>
    <s v="Yes"/>
    <s v="No"/>
    <s v="Yes"/>
    <s v="No"/>
    <m/>
    <x v="0"/>
    <n v="0"/>
  </r>
  <r>
    <n v="166"/>
    <d v="2024-03-12T00:00:00"/>
    <s v="Premium"/>
    <n v="699"/>
    <n v="11.7"/>
    <n v="0"/>
    <x v="1"/>
    <n v="20"/>
    <n v="30"/>
    <s v="No"/>
    <s v="No"/>
    <s v="No"/>
    <s v="No"/>
    <s v="Yes"/>
    <s v="No"/>
    <m/>
    <x v="1"/>
    <n v="0"/>
  </r>
  <r>
    <n v="167"/>
    <d v="2024-09-14T00:00:00"/>
    <s v="Premium"/>
    <n v="699"/>
    <n v="12.5"/>
    <n v="7"/>
    <x v="1"/>
    <n v="7"/>
    <n v="57"/>
    <s v="Yes"/>
    <s v="No"/>
    <s v="No"/>
    <s v="Yes"/>
    <s v="Yes"/>
    <s v="No"/>
    <m/>
    <x v="1"/>
    <n v="1"/>
  </r>
  <r>
    <n v="168"/>
    <d v="2024-09-03T00:00:00"/>
    <s v="Basic"/>
    <n v="199"/>
    <n v="3.6"/>
    <n v="8"/>
    <x v="4"/>
    <n v="5"/>
    <n v="20"/>
    <s v="Yes"/>
    <s v="Yes"/>
    <s v="Yes"/>
    <s v="Yes"/>
    <s v="Yes"/>
    <s v="Yes"/>
    <m/>
    <x v="0"/>
    <n v="1"/>
  </r>
  <r>
    <n v="169"/>
    <d v="2024-11-01T00:00:00"/>
    <s v="Premium"/>
    <n v="699"/>
    <n v="11.6"/>
    <n v="6"/>
    <x v="1"/>
    <n v="19"/>
    <n v="50"/>
    <s v="No"/>
    <s v="No"/>
    <s v="No"/>
    <s v="Yes"/>
    <s v="Yes"/>
    <s v="No"/>
    <m/>
    <x v="1"/>
    <n v="0"/>
  </r>
  <r>
    <n v="170"/>
    <d v="2024-02-28T00:00:00"/>
    <s v="Premium"/>
    <n v="699"/>
    <n v="18.2"/>
    <n v="3"/>
    <x v="2"/>
    <n v="36"/>
    <n v="28"/>
    <s v="No"/>
    <s v="No"/>
    <s v="Yes"/>
    <s v="No"/>
    <s v="Yes"/>
    <s v="No"/>
    <m/>
    <x v="0"/>
    <n v="0"/>
  </r>
  <r>
    <n v="171"/>
    <d v="2023-09-19T00:00:00"/>
    <s v="Standard"/>
    <n v="399"/>
    <n v="10.3"/>
    <n v="1"/>
    <x v="3"/>
    <n v="30"/>
    <n v="27"/>
    <s v="Yes"/>
    <s v="No"/>
    <s v="Yes"/>
    <s v="No"/>
    <s v="Yes"/>
    <s v="No"/>
    <m/>
    <x v="0"/>
    <n v="1"/>
  </r>
  <r>
    <n v="172"/>
    <d v="2023-04-06T00:00:00"/>
    <s v="Standard"/>
    <n v="399"/>
    <n v="17.3"/>
    <n v="7"/>
    <x v="1"/>
    <n v="10"/>
    <n v="5"/>
    <s v="No"/>
    <s v="No"/>
    <s v="No"/>
    <s v="Yes"/>
    <s v="No"/>
    <s v="No"/>
    <m/>
    <x v="1"/>
    <n v="0"/>
  </r>
  <r>
    <n v="173"/>
    <d v="2024-07-29T00:00:00"/>
    <s v="Standard"/>
    <n v="399"/>
    <n v="18.7"/>
    <n v="5"/>
    <x v="0"/>
    <n v="7"/>
    <n v="35"/>
    <s v="Yes"/>
    <s v="No"/>
    <s v="Yes"/>
    <s v="Yes"/>
    <s v="Yes"/>
    <s v="No"/>
    <m/>
    <x v="0"/>
    <n v="1"/>
  </r>
  <r>
    <n v="174"/>
    <d v="2024-03-09T00:00:00"/>
    <s v="Premium"/>
    <n v="699"/>
    <n v="16.899999999999999"/>
    <n v="6"/>
    <x v="3"/>
    <n v="22"/>
    <n v="55"/>
    <s v="Yes"/>
    <s v="No"/>
    <s v="Yes"/>
    <s v="Yes"/>
    <s v="Yes"/>
    <s v="No"/>
    <m/>
    <x v="0"/>
    <n v="1"/>
  </r>
  <r>
    <n v="175"/>
    <d v="2023-08-06T00:00:00"/>
    <s v="Premium"/>
    <n v="699"/>
    <n v="24.2"/>
    <n v="4"/>
    <x v="3"/>
    <n v="4"/>
    <n v="6"/>
    <s v="No"/>
    <s v="No"/>
    <s v="Yes"/>
    <s v="No"/>
    <s v="No"/>
    <s v="Yes"/>
    <m/>
    <x v="0"/>
    <n v="0"/>
  </r>
  <r>
    <n v="176"/>
    <d v="2023-04-28T00:00:00"/>
    <s v="Basic"/>
    <n v="199"/>
    <n v="6"/>
    <n v="1"/>
    <x v="3"/>
    <n v="31"/>
    <n v="54"/>
    <s v="Yes"/>
    <s v="No"/>
    <s v="Yes"/>
    <s v="No"/>
    <s v="Yes"/>
    <s v="No"/>
    <m/>
    <x v="0"/>
    <n v="1"/>
  </r>
  <r>
    <n v="177"/>
    <d v="2024-07-24T00:00:00"/>
    <s v="Standard"/>
    <n v="399"/>
    <n v="20.3"/>
    <n v="8"/>
    <x v="5"/>
    <n v="15"/>
    <n v="39"/>
    <s v="Yes"/>
    <s v="No"/>
    <s v="Yes"/>
    <s v="Yes"/>
    <s v="Yes"/>
    <s v="No"/>
    <m/>
    <x v="0"/>
    <n v="1"/>
  </r>
  <r>
    <n v="178"/>
    <d v="2023-12-14T00:00:00"/>
    <s v="Basic"/>
    <n v="199"/>
    <n v="1.2"/>
    <n v="4"/>
    <x v="4"/>
    <n v="18"/>
    <n v="48"/>
    <s v="Yes"/>
    <s v="Yes"/>
    <s v="Yes"/>
    <s v="No"/>
    <s v="Yes"/>
    <s v="No"/>
    <m/>
    <x v="0"/>
    <n v="1"/>
  </r>
  <r>
    <n v="179"/>
    <d v="2023-05-26T00:00:00"/>
    <s v="Standard"/>
    <n v="399"/>
    <n v="4.9000000000000004"/>
    <n v="2"/>
    <x v="5"/>
    <n v="1"/>
    <n v="42"/>
    <s v="Yes"/>
    <s v="Yes"/>
    <s v="Yes"/>
    <s v="No"/>
    <s v="Yes"/>
    <s v="Yes"/>
    <m/>
    <x v="0"/>
    <n v="1"/>
  </r>
  <r>
    <n v="180"/>
    <d v="2023-12-16T00:00:00"/>
    <s v="Premium"/>
    <n v="699"/>
    <n v="2.7"/>
    <n v="8"/>
    <x v="0"/>
    <n v="2"/>
    <n v="24"/>
    <s v="Yes"/>
    <s v="Yes"/>
    <s v="Yes"/>
    <s v="Yes"/>
    <s v="Yes"/>
    <s v="Yes"/>
    <m/>
    <x v="0"/>
    <n v="1"/>
  </r>
  <r>
    <n v="181"/>
    <d v="2023-02-23T00:00:00"/>
    <s v="Basic"/>
    <n v="199"/>
    <n v="8.1"/>
    <n v="5"/>
    <x v="5"/>
    <n v="24"/>
    <n v="38"/>
    <s v="Yes"/>
    <s v="No"/>
    <s v="Yes"/>
    <s v="Yes"/>
    <s v="Yes"/>
    <s v="No"/>
    <m/>
    <x v="0"/>
    <n v="1"/>
  </r>
  <r>
    <n v="182"/>
    <d v="2024-11-08T00:00:00"/>
    <s v="Basic"/>
    <n v="199"/>
    <n v="19"/>
    <n v="0"/>
    <x v="4"/>
    <n v="11"/>
    <n v="5"/>
    <s v="Yes"/>
    <s v="No"/>
    <s v="Yes"/>
    <s v="No"/>
    <s v="No"/>
    <s v="No"/>
    <m/>
    <x v="0"/>
    <n v="1"/>
  </r>
  <r>
    <n v="183"/>
    <d v="2023-04-27T00:00:00"/>
    <s v="Standard"/>
    <n v="399"/>
    <n v="15.4"/>
    <n v="6"/>
    <x v="3"/>
    <n v="32"/>
    <n v="13"/>
    <s v="No"/>
    <s v="No"/>
    <s v="Yes"/>
    <s v="Yes"/>
    <s v="No"/>
    <s v="No"/>
    <m/>
    <x v="0"/>
    <n v="0"/>
  </r>
  <r>
    <n v="184"/>
    <d v="2023-08-14T00:00:00"/>
    <s v="Standard"/>
    <n v="399"/>
    <n v="3.2"/>
    <n v="7"/>
    <x v="5"/>
    <n v="28"/>
    <n v="42"/>
    <s v="Yes"/>
    <s v="Yes"/>
    <s v="Yes"/>
    <s v="Yes"/>
    <s v="Yes"/>
    <s v="No"/>
    <m/>
    <x v="0"/>
    <n v="1"/>
  </r>
  <r>
    <n v="185"/>
    <d v="2023-09-19T00:00:00"/>
    <s v="Standard"/>
    <n v="399"/>
    <n v="0.7"/>
    <n v="4"/>
    <x v="0"/>
    <n v="4"/>
    <n v="49"/>
    <s v="Yes"/>
    <s v="Yes"/>
    <s v="Yes"/>
    <s v="No"/>
    <s v="Yes"/>
    <s v="Yes"/>
    <m/>
    <x v="0"/>
    <n v="1"/>
  </r>
  <r>
    <n v="186"/>
    <d v="2024-01-25T00:00:00"/>
    <s v="Standard"/>
    <n v="399"/>
    <n v="3.4"/>
    <n v="7"/>
    <x v="4"/>
    <n v="21"/>
    <n v="27"/>
    <s v="Yes"/>
    <s v="Yes"/>
    <s v="Yes"/>
    <s v="Yes"/>
    <s v="Yes"/>
    <s v="No"/>
    <m/>
    <x v="0"/>
    <n v="1"/>
  </r>
  <r>
    <n v="187"/>
    <d v="2023-02-13T00:00:00"/>
    <s v="Premium"/>
    <n v="699"/>
    <n v="12.8"/>
    <n v="5"/>
    <x v="1"/>
    <n v="15"/>
    <n v="25"/>
    <s v="No"/>
    <s v="No"/>
    <s v="No"/>
    <s v="Yes"/>
    <s v="Yes"/>
    <s v="No"/>
    <m/>
    <x v="1"/>
    <n v="0"/>
  </r>
  <r>
    <n v="188"/>
    <d v="2024-02-19T00:00:00"/>
    <s v="Standard"/>
    <n v="399"/>
    <n v="11.8"/>
    <n v="1"/>
    <x v="3"/>
    <n v="2"/>
    <n v="36"/>
    <s v="Yes"/>
    <s v="No"/>
    <s v="Yes"/>
    <s v="No"/>
    <s v="Yes"/>
    <s v="Yes"/>
    <m/>
    <x v="0"/>
    <n v="1"/>
  </r>
  <r>
    <n v="189"/>
    <d v="2024-09-24T00:00:00"/>
    <s v="Premium"/>
    <n v="699"/>
    <n v="7.6"/>
    <n v="6"/>
    <x v="1"/>
    <n v="27"/>
    <n v="20"/>
    <s v="Yes"/>
    <s v="No"/>
    <s v="No"/>
    <s v="Yes"/>
    <s v="Yes"/>
    <s v="No"/>
    <m/>
    <x v="1"/>
    <n v="1"/>
  </r>
  <r>
    <n v="190"/>
    <d v="2024-06-20T00:00:00"/>
    <s v="Standard"/>
    <n v="399"/>
    <n v="2.7"/>
    <n v="1"/>
    <x v="0"/>
    <n v="24"/>
    <n v="27"/>
    <s v="Yes"/>
    <s v="Yes"/>
    <s v="Yes"/>
    <s v="No"/>
    <s v="Yes"/>
    <s v="No"/>
    <m/>
    <x v="0"/>
    <n v="1"/>
  </r>
  <r>
    <n v="191"/>
    <d v="2023-03-20T00:00:00"/>
    <s v="Basic"/>
    <n v="199"/>
    <n v="21.8"/>
    <n v="5"/>
    <x v="0"/>
    <n v="26"/>
    <n v="21"/>
    <s v="No"/>
    <s v="No"/>
    <s v="Yes"/>
    <s v="Yes"/>
    <s v="Yes"/>
    <s v="No"/>
    <m/>
    <x v="0"/>
    <n v="0"/>
  </r>
  <r>
    <n v="192"/>
    <d v="2024-10-22T00:00:00"/>
    <s v="Premium"/>
    <n v="699"/>
    <n v="13.5"/>
    <n v="3"/>
    <x v="3"/>
    <n v="8"/>
    <n v="22"/>
    <s v="No"/>
    <s v="No"/>
    <s v="Yes"/>
    <s v="No"/>
    <s v="Yes"/>
    <s v="No"/>
    <m/>
    <x v="0"/>
    <n v="0"/>
  </r>
  <r>
    <n v="193"/>
    <d v="2024-11-02T00:00:00"/>
    <s v="Basic"/>
    <n v="199"/>
    <n v="3"/>
    <n v="4"/>
    <x v="0"/>
    <n v="16"/>
    <n v="11"/>
    <s v="No"/>
    <s v="Yes"/>
    <s v="Yes"/>
    <s v="No"/>
    <s v="No"/>
    <s v="No"/>
    <m/>
    <x v="0"/>
    <n v="0"/>
  </r>
  <r>
    <n v="194"/>
    <d v="2024-08-16T00:00:00"/>
    <s v="Basic"/>
    <n v="199"/>
    <n v="23.8"/>
    <n v="7"/>
    <x v="2"/>
    <n v="12"/>
    <n v="48"/>
    <s v="Yes"/>
    <s v="No"/>
    <s v="Yes"/>
    <s v="Yes"/>
    <s v="Yes"/>
    <s v="No"/>
    <m/>
    <x v="0"/>
    <n v="1"/>
  </r>
  <r>
    <n v="195"/>
    <d v="2024-03-28T00:00:00"/>
    <s v="Standard"/>
    <n v="399"/>
    <n v="21.7"/>
    <n v="5"/>
    <x v="0"/>
    <n v="21"/>
    <n v="28"/>
    <s v="Yes"/>
    <s v="No"/>
    <s v="Yes"/>
    <s v="Yes"/>
    <s v="Yes"/>
    <s v="No"/>
    <m/>
    <x v="0"/>
    <n v="1"/>
  </r>
  <r>
    <n v="196"/>
    <d v="2024-04-17T00:00:00"/>
    <s v="Premium"/>
    <n v="699"/>
    <n v="20"/>
    <n v="0"/>
    <x v="3"/>
    <n v="20"/>
    <n v="32"/>
    <s v="Yes"/>
    <s v="No"/>
    <s v="Yes"/>
    <s v="No"/>
    <s v="Yes"/>
    <s v="No"/>
    <m/>
    <x v="0"/>
    <n v="1"/>
  </r>
  <r>
    <n v="197"/>
    <d v="2023-04-03T00:00:00"/>
    <s v="Standard"/>
    <n v="399"/>
    <n v="1.9"/>
    <n v="4"/>
    <x v="1"/>
    <n v="3"/>
    <n v="41"/>
    <s v="No"/>
    <s v="Yes"/>
    <s v="No"/>
    <s v="No"/>
    <s v="Yes"/>
    <s v="Yes"/>
    <m/>
    <x v="1"/>
    <n v="0"/>
  </r>
  <r>
    <n v="198"/>
    <d v="2024-08-08T00:00:00"/>
    <s v="Premium"/>
    <n v="699"/>
    <n v="9.9"/>
    <n v="8"/>
    <x v="4"/>
    <n v="33"/>
    <n v="57"/>
    <s v="Yes"/>
    <s v="No"/>
    <s v="Yes"/>
    <s v="Yes"/>
    <s v="Yes"/>
    <s v="No"/>
    <m/>
    <x v="0"/>
    <n v="1"/>
  </r>
  <r>
    <n v="199"/>
    <d v="2024-04-06T00:00:00"/>
    <s v="Premium"/>
    <n v="699"/>
    <n v="8.4"/>
    <n v="7"/>
    <x v="5"/>
    <n v="13"/>
    <n v="9"/>
    <s v="No"/>
    <s v="No"/>
    <s v="Yes"/>
    <s v="Yes"/>
    <s v="No"/>
    <s v="No"/>
    <m/>
    <x v="0"/>
    <n v="0"/>
  </r>
  <r>
    <n v="200"/>
    <d v="2023-09-11T00:00:00"/>
    <s v="Basic"/>
    <n v="199"/>
    <n v="24.6"/>
    <n v="1"/>
    <x v="5"/>
    <n v="22"/>
    <n v="41"/>
    <s v="Yes"/>
    <s v="No"/>
    <s v="Yes"/>
    <s v="No"/>
    <s v="Yes"/>
    <s v="No"/>
    <m/>
    <x v="0"/>
    <n v="1"/>
  </r>
  <r>
    <n v="201"/>
    <d v="2024-01-17T00:00:00"/>
    <s v="Premium"/>
    <n v="699"/>
    <n v="24.8"/>
    <n v="8"/>
    <x v="5"/>
    <n v="29"/>
    <n v="39"/>
    <s v="Yes"/>
    <s v="No"/>
    <s v="Yes"/>
    <s v="Yes"/>
    <s v="Yes"/>
    <s v="No"/>
    <m/>
    <x v="0"/>
    <n v="1"/>
  </r>
  <r>
    <n v="202"/>
    <d v="2024-10-08T00:00:00"/>
    <s v="Standard"/>
    <n v="399"/>
    <n v="10.5"/>
    <n v="5"/>
    <x v="4"/>
    <n v="25"/>
    <n v="38"/>
    <s v="Yes"/>
    <s v="No"/>
    <s v="Yes"/>
    <s v="Yes"/>
    <s v="Yes"/>
    <s v="No"/>
    <m/>
    <x v="0"/>
    <n v="1"/>
  </r>
  <r>
    <n v="203"/>
    <d v="2023-09-16T00:00:00"/>
    <s v="Premium"/>
    <n v="699"/>
    <n v="2.1"/>
    <n v="1"/>
    <x v="5"/>
    <n v="22"/>
    <n v="43"/>
    <s v="Yes"/>
    <s v="Yes"/>
    <s v="Yes"/>
    <s v="No"/>
    <s v="Yes"/>
    <s v="No"/>
    <m/>
    <x v="0"/>
    <n v="1"/>
  </r>
  <r>
    <n v="204"/>
    <d v="2024-12-16T00:00:00"/>
    <s v="Premium"/>
    <n v="699"/>
    <n v="8.6999999999999993"/>
    <n v="2"/>
    <x v="3"/>
    <n v="10"/>
    <n v="19"/>
    <s v="No"/>
    <s v="No"/>
    <s v="Yes"/>
    <s v="No"/>
    <s v="Yes"/>
    <s v="No"/>
    <m/>
    <x v="0"/>
    <n v="0"/>
  </r>
  <r>
    <n v="205"/>
    <d v="2023-12-03T00:00:00"/>
    <s v="Premium"/>
    <n v="699"/>
    <n v="3.7"/>
    <n v="1"/>
    <x v="3"/>
    <n v="26"/>
    <n v="35"/>
    <s v="Yes"/>
    <s v="Yes"/>
    <s v="Yes"/>
    <s v="No"/>
    <s v="Yes"/>
    <s v="No"/>
    <m/>
    <x v="0"/>
    <n v="1"/>
  </r>
  <r>
    <n v="206"/>
    <d v="2023-11-13T00:00:00"/>
    <s v="Basic"/>
    <n v="199"/>
    <n v="2.8"/>
    <n v="6"/>
    <x v="5"/>
    <n v="34"/>
    <n v="23"/>
    <s v="Yes"/>
    <s v="Yes"/>
    <s v="Yes"/>
    <s v="Yes"/>
    <s v="Yes"/>
    <s v="No"/>
    <m/>
    <x v="0"/>
    <n v="1"/>
  </r>
  <r>
    <n v="207"/>
    <d v="2023-06-08T00:00:00"/>
    <s v="Basic"/>
    <n v="199"/>
    <n v="8.9"/>
    <n v="7"/>
    <x v="0"/>
    <n v="14"/>
    <n v="14"/>
    <s v="No"/>
    <s v="No"/>
    <s v="Yes"/>
    <s v="Yes"/>
    <s v="No"/>
    <s v="No"/>
    <m/>
    <x v="0"/>
    <n v="0"/>
  </r>
  <r>
    <n v="208"/>
    <d v="2024-06-23T00:00:00"/>
    <s v="Basic"/>
    <n v="199"/>
    <n v="21.2"/>
    <n v="1"/>
    <x v="5"/>
    <n v="19"/>
    <n v="49"/>
    <s v="Yes"/>
    <s v="No"/>
    <s v="Yes"/>
    <s v="No"/>
    <s v="Yes"/>
    <s v="No"/>
    <m/>
    <x v="0"/>
    <n v="1"/>
  </r>
  <r>
    <n v="209"/>
    <d v="2023-07-05T00:00:00"/>
    <s v="Basic"/>
    <n v="199"/>
    <n v="22"/>
    <n v="2"/>
    <x v="5"/>
    <n v="22"/>
    <n v="24"/>
    <s v="Yes"/>
    <s v="No"/>
    <s v="Yes"/>
    <s v="No"/>
    <s v="Yes"/>
    <s v="No"/>
    <m/>
    <x v="0"/>
    <n v="1"/>
  </r>
  <r>
    <n v="210"/>
    <d v="2023-09-01T00:00:00"/>
    <s v="Premium"/>
    <n v="699"/>
    <n v="18.2"/>
    <n v="0"/>
    <x v="2"/>
    <n v="11"/>
    <n v="23"/>
    <s v="No"/>
    <s v="No"/>
    <s v="Yes"/>
    <s v="No"/>
    <s v="Yes"/>
    <s v="No"/>
    <m/>
    <x v="0"/>
    <n v="0"/>
  </r>
  <r>
    <n v="211"/>
    <d v="2024-04-25T00:00:00"/>
    <s v="Standard"/>
    <n v="399"/>
    <n v="18.899999999999999"/>
    <n v="7"/>
    <x v="0"/>
    <n v="19"/>
    <n v="34"/>
    <s v="Yes"/>
    <s v="No"/>
    <s v="Yes"/>
    <s v="Yes"/>
    <s v="Yes"/>
    <s v="No"/>
    <m/>
    <x v="0"/>
    <n v="1"/>
  </r>
  <r>
    <n v="212"/>
    <d v="2024-01-27T00:00:00"/>
    <s v="Basic"/>
    <n v="199"/>
    <n v="17.100000000000001"/>
    <n v="7"/>
    <x v="2"/>
    <n v="24"/>
    <n v="49"/>
    <s v="Yes"/>
    <s v="No"/>
    <s v="Yes"/>
    <s v="Yes"/>
    <s v="Yes"/>
    <s v="No"/>
    <m/>
    <x v="0"/>
    <n v="1"/>
  </r>
  <r>
    <n v="213"/>
    <d v="2023-09-14T00:00:00"/>
    <s v="Premium"/>
    <n v="699"/>
    <n v="10.8"/>
    <n v="2"/>
    <x v="0"/>
    <n v="34"/>
    <n v="51"/>
    <s v="No"/>
    <s v="No"/>
    <s v="Yes"/>
    <s v="No"/>
    <s v="Yes"/>
    <s v="No"/>
    <m/>
    <x v="0"/>
    <n v="0"/>
  </r>
  <r>
    <n v="214"/>
    <d v="2023-05-08T00:00:00"/>
    <s v="Basic"/>
    <n v="199"/>
    <n v="21.9"/>
    <n v="8"/>
    <x v="1"/>
    <n v="31"/>
    <n v="45"/>
    <s v="No"/>
    <s v="No"/>
    <s v="No"/>
    <s v="Yes"/>
    <s v="Yes"/>
    <s v="No"/>
    <m/>
    <x v="1"/>
    <n v="0"/>
  </r>
  <r>
    <n v="215"/>
    <d v="2024-03-23T00:00:00"/>
    <s v="Standard"/>
    <n v="399"/>
    <n v="19.2"/>
    <n v="4"/>
    <x v="2"/>
    <n v="6"/>
    <n v="57"/>
    <s v="Yes"/>
    <s v="No"/>
    <s v="Yes"/>
    <s v="No"/>
    <s v="Yes"/>
    <s v="No"/>
    <m/>
    <x v="0"/>
    <n v="1"/>
  </r>
  <r>
    <n v="216"/>
    <d v="2024-05-29T00:00:00"/>
    <s v="Basic"/>
    <n v="199"/>
    <n v="20.5"/>
    <n v="5"/>
    <x v="1"/>
    <n v="15"/>
    <n v="26"/>
    <s v="Yes"/>
    <s v="No"/>
    <s v="No"/>
    <s v="Yes"/>
    <s v="Yes"/>
    <s v="No"/>
    <m/>
    <x v="1"/>
    <n v="1"/>
  </r>
  <r>
    <n v="217"/>
    <d v="2023-04-12T00:00:00"/>
    <s v="Standard"/>
    <n v="399"/>
    <n v="10"/>
    <n v="1"/>
    <x v="3"/>
    <n v="16"/>
    <n v="14"/>
    <s v="Yes"/>
    <s v="No"/>
    <s v="Yes"/>
    <s v="No"/>
    <s v="No"/>
    <s v="No"/>
    <m/>
    <x v="0"/>
    <n v="1"/>
  </r>
  <r>
    <n v="218"/>
    <d v="2024-04-28T00:00:00"/>
    <s v="Premium"/>
    <n v="699"/>
    <n v="19.899999999999999"/>
    <n v="2"/>
    <x v="1"/>
    <n v="22"/>
    <n v="18"/>
    <s v="No"/>
    <s v="No"/>
    <s v="No"/>
    <s v="No"/>
    <s v="Yes"/>
    <s v="No"/>
    <m/>
    <x v="1"/>
    <n v="0"/>
  </r>
  <r>
    <n v="219"/>
    <d v="2023-03-23T00:00:00"/>
    <s v="Premium"/>
    <n v="699"/>
    <n v="19.100000000000001"/>
    <n v="7"/>
    <x v="2"/>
    <n v="9"/>
    <n v="39"/>
    <s v="Yes"/>
    <s v="No"/>
    <s v="Yes"/>
    <s v="Yes"/>
    <s v="Yes"/>
    <s v="No"/>
    <m/>
    <x v="0"/>
    <n v="1"/>
  </r>
  <r>
    <n v="220"/>
    <d v="2024-06-24T00:00:00"/>
    <s v="Basic"/>
    <n v="199"/>
    <n v="5.8"/>
    <n v="2"/>
    <x v="5"/>
    <n v="17"/>
    <n v="60"/>
    <s v="No"/>
    <s v="No"/>
    <s v="Yes"/>
    <s v="No"/>
    <s v="Yes"/>
    <s v="No"/>
    <m/>
    <x v="0"/>
    <n v="0"/>
  </r>
  <r>
    <n v="221"/>
    <d v="2024-03-05T00:00:00"/>
    <s v="Standard"/>
    <n v="399"/>
    <n v="19.5"/>
    <n v="3"/>
    <x v="3"/>
    <n v="8"/>
    <n v="7"/>
    <s v="Yes"/>
    <s v="No"/>
    <s v="Yes"/>
    <s v="No"/>
    <s v="No"/>
    <s v="No"/>
    <m/>
    <x v="0"/>
    <n v="1"/>
  </r>
  <r>
    <n v="222"/>
    <d v="2024-06-11T00:00:00"/>
    <s v="Premium"/>
    <n v="699"/>
    <n v="2"/>
    <n v="7"/>
    <x v="5"/>
    <n v="30"/>
    <n v="34"/>
    <s v="Yes"/>
    <s v="Yes"/>
    <s v="Yes"/>
    <s v="Yes"/>
    <s v="Yes"/>
    <s v="No"/>
    <m/>
    <x v="0"/>
    <n v="1"/>
  </r>
  <r>
    <n v="223"/>
    <d v="2023-09-04T00:00:00"/>
    <s v="Premium"/>
    <n v="699"/>
    <n v="18.100000000000001"/>
    <n v="4"/>
    <x v="2"/>
    <n v="16"/>
    <n v="0"/>
    <s v="No"/>
    <s v="No"/>
    <s v="Yes"/>
    <s v="No"/>
    <s v="No"/>
    <s v="No"/>
    <m/>
    <x v="0"/>
    <n v="0"/>
  </r>
  <r>
    <n v="224"/>
    <d v="2024-06-22T00:00:00"/>
    <s v="Premium"/>
    <n v="699"/>
    <n v="5.0999999999999996"/>
    <n v="1"/>
    <x v="5"/>
    <n v="27"/>
    <n v="23"/>
    <s v="Yes"/>
    <s v="No"/>
    <s v="Yes"/>
    <s v="No"/>
    <s v="Yes"/>
    <s v="No"/>
    <m/>
    <x v="0"/>
    <n v="1"/>
  </r>
  <r>
    <n v="225"/>
    <d v="2024-04-26T00:00:00"/>
    <s v="Premium"/>
    <n v="699"/>
    <n v="19.8"/>
    <n v="8"/>
    <x v="5"/>
    <n v="33"/>
    <n v="1"/>
    <s v="Yes"/>
    <s v="No"/>
    <s v="Yes"/>
    <s v="Yes"/>
    <s v="No"/>
    <s v="No"/>
    <m/>
    <x v="0"/>
    <n v="1"/>
  </r>
  <r>
    <n v="226"/>
    <d v="2023-03-11T00:00:00"/>
    <s v="Basic"/>
    <n v="199"/>
    <n v="24.5"/>
    <n v="4"/>
    <x v="4"/>
    <n v="25"/>
    <n v="1"/>
    <s v="Yes"/>
    <s v="No"/>
    <s v="Yes"/>
    <s v="No"/>
    <s v="No"/>
    <s v="No"/>
    <m/>
    <x v="0"/>
    <n v="1"/>
  </r>
  <r>
    <n v="227"/>
    <d v="2023-05-17T00:00:00"/>
    <s v="Standard"/>
    <n v="399"/>
    <n v="18.5"/>
    <n v="1"/>
    <x v="5"/>
    <n v="16"/>
    <n v="47"/>
    <s v="No"/>
    <s v="No"/>
    <s v="Yes"/>
    <s v="No"/>
    <s v="Yes"/>
    <s v="No"/>
    <m/>
    <x v="0"/>
    <n v="0"/>
  </r>
  <r>
    <n v="228"/>
    <d v="2024-05-05T00:00:00"/>
    <s v="Basic"/>
    <n v="199"/>
    <n v="13.9"/>
    <n v="2"/>
    <x v="4"/>
    <n v="23"/>
    <n v="29"/>
    <s v="No"/>
    <s v="No"/>
    <s v="Yes"/>
    <s v="No"/>
    <s v="Yes"/>
    <s v="No"/>
    <m/>
    <x v="0"/>
    <n v="0"/>
  </r>
  <r>
    <n v="229"/>
    <d v="2023-02-07T00:00:00"/>
    <s v="Premium"/>
    <n v="699"/>
    <n v="20.399999999999999"/>
    <n v="1"/>
    <x v="4"/>
    <n v="12"/>
    <n v="49"/>
    <s v="No"/>
    <s v="No"/>
    <s v="Yes"/>
    <s v="No"/>
    <s v="Yes"/>
    <s v="No"/>
    <m/>
    <x v="0"/>
    <n v="0"/>
  </r>
  <r>
    <n v="230"/>
    <d v="2024-06-11T00:00:00"/>
    <s v="Standard"/>
    <n v="399"/>
    <n v="1.6"/>
    <n v="3"/>
    <x v="1"/>
    <n v="13"/>
    <n v="20"/>
    <s v="No"/>
    <s v="Yes"/>
    <s v="No"/>
    <s v="No"/>
    <s v="Yes"/>
    <s v="No"/>
    <m/>
    <x v="1"/>
    <n v="0"/>
  </r>
  <r>
    <n v="231"/>
    <d v="2023-02-18T00:00:00"/>
    <s v="Standard"/>
    <n v="399"/>
    <n v="12.1"/>
    <n v="0"/>
    <x v="4"/>
    <n v="35"/>
    <n v="12"/>
    <s v="Yes"/>
    <s v="No"/>
    <s v="Yes"/>
    <s v="No"/>
    <s v="No"/>
    <s v="No"/>
    <m/>
    <x v="0"/>
    <n v="1"/>
  </r>
  <r>
    <n v="232"/>
    <d v="2024-03-26T00:00:00"/>
    <s v="Premium"/>
    <n v="699"/>
    <n v="7.2"/>
    <n v="5"/>
    <x v="2"/>
    <n v="22"/>
    <n v="56"/>
    <s v="Yes"/>
    <s v="No"/>
    <s v="Yes"/>
    <s v="Yes"/>
    <s v="Yes"/>
    <s v="No"/>
    <m/>
    <x v="0"/>
    <n v="1"/>
  </r>
  <r>
    <n v="233"/>
    <d v="2024-06-15T00:00:00"/>
    <s v="Standard"/>
    <n v="399"/>
    <n v="24.4"/>
    <n v="7"/>
    <x v="4"/>
    <n v="22"/>
    <n v="31"/>
    <s v="Yes"/>
    <s v="No"/>
    <s v="Yes"/>
    <s v="Yes"/>
    <s v="Yes"/>
    <s v="No"/>
    <m/>
    <x v="0"/>
    <n v="1"/>
  </r>
  <r>
    <n v="234"/>
    <d v="2023-07-04T00:00:00"/>
    <s v="Standard"/>
    <n v="399"/>
    <n v="18.3"/>
    <n v="1"/>
    <x v="2"/>
    <n v="6"/>
    <n v="38"/>
    <s v="No"/>
    <s v="No"/>
    <s v="Yes"/>
    <s v="No"/>
    <s v="Yes"/>
    <s v="No"/>
    <m/>
    <x v="0"/>
    <n v="0"/>
  </r>
  <r>
    <n v="235"/>
    <d v="2024-04-01T00:00:00"/>
    <s v="Premium"/>
    <n v="699"/>
    <n v="8.4"/>
    <n v="1"/>
    <x v="3"/>
    <n v="19"/>
    <n v="42"/>
    <s v="Yes"/>
    <s v="No"/>
    <s v="Yes"/>
    <s v="No"/>
    <s v="Yes"/>
    <s v="No"/>
    <m/>
    <x v="0"/>
    <n v="1"/>
  </r>
  <r>
    <n v="236"/>
    <d v="2023-12-28T00:00:00"/>
    <s v="Premium"/>
    <n v="699"/>
    <n v="4.5999999999999996"/>
    <n v="7"/>
    <x v="3"/>
    <n v="28"/>
    <n v="28"/>
    <s v="Yes"/>
    <s v="Yes"/>
    <s v="Yes"/>
    <s v="Yes"/>
    <s v="Yes"/>
    <s v="No"/>
    <m/>
    <x v="0"/>
    <n v="1"/>
  </r>
  <r>
    <n v="237"/>
    <d v="2024-01-08T00:00:00"/>
    <s v="Premium"/>
    <n v="699"/>
    <n v="7.2"/>
    <n v="0"/>
    <x v="1"/>
    <n v="28"/>
    <n v="42"/>
    <s v="No"/>
    <s v="No"/>
    <s v="No"/>
    <s v="No"/>
    <s v="Yes"/>
    <s v="No"/>
    <m/>
    <x v="1"/>
    <n v="0"/>
  </r>
  <r>
    <n v="238"/>
    <d v="2023-02-05T00:00:00"/>
    <s v="Premium"/>
    <n v="699"/>
    <n v="23.8"/>
    <n v="2"/>
    <x v="5"/>
    <n v="11"/>
    <n v="43"/>
    <s v="No"/>
    <s v="No"/>
    <s v="Yes"/>
    <s v="No"/>
    <s v="Yes"/>
    <s v="No"/>
    <m/>
    <x v="0"/>
    <n v="0"/>
  </r>
  <r>
    <n v="239"/>
    <d v="2023-02-03T00:00:00"/>
    <s v="Basic"/>
    <n v="199"/>
    <n v="6.3"/>
    <n v="5"/>
    <x v="3"/>
    <n v="5"/>
    <n v="24"/>
    <s v="No"/>
    <s v="No"/>
    <s v="Yes"/>
    <s v="Yes"/>
    <s v="Yes"/>
    <s v="Yes"/>
    <m/>
    <x v="0"/>
    <n v="0"/>
  </r>
  <r>
    <n v="240"/>
    <d v="2024-08-10T00:00:00"/>
    <s v="Premium"/>
    <n v="699"/>
    <n v="17.100000000000001"/>
    <n v="5"/>
    <x v="3"/>
    <n v="10"/>
    <n v="28"/>
    <s v="No"/>
    <s v="No"/>
    <s v="Yes"/>
    <s v="Yes"/>
    <s v="Yes"/>
    <s v="No"/>
    <m/>
    <x v="0"/>
    <n v="0"/>
  </r>
  <r>
    <n v="241"/>
    <d v="2023-04-27T00:00:00"/>
    <s v="Basic"/>
    <n v="199"/>
    <n v="9.5"/>
    <n v="5"/>
    <x v="4"/>
    <n v="34"/>
    <n v="17"/>
    <s v="Yes"/>
    <s v="No"/>
    <s v="Yes"/>
    <s v="Yes"/>
    <s v="Yes"/>
    <s v="No"/>
    <m/>
    <x v="0"/>
    <n v="1"/>
  </r>
  <r>
    <n v="242"/>
    <d v="2023-09-24T00:00:00"/>
    <s v="Basic"/>
    <n v="199"/>
    <n v="12.7"/>
    <n v="6"/>
    <x v="5"/>
    <n v="12"/>
    <n v="7"/>
    <s v="Yes"/>
    <s v="No"/>
    <s v="Yes"/>
    <s v="Yes"/>
    <s v="No"/>
    <s v="No"/>
    <m/>
    <x v="0"/>
    <n v="1"/>
  </r>
  <r>
    <n v="243"/>
    <d v="2023-07-24T00:00:00"/>
    <s v="Premium"/>
    <n v="699"/>
    <n v="5.8"/>
    <n v="4"/>
    <x v="4"/>
    <n v="29"/>
    <n v="58"/>
    <s v="No"/>
    <s v="No"/>
    <s v="Yes"/>
    <s v="No"/>
    <s v="Yes"/>
    <s v="No"/>
    <m/>
    <x v="0"/>
    <n v="0"/>
  </r>
  <r>
    <n v="244"/>
    <d v="2023-03-31T00:00:00"/>
    <s v="Basic"/>
    <n v="199"/>
    <n v="21.4"/>
    <n v="7"/>
    <x v="0"/>
    <n v="9"/>
    <n v="57"/>
    <s v="No"/>
    <s v="No"/>
    <s v="Yes"/>
    <s v="Yes"/>
    <s v="Yes"/>
    <s v="No"/>
    <m/>
    <x v="0"/>
    <n v="0"/>
  </r>
  <r>
    <n v="245"/>
    <d v="2023-11-04T00:00:00"/>
    <s v="Premium"/>
    <n v="699"/>
    <n v="16.899999999999999"/>
    <n v="1"/>
    <x v="5"/>
    <n v="21"/>
    <n v="34"/>
    <s v="Yes"/>
    <s v="No"/>
    <s v="Yes"/>
    <s v="No"/>
    <s v="Yes"/>
    <s v="No"/>
    <m/>
    <x v="0"/>
    <n v="1"/>
  </r>
  <r>
    <n v="246"/>
    <d v="2023-05-23T00:00:00"/>
    <s v="Basic"/>
    <n v="199"/>
    <n v="19.899999999999999"/>
    <n v="8"/>
    <x v="0"/>
    <n v="12"/>
    <n v="7"/>
    <s v="No"/>
    <s v="No"/>
    <s v="Yes"/>
    <s v="Yes"/>
    <s v="No"/>
    <s v="No"/>
    <m/>
    <x v="0"/>
    <n v="0"/>
  </r>
  <r>
    <n v="247"/>
    <d v="2024-07-18T00:00:00"/>
    <s v="Basic"/>
    <n v="199"/>
    <n v="1.1000000000000001"/>
    <n v="8"/>
    <x v="5"/>
    <n v="32"/>
    <n v="23"/>
    <s v="Yes"/>
    <s v="Yes"/>
    <s v="Yes"/>
    <s v="Yes"/>
    <s v="Yes"/>
    <s v="No"/>
    <m/>
    <x v="0"/>
    <n v="1"/>
  </r>
  <r>
    <n v="248"/>
    <d v="2024-02-25T00:00:00"/>
    <s v="Basic"/>
    <n v="199"/>
    <n v="2.1"/>
    <n v="6"/>
    <x v="4"/>
    <n v="6"/>
    <n v="46"/>
    <s v="Yes"/>
    <s v="Yes"/>
    <s v="Yes"/>
    <s v="Yes"/>
    <s v="Yes"/>
    <s v="No"/>
    <m/>
    <x v="0"/>
    <n v="1"/>
  </r>
  <r>
    <n v="249"/>
    <d v="2024-11-27T00:00:00"/>
    <s v="Standard"/>
    <n v="399"/>
    <n v="3.6"/>
    <n v="5"/>
    <x v="4"/>
    <n v="5"/>
    <n v="4"/>
    <s v="Yes"/>
    <s v="Yes"/>
    <s v="Yes"/>
    <s v="Yes"/>
    <s v="No"/>
    <s v="Yes"/>
    <m/>
    <x v="0"/>
    <n v="1"/>
  </r>
  <r>
    <n v="250"/>
    <d v="2023-05-13T00:00:00"/>
    <s v="Premium"/>
    <n v="699"/>
    <n v="3.6"/>
    <n v="8"/>
    <x v="4"/>
    <n v="23"/>
    <n v="37"/>
    <s v="Yes"/>
    <s v="Yes"/>
    <s v="Yes"/>
    <s v="Yes"/>
    <s v="Yes"/>
    <s v="No"/>
    <m/>
    <x v="0"/>
    <n v="1"/>
  </r>
  <r>
    <n v="251"/>
    <d v="2023-06-18T00:00:00"/>
    <s v="Standard"/>
    <n v="399"/>
    <n v="22.8"/>
    <n v="0"/>
    <x v="1"/>
    <n v="33"/>
    <n v="33"/>
    <s v="Yes"/>
    <s v="No"/>
    <s v="No"/>
    <s v="No"/>
    <s v="Yes"/>
    <s v="No"/>
    <m/>
    <x v="1"/>
    <n v="1"/>
  </r>
  <r>
    <n v="252"/>
    <d v="2023-10-18T00:00:00"/>
    <s v="Basic"/>
    <n v="199"/>
    <n v="23.4"/>
    <n v="3"/>
    <x v="3"/>
    <n v="21"/>
    <n v="60"/>
    <s v="No"/>
    <s v="No"/>
    <s v="Yes"/>
    <s v="No"/>
    <s v="Yes"/>
    <s v="No"/>
    <m/>
    <x v="0"/>
    <n v="0"/>
  </r>
  <r>
    <n v="253"/>
    <d v="2024-09-21T00:00:00"/>
    <s v="Basic"/>
    <n v="199"/>
    <n v="5.3"/>
    <n v="8"/>
    <x v="3"/>
    <n v="17"/>
    <n v="8"/>
    <s v="No"/>
    <s v="No"/>
    <s v="Yes"/>
    <s v="Yes"/>
    <s v="No"/>
    <s v="No"/>
    <m/>
    <x v="0"/>
    <n v="0"/>
  </r>
  <r>
    <n v="254"/>
    <d v="2023-06-25T00:00:00"/>
    <s v="Premium"/>
    <n v="699"/>
    <n v="12.8"/>
    <n v="2"/>
    <x v="5"/>
    <n v="6"/>
    <n v="60"/>
    <s v="Yes"/>
    <s v="No"/>
    <s v="Yes"/>
    <s v="No"/>
    <s v="Yes"/>
    <s v="No"/>
    <m/>
    <x v="0"/>
    <n v="1"/>
  </r>
  <r>
    <n v="255"/>
    <d v="2024-10-18T00:00:00"/>
    <s v="Premium"/>
    <n v="699"/>
    <n v="21.1"/>
    <n v="0"/>
    <x v="1"/>
    <n v="22"/>
    <n v="5"/>
    <s v="Yes"/>
    <s v="No"/>
    <s v="No"/>
    <s v="No"/>
    <s v="No"/>
    <s v="No"/>
    <m/>
    <x v="1"/>
    <n v="1"/>
  </r>
  <r>
    <n v="256"/>
    <d v="2024-10-04T00:00:00"/>
    <s v="Premium"/>
    <n v="699"/>
    <n v="16.5"/>
    <n v="6"/>
    <x v="5"/>
    <n v="17"/>
    <n v="40"/>
    <s v="Yes"/>
    <s v="No"/>
    <s v="Yes"/>
    <s v="Yes"/>
    <s v="Yes"/>
    <s v="No"/>
    <m/>
    <x v="0"/>
    <n v="1"/>
  </r>
  <r>
    <n v="257"/>
    <d v="2024-12-02T00:00:00"/>
    <s v="Premium"/>
    <n v="699"/>
    <n v="16.2"/>
    <n v="4"/>
    <x v="2"/>
    <n v="19"/>
    <n v="15"/>
    <s v="No"/>
    <s v="No"/>
    <s v="Yes"/>
    <s v="No"/>
    <s v="Yes"/>
    <s v="No"/>
    <m/>
    <x v="0"/>
    <n v="0"/>
  </r>
  <r>
    <n v="258"/>
    <d v="2024-04-20T00:00:00"/>
    <s v="Standard"/>
    <n v="399"/>
    <n v="11.6"/>
    <n v="0"/>
    <x v="0"/>
    <n v="20"/>
    <n v="28"/>
    <s v="No"/>
    <s v="No"/>
    <s v="Yes"/>
    <s v="No"/>
    <s v="Yes"/>
    <s v="No"/>
    <m/>
    <x v="0"/>
    <n v="0"/>
  </r>
  <r>
    <n v="259"/>
    <d v="2023-12-20T00:00:00"/>
    <s v="Basic"/>
    <n v="199"/>
    <n v="15.4"/>
    <n v="5"/>
    <x v="4"/>
    <n v="22"/>
    <n v="20"/>
    <s v="No"/>
    <s v="No"/>
    <s v="Yes"/>
    <s v="Yes"/>
    <s v="Yes"/>
    <s v="No"/>
    <m/>
    <x v="0"/>
    <n v="0"/>
  </r>
  <r>
    <n v="260"/>
    <d v="2024-04-22T00:00:00"/>
    <s v="Standard"/>
    <n v="399"/>
    <n v="19.100000000000001"/>
    <n v="8"/>
    <x v="5"/>
    <n v="9"/>
    <n v="6"/>
    <s v="Yes"/>
    <s v="No"/>
    <s v="Yes"/>
    <s v="Yes"/>
    <s v="No"/>
    <s v="No"/>
    <m/>
    <x v="0"/>
    <n v="1"/>
  </r>
  <r>
    <n v="261"/>
    <d v="2024-01-29T00:00:00"/>
    <s v="Basic"/>
    <n v="199"/>
    <n v="11.5"/>
    <n v="2"/>
    <x v="1"/>
    <n v="18"/>
    <n v="3"/>
    <s v="No"/>
    <s v="No"/>
    <s v="No"/>
    <s v="No"/>
    <s v="No"/>
    <s v="No"/>
    <m/>
    <x v="1"/>
    <n v="0"/>
  </r>
  <r>
    <n v="262"/>
    <d v="2023-11-17T00:00:00"/>
    <s v="Premium"/>
    <n v="699"/>
    <n v="6.6"/>
    <n v="2"/>
    <x v="3"/>
    <n v="27"/>
    <n v="59"/>
    <s v="Yes"/>
    <s v="No"/>
    <s v="Yes"/>
    <s v="No"/>
    <s v="Yes"/>
    <s v="No"/>
    <m/>
    <x v="0"/>
    <n v="1"/>
  </r>
  <r>
    <n v="263"/>
    <d v="2024-05-24T00:00:00"/>
    <s v="Basic"/>
    <n v="199"/>
    <n v="12.7"/>
    <n v="8"/>
    <x v="2"/>
    <n v="11"/>
    <n v="31"/>
    <s v="No"/>
    <s v="No"/>
    <s v="Yes"/>
    <s v="Yes"/>
    <s v="Yes"/>
    <s v="No"/>
    <m/>
    <x v="0"/>
    <n v="0"/>
  </r>
  <r>
    <n v="264"/>
    <d v="2023-12-28T00:00:00"/>
    <s v="Basic"/>
    <n v="199"/>
    <n v="23.7"/>
    <n v="8"/>
    <x v="2"/>
    <n v="6"/>
    <n v="15"/>
    <s v="Yes"/>
    <s v="No"/>
    <s v="Yes"/>
    <s v="Yes"/>
    <s v="Yes"/>
    <s v="No"/>
    <m/>
    <x v="0"/>
    <n v="1"/>
  </r>
  <r>
    <n v="265"/>
    <d v="2023-04-21T00:00:00"/>
    <s v="Basic"/>
    <n v="199"/>
    <n v="7.4"/>
    <n v="7"/>
    <x v="3"/>
    <n v="4"/>
    <n v="34"/>
    <s v="Yes"/>
    <s v="No"/>
    <s v="Yes"/>
    <s v="Yes"/>
    <s v="Yes"/>
    <s v="Yes"/>
    <m/>
    <x v="0"/>
    <n v="1"/>
  </r>
  <r>
    <n v="266"/>
    <d v="2023-02-22T00:00:00"/>
    <s v="Standard"/>
    <n v="399"/>
    <n v="22.1"/>
    <n v="5"/>
    <x v="2"/>
    <n v="9"/>
    <n v="23"/>
    <s v="Yes"/>
    <s v="No"/>
    <s v="Yes"/>
    <s v="Yes"/>
    <s v="Yes"/>
    <s v="No"/>
    <m/>
    <x v="0"/>
    <n v="1"/>
  </r>
  <r>
    <n v="267"/>
    <d v="2024-04-06T00:00:00"/>
    <s v="Premium"/>
    <n v="699"/>
    <n v="5.3"/>
    <n v="8"/>
    <x v="3"/>
    <n v="36"/>
    <n v="4"/>
    <s v="Yes"/>
    <s v="No"/>
    <s v="Yes"/>
    <s v="Yes"/>
    <s v="No"/>
    <s v="No"/>
    <m/>
    <x v="0"/>
    <n v="1"/>
  </r>
  <r>
    <n v="268"/>
    <d v="2023-12-14T00:00:00"/>
    <s v="Premium"/>
    <n v="699"/>
    <n v="20.7"/>
    <n v="1"/>
    <x v="0"/>
    <n v="18"/>
    <n v="6"/>
    <s v="No"/>
    <s v="No"/>
    <s v="Yes"/>
    <s v="No"/>
    <s v="No"/>
    <s v="No"/>
    <m/>
    <x v="0"/>
    <n v="0"/>
  </r>
  <r>
    <n v="269"/>
    <d v="2023-02-11T00:00:00"/>
    <s v="Premium"/>
    <n v="699"/>
    <n v="19"/>
    <n v="3"/>
    <x v="5"/>
    <n v="24"/>
    <n v="32"/>
    <s v="Yes"/>
    <s v="No"/>
    <s v="Yes"/>
    <s v="No"/>
    <s v="Yes"/>
    <s v="No"/>
    <m/>
    <x v="0"/>
    <n v="1"/>
  </r>
  <r>
    <n v="270"/>
    <d v="2024-09-12T00:00:00"/>
    <s v="Basic"/>
    <n v="199"/>
    <n v="3.9"/>
    <n v="5"/>
    <x v="2"/>
    <n v="3"/>
    <n v="33"/>
    <s v="Yes"/>
    <s v="Yes"/>
    <s v="Yes"/>
    <s v="Yes"/>
    <s v="Yes"/>
    <s v="Yes"/>
    <m/>
    <x v="0"/>
    <n v="1"/>
  </r>
  <r>
    <n v="271"/>
    <d v="2023-11-03T00:00:00"/>
    <s v="Premium"/>
    <n v="699"/>
    <n v="8.5"/>
    <n v="5"/>
    <x v="0"/>
    <n v="9"/>
    <n v="25"/>
    <s v="No"/>
    <s v="No"/>
    <s v="Yes"/>
    <s v="Yes"/>
    <s v="Yes"/>
    <s v="No"/>
    <m/>
    <x v="0"/>
    <n v="0"/>
  </r>
  <r>
    <n v="272"/>
    <d v="2023-11-03T00:00:00"/>
    <s v="Premium"/>
    <n v="699"/>
    <n v="12.9"/>
    <n v="8"/>
    <x v="5"/>
    <n v="22"/>
    <n v="31"/>
    <s v="Yes"/>
    <s v="No"/>
    <s v="Yes"/>
    <s v="Yes"/>
    <s v="Yes"/>
    <s v="No"/>
    <m/>
    <x v="0"/>
    <n v="1"/>
  </r>
  <r>
    <n v="273"/>
    <d v="2024-12-05T00:00:00"/>
    <s v="Standard"/>
    <n v="399"/>
    <n v="9.5"/>
    <n v="1"/>
    <x v="2"/>
    <n v="2"/>
    <n v="37"/>
    <s v="Yes"/>
    <s v="No"/>
    <s v="Yes"/>
    <s v="No"/>
    <s v="Yes"/>
    <s v="Yes"/>
    <m/>
    <x v="0"/>
    <n v="1"/>
  </r>
  <r>
    <n v="274"/>
    <d v="2024-08-15T00:00:00"/>
    <s v="Premium"/>
    <n v="699"/>
    <n v="15.1"/>
    <n v="4"/>
    <x v="4"/>
    <n v="2"/>
    <n v="50"/>
    <s v="No"/>
    <s v="No"/>
    <s v="Yes"/>
    <s v="No"/>
    <s v="Yes"/>
    <s v="Yes"/>
    <m/>
    <x v="0"/>
    <n v="0"/>
  </r>
  <r>
    <n v="275"/>
    <d v="2024-09-26T00:00:00"/>
    <s v="Premium"/>
    <n v="699"/>
    <n v="18.2"/>
    <n v="7"/>
    <x v="0"/>
    <n v="15"/>
    <n v="33"/>
    <s v="No"/>
    <s v="No"/>
    <s v="Yes"/>
    <s v="Yes"/>
    <s v="Yes"/>
    <s v="No"/>
    <m/>
    <x v="0"/>
    <n v="0"/>
  </r>
  <r>
    <n v="276"/>
    <d v="2023-04-23T00:00:00"/>
    <s v="Standard"/>
    <n v="399"/>
    <n v="20.6"/>
    <n v="3"/>
    <x v="1"/>
    <n v="10"/>
    <n v="36"/>
    <s v="No"/>
    <s v="No"/>
    <s v="No"/>
    <s v="No"/>
    <s v="Yes"/>
    <s v="No"/>
    <m/>
    <x v="1"/>
    <n v="0"/>
  </r>
  <r>
    <n v="277"/>
    <d v="2024-02-25T00:00:00"/>
    <s v="Basic"/>
    <n v="199"/>
    <n v="11.3"/>
    <n v="6"/>
    <x v="0"/>
    <n v="2"/>
    <n v="26"/>
    <s v="No"/>
    <s v="No"/>
    <s v="Yes"/>
    <s v="Yes"/>
    <s v="Yes"/>
    <s v="Yes"/>
    <m/>
    <x v="0"/>
    <n v="0"/>
  </r>
  <r>
    <n v="278"/>
    <d v="2024-07-28T00:00:00"/>
    <s v="Premium"/>
    <n v="699"/>
    <n v="21.9"/>
    <n v="0"/>
    <x v="4"/>
    <n v="31"/>
    <n v="8"/>
    <s v="No"/>
    <s v="No"/>
    <s v="Yes"/>
    <s v="No"/>
    <s v="No"/>
    <s v="No"/>
    <m/>
    <x v="0"/>
    <n v="0"/>
  </r>
  <r>
    <n v="279"/>
    <d v="2023-12-17T00:00:00"/>
    <s v="Standard"/>
    <n v="399"/>
    <n v="13.4"/>
    <n v="5"/>
    <x v="0"/>
    <n v="31"/>
    <n v="29"/>
    <s v="No"/>
    <s v="No"/>
    <s v="Yes"/>
    <s v="Yes"/>
    <s v="Yes"/>
    <s v="No"/>
    <m/>
    <x v="0"/>
    <n v="0"/>
  </r>
  <r>
    <n v="280"/>
    <d v="2023-09-10T00:00:00"/>
    <s v="Premium"/>
    <n v="699"/>
    <n v="17.100000000000001"/>
    <n v="4"/>
    <x v="5"/>
    <n v="23"/>
    <n v="30"/>
    <s v="Yes"/>
    <s v="No"/>
    <s v="Yes"/>
    <s v="No"/>
    <s v="Yes"/>
    <s v="No"/>
    <m/>
    <x v="0"/>
    <n v="1"/>
  </r>
  <r>
    <n v="281"/>
    <d v="2024-12-22T00:00:00"/>
    <s v="Standard"/>
    <n v="399"/>
    <n v="7.8"/>
    <n v="4"/>
    <x v="3"/>
    <n v="36"/>
    <n v="45"/>
    <s v="Yes"/>
    <s v="No"/>
    <s v="Yes"/>
    <s v="No"/>
    <s v="Yes"/>
    <s v="No"/>
    <m/>
    <x v="0"/>
    <n v="1"/>
  </r>
  <r>
    <n v="282"/>
    <d v="2024-08-10T00:00:00"/>
    <s v="Standard"/>
    <n v="399"/>
    <n v="12.3"/>
    <n v="8"/>
    <x v="4"/>
    <n v="21"/>
    <n v="17"/>
    <s v="Yes"/>
    <s v="No"/>
    <s v="Yes"/>
    <s v="Yes"/>
    <s v="Yes"/>
    <s v="No"/>
    <m/>
    <x v="0"/>
    <n v="1"/>
  </r>
  <r>
    <n v="283"/>
    <d v="2023-10-25T00:00:00"/>
    <s v="Premium"/>
    <n v="699"/>
    <n v="9.8000000000000007"/>
    <n v="6"/>
    <x v="3"/>
    <n v="35"/>
    <n v="49"/>
    <s v="No"/>
    <s v="No"/>
    <s v="Yes"/>
    <s v="Yes"/>
    <s v="Yes"/>
    <s v="No"/>
    <m/>
    <x v="0"/>
    <n v="0"/>
  </r>
  <r>
    <n v="284"/>
    <d v="2023-09-20T00:00:00"/>
    <s v="Basic"/>
    <n v="199"/>
    <n v="23.9"/>
    <n v="1"/>
    <x v="3"/>
    <n v="19"/>
    <n v="59"/>
    <s v="Yes"/>
    <s v="No"/>
    <s v="Yes"/>
    <s v="No"/>
    <s v="Yes"/>
    <s v="No"/>
    <m/>
    <x v="0"/>
    <n v="1"/>
  </r>
  <r>
    <n v="285"/>
    <d v="2023-10-06T00:00:00"/>
    <s v="Premium"/>
    <n v="699"/>
    <n v="5.7"/>
    <n v="8"/>
    <x v="3"/>
    <n v="31"/>
    <n v="59"/>
    <s v="Yes"/>
    <s v="No"/>
    <s v="Yes"/>
    <s v="Yes"/>
    <s v="Yes"/>
    <s v="No"/>
    <m/>
    <x v="0"/>
    <n v="1"/>
  </r>
  <r>
    <n v="286"/>
    <d v="2024-06-27T00:00:00"/>
    <s v="Basic"/>
    <n v="199"/>
    <n v="15.6"/>
    <n v="3"/>
    <x v="0"/>
    <n v="7"/>
    <n v="3"/>
    <s v="No"/>
    <s v="No"/>
    <s v="Yes"/>
    <s v="No"/>
    <s v="No"/>
    <s v="No"/>
    <m/>
    <x v="0"/>
    <n v="0"/>
  </r>
  <r>
    <n v="287"/>
    <d v="2024-11-28T00:00:00"/>
    <s v="Basic"/>
    <n v="199"/>
    <n v="1.8"/>
    <n v="6"/>
    <x v="3"/>
    <n v="15"/>
    <n v="45"/>
    <s v="Yes"/>
    <s v="Yes"/>
    <s v="Yes"/>
    <s v="Yes"/>
    <s v="Yes"/>
    <s v="No"/>
    <m/>
    <x v="0"/>
    <n v="1"/>
  </r>
  <r>
    <n v="288"/>
    <d v="2024-05-02T00:00:00"/>
    <s v="Basic"/>
    <n v="199"/>
    <n v="24.1"/>
    <n v="2"/>
    <x v="2"/>
    <n v="1"/>
    <n v="41"/>
    <s v="No"/>
    <s v="No"/>
    <s v="Yes"/>
    <s v="No"/>
    <s v="Yes"/>
    <s v="Yes"/>
    <m/>
    <x v="0"/>
    <n v="0"/>
  </r>
  <r>
    <n v="289"/>
    <d v="2023-04-02T00:00:00"/>
    <s v="Standard"/>
    <n v="399"/>
    <n v="19"/>
    <n v="4"/>
    <x v="3"/>
    <n v="13"/>
    <n v="18"/>
    <s v="No"/>
    <s v="No"/>
    <s v="Yes"/>
    <s v="No"/>
    <s v="Yes"/>
    <s v="No"/>
    <m/>
    <x v="0"/>
    <n v="0"/>
  </r>
  <r>
    <n v="290"/>
    <d v="2023-06-30T00:00:00"/>
    <s v="Premium"/>
    <n v="699"/>
    <n v="13.6"/>
    <n v="0"/>
    <x v="0"/>
    <n v="15"/>
    <n v="26"/>
    <s v="No"/>
    <s v="No"/>
    <s v="Yes"/>
    <s v="No"/>
    <s v="Yes"/>
    <s v="No"/>
    <m/>
    <x v="0"/>
    <n v="0"/>
  </r>
  <r>
    <n v="291"/>
    <d v="2023-02-08T00:00:00"/>
    <s v="Basic"/>
    <n v="199"/>
    <n v="19.8"/>
    <n v="2"/>
    <x v="4"/>
    <n v="26"/>
    <n v="55"/>
    <s v="No"/>
    <s v="No"/>
    <s v="Yes"/>
    <s v="No"/>
    <s v="Yes"/>
    <s v="No"/>
    <m/>
    <x v="0"/>
    <n v="0"/>
  </r>
  <r>
    <n v="292"/>
    <d v="2024-10-18T00:00:00"/>
    <s v="Basic"/>
    <n v="199"/>
    <n v="14.4"/>
    <n v="1"/>
    <x v="3"/>
    <n v="20"/>
    <n v="18"/>
    <s v="No"/>
    <s v="No"/>
    <s v="Yes"/>
    <s v="No"/>
    <s v="Yes"/>
    <s v="No"/>
    <m/>
    <x v="0"/>
    <n v="0"/>
  </r>
  <r>
    <n v="293"/>
    <d v="2023-04-26T00:00:00"/>
    <s v="Premium"/>
    <n v="699"/>
    <n v="12.6"/>
    <n v="2"/>
    <x v="5"/>
    <n v="34"/>
    <n v="29"/>
    <s v="Yes"/>
    <s v="No"/>
    <s v="Yes"/>
    <s v="No"/>
    <s v="Yes"/>
    <s v="No"/>
    <m/>
    <x v="0"/>
    <n v="1"/>
  </r>
  <r>
    <n v="294"/>
    <d v="2023-12-12T00:00:00"/>
    <s v="Standard"/>
    <n v="399"/>
    <n v="18.399999999999999"/>
    <n v="4"/>
    <x v="4"/>
    <n v="11"/>
    <n v="11"/>
    <s v="Yes"/>
    <s v="No"/>
    <s v="Yes"/>
    <s v="No"/>
    <s v="No"/>
    <s v="No"/>
    <m/>
    <x v="0"/>
    <n v="1"/>
  </r>
  <r>
    <n v="295"/>
    <d v="2024-02-15T00:00:00"/>
    <s v="Standard"/>
    <n v="399"/>
    <n v="4.8"/>
    <n v="6"/>
    <x v="2"/>
    <n v="13"/>
    <n v="32"/>
    <s v="Yes"/>
    <s v="Yes"/>
    <s v="Yes"/>
    <s v="Yes"/>
    <s v="Yes"/>
    <s v="No"/>
    <m/>
    <x v="0"/>
    <n v="1"/>
  </r>
  <r>
    <n v="296"/>
    <d v="2023-01-07T00:00:00"/>
    <s v="Premium"/>
    <n v="699"/>
    <n v="5"/>
    <n v="2"/>
    <x v="2"/>
    <n v="7"/>
    <n v="20"/>
    <s v="No"/>
    <s v="No"/>
    <s v="Yes"/>
    <s v="No"/>
    <s v="Yes"/>
    <s v="No"/>
    <m/>
    <x v="0"/>
    <n v="0"/>
  </r>
  <r>
    <n v="297"/>
    <d v="2024-08-09T00:00:00"/>
    <s v="Standard"/>
    <n v="399"/>
    <n v="6.3"/>
    <n v="4"/>
    <x v="3"/>
    <n v="25"/>
    <n v="19"/>
    <s v="No"/>
    <s v="No"/>
    <s v="Yes"/>
    <s v="No"/>
    <s v="Yes"/>
    <s v="No"/>
    <m/>
    <x v="0"/>
    <n v="0"/>
  </r>
  <r>
    <n v="298"/>
    <d v="2023-11-11T00:00:00"/>
    <s v="Basic"/>
    <n v="199"/>
    <n v="16.5"/>
    <n v="3"/>
    <x v="1"/>
    <n v="17"/>
    <n v="42"/>
    <s v="Yes"/>
    <s v="No"/>
    <s v="No"/>
    <s v="No"/>
    <s v="Yes"/>
    <s v="No"/>
    <m/>
    <x v="1"/>
    <n v="1"/>
  </r>
  <r>
    <n v="299"/>
    <d v="2023-10-30T00:00:00"/>
    <s v="Basic"/>
    <n v="199"/>
    <n v="17.3"/>
    <n v="4"/>
    <x v="4"/>
    <n v="26"/>
    <n v="7"/>
    <s v="No"/>
    <s v="No"/>
    <s v="Yes"/>
    <s v="No"/>
    <s v="No"/>
    <s v="No"/>
    <m/>
    <x v="0"/>
    <n v="0"/>
  </r>
  <r>
    <n v="300"/>
    <d v="2024-09-12T00:00:00"/>
    <s v="Standard"/>
    <n v="399"/>
    <n v="5.9"/>
    <n v="2"/>
    <x v="2"/>
    <n v="15"/>
    <n v="9"/>
    <s v="No"/>
    <s v="No"/>
    <s v="Yes"/>
    <s v="No"/>
    <s v="No"/>
    <s v="No"/>
    <m/>
    <x v="0"/>
    <n v="0"/>
  </r>
  <r>
    <n v="301"/>
    <d v="2023-08-12T00:00:00"/>
    <s v="Standard"/>
    <n v="399"/>
    <n v="17.7"/>
    <n v="7"/>
    <x v="5"/>
    <n v="27"/>
    <n v="51"/>
    <s v="Yes"/>
    <s v="No"/>
    <s v="Yes"/>
    <s v="Yes"/>
    <s v="Yes"/>
    <s v="No"/>
    <m/>
    <x v="0"/>
    <n v="1"/>
  </r>
  <r>
    <n v="302"/>
    <d v="2024-07-31T00:00:00"/>
    <s v="Basic"/>
    <n v="199"/>
    <n v="13.4"/>
    <n v="8"/>
    <x v="4"/>
    <n v="6"/>
    <n v="23"/>
    <s v="Yes"/>
    <s v="No"/>
    <s v="Yes"/>
    <s v="Yes"/>
    <s v="Yes"/>
    <s v="No"/>
    <m/>
    <x v="0"/>
    <n v="1"/>
  </r>
  <r>
    <n v="303"/>
    <d v="2023-06-18T00:00:00"/>
    <s v="Basic"/>
    <n v="199"/>
    <n v="20.8"/>
    <n v="8"/>
    <x v="0"/>
    <n v="4"/>
    <n v="36"/>
    <s v="No"/>
    <s v="No"/>
    <s v="Yes"/>
    <s v="Yes"/>
    <s v="Yes"/>
    <s v="Yes"/>
    <m/>
    <x v="0"/>
    <n v="0"/>
  </r>
  <r>
    <n v="304"/>
    <d v="2024-06-06T00:00:00"/>
    <s v="Standard"/>
    <n v="399"/>
    <n v="11.3"/>
    <n v="3"/>
    <x v="4"/>
    <n v="34"/>
    <n v="37"/>
    <s v="Yes"/>
    <s v="No"/>
    <s v="Yes"/>
    <s v="No"/>
    <s v="Yes"/>
    <s v="No"/>
    <m/>
    <x v="0"/>
    <n v="1"/>
  </r>
  <r>
    <n v="305"/>
    <d v="2024-07-26T00:00:00"/>
    <s v="Standard"/>
    <n v="399"/>
    <n v="11.6"/>
    <n v="8"/>
    <x v="2"/>
    <n v="4"/>
    <n v="29"/>
    <s v="Yes"/>
    <s v="No"/>
    <s v="Yes"/>
    <s v="Yes"/>
    <s v="Yes"/>
    <s v="Yes"/>
    <m/>
    <x v="0"/>
    <n v="1"/>
  </r>
  <r>
    <n v="306"/>
    <d v="2023-08-12T00:00:00"/>
    <s v="Standard"/>
    <n v="399"/>
    <n v="18.2"/>
    <n v="6"/>
    <x v="3"/>
    <n v="20"/>
    <n v="52"/>
    <s v="Yes"/>
    <s v="No"/>
    <s v="Yes"/>
    <s v="Yes"/>
    <s v="Yes"/>
    <s v="No"/>
    <m/>
    <x v="0"/>
    <n v="1"/>
  </r>
  <r>
    <n v="307"/>
    <d v="2023-03-03T00:00:00"/>
    <s v="Premium"/>
    <n v="699"/>
    <n v="1.6"/>
    <n v="5"/>
    <x v="4"/>
    <n v="5"/>
    <n v="4"/>
    <s v="Yes"/>
    <s v="Yes"/>
    <s v="Yes"/>
    <s v="Yes"/>
    <s v="No"/>
    <s v="Yes"/>
    <m/>
    <x v="0"/>
    <n v="1"/>
  </r>
  <r>
    <n v="308"/>
    <d v="2024-10-18T00:00:00"/>
    <s v="Basic"/>
    <n v="199"/>
    <n v="1.3"/>
    <n v="6"/>
    <x v="0"/>
    <n v="31"/>
    <n v="49"/>
    <s v="Yes"/>
    <s v="Yes"/>
    <s v="Yes"/>
    <s v="Yes"/>
    <s v="Yes"/>
    <s v="No"/>
    <m/>
    <x v="0"/>
    <n v="1"/>
  </r>
  <r>
    <n v="309"/>
    <d v="2024-01-22T00:00:00"/>
    <s v="Premium"/>
    <n v="699"/>
    <n v="9.6999999999999993"/>
    <n v="6"/>
    <x v="2"/>
    <n v="27"/>
    <n v="55"/>
    <s v="No"/>
    <s v="No"/>
    <s v="Yes"/>
    <s v="Yes"/>
    <s v="Yes"/>
    <s v="No"/>
    <m/>
    <x v="0"/>
    <n v="0"/>
  </r>
  <r>
    <n v="310"/>
    <d v="2023-05-02T00:00:00"/>
    <s v="Standard"/>
    <n v="399"/>
    <n v="17.2"/>
    <n v="8"/>
    <x v="0"/>
    <n v="6"/>
    <n v="41"/>
    <s v="No"/>
    <s v="No"/>
    <s v="Yes"/>
    <s v="Yes"/>
    <s v="Yes"/>
    <s v="No"/>
    <m/>
    <x v="0"/>
    <n v="0"/>
  </r>
  <r>
    <n v="311"/>
    <d v="2023-01-24T00:00:00"/>
    <s v="Basic"/>
    <n v="199"/>
    <n v="10.1"/>
    <n v="2"/>
    <x v="4"/>
    <n v="35"/>
    <n v="14"/>
    <s v="No"/>
    <s v="No"/>
    <s v="Yes"/>
    <s v="No"/>
    <s v="No"/>
    <s v="No"/>
    <m/>
    <x v="0"/>
    <n v="0"/>
  </r>
  <r>
    <n v="312"/>
    <d v="2023-08-24T00:00:00"/>
    <s v="Standard"/>
    <n v="399"/>
    <n v="17"/>
    <n v="8"/>
    <x v="2"/>
    <n v="30"/>
    <n v="34"/>
    <s v="Yes"/>
    <s v="No"/>
    <s v="Yes"/>
    <s v="Yes"/>
    <s v="Yes"/>
    <s v="No"/>
    <m/>
    <x v="0"/>
    <n v="1"/>
  </r>
  <r>
    <n v="313"/>
    <d v="2023-04-26T00:00:00"/>
    <s v="Basic"/>
    <n v="199"/>
    <n v="9"/>
    <n v="4"/>
    <x v="0"/>
    <n v="30"/>
    <n v="59"/>
    <s v="No"/>
    <s v="No"/>
    <s v="Yes"/>
    <s v="No"/>
    <s v="Yes"/>
    <s v="No"/>
    <m/>
    <x v="0"/>
    <n v="0"/>
  </r>
  <r>
    <n v="314"/>
    <d v="2024-08-31T00:00:00"/>
    <s v="Basic"/>
    <n v="199"/>
    <n v="15.6"/>
    <n v="0"/>
    <x v="0"/>
    <n v="27"/>
    <n v="13"/>
    <s v="Yes"/>
    <s v="No"/>
    <s v="Yes"/>
    <s v="No"/>
    <s v="No"/>
    <s v="No"/>
    <m/>
    <x v="0"/>
    <n v="1"/>
  </r>
  <r>
    <n v="315"/>
    <d v="2024-03-25T00:00:00"/>
    <s v="Basic"/>
    <n v="199"/>
    <n v="15.1"/>
    <n v="0"/>
    <x v="0"/>
    <n v="29"/>
    <n v="47"/>
    <s v="Yes"/>
    <s v="No"/>
    <s v="Yes"/>
    <s v="No"/>
    <s v="Yes"/>
    <s v="No"/>
    <m/>
    <x v="0"/>
    <n v="1"/>
  </r>
  <r>
    <n v="316"/>
    <d v="2023-08-28T00:00:00"/>
    <s v="Basic"/>
    <n v="199"/>
    <n v="5.8"/>
    <n v="0"/>
    <x v="0"/>
    <n v="35"/>
    <n v="32"/>
    <s v="No"/>
    <s v="No"/>
    <s v="Yes"/>
    <s v="No"/>
    <s v="Yes"/>
    <s v="No"/>
    <m/>
    <x v="0"/>
    <n v="0"/>
  </r>
  <r>
    <n v="317"/>
    <d v="2024-11-07T00:00:00"/>
    <s v="Premium"/>
    <n v="699"/>
    <n v="14.6"/>
    <n v="5"/>
    <x v="0"/>
    <n v="21"/>
    <n v="19"/>
    <s v="No"/>
    <s v="No"/>
    <s v="Yes"/>
    <s v="Yes"/>
    <s v="Yes"/>
    <s v="No"/>
    <m/>
    <x v="0"/>
    <n v="0"/>
  </r>
  <r>
    <n v="318"/>
    <d v="2023-06-29T00:00:00"/>
    <s v="Premium"/>
    <n v="699"/>
    <n v="10.6"/>
    <n v="4"/>
    <x v="1"/>
    <n v="15"/>
    <n v="35"/>
    <s v="No"/>
    <s v="No"/>
    <s v="No"/>
    <s v="No"/>
    <s v="Yes"/>
    <s v="No"/>
    <m/>
    <x v="1"/>
    <n v="0"/>
  </r>
  <r>
    <n v="319"/>
    <d v="2024-01-26T00:00:00"/>
    <s v="Premium"/>
    <n v="699"/>
    <n v="14.1"/>
    <n v="0"/>
    <x v="3"/>
    <n v="28"/>
    <n v="60"/>
    <s v="No"/>
    <s v="No"/>
    <s v="Yes"/>
    <s v="No"/>
    <s v="Yes"/>
    <s v="No"/>
    <m/>
    <x v="0"/>
    <n v="0"/>
  </r>
  <r>
    <n v="320"/>
    <d v="2024-07-04T00:00:00"/>
    <s v="Premium"/>
    <n v="699"/>
    <n v="17.600000000000001"/>
    <n v="6"/>
    <x v="0"/>
    <n v="21"/>
    <n v="19"/>
    <s v="No"/>
    <s v="No"/>
    <s v="Yes"/>
    <s v="Yes"/>
    <s v="Yes"/>
    <s v="No"/>
    <m/>
    <x v="0"/>
    <n v="0"/>
  </r>
  <r>
    <n v="321"/>
    <d v="2023-03-01T00:00:00"/>
    <s v="Standard"/>
    <n v="399"/>
    <n v="21.3"/>
    <n v="4"/>
    <x v="4"/>
    <n v="16"/>
    <n v="9"/>
    <s v="No"/>
    <s v="No"/>
    <s v="Yes"/>
    <s v="No"/>
    <s v="No"/>
    <s v="No"/>
    <m/>
    <x v="0"/>
    <n v="0"/>
  </r>
  <r>
    <n v="322"/>
    <d v="2023-09-19T00:00:00"/>
    <s v="Premium"/>
    <n v="699"/>
    <n v="24.2"/>
    <n v="8"/>
    <x v="5"/>
    <n v="27"/>
    <n v="8"/>
    <s v="Yes"/>
    <s v="No"/>
    <s v="Yes"/>
    <s v="Yes"/>
    <s v="No"/>
    <s v="No"/>
    <m/>
    <x v="0"/>
    <n v="1"/>
  </r>
  <r>
    <n v="323"/>
    <d v="2023-07-15T00:00:00"/>
    <s v="Basic"/>
    <n v="199"/>
    <n v="16.3"/>
    <n v="7"/>
    <x v="3"/>
    <n v="22"/>
    <n v="5"/>
    <s v="No"/>
    <s v="No"/>
    <s v="Yes"/>
    <s v="Yes"/>
    <s v="No"/>
    <s v="No"/>
    <m/>
    <x v="0"/>
    <n v="0"/>
  </r>
  <r>
    <n v="324"/>
    <d v="2024-08-24T00:00:00"/>
    <s v="Basic"/>
    <n v="199"/>
    <n v="9.6999999999999993"/>
    <n v="0"/>
    <x v="1"/>
    <n v="18"/>
    <n v="12"/>
    <s v="No"/>
    <s v="No"/>
    <s v="No"/>
    <s v="No"/>
    <s v="No"/>
    <s v="No"/>
    <m/>
    <x v="1"/>
    <n v="0"/>
  </r>
  <r>
    <n v="325"/>
    <d v="2023-01-16T00:00:00"/>
    <s v="Premium"/>
    <n v="699"/>
    <n v="5.8"/>
    <n v="3"/>
    <x v="3"/>
    <n v="36"/>
    <n v="19"/>
    <s v="No"/>
    <s v="No"/>
    <s v="Yes"/>
    <s v="No"/>
    <s v="Yes"/>
    <s v="No"/>
    <m/>
    <x v="0"/>
    <n v="0"/>
  </r>
  <r>
    <n v="326"/>
    <d v="2023-09-06T00:00:00"/>
    <s v="Basic"/>
    <n v="199"/>
    <n v="24.1"/>
    <n v="1"/>
    <x v="4"/>
    <n v="13"/>
    <n v="48"/>
    <s v="Yes"/>
    <s v="No"/>
    <s v="Yes"/>
    <s v="No"/>
    <s v="Yes"/>
    <s v="No"/>
    <m/>
    <x v="0"/>
    <n v="1"/>
  </r>
  <r>
    <n v="327"/>
    <d v="2024-01-25T00:00:00"/>
    <s v="Premium"/>
    <n v="699"/>
    <n v="10.199999999999999"/>
    <n v="3"/>
    <x v="5"/>
    <n v="14"/>
    <n v="20"/>
    <s v="No"/>
    <s v="No"/>
    <s v="Yes"/>
    <s v="No"/>
    <s v="Yes"/>
    <s v="No"/>
    <m/>
    <x v="0"/>
    <n v="0"/>
  </r>
  <r>
    <n v="328"/>
    <d v="2024-05-24T00:00:00"/>
    <s v="Standard"/>
    <n v="399"/>
    <n v="16.399999999999999"/>
    <n v="4"/>
    <x v="3"/>
    <n v="35"/>
    <n v="23"/>
    <s v="Yes"/>
    <s v="No"/>
    <s v="Yes"/>
    <s v="No"/>
    <s v="Yes"/>
    <s v="No"/>
    <m/>
    <x v="0"/>
    <n v="1"/>
  </r>
  <r>
    <n v="329"/>
    <d v="2023-11-17T00:00:00"/>
    <s v="Standard"/>
    <n v="399"/>
    <n v="20.2"/>
    <n v="7"/>
    <x v="3"/>
    <n v="7"/>
    <n v="58"/>
    <s v="Yes"/>
    <s v="No"/>
    <s v="Yes"/>
    <s v="Yes"/>
    <s v="Yes"/>
    <s v="No"/>
    <m/>
    <x v="0"/>
    <n v="1"/>
  </r>
  <r>
    <n v="330"/>
    <d v="2024-07-20T00:00:00"/>
    <s v="Standard"/>
    <n v="399"/>
    <n v="14.3"/>
    <n v="3"/>
    <x v="4"/>
    <n v="3"/>
    <n v="9"/>
    <s v="Yes"/>
    <s v="No"/>
    <s v="Yes"/>
    <s v="No"/>
    <s v="No"/>
    <s v="Yes"/>
    <m/>
    <x v="0"/>
    <n v="1"/>
  </r>
  <r>
    <n v="331"/>
    <d v="2023-09-09T00:00:00"/>
    <s v="Premium"/>
    <n v="699"/>
    <n v="7.7"/>
    <n v="3"/>
    <x v="3"/>
    <n v="27"/>
    <n v="14"/>
    <s v="No"/>
    <s v="No"/>
    <s v="Yes"/>
    <s v="No"/>
    <s v="No"/>
    <s v="No"/>
    <m/>
    <x v="0"/>
    <n v="0"/>
  </r>
  <r>
    <n v="332"/>
    <d v="2024-10-19T00:00:00"/>
    <s v="Standard"/>
    <n v="399"/>
    <n v="16.5"/>
    <n v="5"/>
    <x v="3"/>
    <n v="36"/>
    <n v="48"/>
    <s v="No"/>
    <s v="No"/>
    <s v="Yes"/>
    <s v="Yes"/>
    <s v="Yes"/>
    <s v="No"/>
    <m/>
    <x v="0"/>
    <n v="0"/>
  </r>
  <r>
    <n v="333"/>
    <d v="2024-05-15T00:00:00"/>
    <s v="Premium"/>
    <n v="699"/>
    <n v="11.8"/>
    <n v="5"/>
    <x v="0"/>
    <n v="32"/>
    <n v="8"/>
    <s v="No"/>
    <s v="No"/>
    <s v="Yes"/>
    <s v="Yes"/>
    <s v="No"/>
    <s v="No"/>
    <m/>
    <x v="0"/>
    <n v="0"/>
  </r>
  <r>
    <n v="334"/>
    <d v="2023-03-18T00:00:00"/>
    <s v="Basic"/>
    <n v="199"/>
    <n v="24.8"/>
    <n v="0"/>
    <x v="5"/>
    <n v="35"/>
    <n v="2"/>
    <s v="No"/>
    <s v="No"/>
    <s v="Yes"/>
    <s v="No"/>
    <s v="No"/>
    <s v="No"/>
    <m/>
    <x v="0"/>
    <n v="0"/>
  </r>
  <r>
    <n v="335"/>
    <d v="2023-03-11T00:00:00"/>
    <s v="Premium"/>
    <n v="699"/>
    <n v="19.2"/>
    <n v="6"/>
    <x v="0"/>
    <n v="4"/>
    <n v="53"/>
    <s v="No"/>
    <s v="No"/>
    <s v="Yes"/>
    <s v="Yes"/>
    <s v="Yes"/>
    <s v="Yes"/>
    <m/>
    <x v="0"/>
    <n v="0"/>
  </r>
  <r>
    <n v="336"/>
    <d v="2024-10-15T00:00:00"/>
    <s v="Premium"/>
    <n v="699"/>
    <n v="0.7"/>
    <n v="8"/>
    <x v="2"/>
    <n v="10"/>
    <n v="23"/>
    <s v="Yes"/>
    <s v="Yes"/>
    <s v="Yes"/>
    <s v="Yes"/>
    <s v="Yes"/>
    <s v="No"/>
    <m/>
    <x v="0"/>
    <n v="1"/>
  </r>
  <r>
    <n v="337"/>
    <d v="2023-01-13T00:00:00"/>
    <s v="Premium"/>
    <n v="699"/>
    <n v="16.7"/>
    <n v="0"/>
    <x v="1"/>
    <n v="31"/>
    <n v="34"/>
    <s v="No"/>
    <s v="No"/>
    <s v="No"/>
    <s v="No"/>
    <s v="Yes"/>
    <s v="No"/>
    <m/>
    <x v="1"/>
    <n v="0"/>
  </r>
  <r>
    <n v="338"/>
    <d v="2024-12-15T00:00:00"/>
    <s v="Basic"/>
    <n v="199"/>
    <n v="18.2"/>
    <n v="8"/>
    <x v="3"/>
    <n v="34"/>
    <n v="1"/>
    <s v="No"/>
    <s v="No"/>
    <s v="Yes"/>
    <s v="Yes"/>
    <s v="No"/>
    <s v="No"/>
    <m/>
    <x v="0"/>
    <n v="0"/>
  </r>
  <r>
    <n v="339"/>
    <d v="2023-06-02T00:00:00"/>
    <s v="Premium"/>
    <n v="699"/>
    <n v="20.3"/>
    <n v="2"/>
    <x v="1"/>
    <n v="28"/>
    <n v="58"/>
    <s v="Yes"/>
    <s v="No"/>
    <s v="No"/>
    <s v="No"/>
    <s v="Yes"/>
    <s v="No"/>
    <m/>
    <x v="1"/>
    <n v="1"/>
  </r>
  <r>
    <n v="340"/>
    <d v="2023-03-22T00:00:00"/>
    <s v="Basic"/>
    <n v="199"/>
    <n v="15.7"/>
    <n v="4"/>
    <x v="3"/>
    <n v="13"/>
    <n v="17"/>
    <s v="No"/>
    <s v="No"/>
    <s v="Yes"/>
    <s v="No"/>
    <s v="Yes"/>
    <s v="No"/>
    <m/>
    <x v="0"/>
    <n v="0"/>
  </r>
  <r>
    <n v="341"/>
    <d v="2023-03-24T00:00:00"/>
    <s v="Standard"/>
    <n v="399"/>
    <n v="11.7"/>
    <n v="3"/>
    <x v="4"/>
    <n v="26"/>
    <n v="14"/>
    <s v="Yes"/>
    <s v="No"/>
    <s v="Yes"/>
    <s v="No"/>
    <s v="No"/>
    <s v="No"/>
    <m/>
    <x v="0"/>
    <n v="1"/>
  </r>
  <r>
    <n v="342"/>
    <d v="2024-10-14T00:00:00"/>
    <s v="Premium"/>
    <n v="699"/>
    <n v="2.8"/>
    <n v="6"/>
    <x v="2"/>
    <n v="3"/>
    <n v="35"/>
    <s v="Yes"/>
    <s v="Yes"/>
    <s v="Yes"/>
    <s v="Yes"/>
    <s v="Yes"/>
    <s v="Yes"/>
    <m/>
    <x v="0"/>
    <n v="1"/>
  </r>
  <r>
    <n v="343"/>
    <d v="2023-04-08T00:00:00"/>
    <s v="Basic"/>
    <n v="199"/>
    <n v="2.5"/>
    <n v="6"/>
    <x v="4"/>
    <n v="11"/>
    <n v="50"/>
    <s v="Yes"/>
    <s v="Yes"/>
    <s v="Yes"/>
    <s v="Yes"/>
    <s v="Yes"/>
    <s v="No"/>
    <m/>
    <x v="0"/>
    <n v="1"/>
  </r>
  <r>
    <n v="344"/>
    <d v="2024-12-01T00:00:00"/>
    <s v="Premium"/>
    <n v="699"/>
    <n v="6.1"/>
    <n v="7"/>
    <x v="3"/>
    <n v="3"/>
    <n v="2"/>
    <s v="No"/>
    <s v="No"/>
    <s v="Yes"/>
    <s v="Yes"/>
    <s v="No"/>
    <s v="Yes"/>
    <m/>
    <x v="0"/>
    <n v="0"/>
  </r>
  <r>
    <n v="345"/>
    <d v="2023-01-17T00:00:00"/>
    <s v="Standard"/>
    <n v="399"/>
    <n v="14.3"/>
    <n v="0"/>
    <x v="0"/>
    <n v="35"/>
    <n v="59"/>
    <s v="No"/>
    <s v="No"/>
    <s v="Yes"/>
    <s v="No"/>
    <s v="Yes"/>
    <s v="No"/>
    <m/>
    <x v="0"/>
    <n v="0"/>
  </r>
  <r>
    <n v="346"/>
    <d v="2023-09-04T00:00:00"/>
    <s v="Basic"/>
    <n v="199"/>
    <n v="18.899999999999999"/>
    <n v="6"/>
    <x v="1"/>
    <n v="10"/>
    <n v="19"/>
    <s v="Yes"/>
    <s v="No"/>
    <s v="No"/>
    <s v="Yes"/>
    <s v="Yes"/>
    <s v="No"/>
    <m/>
    <x v="1"/>
    <n v="1"/>
  </r>
  <r>
    <n v="347"/>
    <d v="2023-05-24T00:00:00"/>
    <s v="Premium"/>
    <n v="699"/>
    <n v="17.100000000000001"/>
    <n v="8"/>
    <x v="3"/>
    <n v="25"/>
    <n v="24"/>
    <s v="No"/>
    <s v="No"/>
    <s v="Yes"/>
    <s v="Yes"/>
    <s v="Yes"/>
    <s v="No"/>
    <m/>
    <x v="0"/>
    <n v="0"/>
  </r>
  <r>
    <n v="348"/>
    <d v="2023-03-19T00:00:00"/>
    <s v="Premium"/>
    <n v="699"/>
    <n v="12.8"/>
    <n v="5"/>
    <x v="1"/>
    <n v="6"/>
    <n v="6"/>
    <s v="No"/>
    <s v="No"/>
    <s v="No"/>
    <s v="Yes"/>
    <s v="No"/>
    <s v="No"/>
    <m/>
    <x v="1"/>
    <n v="0"/>
  </r>
  <r>
    <n v="349"/>
    <d v="2024-04-06T00:00:00"/>
    <s v="Standard"/>
    <n v="399"/>
    <n v="24.2"/>
    <n v="5"/>
    <x v="1"/>
    <n v="26"/>
    <n v="40"/>
    <s v="Yes"/>
    <s v="No"/>
    <s v="No"/>
    <s v="Yes"/>
    <s v="Yes"/>
    <s v="No"/>
    <m/>
    <x v="1"/>
    <n v="1"/>
  </r>
  <r>
    <n v="350"/>
    <d v="2024-11-07T00:00:00"/>
    <s v="Standard"/>
    <n v="399"/>
    <n v="9.1999999999999993"/>
    <n v="6"/>
    <x v="2"/>
    <n v="15"/>
    <n v="11"/>
    <s v="No"/>
    <s v="No"/>
    <s v="Yes"/>
    <s v="Yes"/>
    <s v="No"/>
    <s v="No"/>
    <m/>
    <x v="0"/>
    <n v="0"/>
  </r>
  <r>
    <n v="351"/>
    <d v="2023-10-02T00:00:00"/>
    <s v="Standard"/>
    <n v="399"/>
    <n v="19.399999999999999"/>
    <n v="4"/>
    <x v="0"/>
    <n v="6"/>
    <n v="45"/>
    <s v="Yes"/>
    <s v="No"/>
    <s v="Yes"/>
    <s v="No"/>
    <s v="Yes"/>
    <s v="No"/>
    <m/>
    <x v="0"/>
    <n v="1"/>
  </r>
  <r>
    <n v="352"/>
    <d v="2023-04-20T00:00:00"/>
    <s v="Basic"/>
    <n v="199"/>
    <n v="17.899999999999999"/>
    <n v="2"/>
    <x v="4"/>
    <n v="25"/>
    <n v="24"/>
    <s v="Yes"/>
    <s v="No"/>
    <s v="Yes"/>
    <s v="No"/>
    <s v="Yes"/>
    <s v="No"/>
    <m/>
    <x v="0"/>
    <n v="1"/>
  </r>
  <r>
    <n v="353"/>
    <d v="2023-05-16T00:00:00"/>
    <s v="Basic"/>
    <n v="199"/>
    <n v="23.6"/>
    <n v="7"/>
    <x v="3"/>
    <n v="1"/>
    <n v="48"/>
    <s v="Yes"/>
    <s v="No"/>
    <s v="Yes"/>
    <s v="Yes"/>
    <s v="Yes"/>
    <s v="Yes"/>
    <m/>
    <x v="0"/>
    <n v="1"/>
  </r>
  <r>
    <n v="354"/>
    <d v="2023-01-27T00:00:00"/>
    <s v="Basic"/>
    <n v="199"/>
    <n v="11.1"/>
    <n v="8"/>
    <x v="5"/>
    <n v="12"/>
    <n v="32"/>
    <s v="Yes"/>
    <s v="No"/>
    <s v="Yes"/>
    <s v="Yes"/>
    <s v="Yes"/>
    <s v="No"/>
    <m/>
    <x v="0"/>
    <n v="1"/>
  </r>
  <r>
    <n v="355"/>
    <d v="2024-02-02T00:00:00"/>
    <s v="Basic"/>
    <n v="199"/>
    <n v="14.1"/>
    <n v="5"/>
    <x v="2"/>
    <n v="23"/>
    <n v="0"/>
    <s v="Yes"/>
    <s v="No"/>
    <s v="Yes"/>
    <s v="Yes"/>
    <s v="No"/>
    <s v="No"/>
    <m/>
    <x v="0"/>
    <n v="1"/>
  </r>
  <r>
    <n v="356"/>
    <d v="2024-01-25T00:00:00"/>
    <s v="Basic"/>
    <n v="199"/>
    <n v="22.7"/>
    <n v="3"/>
    <x v="5"/>
    <n v="36"/>
    <n v="33"/>
    <s v="Yes"/>
    <s v="No"/>
    <s v="Yes"/>
    <s v="No"/>
    <s v="Yes"/>
    <s v="No"/>
    <m/>
    <x v="0"/>
    <n v="1"/>
  </r>
  <r>
    <n v="357"/>
    <d v="2024-03-21T00:00:00"/>
    <s v="Basic"/>
    <n v="199"/>
    <n v="7.1"/>
    <n v="4"/>
    <x v="2"/>
    <n v="9"/>
    <n v="9"/>
    <s v="Yes"/>
    <s v="No"/>
    <s v="Yes"/>
    <s v="No"/>
    <s v="No"/>
    <s v="No"/>
    <m/>
    <x v="0"/>
    <n v="1"/>
  </r>
  <r>
    <n v="358"/>
    <d v="2024-10-02T00:00:00"/>
    <s v="Standard"/>
    <n v="399"/>
    <n v="7.8"/>
    <n v="1"/>
    <x v="3"/>
    <n v="27"/>
    <n v="16"/>
    <s v="No"/>
    <s v="No"/>
    <s v="Yes"/>
    <s v="No"/>
    <s v="Yes"/>
    <s v="No"/>
    <m/>
    <x v="0"/>
    <n v="0"/>
  </r>
  <r>
    <n v="359"/>
    <d v="2023-12-07T00:00:00"/>
    <s v="Standard"/>
    <n v="399"/>
    <n v="11.7"/>
    <n v="2"/>
    <x v="3"/>
    <n v="13"/>
    <n v="0"/>
    <s v="No"/>
    <s v="No"/>
    <s v="Yes"/>
    <s v="No"/>
    <s v="No"/>
    <s v="No"/>
    <m/>
    <x v="0"/>
    <n v="0"/>
  </r>
  <r>
    <n v="360"/>
    <d v="2024-10-28T00:00:00"/>
    <s v="Premium"/>
    <n v="699"/>
    <n v="20.2"/>
    <n v="5"/>
    <x v="2"/>
    <n v="25"/>
    <n v="21"/>
    <s v="Yes"/>
    <s v="No"/>
    <s v="Yes"/>
    <s v="Yes"/>
    <s v="Yes"/>
    <s v="No"/>
    <m/>
    <x v="0"/>
    <n v="1"/>
  </r>
  <r>
    <n v="361"/>
    <d v="2024-02-12T00:00:00"/>
    <s v="Premium"/>
    <n v="699"/>
    <n v="7.9"/>
    <n v="3"/>
    <x v="2"/>
    <n v="9"/>
    <n v="20"/>
    <s v="Yes"/>
    <s v="No"/>
    <s v="Yes"/>
    <s v="No"/>
    <s v="Yes"/>
    <s v="No"/>
    <m/>
    <x v="0"/>
    <n v="1"/>
  </r>
  <r>
    <n v="362"/>
    <d v="2024-01-21T00:00:00"/>
    <s v="Standard"/>
    <n v="399"/>
    <n v="18.5"/>
    <n v="7"/>
    <x v="5"/>
    <n v="19"/>
    <n v="50"/>
    <s v="Yes"/>
    <s v="No"/>
    <s v="Yes"/>
    <s v="Yes"/>
    <s v="Yes"/>
    <s v="No"/>
    <m/>
    <x v="0"/>
    <n v="1"/>
  </r>
  <r>
    <n v="363"/>
    <d v="2024-07-17T00:00:00"/>
    <s v="Standard"/>
    <n v="399"/>
    <n v="9.4"/>
    <n v="3"/>
    <x v="5"/>
    <n v="26"/>
    <n v="34"/>
    <s v="Yes"/>
    <s v="No"/>
    <s v="Yes"/>
    <s v="No"/>
    <s v="Yes"/>
    <s v="No"/>
    <m/>
    <x v="0"/>
    <n v="1"/>
  </r>
  <r>
    <n v="364"/>
    <d v="2024-12-10T00:00:00"/>
    <s v="Basic"/>
    <n v="199"/>
    <n v="23.6"/>
    <n v="3"/>
    <x v="2"/>
    <n v="30"/>
    <n v="51"/>
    <s v="Yes"/>
    <s v="No"/>
    <s v="Yes"/>
    <s v="No"/>
    <s v="Yes"/>
    <s v="No"/>
    <m/>
    <x v="0"/>
    <n v="1"/>
  </r>
  <r>
    <n v="365"/>
    <d v="2024-11-05T00:00:00"/>
    <s v="Basic"/>
    <n v="199"/>
    <n v="17"/>
    <n v="2"/>
    <x v="4"/>
    <n v="27"/>
    <n v="19"/>
    <s v="Yes"/>
    <s v="No"/>
    <s v="Yes"/>
    <s v="No"/>
    <s v="Yes"/>
    <s v="No"/>
    <m/>
    <x v="0"/>
    <n v="1"/>
  </r>
  <r>
    <n v="366"/>
    <d v="2024-02-15T00:00:00"/>
    <s v="Basic"/>
    <n v="199"/>
    <n v="19.8"/>
    <n v="1"/>
    <x v="2"/>
    <n v="28"/>
    <n v="38"/>
    <s v="Yes"/>
    <s v="No"/>
    <s v="Yes"/>
    <s v="No"/>
    <s v="Yes"/>
    <s v="No"/>
    <m/>
    <x v="0"/>
    <n v="1"/>
  </r>
  <r>
    <n v="367"/>
    <d v="2024-01-04T00:00:00"/>
    <s v="Premium"/>
    <n v="699"/>
    <n v="23.1"/>
    <n v="6"/>
    <x v="5"/>
    <n v="33"/>
    <n v="2"/>
    <s v="No"/>
    <s v="No"/>
    <s v="Yes"/>
    <s v="Yes"/>
    <s v="No"/>
    <s v="No"/>
    <m/>
    <x v="0"/>
    <n v="0"/>
  </r>
  <r>
    <n v="368"/>
    <d v="2024-11-11T00:00:00"/>
    <s v="Premium"/>
    <n v="699"/>
    <n v="15"/>
    <n v="1"/>
    <x v="1"/>
    <n v="35"/>
    <n v="49"/>
    <s v="Yes"/>
    <s v="No"/>
    <s v="No"/>
    <s v="No"/>
    <s v="Yes"/>
    <s v="No"/>
    <m/>
    <x v="1"/>
    <n v="1"/>
  </r>
  <r>
    <n v="369"/>
    <d v="2024-02-14T00:00:00"/>
    <s v="Standard"/>
    <n v="399"/>
    <n v="16.399999999999999"/>
    <n v="0"/>
    <x v="5"/>
    <n v="11"/>
    <n v="41"/>
    <s v="No"/>
    <s v="No"/>
    <s v="Yes"/>
    <s v="No"/>
    <s v="Yes"/>
    <s v="No"/>
    <m/>
    <x v="0"/>
    <n v="0"/>
  </r>
  <r>
    <n v="370"/>
    <d v="2024-06-15T00:00:00"/>
    <s v="Standard"/>
    <n v="399"/>
    <n v="3.1"/>
    <n v="1"/>
    <x v="3"/>
    <n v="28"/>
    <n v="14"/>
    <s v="Yes"/>
    <s v="Yes"/>
    <s v="Yes"/>
    <s v="No"/>
    <s v="No"/>
    <s v="No"/>
    <m/>
    <x v="0"/>
    <n v="1"/>
  </r>
  <r>
    <n v="371"/>
    <d v="2024-12-08T00:00:00"/>
    <s v="Premium"/>
    <n v="699"/>
    <n v="11.4"/>
    <n v="6"/>
    <x v="2"/>
    <n v="15"/>
    <n v="49"/>
    <s v="Yes"/>
    <s v="No"/>
    <s v="Yes"/>
    <s v="Yes"/>
    <s v="Yes"/>
    <s v="No"/>
    <m/>
    <x v="0"/>
    <n v="1"/>
  </r>
  <r>
    <n v="372"/>
    <d v="2023-03-29T00:00:00"/>
    <s v="Premium"/>
    <n v="699"/>
    <n v="9"/>
    <n v="0"/>
    <x v="2"/>
    <n v="10"/>
    <n v="6"/>
    <s v="Yes"/>
    <s v="No"/>
    <s v="Yes"/>
    <s v="No"/>
    <s v="No"/>
    <s v="No"/>
    <m/>
    <x v="0"/>
    <n v="1"/>
  </r>
  <r>
    <n v="373"/>
    <d v="2024-05-09T00:00:00"/>
    <s v="Basic"/>
    <n v="199"/>
    <n v="9"/>
    <n v="5"/>
    <x v="2"/>
    <n v="10"/>
    <n v="50"/>
    <s v="Yes"/>
    <s v="No"/>
    <s v="Yes"/>
    <s v="Yes"/>
    <s v="Yes"/>
    <s v="No"/>
    <m/>
    <x v="0"/>
    <n v="1"/>
  </r>
  <r>
    <n v="374"/>
    <d v="2024-12-28T00:00:00"/>
    <s v="Standard"/>
    <n v="399"/>
    <n v="2.9"/>
    <n v="7"/>
    <x v="3"/>
    <n v="31"/>
    <n v="4"/>
    <s v="Yes"/>
    <s v="Yes"/>
    <s v="Yes"/>
    <s v="Yes"/>
    <s v="No"/>
    <s v="No"/>
    <m/>
    <x v="0"/>
    <n v="1"/>
  </r>
  <r>
    <n v="375"/>
    <d v="2023-09-07T00:00:00"/>
    <s v="Basic"/>
    <n v="199"/>
    <n v="21.3"/>
    <n v="1"/>
    <x v="4"/>
    <n v="2"/>
    <n v="51"/>
    <s v="Yes"/>
    <s v="No"/>
    <s v="Yes"/>
    <s v="No"/>
    <s v="Yes"/>
    <s v="Yes"/>
    <m/>
    <x v="0"/>
    <n v="1"/>
  </r>
  <r>
    <n v="376"/>
    <d v="2023-08-26T00:00:00"/>
    <s v="Premium"/>
    <n v="699"/>
    <n v="14"/>
    <n v="5"/>
    <x v="5"/>
    <n v="12"/>
    <n v="27"/>
    <s v="No"/>
    <s v="No"/>
    <s v="Yes"/>
    <s v="Yes"/>
    <s v="Yes"/>
    <s v="No"/>
    <m/>
    <x v="0"/>
    <n v="0"/>
  </r>
  <r>
    <n v="377"/>
    <d v="2023-07-22T00:00:00"/>
    <s v="Standard"/>
    <n v="399"/>
    <n v="5.0999999999999996"/>
    <n v="6"/>
    <x v="2"/>
    <n v="12"/>
    <n v="1"/>
    <s v="No"/>
    <s v="No"/>
    <s v="Yes"/>
    <s v="Yes"/>
    <s v="No"/>
    <s v="No"/>
    <m/>
    <x v="0"/>
    <n v="0"/>
  </r>
  <r>
    <n v="378"/>
    <d v="2023-03-06T00:00:00"/>
    <s v="Standard"/>
    <n v="399"/>
    <n v="10"/>
    <n v="3"/>
    <x v="0"/>
    <n v="28"/>
    <n v="17"/>
    <s v="No"/>
    <s v="No"/>
    <s v="Yes"/>
    <s v="No"/>
    <s v="Yes"/>
    <s v="No"/>
    <m/>
    <x v="0"/>
    <n v="0"/>
  </r>
  <r>
    <n v="379"/>
    <d v="2024-04-13T00:00:00"/>
    <s v="Premium"/>
    <n v="699"/>
    <n v="20.100000000000001"/>
    <n v="8"/>
    <x v="0"/>
    <n v="7"/>
    <n v="23"/>
    <s v="Yes"/>
    <s v="No"/>
    <s v="Yes"/>
    <s v="Yes"/>
    <s v="Yes"/>
    <s v="No"/>
    <m/>
    <x v="0"/>
    <n v="1"/>
  </r>
  <r>
    <n v="380"/>
    <d v="2024-02-02T00:00:00"/>
    <s v="Basic"/>
    <n v="199"/>
    <n v="16.899999999999999"/>
    <n v="7"/>
    <x v="5"/>
    <n v="17"/>
    <n v="40"/>
    <s v="Yes"/>
    <s v="No"/>
    <s v="Yes"/>
    <s v="Yes"/>
    <s v="Yes"/>
    <s v="No"/>
    <m/>
    <x v="0"/>
    <n v="1"/>
  </r>
  <r>
    <n v="381"/>
    <d v="2023-06-26T00:00:00"/>
    <s v="Premium"/>
    <n v="699"/>
    <n v="14.9"/>
    <n v="5"/>
    <x v="3"/>
    <n v="26"/>
    <n v="54"/>
    <s v="Yes"/>
    <s v="No"/>
    <s v="Yes"/>
    <s v="Yes"/>
    <s v="Yes"/>
    <s v="No"/>
    <m/>
    <x v="0"/>
    <n v="1"/>
  </r>
  <r>
    <n v="382"/>
    <d v="2023-09-02T00:00:00"/>
    <s v="Premium"/>
    <n v="699"/>
    <n v="23"/>
    <n v="1"/>
    <x v="4"/>
    <n v="20"/>
    <n v="8"/>
    <s v="Yes"/>
    <s v="No"/>
    <s v="Yes"/>
    <s v="No"/>
    <s v="No"/>
    <s v="No"/>
    <m/>
    <x v="0"/>
    <n v="1"/>
  </r>
  <r>
    <n v="383"/>
    <d v="2023-05-22T00:00:00"/>
    <s v="Standard"/>
    <n v="399"/>
    <n v="5"/>
    <n v="2"/>
    <x v="5"/>
    <n v="8"/>
    <n v="24"/>
    <s v="Yes"/>
    <s v="No"/>
    <s v="Yes"/>
    <s v="No"/>
    <s v="Yes"/>
    <s v="No"/>
    <m/>
    <x v="0"/>
    <n v="1"/>
  </r>
  <r>
    <n v="384"/>
    <d v="2024-10-22T00:00:00"/>
    <s v="Premium"/>
    <n v="699"/>
    <n v="10.9"/>
    <n v="7"/>
    <x v="4"/>
    <n v="25"/>
    <n v="34"/>
    <s v="Yes"/>
    <s v="No"/>
    <s v="Yes"/>
    <s v="Yes"/>
    <s v="Yes"/>
    <s v="No"/>
    <m/>
    <x v="0"/>
    <n v="1"/>
  </r>
  <r>
    <n v="385"/>
    <d v="2024-04-06T00:00:00"/>
    <s v="Basic"/>
    <n v="199"/>
    <n v="4.5999999999999996"/>
    <n v="4"/>
    <x v="0"/>
    <n v="36"/>
    <n v="11"/>
    <s v="Yes"/>
    <s v="Yes"/>
    <s v="Yes"/>
    <s v="No"/>
    <s v="No"/>
    <s v="No"/>
    <m/>
    <x v="0"/>
    <n v="1"/>
  </r>
  <r>
    <n v="386"/>
    <d v="2024-01-29T00:00:00"/>
    <s v="Premium"/>
    <n v="699"/>
    <n v="21.7"/>
    <n v="0"/>
    <x v="2"/>
    <n v="4"/>
    <n v="8"/>
    <s v="Yes"/>
    <s v="No"/>
    <s v="Yes"/>
    <s v="No"/>
    <s v="No"/>
    <s v="Yes"/>
    <m/>
    <x v="0"/>
    <n v="1"/>
  </r>
  <r>
    <n v="387"/>
    <d v="2024-03-30T00:00:00"/>
    <s v="Premium"/>
    <n v="699"/>
    <n v="16.5"/>
    <n v="6"/>
    <x v="4"/>
    <n v="33"/>
    <n v="31"/>
    <s v="Yes"/>
    <s v="No"/>
    <s v="Yes"/>
    <s v="Yes"/>
    <s v="Yes"/>
    <s v="No"/>
    <m/>
    <x v="0"/>
    <n v="1"/>
  </r>
  <r>
    <n v="388"/>
    <d v="2023-08-19T00:00:00"/>
    <s v="Standard"/>
    <n v="399"/>
    <n v="2.5"/>
    <n v="0"/>
    <x v="0"/>
    <n v="11"/>
    <n v="18"/>
    <s v="Yes"/>
    <s v="Yes"/>
    <s v="Yes"/>
    <s v="No"/>
    <s v="Yes"/>
    <s v="No"/>
    <m/>
    <x v="0"/>
    <n v="1"/>
  </r>
  <r>
    <n v="389"/>
    <d v="2024-05-22T00:00:00"/>
    <s v="Premium"/>
    <n v="699"/>
    <n v="4.5999999999999996"/>
    <n v="7"/>
    <x v="5"/>
    <n v="19"/>
    <n v="47"/>
    <s v="Yes"/>
    <s v="Yes"/>
    <s v="Yes"/>
    <s v="Yes"/>
    <s v="Yes"/>
    <s v="No"/>
    <m/>
    <x v="0"/>
    <n v="1"/>
  </r>
  <r>
    <n v="390"/>
    <d v="2024-01-11T00:00:00"/>
    <s v="Premium"/>
    <n v="699"/>
    <n v="3.3"/>
    <n v="1"/>
    <x v="3"/>
    <n v="33"/>
    <n v="49"/>
    <s v="Yes"/>
    <s v="Yes"/>
    <s v="Yes"/>
    <s v="No"/>
    <s v="Yes"/>
    <s v="No"/>
    <m/>
    <x v="0"/>
    <n v="1"/>
  </r>
  <r>
    <n v="391"/>
    <d v="2023-04-15T00:00:00"/>
    <s v="Premium"/>
    <n v="699"/>
    <n v="19.100000000000001"/>
    <n v="7"/>
    <x v="5"/>
    <n v="3"/>
    <n v="13"/>
    <s v="No"/>
    <s v="No"/>
    <s v="Yes"/>
    <s v="Yes"/>
    <s v="No"/>
    <s v="Yes"/>
    <m/>
    <x v="0"/>
    <n v="0"/>
  </r>
  <r>
    <n v="392"/>
    <d v="2023-03-31T00:00:00"/>
    <s v="Premium"/>
    <n v="699"/>
    <n v="7.8"/>
    <n v="0"/>
    <x v="2"/>
    <n v="16"/>
    <n v="16"/>
    <s v="Yes"/>
    <s v="No"/>
    <s v="Yes"/>
    <s v="No"/>
    <s v="Yes"/>
    <s v="No"/>
    <m/>
    <x v="0"/>
    <n v="1"/>
  </r>
  <r>
    <n v="393"/>
    <d v="2024-12-06T00:00:00"/>
    <s v="Standard"/>
    <n v="399"/>
    <n v="19.5"/>
    <n v="3"/>
    <x v="0"/>
    <n v="8"/>
    <n v="51"/>
    <s v="No"/>
    <s v="No"/>
    <s v="Yes"/>
    <s v="No"/>
    <s v="Yes"/>
    <s v="No"/>
    <m/>
    <x v="0"/>
    <n v="0"/>
  </r>
  <r>
    <n v="394"/>
    <d v="2023-03-02T00:00:00"/>
    <s v="Standard"/>
    <n v="399"/>
    <n v="4.5999999999999996"/>
    <n v="2"/>
    <x v="0"/>
    <n v="28"/>
    <n v="52"/>
    <s v="Yes"/>
    <s v="Yes"/>
    <s v="Yes"/>
    <s v="No"/>
    <s v="Yes"/>
    <s v="No"/>
    <m/>
    <x v="0"/>
    <n v="1"/>
  </r>
  <r>
    <n v="395"/>
    <d v="2023-10-27T00:00:00"/>
    <s v="Premium"/>
    <n v="699"/>
    <n v="13.5"/>
    <n v="8"/>
    <x v="0"/>
    <n v="23"/>
    <n v="20"/>
    <s v="No"/>
    <s v="No"/>
    <s v="Yes"/>
    <s v="Yes"/>
    <s v="Yes"/>
    <s v="No"/>
    <m/>
    <x v="0"/>
    <n v="0"/>
  </r>
  <r>
    <n v="396"/>
    <d v="2024-02-26T00:00:00"/>
    <s v="Standard"/>
    <n v="399"/>
    <n v="23.8"/>
    <n v="8"/>
    <x v="4"/>
    <n v="18"/>
    <n v="52"/>
    <s v="Yes"/>
    <s v="No"/>
    <s v="Yes"/>
    <s v="Yes"/>
    <s v="Yes"/>
    <s v="No"/>
    <m/>
    <x v="0"/>
    <n v="1"/>
  </r>
  <r>
    <n v="397"/>
    <d v="2023-05-30T00:00:00"/>
    <s v="Basic"/>
    <n v="199"/>
    <n v="21.7"/>
    <n v="2"/>
    <x v="4"/>
    <n v="18"/>
    <n v="55"/>
    <s v="Yes"/>
    <s v="No"/>
    <s v="Yes"/>
    <s v="No"/>
    <s v="Yes"/>
    <s v="No"/>
    <m/>
    <x v="0"/>
    <n v="1"/>
  </r>
  <r>
    <n v="398"/>
    <d v="2023-10-03T00:00:00"/>
    <s v="Premium"/>
    <n v="699"/>
    <n v="20.8"/>
    <n v="6"/>
    <x v="2"/>
    <n v="21"/>
    <n v="9"/>
    <s v="No"/>
    <s v="No"/>
    <s v="Yes"/>
    <s v="Yes"/>
    <s v="No"/>
    <s v="No"/>
    <m/>
    <x v="0"/>
    <n v="0"/>
  </r>
  <r>
    <n v="399"/>
    <d v="2023-04-06T00:00:00"/>
    <s v="Premium"/>
    <n v="699"/>
    <n v="9.6999999999999993"/>
    <n v="1"/>
    <x v="4"/>
    <n v="27"/>
    <n v="50"/>
    <s v="No"/>
    <s v="No"/>
    <s v="Yes"/>
    <s v="No"/>
    <s v="Yes"/>
    <s v="No"/>
    <m/>
    <x v="0"/>
    <n v="0"/>
  </r>
  <r>
    <n v="400"/>
    <d v="2024-08-18T00:00:00"/>
    <s v="Standard"/>
    <n v="399"/>
    <n v="18.899999999999999"/>
    <n v="5"/>
    <x v="2"/>
    <n v="33"/>
    <n v="60"/>
    <s v="Yes"/>
    <s v="No"/>
    <s v="Yes"/>
    <s v="Yes"/>
    <s v="Yes"/>
    <s v="No"/>
    <m/>
    <x v="0"/>
    <n v="1"/>
  </r>
  <r>
    <n v="401"/>
    <d v="2023-03-06T00:00:00"/>
    <s v="Basic"/>
    <n v="199"/>
    <n v="18.399999999999999"/>
    <n v="7"/>
    <x v="4"/>
    <n v="6"/>
    <n v="42"/>
    <s v="Yes"/>
    <s v="No"/>
    <s v="Yes"/>
    <s v="Yes"/>
    <s v="Yes"/>
    <s v="No"/>
    <m/>
    <x v="0"/>
    <n v="1"/>
  </r>
  <r>
    <n v="402"/>
    <d v="2023-10-18T00:00:00"/>
    <s v="Premium"/>
    <n v="699"/>
    <n v="5.8"/>
    <n v="6"/>
    <x v="0"/>
    <n v="26"/>
    <n v="31"/>
    <s v="Yes"/>
    <s v="No"/>
    <s v="Yes"/>
    <s v="Yes"/>
    <s v="Yes"/>
    <s v="No"/>
    <m/>
    <x v="0"/>
    <n v="1"/>
  </r>
  <r>
    <n v="403"/>
    <d v="2023-02-19T00:00:00"/>
    <s v="Standard"/>
    <n v="399"/>
    <n v="14.7"/>
    <n v="7"/>
    <x v="3"/>
    <n v="36"/>
    <n v="57"/>
    <s v="Yes"/>
    <s v="No"/>
    <s v="Yes"/>
    <s v="Yes"/>
    <s v="Yes"/>
    <s v="No"/>
    <m/>
    <x v="0"/>
    <n v="1"/>
  </r>
  <r>
    <n v="404"/>
    <d v="2023-06-11T00:00:00"/>
    <s v="Basic"/>
    <n v="199"/>
    <n v="15.8"/>
    <n v="7"/>
    <x v="1"/>
    <n v="7"/>
    <n v="7"/>
    <s v="No"/>
    <s v="No"/>
    <s v="No"/>
    <s v="Yes"/>
    <s v="No"/>
    <s v="No"/>
    <m/>
    <x v="1"/>
    <n v="0"/>
  </r>
  <r>
    <n v="405"/>
    <d v="2024-10-27T00:00:00"/>
    <s v="Standard"/>
    <n v="399"/>
    <n v="0.5"/>
    <n v="6"/>
    <x v="0"/>
    <n v="30"/>
    <n v="44"/>
    <s v="No"/>
    <s v="Yes"/>
    <s v="Yes"/>
    <s v="Yes"/>
    <s v="Yes"/>
    <s v="No"/>
    <m/>
    <x v="0"/>
    <n v="0"/>
  </r>
  <r>
    <n v="406"/>
    <d v="2023-03-26T00:00:00"/>
    <s v="Standard"/>
    <n v="399"/>
    <n v="21.9"/>
    <n v="4"/>
    <x v="1"/>
    <n v="11"/>
    <n v="41"/>
    <s v="Yes"/>
    <s v="No"/>
    <s v="No"/>
    <s v="No"/>
    <s v="Yes"/>
    <s v="No"/>
    <m/>
    <x v="1"/>
    <n v="1"/>
  </r>
  <r>
    <n v="407"/>
    <d v="2024-03-15T00:00:00"/>
    <s v="Standard"/>
    <n v="399"/>
    <n v="1.8"/>
    <n v="4"/>
    <x v="4"/>
    <n v="11"/>
    <n v="44"/>
    <s v="Yes"/>
    <s v="Yes"/>
    <s v="Yes"/>
    <s v="No"/>
    <s v="Yes"/>
    <s v="No"/>
    <m/>
    <x v="0"/>
    <n v="1"/>
  </r>
  <r>
    <n v="408"/>
    <d v="2024-08-30T00:00:00"/>
    <s v="Premium"/>
    <n v="699"/>
    <n v="17.7"/>
    <n v="0"/>
    <x v="0"/>
    <n v="6"/>
    <n v="30"/>
    <s v="Yes"/>
    <s v="No"/>
    <s v="Yes"/>
    <s v="No"/>
    <s v="Yes"/>
    <s v="No"/>
    <m/>
    <x v="0"/>
    <n v="1"/>
  </r>
  <r>
    <n v="409"/>
    <d v="2023-05-04T00:00:00"/>
    <s v="Basic"/>
    <n v="199"/>
    <n v="17.2"/>
    <n v="0"/>
    <x v="1"/>
    <n v="34"/>
    <n v="44"/>
    <s v="Yes"/>
    <s v="No"/>
    <s v="No"/>
    <s v="No"/>
    <s v="Yes"/>
    <s v="No"/>
    <m/>
    <x v="1"/>
    <n v="1"/>
  </r>
  <r>
    <n v="410"/>
    <d v="2023-04-15T00:00:00"/>
    <s v="Standard"/>
    <n v="399"/>
    <n v="12.2"/>
    <n v="3"/>
    <x v="2"/>
    <n v="9"/>
    <n v="5"/>
    <s v="No"/>
    <s v="No"/>
    <s v="Yes"/>
    <s v="No"/>
    <s v="No"/>
    <s v="No"/>
    <m/>
    <x v="0"/>
    <n v="0"/>
  </r>
  <r>
    <n v="411"/>
    <d v="2023-05-17T00:00:00"/>
    <s v="Basic"/>
    <n v="199"/>
    <n v="9.5"/>
    <n v="4"/>
    <x v="0"/>
    <n v="21"/>
    <n v="24"/>
    <s v="No"/>
    <s v="No"/>
    <s v="Yes"/>
    <s v="No"/>
    <s v="Yes"/>
    <s v="No"/>
    <m/>
    <x v="0"/>
    <n v="0"/>
  </r>
  <r>
    <n v="412"/>
    <d v="2023-12-26T00:00:00"/>
    <s v="Premium"/>
    <n v="699"/>
    <n v="2.2000000000000002"/>
    <n v="0"/>
    <x v="5"/>
    <n v="10"/>
    <n v="41"/>
    <s v="Yes"/>
    <s v="Yes"/>
    <s v="Yes"/>
    <s v="No"/>
    <s v="Yes"/>
    <s v="No"/>
    <m/>
    <x v="0"/>
    <n v="1"/>
  </r>
  <r>
    <n v="413"/>
    <d v="2023-08-11T00:00:00"/>
    <s v="Premium"/>
    <n v="699"/>
    <n v="15.9"/>
    <n v="2"/>
    <x v="2"/>
    <n v="14"/>
    <n v="39"/>
    <s v="No"/>
    <s v="No"/>
    <s v="Yes"/>
    <s v="No"/>
    <s v="Yes"/>
    <s v="No"/>
    <m/>
    <x v="0"/>
    <n v="0"/>
  </r>
  <r>
    <n v="414"/>
    <d v="2024-03-15T00:00:00"/>
    <s v="Basic"/>
    <n v="199"/>
    <n v="3.9"/>
    <n v="1"/>
    <x v="5"/>
    <n v="7"/>
    <n v="46"/>
    <s v="Yes"/>
    <s v="Yes"/>
    <s v="Yes"/>
    <s v="No"/>
    <s v="Yes"/>
    <s v="No"/>
    <m/>
    <x v="0"/>
    <n v="1"/>
  </r>
  <r>
    <n v="415"/>
    <d v="2024-09-14T00:00:00"/>
    <s v="Standard"/>
    <n v="399"/>
    <n v="6.6"/>
    <n v="1"/>
    <x v="0"/>
    <n v="9"/>
    <n v="35"/>
    <s v="No"/>
    <s v="No"/>
    <s v="Yes"/>
    <s v="No"/>
    <s v="Yes"/>
    <s v="No"/>
    <m/>
    <x v="0"/>
    <n v="0"/>
  </r>
  <r>
    <n v="416"/>
    <d v="2023-07-13T00:00:00"/>
    <s v="Standard"/>
    <n v="399"/>
    <n v="21.3"/>
    <n v="4"/>
    <x v="0"/>
    <n v="2"/>
    <n v="33"/>
    <s v="No"/>
    <s v="No"/>
    <s v="Yes"/>
    <s v="No"/>
    <s v="Yes"/>
    <s v="Yes"/>
    <m/>
    <x v="0"/>
    <n v="0"/>
  </r>
  <r>
    <n v="417"/>
    <d v="2023-09-04T00:00:00"/>
    <s v="Premium"/>
    <n v="699"/>
    <n v="7.7"/>
    <n v="0"/>
    <x v="0"/>
    <n v="26"/>
    <n v="31"/>
    <s v="No"/>
    <s v="No"/>
    <s v="Yes"/>
    <s v="No"/>
    <s v="Yes"/>
    <s v="No"/>
    <m/>
    <x v="0"/>
    <n v="0"/>
  </r>
  <r>
    <n v="418"/>
    <d v="2024-02-01T00:00:00"/>
    <s v="Standard"/>
    <n v="399"/>
    <n v="13.4"/>
    <n v="0"/>
    <x v="3"/>
    <n v="5"/>
    <n v="59"/>
    <s v="Yes"/>
    <s v="No"/>
    <s v="Yes"/>
    <s v="No"/>
    <s v="Yes"/>
    <s v="Yes"/>
    <m/>
    <x v="0"/>
    <n v="1"/>
  </r>
  <r>
    <n v="419"/>
    <d v="2024-08-24T00:00:00"/>
    <s v="Premium"/>
    <n v="699"/>
    <n v="9.5"/>
    <n v="2"/>
    <x v="2"/>
    <n v="27"/>
    <n v="49"/>
    <s v="Yes"/>
    <s v="No"/>
    <s v="Yes"/>
    <s v="No"/>
    <s v="Yes"/>
    <s v="No"/>
    <m/>
    <x v="0"/>
    <n v="1"/>
  </r>
  <r>
    <n v="420"/>
    <d v="2024-06-02T00:00:00"/>
    <s v="Basic"/>
    <n v="199"/>
    <n v="6.9"/>
    <n v="0"/>
    <x v="1"/>
    <n v="1"/>
    <n v="60"/>
    <s v="No"/>
    <s v="No"/>
    <s v="No"/>
    <s v="No"/>
    <s v="Yes"/>
    <s v="Yes"/>
    <m/>
    <x v="1"/>
    <n v="0"/>
  </r>
  <r>
    <n v="421"/>
    <d v="2024-07-03T00:00:00"/>
    <s v="Standard"/>
    <n v="399"/>
    <n v="19.3"/>
    <n v="6"/>
    <x v="4"/>
    <n v="33"/>
    <n v="25"/>
    <s v="Yes"/>
    <s v="No"/>
    <s v="Yes"/>
    <s v="Yes"/>
    <s v="Yes"/>
    <s v="No"/>
    <m/>
    <x v="0"/>
    <n v="1"/>
  </r>
  <r>
    <n v="422"/>
    <d v="2023-06-09T00:00:00"/>
    <s v="Premium"/>
    <n v="699"/>
    <n v="7.3"/>
    <n v="4"/>
    <x v="1"/>
    <n v="10"/>
    <n v="32"/>
    <s v="No"/>
    <s v="No"/>
    <s v="No"/>
    <s v="No"/>
    <s v="Yes"/>
    <s v="No"/>
    <m/>
    <x v="1"/>
    <n v="0"/>
  </r>
  <r>
    <n v="423"/>
    <d v="2023-09-02T00:00:00"/>
    <s v="Premium"/>
    <n v="699"/>
    <n v="10.1"/>
    <n v="1"/>
    <x v="3"/>
    <n v="21"/>
    <n v="44"/>
    <s v="Yes"/>
    <s v="No"/>
    <s v="Yes"/>
    <s v="No"/>
    <s v="Yes"/>
    <s v="No"/>
    <m/>
    <x v="0"/>
    <n v="1"/>
  </r>
  <r>
    <n v="424"/>
    <d v="2023-02-26T00:00:00"/>
    <s v="Basic"/>
    <n v="199"/>
    <n v="2.6"/>
    <n v="6"/>
    <x v="1"/>
    <n v="16"/>
    <n v="29"/>
    <s v="Yes"/>
    <s v="Yes"/>
    <s v="No"/>
    <s v="Yes"/>
    <s v="Yes"/>
    <s v="No"/>
    <m/>
    <x v="1"/>
    <n v="1"/>
  </r>
  <r>
    <n v="425"/>
    <d v="2023-12-22T00:00:00"/>
    <s v="Standard"/>
    <n v="399"/>
    <n v="3.4"/>
    <n v="2"/>
    <x v="4"/>
    <n v="12"/>
    <n v="0"/>
    <s v="Yes"/>
    <s v="Yes"/>
    <s v="Yes"/>
    <s v="No"/>
    <s v="No"/>
    <s v="No"/>
    <m/>
    <x v="0"/>
    <n v="1"/>
  </r>
  <r>
    <n v="426"/>
    <d v="2023-10-03T00:00:00"/>
    <s v="Premium"/>
    <n v="699"/>
    <n v="19.7"/>
    <n v="4"/>
    <x v="0"/>
    <n v="34"/>
    <n v="23"/>
    <s v="Yes"/>
    <s v="No"/>
    <s v="Yes"/>
    <s v="No"/>
    <s v="Yes"/>
    <s v="No"/>
    <m/>
    <x v="0"/>
    <n v="1"/>
  </r>
  <r>
    <n v="427"/>
    <d v="2024-06-20T00:00:00"/>
    <s v="Premium"/>
    <n v="699"/>
    <n v="19.399999999999999"/>
    <n v="0"/>
    <x v="3"/>
    <n v="8"/>
    <n v="51"/>
    <s v="Yes"/>
    <s v="No"/>
    <s v="Yes"/>
    <s v="No"/>
    <s v="Yes"/>
    <s v="No"/>
    <m/>
    <x v="0"/>
    <n v="1"/>
  </r>
  <r>
    <n v="428"/>
    <d v="2023-02-26T00:00:00"/>
    <s v="Basic"/>
    <n v="199"/>
    <n v="18"/>
    <n v="1"/>
    <x v="2"/>
    <n v="17"/>
    <n v="29"/>
    <s v="Yes"/>
    <s v="No"/>
    <s v="Yes"/>
    <s v="No"/>
    <s v="Yes"/>
    <s v="No"/>
    <m/>
    <x v="0"/>
    <n v="1"/>
  </r>
  <r>
    <n v="429"/>
    <d v="2023-04-29T00:00:00"/>
    <s v="Standard"/>
    <n v="399"/>
    <n v="9.5"/>
    <n v="4"/>
    <x v="1"/>
    <n v="11"/>
    <n v="57"/>
    <s v="No"/>
    <s v="No"/>
    <s v="No"/>
    <s v="No"/>
    <s v="Yes"/>
    <s v="No"/>
    <m/>
    <x v="1"/>
    <n v="0"/>
  </r>
  <r>
    <n v="430"/>
    <d v="2024-01-28T00:00:00"/>
    <s v="Basic"/>
    <n v="199"/>
    <n v="0.6"/>
    <n v="0"/>
    <x v="0"/>
    <n v="33"/>
    <n v="2"/>
    <s v="No"/>
    <s v="Yes"/>
    <s v="Yes"/>
    <s v="No"/>
    <s v="No"/>
    <s v="No"/>
    <m/>
    <x v="0"/>
    <n v="0"/>
  </r>
  <r>
    <n v="431"/>
    <d v="2024-11-02T00:00:00"/>
    <s v="Basic"/>
    <n v="199"/>
    <n v="23.3"/>
    <n v="0"/>
    <x v="5"/>
    <n v="12"/>
    <n v="51"/>
    <s v="No"/>
    <s v="No"/>
    <s v="Yes"/>
    <s v="No"/>
    <s v="Yes"/>
    <s v="No"/>
    <m/>
    <x v="0"/>
    <n v="0"/>
  </r>
  <r>
    <n v="432"/>
    <d v="2023-03-21T00:00:00"/>
    <s v="Standard"/>
    <n v="399"/>
    <n v="8.4"/>
    <n v="6"/>
    <x v="4"/>
    <n v="15"/>
    <n v="20"/>
    <s v="Yes"/>
    <s v="No"/>
    <s v="Yes"/>
    <s v="Yes"/>
    <s v="Yes"/>
    <s v="No"/>
    <m/>
    <x v="0"/>
    <n v="1"/>
  </r>
  <r>
    <n v="433"/>
    <d v="2023-02-17T00:00:00"/>
    <s v="Premium"/>
    <n v="699"/>
    <n v="3.4"/>
    <n v="0"/>
    <x v="0"/>
    <n v="24"/>
    <n v="14"/>
    <s v="No"/>
    <s v="Yes"/>
    <s v="Yes"/>
    <s v="No"/>
    <s v="No"/>
    <s v="No"/>
    <m/>
    <x v="0"/>
    <n v="0"/>
  </r>
  <r>
    <n v="434"/>
    <d v="2024-04-12T00:00:00"/>
    <s v="Standard"/>
    <n v="399"/>
    <n v="22"/>
    <n v="4"/>
    <x v="3"/>
    <n v="5"/>
    <n v="20"/>
    <s v="Yes"/>
    <s v="No"/>
    <s v="Yes"/>
    <s v="No"/>
    <s v="Yes"/>
    <s v="Yes"/>
    <m/>
    <x v="0"/>
    <n v="1"/>
  </r>
  <r>
    <n v="435"/>
    <d v="2024-01-13T00:00:00"/>
    <s v="Basic"/>
    <n v="199"/>
    <n v="5.4"/>
    <n v="4"/>
    <x v="4"/>
    <n v="24"/>
    <n v="39"/>
    <s v="Yes"/>
    <s v="No"/>
    <s v="Yes"/>
    <s v="No"/>
    <s v="Yes"/>
    <s v="No"/>
    <m/>
    <x v="0"/>
    <n v="1"/>
  </r>
  <r>
    <n v="436"/>
    <d v="2023-09-09T00:00:00"/>
    <s v="Premium"/>
    <n v="699"/>
    <n v="24.9"/>
    <n v="3"/>
    <x v="4"/>
    <n v="32"/>
    <n v="57"/>
    <s v="Yes"/>
    <s v="No"/>
    <s v="Yes"/>
    <s v="No"/>
    <s v="Yes"/>
    <s v="No"/>
    <m/>
    <x v="0"/>
    <n v="1"/>
  </r>
  <r>
    <n v="437"/>
    <d v="2024-12-11T00:00:00"/>
    <s v="Basic"/>
    <n v="199"/>
    <n v="23.3"/>
    <n v="0"/>
    <x v="0"/>
    <n v="1"/>
    <n v="34"/>
    <s v="Yes"/>
    <s v="No"/>
    <s v="Yes"/>
    <s v="No"/>
    <s v="Yes"/>
    <s v="Yes"/>
    <m/>
    <x v="0"/>
    <n v="1"/>
  </r>
  <r>
    <n v="438"/>
    <d v="2023-07-30T00:00:00"/>
    <s v="Basic"/>
    <n v="199"/>
    <n v="0.5"/>
    <n v="6"/>
    <x v="4"/>
    <n v="22"/>
    <n v="46"/>
    <s v="Yes"/>
    <s v="Yes"/>
    <s v="Yes"/>
    <s v="Yes"/>
    <s v="Yes"/>
    <s v="No"/>
    <m/>
    <x v="0"/>
    <n v="1"/>
  </r>
  <r>
    <n v="439"/>
    <d v="2023-02-14T00:00:00"/>
    <s v="Premium"/>
    <n v="699"/>
    <n v="10.8"/>
    <n v="0"/>
    <x v="0"/>
    <n v="16"/>
    <n v="45"/>
    <s v="Yes"/>
    <s v="No"/>
    <s v="Yes"/>
    <s v="No"/>
    <s v="Yes"/>
    <s v="No"/>
    <m/>
    <x v="0"/>
    <n v="1"/>
  </r>
  <r>
    <n v="440"/>
    <d v="2023-04-08T00:00:00"/>
    <s v="Basic"/>
    <n v="199"/>
    <n v="10.6"/>
    <n v="5"/>
    <x v="2"/>
    <n v="34"/>
    <n v="47"/>
    <s v="Yes"/>
    <s v="No"/>
    <s v="Yes"/>
    <s v="Yes"/>
    <s v="Yes"/>
    <s v="No"/>
    <m/>
    <x v="0"/>
    <n v="1"/>
  </r>
  <r>
    <n v="441"/>
    <d v="2024-03-21T00:00:00"/>
    <s v="Premium"/>
    <n v="699"/>
    <n v="16.100000000000001"/>
    <n v="6"/>
    <x v="1"/>
    <n v="9"/>
    <n v="37"/>
    <s v="No"/>
    <s v="No"/>
    <s v="No"/>
    <s v="Yes"/>
    <s v="Yes"/>
    <s v="No"/>
    <m/>
    <x v="1"/>
    <n v="0"/>
  </r>
  <r>
    <n v="442"/>
    <d v="2024-12-18T00:00:00"/>
    <s v="Premium"/>
    <n v="699"/>
    <n v="6.3"/>
    <n v="4"/>
    <x v="3"/>
    <n v="9"/>
    <n v="59"/>
    <s v="No"/>
    <s v="No"/>
    <s v="Yes"/>
    <s v="No"/>
    <s v="Yes"/>
    <s v="No"/>
    <m/>
    <x v="0"/>
    <n v="0"/>
  </r>
  <r>
    <n v="443"/>
    <d v="2023-05-20T00:00:00"/>
    <s v="Premium"/>
    <n v="699"/>
    <n v="8.3000000000000007"/>
    <n v="4"/>
    <x v="0"/>
    <n v="21"/>
    <n v="4"/>
    <s v="No"/>
    <s v="No"/>
    <s v="Yes"/>
    <s v="No"/>
    <s v="No"/>
    <s v="No"/>
    <m/>
    <x v="0"/>
    <n v="0"/>
  </r>
  <r>
    <n v="444"/>
    <d v="2023-05-04T00:00:00"/>
    <s v="Premium"/>
    <n v="699"/>
    <n v="4.3"/>
    <n v="2"/>
    <x v="2"/>
    <n v="7"/>
    <n v="29"/>
    <s v="Yes"/>
    <s v="Yes"/>
    <s v="Yes"/>
    <s v="No"/>
    <s v="Yes"/>
    <s v="No"/>
    <m/>
    <x v="0"/>
    <n v="1"/>
  </r>
  <r>
    <n v="445"/>
    <d v="2023-05-03T00:00:00"/>
    <s v="Premium"/>
    <n v="699"/>
    <n v="24.1"/>
    <n v="3"/>
    <x v="2"/>
    <n v="23"/>
    <n v="19"/>
    <s v="No"/>
    <s v="No"/>
    <s v="Yes"/>
    <s v="No"/>
    <s v="Yes"/>
    <s v="No"/>
    <m/>
    <x v="0"/>
    <n v="0"/>
  </r>
  <r>
    <n v="446"/>
    <d v="2023-08-09T00:00:00"/>
    <s v="Basic"/>
    <n v="199"/>
    <n v="20.3"/>
    <n v="4"/>
    <x v="4"/>
    <n v="11"/>
    <n v="44"/>
    <s v="Yes"/>
    <s v="No"/>
    <s v="Yes"/>
    <s v="No"/>
    <s v="Yes"/>
    <s v="No"/>
    <m/>
    <x v="0"/>
    <n v="1"/>
  </r>
  <r>
    <n v="447"/>
    <d v="2024-11-24T00:00:00"/>
    <s v="Standard"/>
    <n v="399"/>
    <n v="2.7"/>
    <n v="3"/>
    <x v="3"/>
    <n v="10"/>
    <n v="25"/>
    <s v="Yes"/>
    <s v="Yes"/>
    <s v="Yes"/>
    <s v="No"/>
    <s v="Yes"/>
    <s v="No"/>
    <m/>
    <x v="0"/>
    <n v="1"/>
  </r>
  <r>
    <n v="448"/>
    <d v="2024-04-08T00:00:00"/>
    <s v="Standard"/>
    <n v="399"/>
    <n v="20.6"/>
    <n v="2"/>
    <x v="1"/>
    <n v="17"/>
    <n v="60"/>
    <s v="No"/>
    <s v="No"/>
    <s v="No"/>
    <s v="No"/>
    <s v="Yes"/>
    <s v="No"/>
    <m/>
    <x v="1"/>
    <n v="0"/>
  </r>
  <r>
    <n v="449"/>
    <d v="2023-05-05T00:00:00"/>
    <s v="Premium"/>
    <n v="699"/>
    <n v="6.6"/>
    <n v="7"/>
    <x v="1"/>
    <n v="36"/>
    <n v="51"/>
    <s v="No"/>
    <s v="No"/>
    <s v="No"/>
    <s v="Yes"/>
    <s v="Yes"/>
    <s v="No"/>
    <m/>
    <x v="1"/>
    <n v="0"/>
  </r>
  <r>
    <n v="450"/>
    <d v="2024-01-17T00:00:00"/>
    <s v="Basic"/>
    <n v="199"/>
    <n v="20.8"/>
    <n v="3"/>
    <x v="0"/>
    <n v="4"/>
    <n v="12"/>
    <s v="No"/>
    <s v="No"/>
    <s v="Yes"/>
    <s v="No"/>
    <s v="No"/>
    <s v="Yes"/>
    <m/>
    <x v="0"/>
    <n v="0"/>
  </r>
  <r>
    <n v="451"/>
    <d v="2023-07-22T00:00:00"/>
    <s v="Premium"/>
    <n v="699"/>
    <n v="14.8"/>
    <n v="4"/>
    <x v="1"/>
    <n v="6"/>
    <n v="1"/>
    <s v="No"/>
    <s v="No"/>
    <s v="No"/>
    <s v="No"/>
    <s v="No"/>
    <s v="No"/>
    <m/>
    <x v="1"/>
    <n v="0"/>
  </r>
  <r>
    <n v="452"/>
    <d v="2024-04-17T00:00:00"/>
    <s v="Premium"/>
    <n v="699"/>
    <n v="20.3"/>
    <n v="1"/>
    <x v="3"/>
    <n v="29"/>
    <n v="7"/>
    <s v="Yes"/>
    <s v="No"/>
    <s v="Yes"/>
    <s v="No"/>
    <s v="No"/>
    <s v="No"/>
    <m/>
    <x v="0"/>
    <n v="1"/>
  </r>
  <r>
    <n v="453"/>
    <d v="2024-01-27T00:00:00"/>
    <s v="Basic"/>
    <n v="199"/>
    <n v="23.1"/>
    <n v="6"/>
    <x v="4"/>
    <n v="11"/>
    <n v="25"/>
    <s v="Yes"/>
    <s v="No"/>
    <s v="Yes"/>
    <s v="Yes"/>
    <s v="Yes"/>
    <s v="No"/>
    <m/>
    <x v="0"/>
    <n v="1"/>
  </r>
  <r>
    <n v="454"/>
    <d v="2023-06-02T00:00:00"/>
    <s v="Premium"/>
    <n v="699"/>
    <n v="4.7"/>
    <n v="3"/>
    <x v="0"/>
    <n v="28"/>
    <n v="17"/>
    <s v="Yes"/>
    <s v="Yes"/>
    <s v="Yes"/>
    <s v="No"/>
    <s v="Yes"/>
    <s v="No"/>
    <m/>
    <x v="0"/>
    <n v="1"/>
  </r>
  <r>
    <n v="455"/>
    <d v="2023-03-04T00:00:00"/>
    <s v="Basic"/>
    <n v="199"/>
    <n v="16.399999999999999"/>
    <n v="7"/>
    <x v="2"/>
    <n v="16"/>
    <n v="56"/>
    <s v="Yes"/>
    <s v="No"/>
    <s v="Yes"/>
    <s v="Yes"/>
    <s v="Yes"/>
    <s v="No"/>
    <m/>
    <x v="0"/>
    <n v="1"/>
  </r>
  <r>
    <n v="456"/>
    <d v="2024-06-22T00:00:00"/>
    <s v="Basic"/>
    <n v="199"/>
    <n v="9.9"/>
    <n v="6"/>
    <x v="0"/>
    <n v="18"/>
    <n v="41"/>
    <s v="No"/>
    <s v="No"/>
    <s v="Yes"/>
    <s v="Yes"/>
    <s v="Yes"/>
    <s v="No"/>
    <m/>
    <x v="0"/>
    <n v="0"/>
  </r>
  <r>
    <n v="457"/>
    <d v="2024-05-11T00:00:00"/>
    <s v="Basic"/>
    <n v="199"/>
    <n v="20"/>
    <n v="6"/>
    <x v="4"/>
    <n v="35"/>
    <n v="22"/>
    <s v="Yes"/>
    <s v="No"/>
    <s v="Yes"/>
    <s v="Yes"/>
    <s v="Yes"/>
    <s v="No"/>
    <m/>
    <x v="0"/>
    <n v="1"/>
  </r>
  <r>
    <n v="458"/>
    <d v="2023-08-13T00:00:00"/>
    <s v="Standard"/>
    <n v="399"/>
    <n v="8.4"/>
    <n v="4"/>
    <x v="0"/>
    <n v="33"/>
    <n v="1"/>
    <s v="No"/>
    <s v="No"/>
    <s v="Yes"/>
    <s v="No"/>
    <s v="No"/>
    <s v="No"/>
    <m/>
    <x v="0"/>
    <n v="0"/>
  </r>
  <r>
    <n v="459"/>
    <d v="2023-08-27T00:00:00"/>
    <s v="Basic"/>
    <n v="199"/>
    <n v="1.9"/>
    <n v="7"/>
    <x v="5"/>
    <n v="18"/>
    <n v="22"/>
    <s v="Yes"/>
    <s v="Yes"/>
    <s v="Yes"/>
    <s v="Yes"/>
    <s v="Yes"/>
    <s v="No"/>
    <m/>
    <x v="0"/>
    <n v="1"/>
  </r>
  <r>
    <n v="460"/>
    <d v="2023-02-27T00:00:00"/>
    <s v="Basic"/>
    <n v="199"/>
    <n v="6.6"/>
    <n v="3"/>
    <x v="3"/>
    <n v="7"/>
    <n v="34"/>
    <s v="No"/>
    <s v="No"/>
    <s v="Yes"/>
    <s v="No"/>
    <s v="Yes"/>
    <s v="No"/>
    <m/>
    <x v="0"/>
    <n v="0"/>
  </r>
  <r>
    <n v="461"/>
    <d v="2024-12-15T00:00:00"/>
    <s v="Basic"/>
    <n v="199"/>
    <n v="9.1999999999999993"/>
    <n v="2"/>
    <x v="0"/>
    <n v="25"/>
    <n v="15"/>
    <s v="No"/>
    <s v="No"/>
    <s v="Yes"/>
    <s v="No"/>
    <s v="Yes"/>
    <s v="No"/>
    <m/>
    <x v="0"/>
    <n v="0"/>
  </r>
  <r>
    <n v="462"/>
    <d v="2023-07-12T00:00:00"/>
    <s v="Standard"/>
    <n v="399"/>
    <n v="17.7"/>
    <n v="5"/>
    <x v="5"/>
    <n v="2"/>
    <n v="36"/>
    <s v="Yes"/>
    <s v="No"/>
    <s v="Yes"/>
    <s v="Yes"/>
    <s v="Yes"/>
    <s v="Yes"/>
    <m/>
    <x v="0"/>
    <n v="1"/>
  </r>
  <r>
    <n v="463"/>
    <d v="2024-09-08T00:00:00"/>
    <s v="Standard"/>
    <n v="399"/>
    <n v="8.1"/>
    <n v="7"/>
    <x v="1"/>
    <n v="35"/>
    <n v="5"/>
    <s v="Yes"/>
    <s v="No"/>
    <s v="No"/>
    <s v="Yes"/>
    <s v="No"/>
    <s v="No"/>
    <m/>
    <x v="1"/>
    <n v="1"/>
  </r>
  <r>
    <n v="464"/>
    <d v="2023-05-14T00:00:00"/>
    <s v="Basic"/>
    <n v="199"/>
    <n v="13.4"/>
    <n v="0"/>
    <x v="3"/>
    <n v="2"/>
    <n v="58"/>
    <s v="No"/>
    <s v="No"/>
    <s v="Yes"/>
    <s v="No"/>
    <s v="Yes"/>
    <s v="Yes"/>
    <m/>
    <x v="0"/>
    <n v="0"/>
  </r>
  <r>
    <n v="465"/>
    <d v="2024-12-22T00:00:00"/>
    <s v="Standard"/>
    <n v="399"/>
    <n v="23"/>
    <n v="5"/>
    <x v="1"/>
    <n v="12"/>
    <n v="1"/>
    <s v="Yes"/>
    <s v="No"/>
    <s v="No"/>
    <s v="Yes"/>
    <s v="No"/>
    <s v="No"/>
    <m/>
    <x v="1"/>
    <n v="1"/>
  </r>
  <r>
    <n v="466"/>
    <d v="2024-11-09T00:00:00"/>
    <s v="Basic"/>
    <n v="199"/>
    <n v="21.2"/>
    <n v="5"/>
    <x v="1"/>
    <n v="8"/>
    <n v="23"/>
    <s v="No"/>
    <s v="No"/>
    <s v="No"/>
    <s v="Yes"/>
    <s v="Yes"/>
    <s v="No"/>
    <m/>
    <x v="1"/>
    <n v="0"/>
  </r>
  <r>
    <n v="467"/>
    <d v="2024-03-23T00:00:00"/>
    <s v="Standard"/>
    <n v="399"/>
    <n v="8.6999999999999993"/>
    <n v="5"/>
    <x v="0"/>
    <n v="7"/>
    <n v="10"/>
    <s v="No"/>
    <s v="No"/>
    <s v="Yes"/>
    <s v="Yes"/>
    <s v="No"/>
    <s v="No"/>
    <m/>
    <x v="0"/>
    <n v="0"/>
  </r>
  <r>
    <n v="468"/>
    <d v="2024-09-20T00:00:00"/>
    <s v="Premium"/>
    <n v="699"/>
    <n v="16.399999999999999"/>
    <n v="2"/>
    <x v="4"/>
    <n v="32"/>
    <n v="35"/>
    <s v="No"/>
    <s v="No"/>
    <s v="Yes"/>
    <s v="No"/>
    <s v="Yes"/>
    <s v="No"/>
    <m/>
    <x v="0"/>
    <n v="0"/>
  </r>
  <r>
    <n v="469"/>
    <d v="2023-10-29T00:00:00"/>
    <s v="Standard"/>
    <n v="399"/>
    <n v="16.8"/>
    <n v="2"/>
    <x v="2"/>
    <n v="15"/>
    <n v="19"/>
    <s v="No"/>
    <s v="No"/>
    <s v="Yes"/>
    <s v="No"/>
    <s v="Yes"/>
    <s v="No"/>
    <m/>
    <x v="0"/>
    <n v="0"/>
  </r>
  <r>
    <n v="470"/>
    <d v="2023-11-22T00:00:00"/>
    <s v="Basic"/>
    <n v="199"/>
    <n v="18.399999999999999"/>
    <n v="6"/>
    <x v="5"/>
    <n v="12"/>
    <n v="2"/>
    <s v="Yes"/>
    <s v="No"/>
    <s v="Yes"/>
    <s v="Yes"/>
    <s v="No"/>
    <s v="No"/>
    <m/>
    <x v="0"/>
    <n v="1"/>
  </r>
  <r>
    <n v="471"/>
    <d v="2023-03-21T00:00:00"/>
    <s v="Premium"/>
    <n v="699"/>
    <n v="16.2"/>
    <n v="1"/>
    <x v="2"/>
    <n v="15"/>
    <n v="9"/>
    <s v="Yes"/>
    <s v="No"/>
    <s v="Yes"/>
    <s v="No"/>
    <s v="No"/>
    <s v="No"/>
    <m/>
    <x v="0"/>
    <n v="1"/>
  </r>
  <r>
    <n v="472"/>
    <d v="2024-12-26T00:00:00"/>
    <s v="Basic"/>
    <n v="199"/>
    <n v="24.6"/>
    <n v="2"/>
    <x v="4"/>
    <n v="23"/>
    <n v="56"/>
    <s v="No"/>
    <s v="No"/>
    <s v="Yes"/>
    <s v="No"/>
    <s v="Yes"/>
    <s v="No"/>
    <m/>
    <x v="0"/>
    <n v="0"/>
  </r>
  <r>
    <n v="473"/>
    <d v="2023-12-25T00:00:00"/>
    <s v="Premium"/>
    <n v="699"/>
    <n v="11.4"/>
    <n v="4"/>
    <x v="0"/>
    <n v="22"/>
    <n v="15"/>
    <s v="No"/>
    <s v="No"/>
    <s v="Yes"/>
    <s v="No"/>
    <s v="Yes"/>
    <s v="No"/>
    <m/>
    <x v="0"/>
    <n v="0"/>
  </r>
  <r>
    <n v="474"/>
    <d v="2023-06-20T00:00:00"/>
    <s v="Standard"/>
    <n v="399"/>
    <n v="18.2"/>
    <n v="0"/>
    <x v="2"/>
    <n v="7"/>
    <n v="28"/>
    <s v="No"/>
    <s v="No"/>
    <s v="Yes"/>
    <s v="No"/>
    <s v="Yes"/>
    <s v="No"/>
    <m/>
    <x v="0"/>
    <n v="0"/>
  </r>
  <r>
    <n v="475"/>
    <d v="2024-05-05T00:00:00"/>
    <s v="Standard"/>
    <n v="399"/>
    <n v="22.1"/>
    <n v="5"/>
    <x v="5"/>
    <n v="32"/>
    <n v="24"/>
    <s v="Yes"/>
    <s v="No"/>
    <s v="Yes"/>
    <s v="Yes"/>
    <s v="Yes"/>
    <s v="No"/>
    <m/>
    <x v="0"/>
    <n v="1"/>
  </r>
  <r>
    <n v="476"/>
    <d v="2023-09-25T00:00:00"/>
    <s v="Premium"/>
    <n v="699"/>
    <n v="4.5"/>
    <n v="1"/>
    <x v="1"/>
    <n v="15"/>
    <n v="18"/>
    <s v="Yes"/>
    <s v="Yes"/>
    <s v="No"/>
    <s v="No"/>
    <s v="Yes"/>
    <s v="No"/>
    <m/>
    <x v="1"/>
    <n v="1"/>
  </r>
  <r>
    <n v="477"/>
    <d v="2023-04-06T00:00:00"/>
    <s v="Basic"/>
    <n v="199"/>
    <n v="8.9"/>
    <n v="6"/>
    <x v="0"/>
    <n v="5"/>
    <n v="46"/>
    <s v="Yes"/>
    <s v="No"/>
    <s v="Yes"/>
    <s v="Yes"/>
    <s v="Yes"/>
    <s v="Yes"/>
    <m/>
    <x v="0"/>
    <n v="1"/>
  </r>
  <r>
    <n v="478"/>
    <d v="2024-03-20T00:00:00"/>
    <s v="Standard"/>
    <n v="399"/>
    <n v="17.8"/>
    <n v="6"/>
    <x v="4"/>
    <n v="31"/>
    <n v="10"/>
    <s v="No"/>
    <s v="No"/>
    <s v="Yes"/>
    <s v="Yes"/>
    <s v="No"/>
    <s v="No"/>
    <m/>
    <x v="0"/>
    <n v="0"/>
  </r>
  <r>
    <n v="479"/>
    <d v="2024-07-07T00:00:00"/>
    <s v="Basic"/>
    <n v="199"/>
    <n v="3"/>
    <n v="3"/>
    <x v="0"/>
    <n v="4"/>
    <n v="26"/>
    <s v="No"/>
    <s v="Yes"/>
    <s v="Yes"/>
    <s v="No"/>
    <s v="Yes"/>
    <s v="Yes"/>
    <m/>
    <x v="0"/>
    <n v="0"/>
  </r>
  <r>
    <n v="480"/>
    <d v="2024-05-17T00:00:00"/>
    <s v="Standard"/>
    <n v="399"/>
    <n v="7.8"/>
    <n v="1"/>
    <x v="1"/>
    <n v="19"/>
    <n v="25"/>
    <s v="No"/>
    <s v="No"/>
    <s v="No"/>
    <s v="No"/>
    <s v="Yes"/>
    <s v="No"/>
    <m/>
    <x v="1"/>
    <n v="0"/>
  </r>
  <r>
    <n v="481"/>
    <d v="2024-10-02T00:00:00"/>
    <s v="Basic"/>
    <n v="199"/>
    <n v="9.3000000000000007"/>
    <n v="6"/>
    <x v="1"/>
    <n v="4"/>
    <n v="18"/>
    <s v="No"/>
    <s v="No"/>
    <s v="No"/>
    <s v="Yes"/>
    <s v="Yes"/>
    <s v="Yes"/>
    <m/>
    <x v="1"/>
    <n v="0"/>
  </r>
  <r>
    <n v="482"/>
    <d v="2023-03-25T00:00:00"/>
    <s v="Premium"/>
    <n v="699"/>
    <n v="5.4"/>
    <n v="0"/>
    <x v="0"/>
    <n v="31"/>
    <n v="10"/>
    <s v="No"/>
    <s v="No"/>
    <s v="Yes"/>
    <s v="No"/>
    <s v="No"/>
    <s v="No"/>
    <m/>
    <x v="0"/>
    <n v="0"/>
  </r>
  <r>
    <n v="483"/>
    <d v="2023-09-29T00:00:00"/>
    <s v="Standard"/>
    <n v="399"/>
    <n v="8.1"/>
    <n v="6"/>
    <x v="2"/>
    <n v="8"/>
    <n v="31"/>
    <s v="No"/>
    <s v="No"/>
    <s v="Yes"/>
    <s v="Yes"/>
    <s v="Yes"/>
    <s v="No"/>
    <m/>
    <x v="0"/>
    <n v="0"/>
  </r>
  <r>
    <n v="484"/>
    <d v="2023-02-15T00:00:00"/>
    <s v="Basic"/>
    <n v="199"/>
    <n v="10"/>
    <n v="5"/>
    <x v="2"/>
    <n v="35"/>
    <n v="23"/>
    <s v="Yes"/>
    <s v="No"/>
    <s v="Yes"/>
    <s v="Yes"/>
    <s v="Yes"/>
    <s v="No"/>
    <m/>
    <x v="0"/>
    <n v="1"/>
  </r>
  <r>
    <n v="485"/>
    <d v="2024-12-14T00:00:00"/>
    <s v="Standard"/>
    <n v="399"/>
    <n v="11.9"/>
    <n v="3"/>
    <x v="3"/>
    <n v="29"/>
    <n v="36"/>
    <s v="Yes"/>
    <s v="No"/>
    <s v="Yes"/>
    <s v="No"/>
    <s v="Yes"/>
    <s v="No"/>
    <m/>
    <x v="0"/>
    <n v="1"/>
  </r>
  <r>
    <n v="486"/>
    <d v="2024-08-26T00:00:00"/>
    <s v="Premium"/>
    <n v="699"/>
    <n v="2.6"/>
    <n v="5"/>
    <x v="5"/>
    <n v="7"/>
    <n v="26"/>
    <s v="Yes"/>
    <s v="Yes"/>
    <s v="Yes"/>
    <s v="Yes"/>
    <s v="Yes"/>
    <s v="No"/>
    <m/>
    <x v="0"/>
    <n v="1"/>
  </r>
  <r>
    <n v="487"/>
    <d v="2024-12-04T00:00:00"/>
    <s v="Basic"/>
    <n v="199"/>
    <n v="2"/>
    <n v="6"/>
    <x v="5"/>
    <n v="36"/>
    <n v="26"/>
    <s v="Yes"/>
    <s v="Yes"/>
    <s v="Yes"/>
    <s v="Yes"/>
    <s v="Yes"/>
    <s v="No"/>
    <m/>
    <x v="0"/>
    <n v="1"/>
  </r>
  <r>
    <n v="488"/>
    <d v="2023-02-05T00:00:00"/>
    <s v="Standard"/>
    <n v="399"/>
    <n v="12.2"/>
    <n v="1"/>
    <x v="2"/>
    <n v="16"/>
    <n v="57"/>
    <s v="No"/>
    <s v="No"/>
    <s v="Yes"/>
    <s v="No"/>
    <s v="Yes"/>
    <s v="No"/>
    <m/>
    <x v="0"/>
    <n v="0"/>
  </r>
  <r>
    <n v="489"/>
    <d v="2023-06-27T00:00:00"/>
    <s v="Premium"/>
    <n v="699"/>
    <n v="20.100000000000001"/>
    <n v="2"/>
    <x v="1"/>
    <n v="34"/>
    <n v="60"/>
    <s v="No"/>
    <s v="No"/>
    <s v="No"/>
    <s v="No"/>
    <s v="Yes"/>
    <s v="No"/>
    <m/>
    <x v="1"/>
    <n v="0"/>
  </r>
  <r>
    <n v="490"/>
    <d v="2024-11-30T00:00:00"/>
    <s v="Basic"/>
    <n v="199"/>
    <n v="20.3"/>
    <n v="2"/>
    <x v="1"/>
    <n v="14"/>
    <n v="27"/>
    <s v="Yes"/>
    <s v="No"/>
    <s v="No"/>
    <s v="No"/>
    <s v="Yes"/>
    <s v="No"/>
    <m/>
    <x v="1"/>
    <n v="1"/>
  </r>
  <r>
    <n v="491"/>
    <d v="2023-03-10T00:00:00"/>
    <s v="Standard"/>
    <n v="399"/>
    <n v="24.9"/>
    <n v="2"/>
    <x v="5"/>
    <n v="13"/>
    <n v="16"/>
    <s v="Yes"/>
    <s v="No"/>
    <s v="Yes"/>
    <s v="No"/>
    <s v="Yes"/>
    <s v="No"/>
    <m/>
    <x v="0"/>
    <n v="1"/>
  </r>
  <r>
    <n v="492"/>
    <d v="2024-04-14T00:00:00"/>
    <s v="Basic"/>
    <n v="199"/>
    <n v="14.1"/>
    <n v="8"/>
    <x v="3"/>
    <n v="25"/>
    <n v="54"/>
    <s v="Yes"/>
    <s v="No"/>
    <s v="Yes"/>
    <s v="Yes"/>
    <s v="Yes"/>
    <s v="No"/>
    <m/>
    <x v="0"/>
    <n v="1"/>
  </r>
  <r>
    <n v="493"/>
    <d v="2024-08-25T00:00:00"/>
    <s v="Basic"/>
    <n v="199"/>
    <n v="19.7"/>
    <n v="1"/>
    <x v="2"/>
    <n v="34"/>
    <n v="9"/>
    <s v="Yes"/>
    <s v="No"/>
    <s v="Yes"/>
    <s v="No"/>
    <s v="No"/>
    <s v="No"/>
    <m/>
    <x v="0"/>
    <n v="1"/>
  </r>
  <r>
    <n v="494"/>
    <d v="2023-12-19T00:00:00"/>
    <s v="Premium"/>
    <n v="699"/>
    <n v="23.2"/>
    <n v="1"/>
    <x v="3"/>
    <n v="7"/>
    <n v="55"/>
    <s v="Yes"/>
    <s v="No"/>
    <s v="Yes"/>
    <s v="No"/>
    <s v="Yes"/>
    <s v="No"/>
    <m/>
    <x v="0"/>
    <n v="1"/>
  </r>
  <r>
    <n v="495"/>
    <d v="2023-06-26T00:00:00"/>
    <s v="Standard"/>
    <n v="399"/>
    <n v="9.9"/>
    <n v="7"/>
    <x v="5"/>
    <n v="17"/>
    <n v="38"/>
    <s v="Yes"/>
    <s v="No"/>
    <s v="Yes"/>
    <s v="Yes"/>
    <s v="Yes"/>
    <s v="No"/>
    <m/>
    <x v="0"/>
    <n v="1"/>
  </r>
  <r>
    <n v="496"/>
    <d v="2023-12-06T00:00:00"/>
    <s v="Standard"/>
    <n v="399"/>
    <n v="4"/>
    <n v="6"/>
    <x v="1"/>
    <n v="26"/>
    <n v="25"/>
    <s v="No"/>
    <s v="Yes"/>
    <s v="No"/>
    <s v="Yes"/>
    <s v="Yes"/>
    <s v="No"/>
    <m/>
    <x v="1"/>
    <n v="0"/>
  </r>
  <r>
    <n v="497"/>
    <d v="2023-12-12T00:00:00"/>
    <s v="Premium"/>
    <n v="699"/>
    <n v="1.7"/>
    <n v="7"/>
    <x v="3"/>
    <n v="16"/>
    <n v="57"/>
    <s v="Yes"/>
    <s v="Yes"/>
    <s v="Yes"/>
    <s v="Yes"/>
    <s v="Yes"/>
    <s v="No"/>
    <m/>
    <x v="0"/>
    <n v="1"/>
  </r>
  <r>
    <n v="498"/>
    <d v="2023-08-22T00:00:00"/>
    <s v="Standard"/>
    <n v="399"/>
    <n v="7.4"/>
    <n v="7"/>
    <x v="4"/>
    <n v="20"/>
    <n v="43"/>
    <s v="Yes"/>
    <s v="No"/>
    <s v="Yes"/>
    <s v="Yes"/>
    <s v="Yes"/>
    <s v="No"/>
    <m/>
    <x v="0"/>
    <n v="1"/>
  </r>
  <r>
    <n v="499"/>
    <d v="2024-09-11T00:00:00"/>
    <s v="Basic"/>
    <n v="199"/>
    <n v="24.4"/>
    <n v="7"/>
    <x v="3"/>
    <n v="20"/>
    <n v="17"/>
    <s v="No"/>
    <s v="No"/>
    <s v="Yes"/>
    <s v="Yes"/>
    <s v="Yes"/>
    <s v="No"/>
    <m/>
    <x v="0"/>
    <n v="0"/>
  </r>
  <r>
    <n v="500"/>
    <d v="2024-06-12T00:00:00"/>
    <s v="Premium"/>
    <n v="699"/>
    <n v="5.0999999999999996"/>
    <n v="3"/>
    <x v="2"/>
    <n v="6"/>
    <n v="47"/>
    <s v="Yes"/>
    <s v="No"/>
    <s v="Yes"/>
    <s v="No"/>
    <s v="Yes"/>
    <s v="No"/>
    <m/>
    <x v="0"/>
    <n v="1"/>
  </r>
  <r>
    <n v="501"/>
    <d v="2024-02-18T00:00:00"/>
    <s v="Standard"/>
    <n v="399"/>
    <n v="13.1"/>
    <n v="2"/>
    <x v="1"/>
    <n v="4"/>
    <n v="19"/>
    <s v="No"/>
    <s v="No"/>
    <s v="No"/>
    <s v="No"/>
    <s v="Yes"/>
    <s v="Yes"/>
    <m/>
    <x v="1"/>
    <n v="0"/>
  </r>
  <r>
    <n v="502"/>
    <d v="2023-07-25T00:00:00"/>
    <s v="Basic"/>
    <n v="199"/>
    <n v="22"/>
    <n v="0"/>
    <x v="0"/>
    <n v="34"/>
    <n v="12"/>
    <s v="No"/>
    <s v="No"/>
    <s v="Yes"/>
    <s v="No"/>
    <s v="No"/>
    <s v="No"/>
    <m/>
    <x v="0"/>
    <n v="0"/>
  </r>
  <r>
    <n v="503"/>
    <d v="2024-01-13T00:00:00"/>
    <s v="Basic"/>
    <n v="199"/>
    <n v="1.3"/>
    <n v="0"/>
    <x v="3"/>
    <n v="16"/>
    <n v="45"/>
    <s v="Yes"/>
    <s v="Yes"/>
    <s v="Yes"/>
    <s v="No"/>
    <s v="Yes"/>
    <s v="No"/>
    <m/>
    <x v="0"/>
    <n v="1"/>
  </r>
  <r>
    <n v="504"/>
    <d v="2024-05-15T00:00:00"/>
    <s v="Standard"/>
    <n v="399"/>
    <n v="10.199999999999999"/>
    <n v="1"/>
    <x v="4"/>
    <n v="33"/>
    <n v="1"/>
    <s v="Yes"/>
    <s v="No"/>
    <s v="Yes"/>
    <s v="No"/>
    <s v="No"/>
    <s v="No"/>
    <m/>
    <x v="0"/>
    <n v="1"/>
  </r>
  <r>
    <n v="505"/>
    <d v="2023-06-17T00:00:00"/>
    <s v="Premium"/>
    <n v="699"/>
    <n v="4.9000000000000004"/>
    <n v="7"/>
    <x v="5"/>
    <n v="29"/>
    <n v="35"/>
    <s v="Yes"/>
    <s v="Yes"/>
    <s v="Yes"/>
    <s v="Yes"/>
    <s v="Yes"/>
    <s v="No"/>
    <m/>
    <x v="0"/>
    <n v="1"/>
  </r>
  <r>
    <n v="506"/>
    <d v="2023-08-08T00:00:00"/>
    <s v="Standard"/>
    <n v="399"/>
    <n v="7.5"/>
    <n v="6"/>
    <x v="1"/>
    <n v="6"/>
    <n v="10"/>
    <s v="No"/>
    <s v="No"/>
    <s v="No"/>
    <s v="Yes"/>
    <s v="No"/>
    <s v="No"/>
    <m/>
    <x v="1"/>
    <n v="0"/>
  </r>
  <r>
    <n v="507"/>
    <d v="2024-11-29T00:00:00"/>
    <s v="Basic"/>
    <n v="199"/>
    <n v="17.100000000000001"/>
    <n v="4"/>
    <x v="4"/>
    <n v="15"/>
    <n v="26"/>
    <s v="Yes"/>
    <s v="No"/>
    <s v="Yes"/>
    <s v="No"/>
    <s v="Yes"/>
    <s v="No"/>
    <m/>
    <x v="0"/>
    <n v="1"/>
  </r>
  <r>
    <n v="508"/>
    <d v="2023-09-16T00:00:00"/>
    <s v="Basic"/>
    <n v="199"/>
    <n v="22.8"/>
    <n v="2"/>
    <x v="5"/>
    <n v="31"/>
    <n v="51"/>
    <s v="Yes"/>
    <s v="No"/>
    <s v="Yes"/>
    <s v="No"/>
    <s v="Yes"/>
    <s v="No"/>
    <m/>
    <x v="0"/>
    <n v="1"/>
  </r>
  <r>
    <n v="509"/>
    <d v="2023-12-24T00:00:00"/>
    <s v="Premium"/>
    <n v="699"/>
    <n v="18"/>
    <n v="4"/>
    <x v="2"/>
    <n v="20"/>
    <n v="57"/>
    <s v="Yes"/>
    <s v="No"/>
    <s v="Yes"/>
    <s v="No"/>
    <s v="Yes"/>
    <s v="No"/>
    <m/>
    <x v="0"/>
    <n v="1"/>
  </r>
  <r>
    <n v="510"/>
    <d v="2024-02-11T00:00:00"/>
    <s v="Standard"/>
    <n v="399"/>
    <n v="5.8"/>
    <n v="4"/>
    <x v="4"/>
    <n v="17"/>
    <n v="33"/>
    <s v="No"/>
    <s v="No"/>
    <s v="Yes"/>
    <s v="No"/>
    <s v="Yes"/>
    <s v="No"/>
    <m/>
    <x v="0"/>
    <n v="0"/>
  </r>
  <r>
    <n v="511"/>
    <d v="2023-10-17T00:00:00"/>
    <s v="Premium"/>
    <n v="699"/>
    <n v="0.7"/>
    <n v="5"/>
    <x v="5"/>
    <n v="7"/>
    <n v="41"/>
    <s v="Yes"/>
    <s v="Yes"/>
    <s v="Yes"/>
    <s v="Yes"/>
    <s v="Yes"/>
    <s v="No"/>
    <m/>
    <x v="0"/>
    <n v="1"/>
  </r>
  <r>
    <n v="512"/>
    <d v="2023-10-11T00:00:00"/>
    <s v="Standard"/>
    <n v="399"/>
    <n v="12.3"/>
    <n v="5"/>
    <x v="3"/>
    <n v="7"/>
    <n v="40"/>
    <s v="Yes"/>
    <s v="No"/>
    <s v="Yes"/>
    <s v="Yes"/>
    <s v="Yes"/>
    <s v="No"/>
    <m/>
    <x v="0"/>
    <n v="1"/>
  </r>
  <r>
    <n v="513"/>
    <d v="2024-09-06T00:00:00"/>
    <s v="Standard"/>
    <n v="399"/>
    <n v="5.0999999999999996"/>
    <n v="8"/>
    <x v="0"/>
    <n v="20"/>
    <n v="57"/>
    <s v="Yes"/>
    <s v="No"/>
    <s v="Yes"/>
    <s v="Yes"/>
    <s v="Yes"/>
    <s v="No"/>
    <m/>
    <x v="0"/>
    <n v="1"/>
  </r>
  <r>
    <n v="514"/>
    <d v="2023-09-23T00:00:00"/>
    <s v="Standard"/>
    <n v="399"/>
    <n v="17.2"/>
    <n v="0"/>
    <x v="4"/>
    <n v="21"/>
    <n v="31"/>
    <s v="No"/>
    <s v="No"/>
    <s v="Yes"/>
    <s v="No"/>
    <s v="Yes"/>
    <s v="No"/>
    <m/>
    <x v="0"/>
    <n v="0"/>
  </r>
  <r>
    <n v="515"/>
    <d v="2023-07-14T00:00:00"/>
    <s v="Standard"/>
    <n v="399"/>
    <n v="10"/>
    <n v="0"/>
    <x v="5"/>
    <n v="26"/>
    <n v="45"/>
    <s v="No"/>
    <s v="No"/>
    <s v="Yes"/>
    <s v="No"/>
    <s v="Yes"/>
    <s v="No"/>
    <m/>
    <x v="0"/>
    <n v="0"/>
  </r>
  <r>
    <n v="516"/>
    <d v="2023-06-24T00:00:00"/>
    <s v="Standard"/>
    <n v="399"/>
    <n v="17.3"/>
    <n v="7"/>
    <x v="4"/>
    <n v="15"/>
    <n v="22"/>
    <s v="Yes"/>
    <s v="No"/>
    <s v="Yes"/>
    <s v="Yes"/>
    <s v="Yes"/>
    <s v="No"/>
    <m/>
    <x v="0"/>
    <n v="1"/>
  </r>
  <r>
    <n v="517"/>
    <d v="2024-07-26T00:00:00"/>
    <s v="Premium"/>
    <n v="699"/>
    <n v="4.9000000000000004"/>
    <n v="1"/>
    <x v="2"/>
    <n v="36"/>
    <n v="8"/>
    <s v="No"/>
    <s v="Yes"/>
    <s v="Yes"/>
    <s v="No"/>
    <s v="No"/>
    <s v="No"/>
    <m/>
    <x v="0"/>
    <n v="0"/>
  </r>
  <r>
    <n v="518"/>
    <d v="2023-11-11T00:00:00"/>
    <s v="Basic"/>
    <n v="199"/>
    <n v="16.5"/>
    <n v="3"/>
    <x v="3"/>
    <n v="22"/>
    <n v="14"/>
    <s v="No"/>
    <s v="No"/>
    <s v="Yes"/>
    <s v="No"/>
    <s v="No"/>
    <s v="No"/>
    <m/>
    <x v="0"/>
    <n v="0"/>
  </r>
  <r>
    <n v="519"/>
    <d v="2023-02-24T00:00:00"/>
    <s v="Standard"/>
    <n v="399"/>
    <n v="9.6"/>
    <n v="4"/>
    <x v="2"/>
    <n v="22"/>
    <n v="54"/>
    <s v="Yes"/>
    <s v="No"/>
    <s v="Yes"/>
    <s v="No"/>
    <s v="Yes"/>
    <s v="No"/>
    <m/>
    <x v="0"/>
    <n v="1"/>
  </r>
  <r>
    <n v="520"/>
    <d v="2024-01-26T00:00:00"/>
    <s v="Premium"/>
    <n v="699"/>
    <n v="12.1"/>
    <n v="3"/>
    <x v="5"/>
    <n v="5"/>
    <n v="7"/>
    <s v="No"/>
    <s v="No"/>
    <s v="Yes"/>
    <s v="No"/>
    <s v="No"/>
    <s v="Yes"/>
    <m/>
    <x v="0"/>
    <n v="0"/>
  </r>
  <r>
    <n v="521"/>
    <d v="2024-08-06T00:00:00"/>
    <s v="Premium"/>
    <n v="699"/>
    <n v="10.6"/>
    <n v="2"/>
    <x v="0"/>
    <n v="20"/>
    <n v="12"/>
    <s v="No"/>
    <s v="No"/>
    <s v="Yes"/>
    <s v="No"/>
    <s v="No"/>
    <s v="No"/>
    <m/>
    <x v="0"/>
    <n v="0"/>
  </r>
  <r>
    <n v="522"/>
    <d v="2023-07-01T00:00:00"/>
    <s v="Standard"/>
    <n v="399"/>
    <n v="8.3000000000000007"/>
    <n v="2"/>
    <x v="1"/>
    <n v="10"/>
    <n v="31"/>
    <s v="Yes"/>
    <s v="No"/>
    <s v="No"/>
    <s v="No"/>
    <s v="Yes"/>
    <s v="No"/>
    <m/>
    <x v="1"/>
    <n v="1"/>
  </r>
  <r>
    <n v="523"/>
    <d v="2024-08-13T00:00:00"/>
    <s v="Standard"/>
    <n v="399"/>
    <n v="0.6"/>
    <n v="4"/>
    <x v="0"/>
    <n v="4"/>
    <n v="48"/>
    <s v="No"/>
    <s v="Yes"/>
    <s v="Yes"/>
    <s v="No"/>
    <s v="Yes"/>
    <s v="Yes"/>
    <m/>
    <x v="0"/>
    <n v="0"/>
  </r>
  <r>
    <n v="524"/>
    <d v="2024-03-15T00:00:00"/>
    <s v="Basic"/>
    <n v="199"/>
    <n v="19.7"/>
    <n v="1"/>
    <x v="0"/>
    <n v="32"/>
    <n v="39"/>
    <s v="No"/>
    <s v="No"/>
    <s v="Yes"/>
    <s v="No"/>
    <s v="Yes"/>
    <s v="No"/>
    <m/>
    <x v="0"/>
    <n v="0"/>
  </r>
  <r>
    <n v="525"/>
    <d v="2024-01-18T00:00:00"/>
    <s v="Standard"/>
    <n v="399"/>
    <n v="24.2"/>
    <n v="6"/>
    <x v="1"/>
    <n v="28"/>
    <n v="2"/>
    <s v="No"/>
    <s v="No"/>
    <s v="No"/>
    <s v="Yes"/>
    <s v="No"/>
    <s v="No"/>
    <m/>
    <x v="1"/>
    <n v="0"/>
  </r>
  <r>
    <n v="526"/>
    <d v="2024-10-03T00:00:00"/>
    <s v="Basic"/>
    <n v="199"/>
    <n v="19"/>
    <n v="8"/>
    <x v="0"/>
    <n v="21"/>
    <n v="1"/>
    <s v="No"/>
    <s v="No"/>
    <s v="Yes"/>
    <s v="Yes"/>
    <s v="No"/>
    <s v="No"/>
    <m/>
    <x v="0"/>
    <n v="0"/>
  </r>
  <r>
    <n v="527"/>
    <d v="2024-05-30T00:00:00"/>
    <s v="Premium"/>
    <n v="699"/>
    <n v="6"/>
    <n v="5"/>
    <x v="3"/>
    <n v="16"/>
    <n v="8"/>
    <s v="Yes"/>
    <s v="No"/>
    <s v="Yes"/>
    <s v="Yes"/>
    <s v="No"/>
    <s v="No"/>
    <m/>
    <x v="0"/>
    <n v="1"/>
  </r>
  <r>
    <n v="528"/>
    <d v="2024-06-16T00:00:00"/>
    <s v="Premium"/>
    <n v="699"/>
    <n v="4.5999999999999996"/>
    <n v="0"/>
    <x v="3"/>
    <n v="20"/>
    <n v="60"/>
    <s v="Yes"/>
    <s v="Yes"/>
    <s v="Yes"/>
    <s v="No"/>
    <s v="Yes"/>
    <s v="No"/>
    <m/>
    <x v="0"/>
    <n v="1"/>
  </r>
  <r>
    <n v="529"/>
    <d v="2023-07-12T00:00:00"/>
    <s v="Premium"/>
    <n v="699"/>
    <n v="8.8000000000000007"/>
    <n v="2"/>
    <x v="3"/>
    <n v="34"/>
    <n v="57"/>
    <s v="Yes"/>
    <s v="No"/>
    <s v="Yes"/>
    <s v="No"/>
    <s v="Yes"/>
    <s v="No"/>
    <m/>
    <x v="0"/>
    <n v="1"/>
  </r>
  <r>
    <n v="530"/>
    <d v="2023-01-23T00:00:00"/>
    <s v="Basic"/>
    <n v="199"/>
    <n v="1"/>
    <n v="3"/>
    <x v="4"/>
    <n v="26"/>
    <n v="8"/>
    <s v="Yes"/>
    <s v="Yes"/>
    <s v="Yes"/>
    <s v="No"/>
    <s v="No"/>
    <s v="No"/>
    <m/>
    <x v="0"/>
    <n v="1"/>
  </r>
  <r>
    <n v="531"/>
    <d v="2024-01-20T00:00:00"/>
    <s v="Premium"/>
    <n v="699"/>
    <n v="4.5999999999999996"/>
    <n v="5"/>
    <x v="4"/>
    <n v="33"/>
    <n v="41"/>
    <s v="Yes"/>
    <s v="Yes"/>
    <s v="Yes"/>
    <s v="Yes"/>
    <s v="Yes"/>
    <s v="No"/>
    <m/>
    <x v="0"/>
    <n v="1"/>
  </r>
  <r>
    <n v="532"/>
    <d v="2024-10-31T00:00:00"/>
    <s v="Premium"/>
    <n v="699"/>
    <n v="19.399999999999999"/>
    <n v="0"/>
    <x v="5"/>
    <n v="17"/>
    <n v="3"/>
    <s v="No"/>
    <s v="No"/>
    <s v="Yes"/>
    <s v="No"/>
    <s v="No"/>
    <s v="No"/>
    <m/>
    <x v="0"/>
    <n v="0"/>
  </r>
  <r>
    <n v="533"/>
    <d v="2023-09-16T00:00:00"/>
    <s v="Basic"/>
    <n v="199"/>
    <n v="17.399999999999999"/>
    <n v="6"/>
    <x v="2"/>
    <n v="4"/>
    <n v="24"/>
    <s v="Yes"/>
    <s v="No"/>
    <s v="Yes"/>
    <s v="Yes"/>
    <s v="Yes"/>
    <s v="Yes"/>
    <m/>
    <x v="0"/>
    <n v="1"/>
  </r>
  <r>
    <n v="534"/>
    <d v="2024-11-09T00:00:00"/>
    <s v="Standard"/>
    <n v="399"/>
    <n v="5.5"/>
    <n v="0"/>
    <x v="3"/>
    <n v="10"/>
    <n v="26"/>
    <s v="No"/>
    <s v="No"/>
    <s v="Yes"/>
    <s v="No"/>
    <s v="Yes"/>
    <s v="No"/>
    <m/>
    <x v="0"/>
    <n v="0"/>
  </r>
  <r>
    <n v="535"/>
    <d v="2024-06-07T00:00:00"/>
    <s v="Premium"/>
    <n v="699"/>
    <n v="15.8"/>
    <n v="2"/>
    <x v="2"/>
    <n v="18"/>
    <n v="53"/>
    <s v="No"/>
    <s v="No"/>
    <s v="Yes"/>
    <s v="No"/>
    <s v="Yes"/>
    <s v="No"/>
    <m/>
    <x v="0"/>
    <n v="0"/>
  </r>
  <r>
    <n v="536"/>
    <d v="2023-09-27T00:00:00"/>
    <s v="Premium"/>
    <n v="699"/>
    <n v="7.4"/>
    <n v="1"/>
    <x v="2"/>
    <n v="8"/>
    <n v="12"/>
    <s v="No"/>
    <s v="No"/>
    <s v="Yes"/>
    <s v="No"/>
    <s v="No"/>
    <s v="No"/>
    <m/>
    <x v="0"/>
    <n v="0"/>
  </r>
  <r>
    <n v="537"/>
    <d v="2024-05-23T00:00:00"/>
    <s v="Premium"/>
    <n v="699"/>
    <n v="9.3000000000000007"/>
    <n v="6"/>
    <x v="3"/>
    <n v="13"/>
    <n v="10"/>
    <s v="Yes"/>
    <s v="No"/>
    <s v="Yes"/>
    <s v="Yes"/>
    <s v="No"/>
    <s v="No"/>
    <m/>
    <x v="0"/>
    <n v="1"/>
  </r>
  <r>
    <n v="538"/>
    <d v="2023-04-24T00:00:00"/>
    <s v="Basic"/>
    <n v="199"/>
    <n v="8.6"/>
    <n v="0"/>
    <x v="1"/>
    <n v="31"/>
    <n v="42"/>
    <s v="Yes"/>
    <s v="No"/>
    <s v="No"/>
    <s v="No"/>
    <s v="Yes"/>
    <s v="No"/>
    <m/>
    <x v="1"/>
    <n v="1"/>
  </r>
  <r>
    <n v="539"/>
    <d v="2023-04-14T00:00:00"/>
    <s v="Premium"/>
    <n v="699"/>
    <n v="4.2"/>
    <n v="1"/>
    <x v="5"/>
    <n v="32"/>
    <n v="4"/>
    <s v="No"/>
    <s v="Yes"/>
    <s v="Yes"/>
    <s v="No"/>
    <s v="No"/>
    <s v="No"/>
    <m/>
    <x v="0"/>
    <n v="0"/>
  </r>
  <r>
    <n v="540"/>
    <d v="2023-06-28T00:00:00"/>
    <s v="Standard"/>
    <n v="399"/>
    <n v="11.7"/>
    <n v="4"/>
    <x v="3"/>
    <n v="15"/>
    <n v="29"/>
    <s v="Yes"/>
    <s v="No"/>
    <s v="Yes"/>
    <s v="No"/>
    <s v="Yes"/>
    <s v="No"/>
    <m/>
    <x v="0"/>
    <n v="1"/>
  </r>
  <r>
    <n v="541"/>
    <d v="2023-02-16T00:00:00"/>
    <s v="Basic"/>
    <n v="199"/>
    <n v="9.3000000000000007"/>
    <n v="5"/>
    <x v="2"/>
    <n v="19"/>
    <n v="47"/>
    <s v="Yes"/>
    <s v="No"/>
    <s v="Yes"/>
    <s v="Yes"/>
    <s v="Yes"/>
    <s v="No"/>
    <m/>
    <x v="0"/>
    <n v="1"/>
  </r>
  <r>
    <n v="542"/>
    <d v="2024-09-28T00:00:00"/>
    <s v="Basic"/>
    <n v="199"/>
    <n v="16.8"/>
    <n v="2"/>
    <x v="3"/>
    <n v="9"/>
    <n v="22"/>
    <s v="No"/>
    <s v="No"/>
    <s v="Yes"/>
    <s v="No"/>
    <s v="Yes"/>
    <s v="No"/>
    <m/>
    <x v="0"/>
    <n v="0"/>
  </r>
  <r>
    <n v="543"/>
    <d v="2024-04-12T00:00:00"/>
    <s v="Standard"/>
    <n v="399"/>
    <n v="9.6"/>
    <n v="5"/>
    <x v="0"/>
    <n v="6"/>
    <n v="7"/>
    <s v="No"/>
    <s v="No"/>
    <s v="Yes"/>
    <s v="Yes"/>
    <s v="No"/>
    <s v="No"/>
    <m/>
    <x v="0"/>
    <n v="0"/>
  </r>
  <r>
    <n v="544"/>
    <d v="2023-06-20T00:00:00"/>
    <s v="Standard"/>
    <n v="399"/>
    <n v="17.399999999999999"/>
    <n v="7"/>
    <x v="2"/>
    <n v="25"/>
    <n v="41"/>
    <s v="No"/>
    <s v="No"/>
    <s v="Yes"/>
    <s v="Yes"/>
    <s v="Yes"/>
    <s v="No"/>
    <m/>
    <x v="0"/>
    <n v="0"/>
  </r>
  <r>
    <n v="545"/>
    <d v="2024-08-27T00:00:00"/>
    <s v="Basic"/>
    <n v="199"/>
    <n v="17.600000000000001"/>
    <n v="0"/>
    <x v="0"/>
    <n v="9"/>
    <n v="6"/>
    <s v="No"/>
    <s v="No"/>
    <s v="Yes"/>
    <s v="No"/>
    <s v="No"/>
    <s v="No"/>
    <m/>
    <x v="0"/>
    <n v="0"/>
  </r>
  <r>
    <n v="546"/>
    <d v="2024-12-01T00:00:00"/>
    <s v="Standard"/>
    <n v="399"/>
    <n v="4.9000000000000004"/>
    <n v="6"/>
    <x v="3"/>
    <n v="29"/>
    <n v="39"/>
    <s v="Yes"/>
    <s v="Yes"/>
    <s v="Yes"/>
    <s v="Yes"/>
    <s v="Yes"/>
    <s v="No"/>
    <m/>
    <x v="0"/>
    <n v="1"/>
  </r>
  <r>
    <n v="547"/>
    <d v="2023-02-17T00:00:00"/>
    <s v="Premium"/>
    <n v="699"/>
    <n v="12.3"/>
    <n v="7"/>
    <x v="1"/>
    <n v="9"/>
    <n v="56"/>
    <s v="Yes"/>
    <s v="No"/>
    <s v="No"/>
    <s v="Yes"/>
    <s v="Yes"/>
    <s v="No"/>
    <m/>
    <x v="1"/>
    <n v="1"/>
  </r>
  <r>
    <n v="548"/>
    <d v="2024-08-13T00:00:00"/>
    <s v="Basic"/>
    <n v="199"/>
    <n v="16.5"/>
    <n v="0"/>
    <x v="4"/>
    <n v="17"/>
    <n v="55"/>
    <s v="No"/>
    <s v="No"/>
    <s v="Yes"/>
    <s v="No"/>
    <s v="Yes"/>
    <s v="No"/>
    <m/>
    <x v="0"/>
    <n v="0"/>
  </r>
  <r>
    <n v="549"/>
    <d v="2024-09-25T00:00:00"/>
    <s v="Premium"/>
    <n v="699"/>
    <n v="24.5"/>
    <n v="5"/>
    <x v="5"/>
    <n v="15"/>
    <n v="33"/>
    <s v="Yes"/>
    <s v="No"/>
    <s v="Yes"/>
    <s v="Yes"/>
    <s v="Yes"/>
    <s v="No"/>
    <m/>
    <x v="0"/>
    <n v="1"/>
  </r>
  <r>
    <n v="550"/>
    <d v="2024-10-18T00:00:00"/>
    <s v="Basic"/>
    <n v="199"/>
    <n v="16.7"/>
    <n v="3"/>
    <x v="2"/>
    <n v="28"/>
    <n v="22"/>
    <s v="No"/>
    <s v="No"/>
    <s v="Yes"/>
    <s v="No"/>
    <s v="Yes"/>
    <s v="No"/>
    <m/>
    <x v="0"/>
    <n v="0"/>
  </r>
  <r>
    <n v="551"/>
    <d v="2023-06-10T00:00:00"/>
    <s v="Standard"/>
    <n v="399"/>
    <n v="21.1"/>
    <n v="8"/>
    <x v="5"/>
    <n v="10"/>
    <n v="3"/>
    <s v="Yes"/>
    <s v="No"/>
    <s v="Yes"/>
    <s v="Yes"/>
    <s v="No"/>
    <s v="No"/>
    <m/>
    <x v="0"/>
    <n v="1"/>
  </r>
  <r>
    <n v="552"/>
    <d v="2023-09-04T00:00:00"/>
    <s v="Premium"/>
    <n v="699"/>
    <n v="21.4"/>
    <n v="2"/>
    <x v="1"/>
    <n v="31"/>
    <n v="48"/>
    <s v="No"/>
    <s v="No"/>
    <s v="No"/>
    <s v="No"/>
    <s v="Yes"/>
    <s v="No"/>
    <m/>
    <x v="1"/>
    <n v="0"/>
  </r>
  <r>
    <n v="553"/>
    <d v="2023-08-29T00:00:00"/>
    <s v="Standard"/>
    <n v="399"/>
    <n v="1.7"/>
    <n v="3"/>
    <x v="5"/>
    <n v="18"/>
    <n v="41"/>
    <s v="Yes"/>
    <s v="Yes"/>
    <s v="Yes"/>
    <s v="No"/>
    <s v="Yes"/>
    <s v="No"/>
    <m/>
    <x v="0"/>
    <n v="1"/>
  </r>
  <r>
    <n v="554"/>
    <d v="2023-11-20T00:00:00"/>
    <s v="Basic"/>
    <n v="199"/>
    <n v="11.4"/>
    <n v="7"/>
    <x v="1"/>
    <n v="30"/>
    <n v="54"/>
    <s v="Yes"/>
    <s v="No"/>
    <s v="No"/>
    <s v="Yes"/>
    <s v="Yes"/>
    <s v="No"/>
    <m/>
    <x v="1"/>
    <n v="1"/>
  </r>
  <r>
    <n v="555"/>
    <d v="2024-07-24T00:00:00"/>
    <s v="Basic"/>
    <n v="199"/>
    <n v="18.8"/>
    <n v="0"/>
    <x v="1"/>
    <n v="32"/>
    <n v="25"/>
    <s v="No"/>
    <s v="No"/>
    <s v="No"/>
    <s v="No"/>
    <s v="Yes"/>
    <s v="No"/>
    <m/>
    <x v="1"/>
    <n v="0"/>
  </r>
  <r>
    <n v="556"/>
    <d v="2024-11-18T00:00:00"/>
    <s v="Premium"/>
    <n v="699"/>
    <n v="20.7"/>
    <n v="4"/>
    <x v="5"/>
    <n v="1"/>
    <n v="35"/>
    <s v="Yes"/>
    <s v="No"/>
    <s v="Yes"/>
    <s v="No"/>
    <s v="Yes"/>
    <s v="Yes"/>
    <m/>
    <x v="0"/>
    <n v="1"/>
  </r>
  <r>
    <n v="557"/>
    <d v="2024-07-27T00:00:00"/>
    <s v="Standard"/>
    <n v="399"/>
    <n v="9.4"/>
    <n v="0"/>
    <x v="0"/>
    <n v="22"/>
    <n v="54"/>
    <s v="No"/>
    <s v="No"/>
    <s v="Yes"/>
    <s v="No"/>
    <s v="Yes"/>
    <s v="No"/>
    <m/>
    <x v="0"/>
    <n v="0"/>
  </r>
  <r>
    <n v="558"/>
    <d v="2024-11-05T00:00:00"/>
    <s v="Premium"/>
    <n v="699"/>
    <n v="18.100000000000001"/>
    <n v="5"/>
    <x v="4"/>
    <n v="31"/>
    <n v="28"/>
    <s v="Yes"/>
    <s v="No"/>
    <s v="Yes"/>
    <s v="Yes"/>
    <s v="Yes"/>
    <s v="No"/>
    <m/>
    <x v="0"/>
    <n v="1"/>
  </r>
  <r>
    <n v="559"/>
    <d v="2023-04-19T00:00:00"/>
    <s v="Basic"/>
    <n v="199"/>
    <n v="8.9"/>
    <n v="4"/>
    <x v="5"/>
    <n v="1"/>
    <n v="33"/>
    <s v="Yes"/>
    <s v="No"/>
    <s v="Yes"/>
    <s v="No"/>
    <s v="Yes"/>
    <s v="Yes"/>
    <m/>
    <x v="0"/>
    <n v="1"/>
  </r>
  <r>
    <n v="560"/>
    <d v="2023-07-12T00:00:00"/>
    <s v="Basic"/>
    <n v="199"/>
    <n v="12.6"/>
    <n v="6"/>
    <x v="1"/>
    <n v="11"/>
    <n v="16"/>
    <s v="No"/>
    <s v="No"/>
    <s v="No"/>
    <s v="Yes"/>
    <s v="Yes"/>
    <s v="No"/>
    <m/>
    <x v="1"/>
    <n v="0"/>
  </r>
  <r>
    <n v="561"/>
    <d v="2024-02-29T00:00:00"/>
    <s v="Basic"/>
    <n v="199"/>
    <n v="5.8"/>
    <n v="3"/>
    <x v="4"/>
    <n v="26"/>
    <n v="21"/>
    <s v="Yes"/>
    <s v="No"/>
    <s v="Yes"/>
    <s v="No"/>
    <s v="Yes"/>
    <s v="No"/>
    <m/>
    <x v="0"/>
    <n v="1"/>
  </r>
  <r>
    <n v="562"/>
    <d v="2024-05-31T00:00:00"/>
    <s v="Basic"/>
    <n v="199"/>
    <n v="19.399999999999999"/>
    <n v="7"/>
    <x v="2"/>
    <n v="8"/>
    <n v="42"/>
    <s v="Yes"/>
    <s v="No"/>
    <s v="Yes"/>
    <s v="Yes"/>
    <s v="Yes"/>
    <s v="No"/>
    <m/>
    <x v="0"/>
    <n v="1"/>
  </r>
  <r>
    <n v="563"/>
    <d v="2024-08-22T00:00:00"/>
    <s v="Basic"/>
    <n v="199"/>
    <n v="0.6"/>
    <n v="0"/>
    <x v="5"/>
    <n v="32"/>
    <n v="59"/>
    <s v="Yes"/>
    <s v="Yes"/>
    <s v="Yes"/>
    <s v="No"/>
    <s v="Yes"/>
    <s v="No"/>
    <m/>
    <x v="0"/>
    <n v="1"/>
  </r>
  <r>
    <n v="564"/>
    <d v="2023-05-12T00:00:00"/>
    <s v="Standard"/>
    <n v="399"/>
    <n v="19.600000000000001"/>
    <n v="2"/>
    <x v="4"/>
    <n v="33"/>
    <n v="37"/>
    <s v="Yes"/>
    <s v="No"/>
    <s v="Yes"/>
    <s v="No"/>
    <s v="Yes"/>
    <s v="No"/>
    <m/>
    <x v="0"/>
    <n v="1"/>
  </r>
  <r>
    <n v="565"/>
    <d v="2024-09-15T00:00:00"/>
    <s v="Basic"/>
    <n v="199"/>
    <n v="16.600000000000001"/>
    <n v="5"/>
    <x v="5"/>
    <n v="25"/>
    <n v="56"/>
    <s v="Yes"/>
    <s v="No"/>
    <s v="Yes"/>
    <s v="Yes"/>
    <s v="Yes"/>
    <s v="No"/>
    <m/>
    <x v="0"/>
    <n v="1"/>
  </r>
  <r>
    <n v="566"/>
    <d v="2023-05-22T00:00:00"/>
    <s v="Premium"/>
    <n v="699"/>
    <n v="7.2"/>
    <n v="5"/>
    <x v="3"/>
    <n v="16"/>
    <n v="28"/>
    <s v="No"/>
    <s v="No"/>
    <s v="Yes"/>
    <s v="Yes"/>
    <s v="Yes"/>
    <s v="No"/>
    <m/>
    <x v="0"/>
    <n v="0"/>
  </r>
  <r>
    <n v="567"/>
    <d v="2024-07-20T00:00:00"/>
    <s v="Standard"/>
    <n v="399"/>
    <n v="7.8"/>
    <n v="8"/>
    <x v="3"/>
    <n v="33"/>
    <n v="45"/>
    <s v="Yes"/>
    <s v="No"/>
    <s v="Yes"/>
    <s v="Yes"/>
    <s v="Yes"/>
    <s v="No"/>
    <m/>
    <x v="0"/>
    <n v="1"/>
  </r>
  <r>
    <n v="568"/>
    <d v="2023-05-16T00:00:00"/>
    <s v="Premium"/>
    <n v="699"/>
    <n v="5.4"/>
    <n v="4"/>
    <x v="4"/>
    <n v="14"/>
    <n v="22"/>
    <s v="No"/>
    <s v="No"/>
    <s v="Yes"/>
    <s v="No"/>
    <s v="Yes"/>
    <s v="No"/>
    <m/>
    <x v="0"/>
    <n v="0"/>
  </r>
  <r>
    <n v="569"/>
    <d v="2024-07-29T00:00:00"/>
    <s v="Premium"/>
    <n v="699"/>
    <n v="12.8"/>
    <n v="5"/>
    <x v="4"/>
    <n v="12"/>
    <n v="7"/>
    <s v="No"/>
    <s v="No"/>
    <s v="Yes"/>
    <s v="Yes"/>
    <s v="No"/>
    <s v="No"/>
    <m/>
    <x v="0"/>
    <n v="0"/>
  </r>
  <r>
    <n v="570"/>
    <d v="2023-01-14T00:00:00"/>
    <s v="Standard"/>
    <n v="399"/>
    <n v="17"/>
    <n v="8"/>
    <x v="3"/>
    <n v="27"/>
    <n v="56"/>
    <s v="No"/>
    <s v="No"/>
    <s v="Yes"/>
    <s v="Yes"/>
    <s v="Yes"/>
    <s v="No"/>
    <m/>
    <x v="0"/>
    <n v="0"/>
  </r>
  <r>
    <n v="571"/>
    <d v="2023-10-01T00:00:00"/>
    <s v="Premium"/>
    <n v="699"/>
    <n v="1.1000000000000001"/>
    <n v="2"/>
    <x v="1"/>
    <n v="7"/>
    <n v="42"/>
    <s v="Yes"/>
    <s v="Yes"/>
    <s v="No"/>
    <s v="No"/>
    <s v="Yes"/>
    <s v="No"/>
    <m/>
    <x v="1"/>
    <n v="1"/>
  </r>
  <r>
    <n v="572"/>
    <d v="2023-07-28T00:00:00"/>
    <s v="Basic"/>
    <n v="199"/>
    <n v="17.2"/>
    <n v="2"/>
    <x v="1"/>
    <n v="19"/>
    <n v="44"/>
    <s v="No"/>
    <s v="No"/>
    <s v="No"/>
    <s v="No"/>
    <s v="Yes"/>
    <s v="No"/>
    <m/>
    <x v="1"/>
    <n v="0"/>
  </r>
  <r>
    <n v="573"/>
    <d v="2024-07-29T00:00:00"/>
    <s v="Premium"/>
    <n v="699"/>
    <n v="9.3000000000000007"/>
    <n v="7"/>
    <x v="1"/>
    <n v="3"/>
    <n v="39"/>
    <s v="No"/>
    <s v="No"/>
    <s v="No"/>
    <s v="Yes"/>
    <s v="Yes"/>
    <s v="Yes"/>
    <m/>
    <x v="1"/>
    <n v="0"/>
  </r>
  <r>
    <n v="574"/>
    <d v="2023-02-18T00:00:00"/>
    <s v="Basic"/>
    <n v="199"/>
    <n v="10"/>
    <n v="8"/>
    <x v="4"/>
    <n v="36"/>
    <n v="18"/>
    <s v="No"/>
    <s v="No"/>
    <s v="Yes"/>
    <s v="Yes"/>
    <s v="Yes"/>
    <s v="No"/>
    <m/>
    <x v="0"/>
    <n v="0"/>
  </r>
  <r>
    <n v="575"/>
    <d v="2023-09-15T00:00:00"/>
    <s v="Standard"/>
    <n v="399"/>
    <n v="10.7"/>
    <n v="5"/>
    <x v="5"/>
    <n v="25"/>
    <n v="3"/>
    <s v="Yes"/>
    <s v="No"/>
    <s v="Yes"/>
    <s v="Yes"/>
    <s v="No"/>
    <s v="No"/>
    <m/>
    <x v="0"/>
    <n v="1"/>
  </r>
  <r>
    <n v="576"/>
    <d v="2023-07-21T00:00:00"/>
    <s v="Basic"/>
    <n v="199"/>
    <n v="20.8"/>
    <n v="5"/>
    <x v="5"/>
    <n v="29"/>
    <n v="34"/>
    <s v="Yes"/>
    <s v="No"/>
    <s v="Yes"/>
    <s v="Yes"/>
    <s v="Yes"/>
    <s v="No"/>
    <m/>
    <x v="0"/>
    <n v="1"/>
  </r>
  <r>
    <n v="577"/>
    <d v="2023-06-27T00:00:00"/>
    <s v="Premium"/>
    <n v="699"/>
    <n v="7.7"/>
    <n v="2"/>
    <x v="4"/>
    <n v="13"/>
    <n v="4"/>
    <s v="Yes"/>
    <s v="No"/>
    <s v="Yes"/>
    <s v="No"/>
    <s v="No"/>
    <s v="No"/>
    <m/>
    <x v="0"/>
    <n v="1"/>
  </r>
  <r>
    <n v="578"/>
    <d v="2023-05-14T00:00:00"/>
    <s v="Premium"/>
    <n v="699"/>
    <n v="3.4"/>
    <n v="0"/>
    <x v="2"/>
    <n v="33"/>
    <n v="17"/>
    <s v="Yes"/>
    <s v="Yes"/>
    <s v="Yes"/>
    <s v="No"/>
    <s v="Yes"/>
    <s v="No"/>
    <m/>
    <x v="0"/>
    <n v="1"/>
  </r>
  <r>
    <n v="579"/>
    <d v="2023-06-07T00:00:00"/>
    <s v="Basic"/>
    <n v="199"/>
    <n v="0.6"/>
    <n v="7"/>
    <x v="4"/>
    <n v="17"/>
    <n v="59"/>
    <s v="Yes"/>
    <s v="Yes"/>
    <s v="Yes"/>
    <s v="Yes"/>
    <s v="Yes"/>
    <s v="No"/>
    <m/>
    <x v="0"/>
    <n v="1"/>
  </r>
  <r>
    <n v="580"/>
    <d v="2024-01-02T00:00:00"/>
    <s v="Standard"/>
    <n v="399"/>
    <n v="19.5"/>
    <n v="4"/>
    <x v="2"/>
    <n v="4"/>
    <n v="50"/>
    <s v="Yes"/>
    <s v="No"/>
    <s v="Yes"/>
    <s v="No"/>
    <s v="Yes"/>
    <s v="Yes"/>
    <m/>
    <x v="0"/>
    <n v="1"/>
  </r>
  <r>
    <n v="581"/>
    <d v="2023-06-13T00:00:00"/>
    <s v="Basic"/>
    <n v="199"/>
    <n v="13.4"/>
    <n v="2"/>
    <x v="5"/>
    <n v="21"/>
    <n v="4"/>
    <s v="No"/>
    <s v="No"/>
    <s v="Yes"/>
    <s v="No"/>
    <s v="No"/>
    <s v="No"/>
    <m/>
    <x v="0"/>
    <n v="0"/>
  </r>
  <r>
    <n v="582"/>
    <d v="2024-11-10T00:00:00"/>
    <s v="Standard"/>
    <n v="399"/>
    <n v="13.7"/>
    <n v="1"/>
    <x v="3"/>
    <n v="35"/>
    <n v="14"/>
    <s v="No"/>
    <s v="No"/>
    <s v="Yes"/>
    <s v="No"/>
    <s v="No"/>
    <s v="No"/>
    <m/>
    <x v="0"/>
    <n v="0"/>
  </r>
  <r>
    <n v="583"/>
    <d v="2024-07-28T00:00:00"/>
    <s v="Standard"/>
    <n v="399"/>
    <n v="9.3000000000000007"/>
    <n v="3"/>
    <x v="5"/>
    <n v="22"/>
    <n v="33"/>
    <s v="Yes"/>
    <s v="No"/>
    <s v="Yes"/>
    <s v="No"/>
    <s v="Yes"/>
    <s v="No"/>
    <m/>
    <x v="0"/>
    <n v="1"/>
  </r>
  <r>
    <n v="584"/>
    <d v="2024-09-20T00:00:00"/>
    <s v="Premium"/>
    <n v="699"/>
    <n v="3.3"/>
    <n v="5"/>
    <x v="2"/>
    <n v="1"/>
    <n v="15"/>
    <s v="No"/>
    <s v="Yes"/>
    <s v="Yes"/>
    <s v="Yes"/>
    <s v="Yes"/>
    <s v="Yes"/>
    <m/>
    <x v="0"/>
    <n v="0"/>
  </r>
  <r>
    <n v="585"/>
    <d v="2023-04-27T00:00:00"/>
    <s v="Premium"/>
    <n v="699"/>
    <n v="24"/>
    <n v="5"/>
    <x v="2"/>
    <n v="16"/>
    <n v="58"/>
    <s v="No"/>
    <s v="No"/>
    <s v="Yes"/>
    <s v="Yes"/>
    <s v="Yes"/>
    <s v="No"/>
    <m/>
    <x v="0"/>
    <n v="0"/>
  </r>
  <r>
    <n v="586"/>
    <d v="2024-01-19T00:00:00"/>
    <s v="Standard"/>
    <n v="399"/>
    <n v="13.7"/>
    <n v="4"/>
    <x v="1"/>
    <n v="17"/>
    <n v="58"/>
    <s v="No"/>
    <s v="No"/>
    <s v="No"/>
    <s v="No"/>
    <s v="Yes"/>
    <s v="No"/>
    <m/>
    <x v="1"/>
    <n v="0"/>
  </r>
  <r>
    <n v="587"/>
    <d v="2023-11-25T00:00:00"/>
    <s v="Premium"/>
    <n v="699"/>
    <n v="11.4"/>
    <n v="0"/>
    <x v="3"/>
    <n v="33"/>
    <n v="57"/>
    <s v="No"/>
    <s v="No"/>
    <s v="Yes"/>
    <s v="No"/>
    <s v="Yes"/>
    <s v="No"/>
    <m/>
    <x v="0"/>
    <n v="0"/>
  </r>
  <r>
    <n v="588"/>
    <d v="2023-03-09T00:00:00"/>
    <s v="Premium"/>
    <n v="699"/>
    <n v="23.7"/>
    <n v="2"/>
    <x v="5"/>
    <n v="6"/>
    <n v="34"/>
    <s v="Yes"/>
    <s v="No"/>
    <s v="Yes"/>
    <s v="No"/>
    <s v="Yes"/>
    <s v="No"/>
    <m/>
    <x v="0"/>
    <n v="1"/>
  </r>
  <r>
    <n v="589"/>
    <d v="2024-12-20T00:00:00"/>
    <s v="Basic"/>
    <n v="199"/>
    <n v="21.7"/>
    <n v="6"/>
    <x v="1"/>
    <n v="14"/>
    <n v="13"/>
    <s v="No"/>
    <s v="No"/>
    <s v="No"/>
    <s v="Yes"/>
    <s v="No"/>
    <s v="No"/>
    <m/>
    <x v="1"/>
    <n v="0"/>
  </r>
  <r>
    <n v="590"/>
    <d v="2024-04-15T00:00:00"/>
    <s v="Premium"/>
    <n v="699"/>
    <n v="16.3"/>
    <n v="1"/>
    <x v="4"/>
    <n v="28"/>
    <n v="43"/>
    <s v="Yes"/>
    <s v="No"/>
    <s v="Yes"/>
    <s v="No"/>
    <s v="Yes"/>
    <s v="No"/>
    <m/>
    <x v="0"/>
    <n v="1"/>
  </r>
  <r>
    <n v="591"/>
    <d v="2024-07-25T00:00:00"/>
    <s v="Premium"/>
    <n v="699"/>
    <n v="1.4"/>
    <n v="1"/>
    <x v="1"/>
    <n v="22"/>
    <n v="11"/>
    <s v="No"/>
    <s v="Yes"/>
    <s v="No"/>
    <s v="No"/>
    <s v="No"/>
    <s v="No"/>
    <m/>
    <x v="1"/>
    <n v="0"/>
  </r>
  <r>
    <n v="592"/>
    <d v="2024-03-19T00:00:00"/>
    <s v="Basic"/>
    <n v="199"/>
    <n v="22.8"/>
    <n v="6"/>
    <x v="2"/>
    <n v="15"/>
    <n v="28"/>
    <s v="Yes"/>
    <s v="No"/>
    <s v="Yes"/>
    <s v="Yes"/>
    <s v="Yes"/>
    <s v="No"/>
    <m/>
    <x v="0"/>
    <n v="1"/>
  </r>
  <r>
    <n v="593"/>
    <d v="2024-09-25T00:00:00"/>
    <s v="Standard"/>
    <n v="399"/>
    <n v="10"/>
    <n v="1"/>
    <x v="5"/>
    <n v="2"/>
    <n v="0"/>
    <s v="No"/>
    <s v="No"/>
    <s v="Yes"/>
    <s v="No"/>
    <s v="No"/>
    <s v="Yes"/>
    <m/>
    <x v="0"/>
    <n v="0"/>
  </r>
  <r>
    <n v="594"/>
    <d v="2023-10-24T00:00:00"/>
    <s v="Basic"/>
    <n v="199"/>
    <n v="17.7"/>
    <n v="1"/>
    <x v="3"/>
    <n v="3"/>
    <n v="59"/>
    <s v="Yes"/>
    <s v="No"/>
    <s v="Yes"/>
    <s v="No"/>
    <s v="Yes"/>
    <s v="Yes"/>
    <m/>
    <x v="0"/>
    <n v="1"/>
  </r>
  <r>
    <n v="595"/>
    <d v="2024-11-07T00:00:00"/>
    <s v="Premium"/>
    <n v="699"/>
    <n v="15.4"/>
    <n v="4"/>
    <x v="2"/>
    <n v="20"/>
    <n v="24"/>
    <s v="Yes"/>
    <s v="No"/>
    <s v="Yes"/>
    <s v="No"/>
    <s v="Yes"/>
    <s v="No"/>
    <m/>
    <x v="0"/>
    <n v="1"/>
  </r>
  <r>
    <n v="596"/>
    <d v="2024-07-12T00:00:00"/>
    <s v="Basic"/>
    <n v="199"/>
    <n v="4.3"/>
    <n v="3"/>
    <x v="0"/>
    <n v="31"/>
    <n v="47"/>
    <s v="Yes"/>
    <s v="Yes"/>
    <s v="Yes"/>
    <s v="No"/>
    <s v="Yes"/>
    <s v="No"/>
    <m/>
    <x v="0"/>
    <n v="1"/>
  </r>
  <r>
    <n v="597"/>
    <d v="2023-05-25T00:00:00"/>
    <s v="Standard"/>
    <n v="399"/>
    <n v="7.8"/>
    <n v="5"/>
    <x v="1"/>
    <n v="10"/>
    <n v="35"/>
    <s v="No"/>
    <s v="No"/>
    <s v="No"/>
    <s v="Yes"/>
    <s v="Yes"/>
    <s v="No"/>
    <m/>
    <x v="1"/>
    <n v="0"/>
  </r>
  <r>
    <n v="598"/>
    <d v="2023-11-09T00:00:00"/>
    <s v="Basic"/>
    <n v="199"/>
    <n v="0.6"/>
    <n v="6"/>
    <x v="5"/>
    <n v="3"/>
    <n v="35"/>
    <s v="Yes"/>
    <s v="Yes"/>
    <s v="Yes"/>
    <s v="Yes"/>
    <s v="Yes"/>
    <s v="Yes"/>
    <m/>
    <x v="0"/>
    <n v="1"/>
  </r>
  <r>
    <n v="599"/>
    <d v="2024-09-23T00:00:00"/>
    <s v="Basic"/>
    <n v="199"/>
    <n v="5.7"/>
    <n v="8"/>
    <x v="0"/>
    <n v="23"/>
    <n v="10"/>
    <s v="Yes"/>
    <s v="No"/>
    <s v="Yes"/>
    <s v="Yes"/>
    <s v="No"/>
    <s v="No"/>
    <m/>
    <x v="0"/>
    <n v="1"/>
  </r>
  <r>
    <n v="600"/>
    <d v="2023-03-16T00:00:00"/>
    <s v="Standard"/>
    <n v="399"/>
    <n v="3.3"/>
    <n v="0"/>
    <x v="5"/>
    <n v="13"/>
    <n v="29"/>
    <s v="Yes"/>
    <s v="Yes"/>
    <s v="Yes"/>
    <s v="No"/>
    <s v="Yes"/>
    <s v="No"/>
    <m/>
    <x v="0"/>
    <n v="1"/>
  </r>
  <r>
    <n v="601"/>
    <d v="2023-12-05T00:00:00"/>
    <s v="Standard"/>
    <n v="399"/>
    <n v="6.6"/>
    <n v="3"/>
    <x v="4"/>
    <n v="5"/>
    <n v="37"/>
    <s v="Yes"/>
    <s v="No"/>
    <s v="Yes"/>
    <s v="No"/>
    <s v="Yes"/>
    <s v="Yes"/>
    <m/>
    <x v="0"/>
    <n v="1"/>
  </r>
  <r>
    <n v="602"/>
    <d v="2023-07-18T00:00:00"/>
    <s v="Standard"/>
    <n v="399"/>
    <n v="16.899999999999999"/>
    <n v="3"/>
    <x v="1"/>
    <n v="9"/>
    <n v="18"/>
    <s v="No"/>
    <s v="No"/>
    <s v="No"/>
    <s v="No"/>
    <s v="Yes"/>
    <s v="No"/>
    <m/>
    <x v="1"/>
    <n v="0"/>
  </r>
  <r>
    <n v="603"/>
    <d v="2024-08-03T00:00:00"/>
    <s v="Standard"/>
    <n v="399"/>
    <n v="11.5"/>
    <n v="4"/>
    <x v="4"/>
    <n v="32"/>
    <n v="37"/>
    <s v="Yes"/>
    <s v="No"/>
    <s v="Yes"/>
    <s v="No"/>
    <s v="Yes"/>
    <s v="No"/>
    <m/>
    <x v="0"/>
    <n v="1"/>
  </r>
  <r>
    <n v="604"/>
    <d v="2023-08-15T00:00:00"/>
    <s v="Standard"/>
    <n v="399"/>
    <n v="24"/>
    <n v="2"/>
    <x v="1"/>
    <n v="21"/>
    <n v="20"/>
    <s v="No"/>
    <s v="No"/>
    <s v="No"/>
    <s v="No"/>
    <s v="Yes"/>
    <s v="No"/>
    <m/>
    <x v="1"/>
    <n v="0"/>
  </r>
  <r>
    <n v="605"/>
    <d v="2024-05-06T00:00:00"/>
    <s v="Premium"/>
    <n v="699"/>
    <n v="7.3"/>
    <n v="5"/>
    <x v="0"/>
    <n v="28"/>
    <n v="43"/>
    <s v="No"/>
    <s v="No"/>
    <s v="Yes"/>
    <s v="Yes"/>
    <s v="Yes"/>
    <s v="No"/>
    <m/>
    <x v="0"/>
    <n v="0"/>
  </r>
  <r>
    <n v="606"/>
    <d v="2024-10-23T00:00:00"/>
    <s v="Standard"/>
    <n v="399"/>
    <n v="9.3000000000000007"/>
    <n v="4"/>
    <x v="2"/>
    <n v="29"/>
    <n v="35"/>
    <s v="Yes"/>
    <s v="No"/>
    <s v="Yes"/>
    <s v="No"/>
    <s v="Yes"/>
    <s v="No"/>
    <m/>
    <x v="0"/>
    <n v="1"/>
  </r>
  <r>
    <n v="607"/>
    <d v="2024-10-03T00:00:00"/>
    <s v="Premium"/>
    <n v="699"/>
    <n v="21.1"/>
    <n v="2"/>
    <x v="5"/>
    <n v="6"/>
    <n v="12"/>
    <s v="Yes"/>
    <s v="No"/>
    <s v="Yes"/>
    <s v="No"/>
    <s v="No"/>
    <s v="No"/>
    <m/>
    <x v="0"/>
    <n v="1"/>
  </r>
  <r>
    <n v="608"/>
    <d v="2024-08-15T00:00:00"/>
    <s v="Basic"/>
    <n v="199"/>
    <n v="22.4"/>
    <n v="8"/>
    <x v="4"/>
    <n v="5"/>
    <n v="1"/>
    <s v="No"/>
    <s v="No"/>
    <s v="Yes"/>
    <s v="Yes"/>
    <s v="No"/>
    <s v="Yes"/>
    <m/>
    <x v="0"/>
    <n v="0"/>
  </r>
  <r>
    <n v="609"/>
    <d v="2024-07-06T00:00:00"/>
    <s v="Standard"/>
    <n v="399"/>
    <n v="22.7"/>
    <n v="8"/>
    <x v="3"/>
    <n v="14"/>
    <n v="34"/>
    <s v="No"/>
    <s v="No"/>
    <s v="Yes"/>
    <s v="Yes"/>
    <s v="Yes"/>
    <s v="No"/>
    <m/>
    <x v="0"/>
    <n v="0"/>
  </r>
  <r>
    <n v="610"/>
    <d v="2023-05-18T00:00:00"/>
    <s v="Standard"/>
    <n v="399"/>
    <n v="9.5"/>
    <n v="3"/>
    <x v="5"/>
    <n v="10"/>
    <n v="46"/>
    <s v="No"/>
    <s v="No"/>
    <s v="Yes"/>
    <s v="No"/>
    <s v="Yes"/>
    <s v="No"/>
    <m/>
    <x v="0"/>
    <n v="0"/>
  </r>
  <r>
    <n v="611"/>
    <d v="2023-09-02T00:00:00"/>
    <s v="Standard"/>
    <n v="399"/>
    <n v="13"/>
    <n v="6"/>
    <x v="3"/>
    <n v="33"/>
    <n v="32"/>
    <s v="Yes"/>
    <s v="No"/>
    <s v="Yes"/>
    <s v="Yes"/>
    <s v="Yes"/>
    <s v="No"/>
    <m/>
    <x v="0"/>
    <n v="1"/>
  </r>
  <r>
    <n v="612"/>
    <d v="2024-08-02T00:00:00"/>
    <s v="Premium"/>
    <n v="699"/>
    <n v="19.100000000000001"/>
    <n v="2"/>
    <x v="2"/>
    <n v="11"/>
    <n v="10"/>
    <s v="Yes"/>
    <s v="No"/>
    <s v="Yes"/>
    <s v="No"/>
    <s v="No"/>
    <s v="No"/>
    <m/>
    <x v="0"/>
    <n v="1"/>
  </r>
  <r>
    <n v="613"/>
    <d v="2024-05-14T00:00:00"/>
    <s v="Premium"/>
    <n v="699"/>
    <n v="18.5"/>
    <n v="7"/>
    <x v="3"/>
    <n v="10"/>
    <n v="2"/>
    <s v="Yes"/>
    <s v="No"/>
    <s v="Yes"/>
    <s v="Yes"/>
    <s v="No"/>
    <s v="No"/>
    <m/>
    <x v="0"/>
    <n v="1"/>
  </r>
  <r>
    <n v="614"/>
    <d v="2024-01-05T00:00:00"/>
    <s v="Basic"/>
    <n v="199"/>
    <n v="7"/>
    <n v="3"/>
    <x v="1"/>
    <n v="5"/>
    <n v="42"/>
    <s v="Yes"/>
    <s v="No"/>
    <s v="No"/>
    <s v="No"/>
    <s v="Yes"/>
    <s v="Yes"/>
    <m/>
    <x v="1"/>
    <n v="1"/>
  </r>
  <r>
    <n v="615"/>
    <d v="2024-12-21T00:00:00"/>
    <s v="Standard"/>
    <n v="399"/>
    <n v="23"/>
    <n v="0"/>
    <x v="1"/>
    <n v="31"/>
    <n v="41"/>
    <s v="Yes"/>
    <s v="No"/>
    <s v="No"/>
    <s v="No"/>
    <s v="Yes"/>
    <s v="No"/>
    <m/>
    <x v="1"/>
    <n v="1"/>
  </r>
  <r>
    <n v="616"/>
    <d v="2024-01-21T00:00:00"/>
    <s v="Premium"/>
    <n v="699"/>
    <n v="21"/>
    <n v="4"/>
    <x v="5"/>
    <n v="18"/>
    <n v="34"/>
    <s v="Yes"/>
    <s v="No"/>
    <s v="Yes"/>
    <s v="No"/>
    <s v="Yes"/>
    <s v="No"/>
    <m/>
    <x v="0"/>
    <n v="1"/>
  </r>
  <r>
    <n v="617"/>
    <d v="2023-08-17T00:00:00"/>
    <s v="Premium"/>
    <n v="699"/>
    <n v="9.4"/>
    <n v="1"/>
    <x v="5"/>
    <n v="25"/>
    <n v="16"/>
    <s v="No"/>
    <s v="No"/>
    <s v="Yes"/>
    <s v="No"/>
    <s v="Yes"/>
    <s v="No"/>
    <m/>
    <x v="0"/>
    <n v="0"/>
  </r>
  <r>
    <n v="618"/>
    <d v="2024-09-10T00:00:00"/>
    <s v="Premium"/>
    <n v="699"/>
    <n v="9.1"/>
    <n v="5"/>
    <x v="2"/>
    <n v="26"/>
    <n v="50"/>
    <s v="Yes"/>
    <s v="No"/>
    <s v="Yes"/>
    <s v="Yes"/>
    <s v="Yes"/>
    <s v="No"/>
    <m/>
    <x v="0"/>
    <n v="1"/>
  </r>
  <r>
    <n v="619"/>
    <d v="2024-10-20T00:00:00"/>
    <s v="Basic"/>
    <n v="199"/>
    <n v="22.1"/>
    <n v="7"/>
    <x v="0"/>
    <n v="33"/>
    <n v="14"/>
    <s v="Yes"/>
    <s v="No"/>
    <s v="Yes"/>
    <s v="Yes"/>
    <s v="No"/>
    <s v="No"/>
    <m/>
    <x v="0"/>
    <n v="1"/>
  </r>
  <r>
    <n v="620"/>
    <d v="2023-05-02T00:00:00"/>
    <s v="Standard"/>
    <n v="399"/>
    <n v="4.2"/>
    <n v="2"/>
    <x v="3"/>
    <n v="14"/>
    <n v="38"/>
    <s v="Yes"/>
    <s v="Yes"/>
    <s v="Yes"/>
    <s v="No"/>
    <s v="Yes"/>
    <s v="No"/>
    <m/>
    <x v="0"/>
    <n v="1"/>
  </r>
  <r>
    <n v="621"/>
    <d v="2024-05-05T00:00:00"/>
    <s v="Premium"/>
    <n v="699"/>
    <n v="10.7"/>
    <n v="5"/>
    <x v="4"/>
    <n v="15"/>
    <n v="7"/>
    <s v="Yes"/>
    <s v="No"/>
    <s v="Yes"/>
    <s v="Yes"/>
    <s v="No"/>
    <s v="No"/>
    <m/>
    <x v="0"/>
    <n v="1"/>
  </r>
  <r>
    <n v="622"/>
    <d v="2024-08-10T00:00:00"/>
    <s v="Standard"/>
    <n v="399"/>
    <n v="15"/>
    <n v="6"/>
    <x v="1"/>
    <n v="14"/>
    <n v="15"/>
    <s v="Yes"/>
    <s v="No"/>
    <s v="No"/>
    <s v="Yes"/>
    <s v="Yes"/>
    <s v="No"/>
    <m/>
    <x v="1"/>
    <n v="1"/>
  </r>
  <r>
    <n v="623"/>
    <d v="2023-02-27T00:00:00"/>
    <s v="Premium"/>
    <n v="699"/>
    <n v="3.8"/>
    <n v="8"/>
    <x v="1"/>
    <n v="11"/>
    <n v="57"/>
    <s v="Yes"/>
    <s v="Yes"/>
    <s v="No"/>
    <s v="Yes"/>
    <s v="Yes"/>
    <s v="No"/>
    <m/>
    <x v="1"/>
    <n v="1"/>
  </r>
  <r>
    <n v="624"/>
    <d v="2024-10-14T00:00:00"/>
    <s v="Basic"/>
    <n v="199"/>
    <n v="23.1"/>
    <n v="8"/>
    <x v="2"/>
    <n v="17"/>
    <n v="38"/>
    <s v="No"/>
    <s v="No"/>
    <s v="Yes"/>
    <s v="Yes"/>
    <s v="Yes"/>
    <s v="No"/>
    <m/>
    <x v="0"/>
    <n v="0"/>
  </r>
  <r>
    <n v="625"/>
    <d v="2024-05-08T00:00:00"/>
    <s v="Basic"/>
    <n v="199"/>
    <n v="23.7"/>
    <n v="3"/>
    <x v="2"/>
    <n v="19"/>
    <n v="38"/>
    <s v="No"/>
    <s v="No"/>
    <s v="Yes"/>
    <s v="No"/>
    <s v="Yes"/>
    <s v="No"/>
    <m/>
    <x v="0"/>
    <n v="0"/>
  </r>
  <r>
    <n v="626"/>
    <d v="2024-09-30T00:00:00"/>
    <s v="Basic"/>
    <n v="199"/>
    <n v="20.8"/>
    <n v="2"/>
    <x v="5"/>
    <n v="15"/>
    <n v="52"/>
    <s v="No"/>
    <s v="No"/>
    <s v="Yes"/>
    <s v="No"/>
    <s v="Yes"/>
    <s v="No"/>
    <m/>
    <x v="0"/>
    <n v="0"/>
  </r>
  <r>
    <n v="627"/>
    <d v="2023-08-24T00:00:00"/>
    <s v="Premium"/>
    <n v="699"/>
    <n v="7"/>
    <n v="5"/>
    <x v="2"/>
    <n v="33"/>
    <n v="38"/>
    <s v="Yes"/>
    <s v="No"/>
    <s v="Yes"/>
    <s v="Yes"/>
    <s v="Yes"/>
    <s v="No"/>
    <m/>
    <x v="0"/>
    <n v="1"/>
  </r>
  <r>
    <n v="628"/>
    <d v="2024-05-31T00:00:00"/>
    <s v="Standard"/>
    <n v="399"/>
    <n v="3.7"/>
    <n v="0"/>
    <x v="0"/>
    <n v="25"/>
    <n v="33"/>
    <s v="No"/>
    <s v="Yes"/>
    <s v="Yes"/>
    <s v="No"/>
    <s v="Yes"/>
    <s v="No"/>
    <m/>
    <x v="0"/>
    <n v="0"/>
  </r>
  <r>
    <n v="629"/>
    <d v="2024-09-06T00:00:00"/>
    <s v="Premium"/>
    <n v="699"/>
    <n v="20.7"/>
    <n v="1"/>
    <x v="0"/>
    <n v="27"/>
    <n v="30"/>
    <s v="No"/>
    <s v="No"/>
    <s v="Yes"/>
    <s v="No"/>
    <s v="Yes"/>
    <s v="No"/>
    <m/>
    <x v="0"/>
    <n v="0"/>
  </r>
  <r>
    <n v="630"/>
    <d v="2024-09-09T00:00:00"/>
    <s v="Basic"/>
    <n v="199"/>
    <n v="12.8"/>
    <n v="1"/>
    <x v="1"/>
    <n v="35"/>
    <n v="30"/>
    <s v="No"/>
    <s v="No"/>
    <s v="No"/>
    <s v="No"/>
    <s v="Yes"/>
    <s v="No"/>
    <m/>
    <x v="1"/>
    <n v="0"/>
  </r>
  <r>
    <n v="631"/>
    <d v="2023-02-14T00:00:00"/>
    <s v="Premium"/>
    <n v="699"/>
    <n v="22.5"/>
    <n v="6"/>
    <x v="5"/>
    <n v="1"/>
    <n v="26"/>
    <s v="Yes"/>
    <s v="No"/>
    <s v="Yes"/>
    <s v="Yes"/>
    <s v="Yes"/>
    <s v="Yes"/>
    <m/>
    <x v="0"/>
    <n v="1"/>
  </r>
  <r>
    <n v="632"/>
    <d v="2024-12-14T00:00:00"/>
    <s v="Premium"/>
    <n v="699"/>
    <n v="11"/>
    <n v="7"/>
    <x v="2"/>
    <n v="34"/>
    <n v="22"/>
    <s v="Yes"/>
    <s v="No"/>
    <s v="Yes"/>
    <s v="Yes"/>
    <s v="Yes"/>
    <s v="No"/>
    <m/>
    <x v="0"/>
    <n v="1"/>
  </r>
  <r>
    <n v="633"/>
    <d v="2023-03-27T00:00:00"/>
    <s v="Premium"/>
    <n v="699"/>
    <n v="10.9"/>
    <n v="4"/>
    <x v="2"/>
    <n v="7"/>
    <n v="49"/>
    <s v="Yes"/>
    <s v="No"/>
    <s v="Yes"/>
    <s v="No"/>
    <s v="Yes"/>
    <s v="No"/>
    <m/>
    <x v="0"/>
    <n v="1"/>
  </r>
  <r>
    <n v="634"/>
    <d v="2023-01-08T00:00:00"/>
    <s v="Standard"/>
    <n v="399"/>
    <n v="10.5"/>
    <n v="3"/>
    <x v="1"/>
    <n v="35"/>
    <n v="45"/>
    <s v="No"/>
    <s v="No"/>
    <s v="No"/>
    <s v="No"/>
    <s v="Yes"/>
    <s v="No"/>
    <m/>
    <x v="1"/>
    <n v="0"/>
  </r>
  <r>
    <n v="635"/>
    <d v="2023-11-20T00:00:00"/>
    <s v="Premium"/>
    <n v="699"/>
    <n v="3.4"/>
    <n v="0"/>
    <x v="2"/>
    <n v="34"/>
    <n v="41"/>
    <s v="Yes"/>
    <s v="Yes"/>
    <s v="Yes"/>
    <s v="No"/>
    <s v="Yes"/>
    <s v="No"/>
    <m/>
    <x v="0"/>
    <n v="1"/>
  </r>
  <r>
    <n v="636"/>
    <d v="2024-07-02T00:00:00"/>
    <s v="Standard"/>
    <n v="399"/>
    <n v="3.1"/>
    <n v="6"/>
    <x v="4"/>
    <n v="24"/>
    <n v="37"/>
    <s v="Yes"/>
    <s v="Yes"/>
    <s v="Yes"/>
    <s v="Yes"/>
    <s v="Yes"/>
    <s v="No"/>
    <m/>
    <x v="0"/>
    <n v="1"/>
  </r>
  <r>
    <n v="637"/>
    <d v="2024-07-24T00:00:00"/>
    <s v="Standard"/>
    <n v="399"/>
    <n v="15.5"/>
    <n v="6"/>
    <x v="0"/>
    <n v="24"/>
    <n v="26"/>
    <s v="No"/>
    <s v="No"/>
    <s v="Yes"/>
    <s v="Yes"/>
    <s v="Yes"/>
    <s v="No"/>
    <m/>
    <x v="0"/>
    <n v="0"/>
  </r>
  <r>
    <n v="638"/>
    <d v="2024-08-14T00:00:00"/>
    <s v="Standard"/>
    <n v="399"/>
    <n v="9.6"/>
    <n v="8"/>
    <x v="2"/>
    <n v="12"/>
    <n v="16"/>
    <s v="No"/>
    <s v="No"/>
    <s v="Yes"/>
    <s v="Yes"/>
    <s v="Yes"/>
    <s v="No"/>
    <m/>
    <x v="0"/>
    <n v="0"/>
  </r>
  <r>
    <n v="639"/>
    <d v="2024-12-17T00:00:00"/>
    <s v="Standard"/>
    <n v="399"/>
    <n v="18.5"/>
    <n v="1"/>
    <x v="4"/>
    <n v="26"/>
    <n v="14"/>
    <s v="No"/>
    <s v="No"/>
    <s v="Yes"/>
    <s v="No"/>
    <s v="No"/>
    <s v="No"/>
    <m/>
    <x v="0"/>
    <n v="0"/>
  </r>
  <r>
    <n v="640"/>
    <d v="2024-12-14T00:00:00"/>
    <s v="Basic"/>
    <n v="199"/>
    <n v="5.8"/>
    <n v="6"/>
    <x v="3"/>
    <n v="7"/>
    <n v="51"/>
    <s v="Yes"/>
    <s v="No"/>
    <s v="Yes"/>
    <s v="Yes"/>
    <s v="Yes"/>
    <s v="No"/>
    <m/>
    <x v="0"/>
    <n v="1"/>
  </r>
  <r>
    <n v="641"/>
    <d v="2024-09-06T00:00:00"/>
    <s v="Premium"/>
    <n v="699"/>
    <n v="4.4000000000000004"/>
    <n v="0"/>
    <x v="1"/>
    <n v="4"/>
    <n v="52"/>
    <s v="Yes"/>
    <s v="Yes"/>
    <s v="No"/>
    <s v="No"/>
    <s v="Yes"/>
    <s v="Yes"/>
    <m/>
    <x v="1"/>
    <n v="1"/>
  </r>
  <r>
    <n v="642"/>
    <d v="2024-01-29T00:00:00"/>
    <s v="Standard"/>
    <n v="399"/>
    <n v="2.1"/>
    <n v="3"/>
    <x v="3"/>
    <n v="6"/>
    <n v="5"/>
    <s v="No"/>
    <s v="Yes"/>
    <s v="Yes"/>
    <s v="No"/>
    <s v="No"/>
    <s v="No"/>
    <m/>
    <x v="0"/>
    <n v="0"/>
  </r>
  <r>
    <n v="643"/>
    <d v="2023-01-11T00:00:00"/>
    <s v="Standard"/>
    <n v="399"/>
    <n v="7.5"/>
    <n v="0"/>
    <x v="0"/>
    <n v="34"/>
    <n v="40"/>
    <s v="No"/>
    <s v="No"/>
    <s v="Yes"/>
    <s v="No"/>
    <s v="Yes"/>
    <s v="No"/>
    <m/>
    <x v="0"/>
    <n v="0"/>
  </r>
  <r>
    <n v="644"/>
    <d v="2023-08-26T00:00:00"/>
    <s v="Basic"/>
    <n v="199"/>
    <n v="7.5"/>
    <n v="0"/>
    <x v="5"/>
    <n v="34"/>
    <n v="32"/>
    <s v="Yes"/>
    <s v="No"/>
    <s v="Yes"/>
    <s v="No"/>
    <s v="Yes"/>
    <s v="No"/>
    <m/>
    <x v="0"/>
    <n v="1"/>
  </r>
  <r>
    <n v="645"/>
    <d v="2023-06-11T00:00:00"/>
    <s v="Premium"/>
    <n v="699"/>
    <n v="17"/>
    <n v="5"/>
    <x v="0"/>
    <n v="11"/>
    <n v="41"/>
    <s v="Yes"/>
    <s v="No"/>
    <s v="Yes"/>
    <s v="Yes"/>
    <s v="Yes"/>
    <s v="No"/>
    <m/>
    <x v="0"/>
    <n v="1"/>
  </r>
  <r>
    <n v="646"/>
    <d v="2023-07-25T00:00:00"/>
    <s v="Basic"/>
    <n v="199"/>
    <n v="19.600000000000001"/>
    <n v="5"/>
    <x v="4"/>
    <n v="18"/>
    <n v="25"/>
    <s v="Yes"/>
    <s v="No"/>
    <s v="Yes"/>
    <s v="Yes"/>
    <s v="Yes"/>
    <s v="No"/>
    <m/>
    <x v="0"/>
    <n v="1"/>
  </r>
  <r>
    <n v="647"/>
    <d v="2024-07-26T00:00:00"/>
    <s v="Premium"/>
    <n v="699"/>
    <n v="18.600000000000001"/>
    <n v="1"/>
    <x v="1"/>
    <n v="1"/>
    <n v="35"/>
    <s v="Yes"/>
    <s v="No"/>
    <s v="No"/>
    <s v="No"/>
    <s v="Yes"/>
    <s v="Yes"/>
    <m/>
    <x v="1"/>
    <n v="1"/>
  </r>
  <r>
    <n v="648"/>
    <d v="2024-04-10T00:00:00"/>
    <s v="Premium"/>
    <n v="699"/>
    <n v="9"/>
    <n v="4"/>
    <x v="0"/>
    <n v="23"/>
    <n v="38"/>
    <s v="No"/>
    <s v="No"/>
    <s v="Yes"/>
    <s v="No"/>
    <s v="Yes"/>
    <s v="No"/>
    <m/>
    <x v="0"/>
    <n v="0"/>
  </r>
  <r>
    <n v="649"/>
    <d v="2024-05-30T00:00:00"/>
    <s v="Standard"/>
    <n v="399"/>
    <n v="6.9"/>
    <n v="6"/>
    <x v="5"/>
    <n v="1"/>
    <n v="6"/>
    <s v="No"/>
    <s v="No"/>
    <s v="Yes"/>
    <s v="Yes"/>
    <s v="No"/>
    <s v="Yes"/>
    <m/>
    <x v="0"/>
    <n v="0"/>
  </r>
  <r>
    <n v="650"/>
    <d v="2024-08-11T00:00:00"/>
    <s v="Standard"/>
    <n v="399"/>
    <n v="23.7"/>
    <n v="8"/>
    <x v="3"/>
    <n v="22"/>
    <n v="56"/>
    <s v="Yes"/>
    <s v="No"/>
    <s v="Yes"/>
    <s v="Yes"/>
    <s v="Yes"/>
    <s v="No"/>
    <m/>
    <x v="0"/>
    <n v="1"/>
  </r>
  <r>
    <n v="651"/>
    <d v="2024-04-14T00:00:00"/>
    <s v="Standard"/>
    <n v="399"/>
    <n v="24.2"/>
    <n v="7"/>
    <x v="0"/>
    <n v="29"/>
    <n v="48"/>
    <s v="Yes"/>
    <s v="No"/>
    <s v="Yes"/>
    <s v="Yes"/>
    <s v="Yes"/>
    <s v="No"/>
    <m/>
    <x v="0"/>
    <n v="1"/>
  </r>
  <r>
    <n v="652"/>
    <d v="2024-01-27T00:00:00"/>
    <s v="Premium"/>
    <n v="699"/>
    <n v="22.5"/>
    <n v="0"/>
    <x v="2"/>
    <n v="30"/>
    <n v="7"/>
    <s v="Yes"/>
    <s v="No"/>
    <s v="Yes"/>
    <s v="No"/>
    <s v="No"/>
    <s v="No"/>
    <m/>
    <x v="0"/>
    <n v="1"/>
  </r>
  <r>
    <n v="653"/>
    <d v="2024-06-12T00:00:00"/>
    <s v="Premium"/>
    <n v="699"/>
    <n v="17.100000000000001"/>
    <n v="3"/>
    <x v="3"/>
    <n v="15"/>
    <n v="26"/>
    <s v="No"/>
    <s v="No"/>
    <s v="Yes"/>
    <s v="No"/>
    <s v="Yes"/>
    <s v="No"/>
    <m/>
    <x v="0"/>
    <n v="0"/>
  </r>
  <r>
    <n v="654"/>
    <d v="2024-11-20T00:00:00"/>
    <s v="Premium"/>
    <n v="699"/>
    <n v="17.7"/>
    <n v="4"/>
    <x v="0"/>
    <n v="1"/>
    <n v="18"/>
    <s v="Yes"/>
    <s v="No"/>
    <s v="Yes"/>
    <s v="No"/>
    <s v="Yes"/>
    <s v="Yes"/>
    <m/>
    <x v="0"/>
    <n v="1"/>
  </r>
  <r>
    <n v="655"/>
    <d v="2024-08-10T00:00:00"/>
    <s v="Premium"/>
    <n v="699"/>
    <n v="2.4"/>
    <n v="2"/>
    <x v="2"/>
    <n v="22"/>
    <n v="20"/>
    <s v="Yes"/>
    <s v="Yes"/>
    <s v="Yes"/>
    <s v="No"/>
    <s v="Yes"/>
    <s v="No"/>
    <m/>
    <x v="0"/>
    <n v="1"/>
  </r>
  <r>
    <n v="656"/>
    <d v="2023-09-05T00:00:00"/>
    <s v="Standard"/>
    <n v="399"/>
    <n v="23.7"/>
    <n v="3"/>
    <x v="2"/>
    <n v="12"/>
    <n v="47"/>
    <s v="Yes"/>
    <s v="No"/>
    <s v="Yes"/>
    <s v="No"/>
    <s v="Yes"/>
    <s v="No"/>
    <m/>
    <x v="0"/>
    <n v="1"/>
  </r>
  <r>
    <n v="657"/>
    <d v="2023-04-20T00:00:00"/>
    <s v="Standard"/>
    <n v="399"/>
    <n v="6.1"/>
    <n v="3"/>
    <x v="5"/>
    <n v="14"/>
    <n v="22"/>
    <s v="Yes"/>
    <s v="No"/>
    <s v="Yes"/>
    <s v="No"/>
    <s v="Yes"/>
    <s v="No"/>
    <m/>
    <x v="0"/>
    <n v="1"/>
  </r>
  <r>
    <n v="658"/>
    <d v="2024-07-08T00:00:00"/>
    <s v="Basic"/>
    <n v="199"/>
    <n v="17.100000000000001"/>
    <n v="7"/>
    <x v="5"/>
    <n v="6"/>
    <n v="0"/>
    <s v="No"/>
    <s v="No"/>
    <s v="Yes"/>
    <s v="Yes"/>
    <s v="No"/>
    <s v="No"/>
    <m/>
    <x v="0"/>
    <n v="0"/>
  </r>
  <r>
    <n v="659"/>
    <d v="2024-08-11T00:00:00"/>
    <s v="Basic"/>
    <n v="199"/>
    <n v="9.6"/>
    <n v="5"/>
    <x v="2"/>
    <n v="31"/>
    <n v="57"/>
    <s v="No"/>
    <s v="No"/>
    <s v="Yes"/>
    <s v="Yes"/>
    <s v="Yes"/>
    <s v="No"/>
    <m/>
    <x v="0"/>
    <n v="0"/>
  </r>
  <r>
    <n v="660"/>
    <d v="2024-08-13T00:00:00"/>
    <s v="Standard"/>
    <n v="399"/>
    <n v="5"/>
    <n v="8"/>
    <x v="3"/>
    <n v="32"/>
    <n v="25"/>
    <s v="Yes"/>
    <s v="No"/>
    <s v="Yes"/>
    <s v="Yes"/>
    <s v="Yes"/>
    <s v="No"/>
    <m/>
    <x v="0"/>
    <n v="1"/>
  </r>
  <r>
    <n v="661"/>
    <d v="2024-05-29T00:00:00"/>
    <s v="Basic"/>
    <n v="199"/>
    <n v="13.4"/>
    <n v="6"/>
    <x v="2"/>
    <n v="4"/>
    <n v="60"/>
    <s v="Yes"/>
    <s v="No"/>
    <s v="Yes"/>
    <s v="Yes"/>
    <s v="Yes"/>
    <s v="Yes"/>
    <m/>
    <x v="0"/>
    <n v="1"/>
  </r>
  <r>
    <n v="662"/>
    <d v="2024-04-16T00:00:00"/>
    <s v="Standard"/>
    <n v="399"/>
    <n v="21.6"/>
    <n v="2"/>
    <x v="2"/>
    <n v="26"/>
    <n v="7"/>
    <s v="No"/>
    <s v="No"/>
    <s v="Yes"/>
    <s v="No"/>
    <s v="No"/>
    <s v="No"/>
    <m/>
    <x v="0"/>
    <n v="0"/>
  </r>
  <r>
    <n v="663"/>
    <d v="2024-01-06T00:00:00"/>
    <s v="Standard"/>
    <n v="399"/>
    <n v="0.8"/>
    <n v="3"/>
    <x v="2"/>
    <n v="1"/>
    <n v="37"/>
    <s v="Yes"/>
    <s v="Yes"/>
    <s v="Yes"/>
    <s v="No"/>
    <s v="Yes"/>
    <s v="Yes"/>
    <m/>
    <x v="0"/>
    <n v="1"/>
  </r>
  <r>
    <n v="664"/>
    <d v="2024-09-19T00:00:00"/>
    <s v="Premium"/>
    <n v="699"/>
    <n v="5.0999999999999996"/>
    <n v="4"/>
    <x v="0"/>
    <n v="17"/>
    <n v="17"/>
    <s v="No"/>
    <s v="No"/>
    <s v="Yes"/>
    <s v="No"/>
    <s v="Yes"/>
    <s v="No"/>
    <m/>
    <x v="0"/>
    <n v="0"/>
  </r>
  <r>
    <n v="665"/>
    <d v="2024-01-17T00:00:00"/>
    <s v="Standard"/>
    <n v="399"/>
    <n v="5"/>
    <n v="6"/>
    <x v="0"/>
    <n v="24"/>
    <n v="26"/>
    <s v="No"/>
    <s v="No"/>
    <s v="Yes"/>
    <s v="Yes"/>
    <s v="Yes"/>
    <s v="No"/>
    <m/>
    <x v="0"/>
    <n v="0"/>
  </r>
  <r>
    <n v="666"/>
    <d v="2024-12-03T00:00:00"/>
    <s v="Standard"/>
    <n v="399"/>
    <n v="7.4"/>
    <n v="2"/>
    <x v="5"/>
    <n v="26"/>
    <n v="8"/>
    <s v="No"/>
    <s v="No"/>
    <s v="Yes"/>
    <s v="No"/>
    <s v="No"/>
    <s v="No"/>
    <m/>
    <x v="0"/>
    <n v="0"/>
  </r>
  <r>
    <n v="667"/>
    <d v="2023-07-20T00:00:00"/>
    <s v="Basic"/>
    <n v="199"/>
    <n v="18.2"/>
    <n v="3"/>
    <x v="5"/>
    <n v="7"/>
    <n v="27"/>
    <s v="No"/>
    <s v="No"/>
    <s v="Yes"/>
    <s v="No"/>
    <s v="Yes"/>
    <s v="No"/>
    <m/>
    <x v="0"/>
    <n v="0"/>
  </r>
  <r>
    <n v="668"/>
    <d v="2024-10-07T00:00:00"/>
    <s v="Basic"/>
    <n v="199"/>
    <n v="12.1"/>
    <n v="0"/>
    <x v="0"/>
    <n v="10"/>
    <n v="26"/>
    <s v="No"/>
    <s v="No"/>
    <s v="Yes"/>
    <s v="No"/>
    <s v="Yes"/>
    <s v="No"/>
    <m/>
    <x v="0"/>
    <n v="0"/>
  </r>
  <r>
    <n v="669"/>
    <d v="2024-08-04T00:00:00"/>
    <s v="Premium"/>
    <n v="699"/>
    <n v="18.2"/>
    <n v="7"/>
    <x v="3"/>
    <n v="35"/>
    <n v="16"/>
    <s v="No"/>
    <s v="No"/>
    <s v="Yes"/>
    <s v="Yes"/>
    <s v="Yes"/>
    <s v="No"/>
    <m/>
    <x v="0"/>
    <n v="0"/>
  </r>
  <r>
    <n v="670"/>
    <d v="2024-05-02T00:00:00"/>
    <s v="Basic"/>
    <n v="199"/>
    <n v="2.9"/>
    <n v="2"/>
    <x v="1"/>
    <n v="26"/>
    <n v="13"/>
    <s v="No"/>
    <s v="Yes"/>
    <s v="No"/>
    <s v="No"/>
    <s v="No"/>
    <s v="No"/>
    <m/>
    <x v="1"/>
    <n v="0"/>
  </r>
  <r>
    <n v="671"/>
    <d v="2024-07-24T00:00:00"/>
    <s v="Premium"/>
    <n v="699"/>
    <n v="11.5"/>
    <n v="5"/>
    <x v="3"/>
    <n v="7"/>
    <n v="23"/>
    <s v="Yes"/>
    <s v="No"/>
    <s v="Yes"/>
    <s v="Yes"/>
    <s v="Yes"/>
    <s v="No"/>
    <m/>
    <x v="0"/>
    <n v="1"/>
  </r>
  <r>
    <n v="672"/>
    <d v="2024-09-12T00:00:00"/>
    <s v="Standard"/>
    <n v="399"/>
    <n v="1"/>
    <n v="1"/>
    <x v="3"/>
    <n v="23"/>
    <n v="55"/>
    <s v="Yes"/>
    <s v="Yes"/>
    <s v="Yes"/>
    <s v="No"/>
    <s v="Yes"/>
    <s v="No"/>
    <m/>
    <x v="0"/>
    <n v="1"/>
  </r>
  <r>
    <n v="673"/>
    <d v="2024-05-14T00:00:00"/>
    <s v="Basic"/>
    <n v="199"/>
    <n v="4.8"/>
    <n v="4"/>
    <x v="3"/>
    <n v="35"/>
    <n v="20"/>
    <s v="Yes"/>
    <s v="Yes"/>
    <s v="Yes"/>
    <s v="No"/>
    <s v="Yes"/>
    <s v="No"/>
    <m/>
    <x v="0"/>
    <n v="1"/>
  </r>
  <r>
    <n v="674"/>
    <d v="2023-05-29T00:00:00"/>
    <s v="Premium"/>
    <n v="699"/>
    <n v="22.3"/>
    <n v="6"/>
    <x v="5"/>
    <n v="29"/>
    <n v="18"/>
    <s v="Yes"/>
    <s v="No"/>
    <s v="Yes"/>
    <s v="Yes"/>
    <s v="Yes"/>
    <s v="No"/>
    <m/>
    <x v="0"/>
    <n v="1"/>
  </r>
  <r>
    <n v="675"/>
    <d v="2023-08-22T00:00:00"/>
    <s v="Basic"/>
    <n v="199"/>
    <n v="10.8"/>
    <n v="6"/>
    <x v="1"/>
    <n v="22"/>
    <n v="5"/>
    <s v="Yes"/>
    <s v="No"/>
    <s v="No"/>
    <s v="Yes"/>
    <s v="No"/>
    <s v="No"/>
    <m/>
    <x v="1"/>
    <n v="1"/>
  </r>
  <r>
    <n v="676"/>
    <d v="2024-03-31T00:00:00"/>
    <s v="Standard"/>
    <n v="399"/>
    <n v="16.5"/>
    <n v="4"/>
    <x v="5"/>
    <n v="21"/>
    <n v="41"/>
    <s v="Yes"/>
    <s v="No"/>
    <s v="Yes"/>
    <s v="No"/>
    <s v="Yes"/>
    <s v="No"/>
    <m/>
    <x v="0"/>
    <n v="1"/>
  </r>
  <r>
    <n v="677"/>
    <d v="2023-05-09T00:00:00"/>
    <s v="Standard"/>
    <n v="399"/>
    <n v="24.2"/>
    <n v="6"/>
    <x v="0"/>
    <n v="34"/>
    <n v="11"/>
    <s v="No"/>
    <s v="No"/>
    <s v="Yes"/>
    <s v="Yes"/>
    <s v="No"/>
    <s v="No"/>
    <m/>
    <x v="0"/>
    <n v="0"/>
  </r>
  <r>
    <n v="678"/>
    <d v="2023-04-08T00:00:00"/>
    <s v="Premium"/>
    <n v="699"/>
    <n v="16.7"/>
    <n v="1"/>
    <x v="0"/>
    <n v="16"/>
    <n v="10"/>
    <s v="No"/>
    <s v="No"/>
    <s v="Yes"/>
    <s v="No"/>
    <s v="No"/>
    <s v="No"/>
    <m/>
    <x v="0"/>
    <n v="0"/>
  </r>
  <r>
    <n v="679"/>
    <d v="2023-03-27T00:00:00"/>
    <s v="Basic"/>
    <n v="199"/>
    <n v="13.9"/>
    <n v="0"/>
    <x v="2"/>
    <n v="31"/>
    <n v="33"/>
    <s v="No"/>
    <s v="No"/>
    <s v="Yes"/>
    <s v="No"/>
    <s v="Yes"/>
    <s v="No"/>
    <m/>
    <x v="0"/>
    <n v="0"/>
  </r>
  <r>
    <n v="680"/>
    <d v="2023-11-13T00:00:00"/>
    <s v="Basic"/>
    <n v="199"/>
    <n v="15.6"/>
    <n v="1"/>
    <x v="4"/>
    <n v="17"/>
    <n v="59"/>
    <s v="No"/>
    <s v="No"/>
    <s v="Yes"/>
    <s v="No"/>
    <s v="Yes"/>
    <s v="No"/>
    <m/>
    <x v="0"/>
    <n v="0"/>
  </r>
  <r>
    <n v="681"/>
    <d v="2023-06-24T00:00:00"/>
    <s v="Basic"/>
    <n v="199"/>
    <n v="18.600000000000001"/>
    <n v="7"/>
    <x v="4"/>
    <n v="16"/>
    <n v="8"/>
    <s v="Yes"/>
    <s v="No"/>
    <s v="Yes"/>
    <s v="Yes"/>
    <s v="No"/>
    <s v="No"/>
    <m/>
    <x v="0"/>
    <n v="1"/>
  </r>
  <r>
    <n v="682"/>
    <d v="2024-07-07T00:00:00"/>
    <s v="Basic"/>
    <n v="199"/>
    <n v="16.8"/>
    <n v="5"/>
    <x v="2"/>
    <n v="3"/>
    <n v="29"/>
    <s v="No"/>
    <s v="No"/>
    <s v="Yes"/>
    <s v="Yes"/>
    <s v="Yes"/>
    <s v="Yes"/>
    <m/>
    <x v="0"/>
    <n v="0"/>
  </r>
  <r>
    <n v="683"/>
    <d v="2024-10-08T00:00:00"/>
    <s v="Standard"/>
    <n v="399"/>
    <n v="11.4"/>
    <n v="8"/>
    <x v="0"/>
    <n v="36"/>
    <n v="37"/>
    <s v="No"/>
    <s v="No"/>
    <s v="Yes"/>
    <s v="Yes"/>
    <s v="Yes"/>
    <s v="No"/>
    <m/>
    <x v="0"/>
    <n v="0"/>
  </r>
  <r>
    <n v="684"/>
    <d v="2024-07-06T00:00:00"/>
    <s v="Premium"/>
    <n v="699"/>
    <n v="13.3"/>
    <n v="8"/>
    <x v="3"/>
    <n v="28"/>
    <n v="58"/>
    <s v="Yes"/>
    <s v="No"/>
    <s v="Yes"/>
    <s v="Yes"/>
    <s v="Yes"/>
    <s v="No"/>
    <m/>
    <x v="0"/>
    <n v="1"/>
  </r>
  <r>
    <n v="685"/>
    <d v="2023-01-11T00:00:00"/>
    <s v="Basic"/>
    <n v="199"/>
    <n v="11.3"/>
    <n v="5"/>
    <x v="2"/>
    <n v="6"/>
    <n v="16"/>
    <s v="Yes"/>
    <s v="No"/>
    <s v="Yes"/>
    <s v="Yes"/>
    <s v="Yes"/>
    <s v="No"/>
    <m/>
    <x v="0"/>
    <n v="1"/>
  </r>
  <r>
    <n v="686"/>
    <d v="2023-01-09T00:00:00"/>
    <s v="Basic"/>
    <n v="199"/>
    <n v="20.5"/>
    <n v="2"/>
    <x v="3"/>
    <n v="34"/>
    <n v="18"/>
    <s v="No"/>
    <s v="No"/>
    <s v="Yes"/>
    <s v="No"/>
    <s v="Yes"/>
    <s v="No"/>
    <m/>
    <x v="0"/>
    <n v="0"/>
  </r>
  <r>
    <n v="687"/>
    <d v="2023-10-27T00:00:00"/>
    <s v="Premium"/>
    <n v="699"/>
    <n v="23.7"/>
    <n v="7"/>
    <x v="3"/>
    <n v="32"/>
    <n v="0"/>
    <s v="No"/>
    <s v="No"/>
    <s v="Yes"/>
    <s v="Yes"/>
    <s v="No"/>
    <s v="No"/>
    <m/>
    <x v="0"/>
    <n v="0"/>
  </r>
  <r>
    <n v="688"/>
    <d v="2024-07-28T00:00:00"/>
    <s v="Premium"/>
    <n v="699"/>
    <n v="20"/>
    <n v="8"/>
    <x v="3"/>
    <n v="15"/>
    <n v="12"/>
    <s v="Yes"/>
    <s v="No"/>
    <s v="Yes"/>
    <s v="Yes"/>
    <s v="No"/>
    <s v="No"/>
    <m/>
    <x v="0"/>
    <n v="1"/>
  </r>
  <r>
    <n v="689"/>
    <d v="2024-03-08T00:00:00"/>
    <s v="Standard"/>
    <n v="399"/>
    <n v="6.6"/>
    <n v="6"/>
    <x v="2"/>
    <n v="26"/>
    <n v="14"/>
    <s v="Yes"/>
    <s v="No"/>
    <s v="Yes"/>
    <s v="Yes"/>
    <s v="No"/>
    <s v="No"/>
    <m/>
    <x v="0"/>
    <n v="1"/>
  </r>
  <r>
    <n v="690"/>
    <d v="2023-10-03T00:00:00"/>
    <s v="Premium"/>
    <n v="699"/>
    <n v="13.2"/>
    <n v="4"/>
    <x v="3"/>
    <n v="16"/>
    <n v="41"/>
    <s v="Yes"/>
    <s v="No"/>
    <s v="Yes"/>
    <s v="No"/>
    <s v="Yes"/>
    <s v="No"/>
    <m/>
    <x v="0"/>
    <n v="1"/>
  </r>
  <r>
    <n v="691"/>
    <d v="2024-04-11T00:00:00"/>
    <s v="Standard"/>
    <n v="399"/>
    <n v="21.4"/>
    <n v="2"/>
    <x v="0"/>
    <n v="13"/>
    <n v="18"/>
    <s v="No"/>
    <s v="No"/>
    <s v="Yes"/>
    <s v="No"/>
    <s v="Yes"/>
    <s v="No"/>
    <m/>
    <x v="0"/>
    <n v="0"/>
  </r>
  <r>
    <n v="692"/>
    <d v="2023-02-20T00:00:00"/>
    <s v="Premium"/>
    <n v="699"/>
    <n v="7.2"/>
    <n v="7"/>
    <x v="0"/>
    <n v="29"/>
    <n v="20"/>
    <s v="Yes"/>
    <s v="No"/>
    <s v="Yes"/>
    <s v="Yes"/>
    <s v="Yes"/>
    <s v="No"/>
    <m/>
    <x v="0"/>
    <n v="1"/>
  </r>
  <r>
    <n v="693"/>
    <d v="2024-03-24T00:00:00"/>
    <s v="Premium"/>
    <n v="699"/>
    <n v="5.0999999999999996"/>
    <n v="1"/>
    <x v="3"/>
    <n v="2"/>
    <n v="17"/>
    <s v="Yes"/>
    <s v="No"/>
    <s v="Yes"/>
    <s v="No"/>
    <s v="Yes"/>
    <s v="Yes"/>
    <m/>
    <x v="0"/>
    <n v="1"/>
  </r>
  <r>
    <n v="694"/>
    <d v="2024-03-06T00:00:00"/>
    <s v="Premium"/>
    <n v="699"/>
    <n v="6.2"/>
    <n v="2"/>
    <x v="1"/>
    <n v="1"/>
    <n v="31"/>
    <s v="Yes"/>
    <s v="No"/>
    <s v="No"/>
    <s v="No"/>
    <s v="Yes"/>
    <s v="Yes"/>
    <m/>
    <x v="1"/>
    <n v="1"/>
  </r>
  <r>
    <n v="695"/>
    <d v="2023-03-24T00:00:00"/>
    <s v="Standard"/>
    <n v="399"/>
    <n v="25"/>
    <n v="7"/>
    <x v="4"/>
    <n v="32"/>
    <n v="50"/>
    <s v="Yes"/>
    <s v="No"/>
    <s v="Yes"/>
    <s v="Yes"/>
    <s v="Yes"/>
    <s v="No"/>
    <m/>
    <x v="0"/>
    <n v="1"/>
  </r>
  <r>
    <n v="696"/>
    <d v="2023-07-16T00:00:00"/>
    <s v="Basic"/>
    <n v="199"/>
    <n v="7"/>
    <n v="6"/>
    <x v="1"/>
    <n v="4"/>
    <n v="34"/>
    <s v="Yes"/>
    <s v="No"/>
    <s v="No"/>
    <s v="Yes"/>
    <s v="Yes"/>
    <s v="Yes"/>
    <m/>
    <x v="1"/>
    <n v="1"/>
  </r>
  <r>
    <n v="697"/>
    <d v="2024-03-29T00:00:00"/>
    <s v="Standard"/>
    <n v="399"/>
    <n v="20.8"/>
    <n v="1"/>
    <x v="4"/>
    <n v="25"/>
    <n v="15"/>
    <s v="No"/>
    <s v="No"/>
    <s v="Yes"/>
    <s v="No"/>
    <s v="Yes"/>
    <s v="No"/>
    <m/>
    <x v="0"/>
    <n v="0"/>
  </r>
  <r>
    <n v="698"/>
    <d v="2024-04-29T00:00:00"/>
    <s v="Basic"/>
    <n v="199"/>
    <n v="5.4"/>
    <n v="1"/>
    <x v="5"/>
    <n v="3"/>
    <n v="42"/>
    <s v="No"/>
    <s v="No"/>
    <s v="Yes"/>
    <s v="No"/>
    <s v="Yes"/>
    <s v="Yes"/>
    <m/>
    <x v="0"/>
    <n v="0"/>
  </r>
  <r>
    <n v="699"/>
    <d v="2024-07-16T00:00:00"/>
    <s v="Standard"/>
    <n v="399"/>
    <n v="23.4"/>
    <n v="2"/>
    <x v="4"/>
    <n v="20"/>
    <n v="46"/>
    <s v="Yes"/>
    <s v="No"/>
    <s v="Yes"/>
    <s v="No"/>
    <s v="Yes"/>
    <s v="No"/>
    <m/>
    <x v="0"/>
    <n v="1"/>
  </r>
  <r>
    <n v="700"/>
    <d v="2024-11-13T00:00:00"/>
    <s v="Premium"/>
    <n v="699"/>
    <n v="6.7"/>
    <n v="4"/>
    <x v="0"/>
    <n v="8"/>
    <n v="23"/>
    <s v="No"/>
    <s v="No"/>
    <s v="Yes"/>
    <s v="No"/>
    <s v="Yes"/>
    <s v="No"/>
    <m/>
    <x v="0"/>
    <n v="0"/>
  </r>
  <r>
    <n v="701"/>
    <d v="2023-10-10T00:00:00"/>
    <s v="Basic"/>
    <n v="199"/>
    <n v="6.3"/>
    <n v="6"/>
    <x v="3"/>
    <n v="8"/>
    <n v="0"/>
    <s v="Yes"/>
    <s v="No"/>
    <s v="Yes"/>
    <s v="Yes"/>
    <s v="No"/>
    <s v="No"/>
    <m/>
    <x v="0"/>
    <n v="1"/>
  </r>
  <r>
    <n v="702"/>
    <d v="2024-12-08T00:00:00"/>
    <s v="Premium"/>
    <n v="699"/>
    <n v="10.199999999999999"/>
    <n v="3"/>
    <x v="1"/>
    <n v="8"/>
    <n v="2"/>
    <s v="No"/>
    <s v="No"/>
    <s v="No"/>
    <s v="No"/>
    <s v="No"/>
    <s v="No"/>
    <m/>
    <x v="1"/>
    <n v="0"/>
  </r>
  <r>
    <n v="703"/>
    <d v="2024-12-03T00:00:00"/>
    <s v="Standard"/>
    <n v="399"/>
    <n v="9.6"/>
    <n v="1"/>
    <x v="0"/>
    <n v="10"/>
    <n v="10"/>
    <s v="No"/>
    <s v="No"/>
    <s v="Yes"/>
    <s v="No"/>
    <s v="No"/>
    <s v="No"/>
    <m/>
    <x v="0"/>
    <n v="0"/>
  </r>
  <r>
    <n v="704"/>
    <d v="2024-12-19T00:00:00"/>
    <s v="Premium"/>
    <n v="699"/>
    <n v="23.3"/>
    <n v="0"/>
    <x v="1"/>
    <n v="22"/>
    <n v="22"/>
    <s v="No"/>
    <s v="No"/>
    <s v="No"/>
    <s v="No"/>
    <s v="Yes"/>
    <s v="No"/>
    <m/>
    <x v="1"/>
    <n v="0"/>
  </r>
  <r>
    <n v="705"/>
    <d v="2023-12-22T00:00:00"/>
    <s v="Premium"/>
    <n v="699"/>
    <n v="3.6"/>
    <n v="3"/>
    <x v="3"/>
    <n v="7"/>
    <n v="35"/>
    <s v="Yes"/>
    <s v="Yes"/>
    <s v="Yes"/>
    <s v="No"/>
    <s v="Yes"/>
    <s v="No"/>
    <m/>
    <x v="0"/>
    <n v="1"/>
  </r>
  <r>
    <n v="706"/>
    <d v="2023-02-10T00:00:00"/>
    <s v="Standard"/>
    <n v="399"/>
    <n v="1"/>
    <n v="6"/>
    <x v="3"/>
    <n v="13"/>
    <n v="46"/>
    <s v="Yes"/>
    <s v="Yes"/>
    <s v="Yes"/>
    <s v="Yes"/>
    <s v="Yes"/>
    <s v="No"/>
    <m/>
    <x v="0"/>
    <n v="1"/>
  </r>
  <r>
    <n v="707"/>
    <d v="2023-07-11T00:00:00"/>
    <s v="Standard"/>
    <n v="399"/>
    <n v="14.2"/>
    <n v="8"/>
    <x v="4"/>
    <n v="29"/>
    <n v="31"/>
    <s v="Yes"/>
    <s v="No"/>
    <s v="Yes"/>
    <s v="Yes"/>
    <s v="Yes"/>
    <s v="No"/>
    <m/>
    <x v="0"/>
    <n v="1"/>
  </r>
  <r>
    <n v="708"/>
    <d v="2024-07-21T00:00:00"/>
    <s v="Premium"/>
    <n v="699"/>
    <n v="8.4"/>
    <n v="7"/>
    <x v="3"/>
    <n v="23"/>
    <n v="55"/>
    <s v="No"/>
    <s v="No"/>
    <s v="Yes"/>
    <s v="Yes"/>
    <s v="Yes"/>
    <s v="No"/>
    <m/>
    <x v="0"/>
    <n v="0"/>
  </r>
  <r>
    <n v="709"/>
    <d v="2024-01-11T00:00:00"/>
    <s v="Basic"/>
    <n v="199"/>
    <n v="13.5"/>
    <n v="7"/>
    <x v="3"/>
    <n v="5"/>
    <n v="52"/>
    <s v="Yes"/>
    <s v="No"/>
    <s v="Yes"/>
    <s v="Yes"/>
    <s v="Yes"/>
    <s v="Yes"/>
    <m/>
    <x v="0"/>
    <n v="1"/>
  </r>
  <r>
    <n v="710"/>
    <d v="2023-01-20T00:00:00"/>
    <s v="Standard"/>
    <n v="399"/>
    <n v="19.5"/>
    <n v="8"/>
    <x v="2"/>
    <n v="1"/>
    <n v="46"/>
    <s v="Yes"/>
    <s v="No"/>
    <s v="Yes"/>
    <s v="Yes"/>
    <s v="Yes"/>
    <s v="Yes"/>
    <m/>
    <x v="0"/>
    <n v="1"/>
  </r>
  <r>
    <n v="711"/>
    <d v="2024-07-05T00:00:00"/>
    <s v="Premium"/>
    <n v="699"/>
    <n v="19.5"/>
    <n v="3"/>
    <x v="3"/>
    <n v="24"/>
    <n v="46"/>
    <s v="Yes"/>
    <s v="No"/>
    <s v="Yes"/>
    <s v="No"/>
    <s v="Yes"/>
    <s v="No"/>
    <m/>
    <x v="0"/>
    <n v="1"/>
  </r>
  <r>
    <n v="712"/>
    <d v="2023-11-27T00:00:00"/>
    <s v="Standard"/>
    <n v="399"/>
    <n v="13.3"/>
    <n v="7"/>
    <x v="5"/>
    <n v="13"/>
    <n v="9"/>
    <s v="No"/>
    <s v="No"/>
    <s v="Yes"/>
    <s v="Yes"/>
    <s v="No"/>
    <s v="No"/>
    <m/>
    <x v="0"/>
    <n v="0"/>
  </r>
  <r>
    <n v="713"/>
    <d v="2023-05-13T00:00:00"/>
    <s v="Standard"/>
    <n v="399"/>
    <n v="3.2"/>
    <n v="8"/>
    <x v="4"/>
    <n v="21"/>
    <n v="4"/>
    <s v="Yes"/>
    <s v="Yes"/>
    <s v="Yes"/>
    <s v="Yes"/>
    <s v="No"/>
    <s v="No"/>
    <m/>
    <x v="0"/>
    <n v="1"/>
  </r>
  <r>
    <n v="714"/>
    <d v="2024-10-19T00:00:00"/>
    <s v="Basic"/>
    <n v="199"/>
    <n v="5.5"/>
    <n v="7"/>
    <x v="0"/>
    <n v="3"/>
    <n v="6"/>
    <s v="Yes"/>
    <s v="No"/>
    <s v="Yes"/>
    <s v="Yes"/>
    <s v="No"/>
    <s v="Yes"/>
    <m/>
    <x v="0"/>
    <n v="1"/>
  </r>
  <r>
    <n v="715"/>
    <d v="2023-03-14T00:00:00"/>
    <s v="Standard"/>
    <n v="399"/>
    <n v="13.4"/>
    <n v="4"/>
    <x v="1"/>
    <n v="32"/>
    <n v="23"/>
    <s v="Yes"/>
    <s v="No"/>
    <s v="No"/>
    <s v="No"/>
    <s v="Yes"/>
    <s v="No"/>
    <m/>
    <x v="1"/>
    <n v="1"/>
  </r>
  <r>
    <n v="716"/>
    <d v="2024-01-05T00:00:00"/>
    <s v="Basic"/>
    <n v="199"/>
    <n v="16.600000000000001"/>
    <n v="1"/>
    <x v="2"/>
    <n v="14"/>
    <n v="51"/>
    <s v="No"/>
    <s v="No"/>
    <s v="Yes"/>
    <s v="No"/>
    <s v="Yes"/>
    <s v="No"/>
    <m/>
    <x v="0"/>
    <n v="0"/>
  </r>
  <r>
    <n v="717"/>
    <d v="2023-03-14T00:00:00"/>
    <s v="Premium"/>
    <n v="699"/>
    <n v="20.6"/>
    <n v="0"/>
    <x v="5"/>
    <n v="27"/>
    <n v="17"/>
    <s v="No"/>
    <s v="No"/>
    <s v="Yes"/>
    <s v="No"/>
    <s v="Yes"/>
    <s v="No"/>
    <m/>
    <x v="0"/>
    <n v="0"/>
  </r>
  <r>
    <n v="718"/>
    <d v="2024-06-28T00:00:00"/>
    <s v="Standard"/>
    <n v="399"/>
    <n v="23.6"/>
    <n v="8"/>
    <x v="1"/>
    <n v="5"/>
    <n v="6"/>
    <s v="No"/>
    <s v="No"/>
    <s v="No"/>
    <s v="Yes"/>
    <s v="No"/>
    <s v="Yes"/>
    <m/>
    <x v="1"/>
    <n v="0"/>
  </r>
  <r>
    <n v="719"/>
    <d v="2024-07-25T00:00:00"/>
    <s v="Standard"/>
    <n v="399"/>
    <n v="5.2"/>
    <n v="3"/>
    <x v="5"/>
    <n v="13"/>
    <n v="40"/>
    <s v="No"/>
    <s v="No"/>
    <s v="Yes"/>
    <s v="No"/>
    <s v="Yes"/>
    <s v="No"/>
    <m/>
    <x v="0"/>
    <n v="0"/>
  </r>
  <r>
    <n v="720"/>
    <d v="2024-04-14T00:00:00"/>
    <s v="Premium"/>
    <n v="699"/>
    <n v="10.7"/>
    <n v="1"/>
    <x v="4"/>
    <n v="36"/>
    <n v="36"/>
    <s v="Yes"/>
    <s v="No"/>
    <s v="Yes"/>
    <s v="No"/>
    <s v="Yes"/>
    <s v="No"/>
    <m/>
    <x v="0"/>
    <n v="1"/>
  </r>
  <r>
    <n v="721"/>
    <d v="2023-12-12T00:00:00"/>
    <s v="Premium"/>
    <n v="699"/>
    <n v="22.1"/>
    <n v="2"/>
    <x v="0"/>
    <n v="28"/>
    <n v="35"/>
    <s v="No"/>
    <s v="No"/>
    <s v="Yes"/>
    <s v="No"/>
    <s v="Yes"/>
    <s v="No"/>
    <m/>
    <x v="0"/>
    <n v="0"/>
  </r>
  <r>
    <n v="722"/>
    <d v="2023-11-29T00:00:00"/>
    <s v="Premium"/>
    <n v="699"/>
    <n v="13.6"/>
    <n v="7"/>
    <x v="3"/>
    <n v="11"/>
    <n v="57"/>
    <s v="Yes"/>
    <s v="No"/>
    <s v="Yes"/>
    <s v="Yes"/>
    <s v="Yes"/>
    <s v="No"/>
    <m/>
    <x v="0"/>
    <n v="1"/>
  </r>
  <r>
    <n v="723"/>
    <d v="2024-07-30T00:00:00"/>
    <s v="Standard"/>
    <n v="399"/>
    <n v="19.2"/>
    <n v="6"/>
    <x v="4"/>
    <n v="27"/>
    <n v="20"/>
    <s v="No"/>
    <s v="No"/>
    <s v="Yes"/>
    <s v="Yes"/>
    <s v="Yes"/>
    <s v="No"/>
    <m/>
    <x v="0"/>
    <n v="0"/>
  </r>
  <r>
    <n v="724"/>
    <d v="2024-04-08T00:00:00"/>
    <s v="Premium"/>
    <n v="699"/>
    <n v="9.6999999999999993"/>
    <n v="8"/>
    <x v="4"/>
    <n v="14"/>
    <n v="16"/>
    <s v="Yes"/>
    <s v="No"/>
    <s v="Yes"/>
    <s v="Yes"/>
    <s v="Yes"/>
    <s v="No"/>
    <m/>
    <x v="0"/>
    <n v="1"/>
  </r>
  <r>
    <n v="725"/>
    <d v="2023-05-19T00:00:00"/>
    <s v="Standard"/>
    <n v="399"/>
    <n v="0.5"/>
    <n v="0"/>
    <x v="3"/>
    <n v="26"/>
    <n v="38"/>
    <s v="Yes"/>
    <s v="Yes"/>
    <s v="Yes"/>
    <s v="No"/>
    <s v="Yes"/>
    <s v="No"/>
    <m/>
    <x v="0"/>
    <n v="1"/>
  </r>
  <r>
    <n v="726"/>
    <d v="2024-12-07T00:00:00"/>
    <s v="Standard"/>
    <n v="399"/>
    <n v="7.9"/>
    <n v="3"/>
    <x v="0"/>
    <n v="1"/>
    <n v="54"/>
    <s v="Yes"/>
    <s v="No"/>
    <s v="Yes"/>
    <s v="No"/>
    <s v="Yes"/>
    <s v="Yes"/>
    <m/>
    <x v="0"/>
    <n v="1"/>
  </r>
  <r>
    <n v="727"/>
    <d v="2023-06-09T00:00:00"/>
    <s v="Standard"/>
    <n v="399"/>
    <n v="13"/>
    <n v="2"/>
    <x v="1"/>
    <n v="36"/>
    <n v="2"/>
    <s v="No"/>
    <s v="No"/>
    <s v="No"/>
    <s v="No"/>
    <s v="No"/>
    <s v="No"/>
    <m/>
    <x v="1"/>
    <n v="0"/>
  </r>
  <r>
    <n v="728"/>
    <d v="2023-04-05T00:00:00"/>
    <s v="Basic"/>
    <n v="199"/>
    <n v="9.5"/>
    <n v="3"/>
    <x v="0"/>
    <n v="17"/>
    <n v="16"/>
    <s v="No"/>
    <s v="No"/>
    <s v="Yes"/>
    <s v="No"/>
    <s v="Yes"/>
    <s v="No"/>
    <m/>
    <x v="0"/>
    <n v="0"/>
  </r>
  <r>
    <n v="729"/>
    <d v="2024-05-09T00:00:00"/>
    <s v="Premium"/>
    <n v="699"/>
    <n v="14.4"/>
    <n v="3"/>
    <x v="4"/>
    <n v="26"/>
    <n v="4"/>
    <s v="No"/>
    <s v="No"/>
    <s v="Yes"/>
    <s v="No"/>
    <s v="No"/>
    <s v="No"/>
    <m/>
    <x v="0"/>
    <n v="0"/>
  </r>
  <r>
    <n v="730"/>
    <d v="2024-08-13T00:00:00"/>
    <s v="Basic"/>
    <n v="199"/>
    <n v="20.7"/>
    <n v="1"/>
    <x v="5"/>
    <n v="32"/>
    <n v="41"/>
    <s v="Yes"/>
    <s v="No"/>
    <s v="Yes"/>
    <s v="No"/>
    <s v="Yes"/>
    <s v="No"/>
    <m/>
    <x v="0"/>
    <n v="1"/>
  </r>
  <r>
    <n v="731"/>
    <d v="2024-03-02T00:00:00"/>
    <s v="Standard"/>
    <n v="399"/>
    <n v="19.600000000000001"/>
    <n v="5"/>
    <x v="3"/>
    <n v="6"/>
    <n v="56"/>
    <s v="No"/>
    <s v="No"/>
    <s v="Yes"/>
    <s v="Yes"/>
    <s v="Yes"/>
    <s v="No"/>
    <m/>
    <x v="0"/>
    <n v="0"/>
  </r>
  <r>
    <n v="732"/>
    <d v="2023-02-25T00:00:00"/>
    <s v="Basic"/>
    <n v="199"/>
    <n v="18.8"/>
    <n v="0"/>
    <x v="4"/>
    <n v="15"/>
    <n v="49"/>
    <s v="No"/>
    <s v="No"/>
    <s v="Yes"/>
    <s v="No"/>
    <s v="Yes"/>
    <s v="No"/>
    <m/>
    <x v="0"/>
    <n v="0"/>
  </r>
  <r>
    <n v="733"/>
    <d v="2024-12-15T00:00:00"/>
    <s v="Standard"/>
    <n v="399"/>
    <n v="1.5"/>
    <n v="8"/>
    <x v="5"/>
    <n v="34"/>
    <n v="9"/>
    <s v="Yes"/>
    <s v="Yes"/>
    <s v="Yes"/>
    <s v="Yes"/>
    <s v="No"/>
    <s v="No"/>
    <m/>
    <x v="0"/>
    <n v="1"/>
  </r>
  <r>
    <n v="734"/>
    <d v="2024-05-31T00:00:00"/>
    <s v="Basic"/>
    <n v="199"/>
    <n v="1.7"/>
    <n v="6"/>
    <x v="2"/>
    <n v="10"/>
    <n v="48"/>
    <s v="Yes"/>
    <s v="Yes"/>
    <s v="Yes"/>
    <s v="Yes"/>
    <s v="Yes"/>
    <s v="No"/>
    <m/>
    <x v="0"/>
    <n v="1"/>
  </r>
  <r>
    <n v="735"/>
    <d v="2024-05-02T00:00:00"/>
    <s v="Basic"/>
    <n v="199"/>
    <n v="11.1"/>
    <n v="6"/>
    <x v="0"/>
    <n v="15"/>
    <n v="8"/>
    <s v="No"/>
    <s v="No"/>
    <s v="Yes"/>
    <s v="Yes"/>
    <s v="No"/>
    <s v="No"/>
    <m/>
    <x v="0"/>
    <n v="0"/>
  </r>
  <r>
    <n v="736"/>
    <d v="2024-12-15T00:00:00"/>
    <s v="Premium"/>
    <n v="699"/>
    <n v="13.9"/>
    <n v="4"/>
    <x v="1"/>
    <n v="4"/>
    <n v="25"/>
    <s v="No"/>
    <s v="No"/>
    <s v="No"/>
    <s v="No"/>
    <s v="Yes"/>
    <s v="Yes"/>
    <m/>
    <x v="1"/>
    <n v="0"/>
  </r>
  <r>
    <n v="737"/>
    <d v="2023-07-20T00:00:00"/>
    <s v="Basic"/>
    <n v="199"/>
    <n v="12.3"/>
    <n v="3"/>
    <x v="2"/>
    <n v="9"/>
    <n v="25"/>
    <s v="No"/>
    <s v="No"/>
    <s v="Yes"/>
    <s v="No"/>
    <s v="Yes"/>
    <s v="No"/>
    <m/>
    <x v="0"/>
    <n v="0"/>
  </r>
  <r>
    <n v="738"/>
    <d v="2024-12-02T00:00:00"/>
    <s v="Premium"/>
    <n v="699"/>
    <n v="6.5"/>
    <n v="1"/>
    <x v="3"/>
    <n v="34"/>
    <n v="49"/>
    <s v="Yes"/>
    <s v="No"/>
    <s v="Yes"/>
    <s v="No"/>
    <s v="Yes"/>
    <s v="No"/>
    <m/>
    <x v="0"/>
    <n v="1"/>
  </r>
  <r>
    <n v="739"/>
    <d v="2023-11-25T00:00:00"/>
    <s v="Premium"/>
    <n v="699"/>
    <n v="3.3"/>
    <n v="6"/>
    <x v="2"/>
    <n v="6"/>
    <n v="23"/>
    <s v="Yes"/>
    <s v="Yes"/>
    <s v="Yes"/>
    <s v="Yes"/>
    <s v="Yes"/>
    <s v="No"/>
    <m/>
    <x v="0"/>
    <n v="1"/>
  </r>
  <r>
    <n v="740"/>
    <d v="2024-03-28T00:00:00"/>
    <s v="Standard"/>
    <n v="399"/>
    <n v="19.399999999999999"/>
    <n v="2"/>
    <x v="3"/>
    <n v="2"/>
    <n v="39"/>
    <s v="No"/>
    <s v="No"/>
    <s v="Yes"/>
    <s v="No"/>
    <s v="Yes"/>
    <s v="Yes"/>
    <m/>
    <x v="0"/>
    <n v="0"/>
  </r>
  <r>
    <n v="741"/>
    <d v="2023-03-29T00:00:00"/>
    <s v="Premium"/>
    <n v="699"/>
    <n v="11.3"/>
    <n v="3"/>
    <x v="0"/>
    <n v="10"/>
    <n v="43"/>
    <s v="No"/>
    <s v="No"/>
    <s v="Yes"/>
    <s v="No"/>
    <s v="Yes"/>
    <s v="No"/>
    <m/>
    <x v="0"/>
    <n v="0"/>
  </r>
  <r>
    <n v="742"/>
    <d v="2023-04-24T00:00:00"/>
    <s v="Basic"/>
    <n v="199"/>
    <n v="6.5"/>
    <n v="2"/>
    <x v="3"/>
    <n v="4"/>
    <n v="0"/>
    <s v="Yes"/>
    <s v="No"/>
    <s v="Yes"/>
    <s v="No"/>
    <s v="No"/>
    <s v="Yes"/>
    <m/>
    <x v="0"/>
    <n v="1"/>
  </r>
  <r>
    <n v="743"/>
    <d v="2023-07-28T00:00:00"/>
    <s v="Standard"/>
    <n v="399"/>
    <n v="12"/>
    <n v="5"/>
    <x v="0"/>
    <n v="29"/>
    <n v="47"/>
    <s v="No"/>
    <s v="No"/>
    <s v="Yes"/>
    <s v="Yes"/>
    <s v="Yes"/>
    <s v="No"/>
    <m/>
    <x v="0"/>
    <n v="0"/>
  </r>
  <r>
    <n v="744"/>
    <d v="2023-05-25T00:00:00"/>
    <s v="Premium"/>
    <n v="699"/>
    <n v="18.899999999999999"/>
    <n v="8"/>
    <x v="2"/>
    <n v="34"/>
    <n v="39"/>
    <s v="Yes"/>
    <s v="No"/>
    <s v="Yes"/>
    <s v="Yes"/>
    <s v="Yes"/>
    <s v="No"/>
    <m/>
    <x v="0"/>
    <n v="1"/>
  </r>
  <r>
    <n v="745"/>
    <d v="2023-10-18T00:00:00"/>
    <s v="Premium"/>
    <n v="699"/>
    <n v="9.6999999999999993"/>
    <n v="8"/>
    <x v="1"/>
    <n v="2"/>
    <n v="16"/>
    <s v="Yes"/>
    <s v="No"/>
    <s v="No"/>
    <s v="Yes"/>
    <s v="Yes"/>
    <s v="Yes"/>
    <m/>
    <x v="1"/>
    <n v="1"/>
  </r>
  <r>
    <n v="746"/>
    <d v="2024-11-09T00:00:00"/>
    <s v="Basic"/>
    <n v="199"/>
    <n v="1.8"/>
    <n v="0"/>
    <x v="1"/>
    <n v="18"/>
    <n v="24"/>
    <s v="No"/>
    <s v="Yes"/>
    <s v="No"/>
    <s v="No"/>
    <s v="Yes"/>
    <s v="No"/>
    <m/>
    <x v="1"/>
    <n v="0"/>
  </r>
  <r>
    <n v="747"/>
    <d v="2024-01-31T00:00:00"/>
    <s v="Premium"/>
    <n v="699"/>
    <n v="21.7"/>
    <n v="0"/>
    <x v="3"/>
    <n v="24"/>
    <n v="55"/>
    <s v="No"/>
    <s v="No"/>
    <s v="Yes"/>
    <s v="No"/>
    <s v="Yes"/>
    <s v="No"/>
    <m/>
    <x v="0"/>
    <n v="0"/>
  </r>
  <r>
    <n v="748"/>
    <d v="2024-06-28T00:00:00"/>
    <s v="Basic"/>
    <n v="199"/>
    <n v="13"/>
    <n v="1"/>
    <x v="3"/>
    <n v="25"/>
    <n v="31"/>
    <s v="No"/>
    <s v="No"/>
    <s v="Yes"/>
    <s v="No"/>
    <s v="Yes"/>
    <s v="No"/>
    <m/>
    <x v="0"/>
    <n v="0"/>
  </r>
  <r>
    <n v="749"/>
    <d v="2023-02-10T00:00:00"/>
    <s v="Basic"/>
    <n v="199"/>
    <n v="5.4"/>
    <n v="7"/>
    <x v="5"/>
    <n v="12"/>
    <n v="59"/>
    <s v="Yes"/>
    <s v="No"/>
    <s v="Yes"/>
    <s v="Yes"/>
    <s v="Yes"/>
    <s v="No"/>
    <m/>
    <x v="0"/>
    <n v="1"/>
  </r>
  <r>
    <n v="750"/>
    <d v="2023-12-22T00:00:00"/>
    <s v="Basic"/>
    <n v="199"/>
    <n v="8"/>
    <n v="7"/>
    <x v="2"/>
    <n v="34"/>
    <n v="47"/>
    <s v="Yes"/>
    <s v="No"/>
    <s v="Yes"/>
    <s v="Yes"/>
    <s v="Yes"/>
    <s v="No"/>
    <m/>
    <x v="0"/>
    <n v="1"/>
  </r>
  <r>
    <n v="751"/>
    <d v="2023-03-05T00:00:00"/>
    <s v="Premium"/>
    <n v="699"/>
    <n v="9.1999999999999993"/>
    <n v="4"/>
    <x v="0"/>
    <n v="23"/>
    <n v="32"/>
    <s v="Yes"/>
    <s v="No"/>
    <s v="Yes"/>
    <s v="No"/>
    <s v="Yes"/>
    <s v="No"/>
    <m/>
    <x v="0"/>
    <n v="1"/>
  </r>
  <r>
    <n v="752"/>
    <d v="2023-06-05T00:00:00"/>
    <s v="Premium"/>
    <n v="699"/>
    <n v="22"/>
    <n v="0"/>
    <x v="5"/>
    <n v="17"/>
    <n v="60"/>
    <s v="Yes"/>
    <s v="No"/>
    <s v="Yes"/>
    <s v="No"/>
    <s v="Yes"/>
    <s v="No"/>
    <m/>
    <x v="0"/>
    <n v="1"/>
  </r>
  <r>
    <n v="753"/>
    <d v="2024-11-25T00:00:00"/>
    <s v="Standard"/>
    <n v="399"/>
    <n v="16.600000000000001"/>
    <n v="1"/>
    <x v="4"/>
    <n v="26"/>
    <n v="24"/>
    <s v="Yes"/>
    <s v="No"/>
    <s v="Yes"/>
    <s v="No"/>
    <s v="Yes"/>
    <s v="No"/>
    <m/>
    <x v="0"/>
    <n v="1"/>
  </r>
  <r>
    <n v="754"/>
    <d v="2023-12-04T00:00:00"/>
    <s v="Premium"/>
    <n v="699"/>
    <n v="10.7"/>
    <n v="2"/>
    <x v="2"/>
    <n v="15"/>
    <n v="19"/>
    <s v="No"/>
    <s v="No"/>
    <s v="Yes"/>
    <s v="No"/>
    <s v="Yes"/>
    <s v="No"/>
    <m/>
    <x v="0"/>
    <n v="0"/>
  </r>
  <r>
    <n v="755"/>
    <d v="2023-07-27T00:00:00"/>
    <s v="Standard"/>
    <n v="399"/>
    <n v="3.7"/>
    <n v="2"/>
    <x v="5"/>
    <n v="35"/>
    <n v="34"/>
    <s v="Yes"/>
    <s v="Yes"/>
    <s v="Yes"/>
    <s v="No"/>
    <s v="Yes"/>
    <s v="No"/>
    <m/>
    <x v="0"/>
    <n v="1"/>
  </r>
  <r>
    <n v="756"/>
    <d v="2023-05-29T00:00:00"/>
    <s v="Basic"/>
    <n v="199"/>
    <n v="17.399999999999999"/>
    <n v="8"/>
    <x v="0"/>
    <n v="20"/>
    <n v="27"/>
    <s v="No"/>
    <s v="No"/>
    <s v="Yes"/>
    <s v="Yes"/>
    <s v="Yes"/>
    <s v="No"/>
    <m/>
    <x v="0"/>
    <n v="0"/>
  </r>
  <r>
    <n v="757"/>
    <d v="2023-07-08T00:00:00"/>
    <s v="Premium"/>
    <n v="699"/>
    <n v="8.3000000000000007"/>
    <n v="8"/>
    <x v="5"/>
    <n v="11"/>
    <n v="60"/>
    <s v="Yes"/>
    <s v="No"/>
    <s v="Yes"/>
    <s v="Yes"/>
    <s v="Yes"/>
    <s v="No"/>
    <m/>
    <x v="0"/>
    <n v="1"/>
  </r>
  <r>
    <n v="758"/>
    <d v="2024-10-14T00:00:00"/>
    <s v="Standard"/>
    <n v="399"/>
    <n v="18.3"/>
    <n v="5"/>
    <x v="2"/>
    <n v="10"/>
    <n v="26"/>
    <s v="Yes"/>
    <s v="No"/>
    <s v="Yes"/>
    <s v="Yes"/>
    <s v="Yes"/>
    <s v="No"/>
    <m/>
    <x v="0"/>
    <n v="1"/>
  </r>
  <r>
    <n v="759"/>
    <d v="2024-09-18T00:00:00"/>
    <s v="Premium"/>
    <n v="699"/>
    <n v="4.2"/>
    <n v="3"/>
    <x v="1"/>
    <n v="18"/>
    <n v="8"/>
    <s v="Yes"/>
    <s v="Yes"/>
    <s v="No"/>
    <s v="No"/>
    <s v="No"/>
    <s v="No"/>
    <m/>
    <x v="1"/>
    <n v="1"/>
  </r>
  <r>
    <n v="760"/>
    <d v="2023-01-27T00:00:00"/>
    <s v="Premium"/>
    <n v="699"/>
    <n v="15.3"/>
    <n v="3"/>
    <x v="5"/>
    <n v="18"/>
    <n v="14"/>
    <s v="Yes"/>
    <s v="No"/>
    <s v="Yes"/>
    <s v="No"/>
    <s v="No"/>
    <s v="No"/>
    <m/>
    <x v="0"/>
    <n v="1"/>
  </r>
  <r>
    <n v="761"/>
    <d v="2024-04-25T00:00:00"/>
    <s v="Standard"/>
    <n v="399"/>
    <n v="17.399999999999999"/>
    <n v="7"/>
    <x v="0"/>
    <n v="6"/>
    <n v="32"/>
    <s v="No"/>
    <s v="No"/>
    <s v="Yes"/>
    <s v="Yes"/>
    <s v="Yes"/>
    <s v="No"/>
    <m/>
    <x v="0"/>
    <n v="0"/>
  </r>
  <r>
    <n v="762"/>
    <d v="2023-07-17T00:00:00"/>
    <s v="Premium"/>
    <n v="699"/>
    <n v="5"/>
    <n v="6"/>
    <x v="2"/>
    <n v="24"/>
    <n v="30"/>
    <s v="Yes"/>
    <s v="No"/>
    <s v="Yes"/>
    <s v="Yes"/>
    <s v="Yes"/>
    <s v="No"/>
    <m/>
    <x v="0"/>
    <n v="1"/>
  </r>
  <r>
    <n v="763"/>
    <d v="2024-11-18T00:00:00"/>
    <s v="Basic"/>
    <n v="199"/>
    <n v="10.5"/>
    <n v="0"/>
    <x v="3"/>
    <n v="3"/>
    <n v="60"/>
    <s v="Yes"/>
    <s v="No"/>
    <s v="Yes"/>
    <s v="No"/>
    <s v="Yes"/>
    <s v="Yes"/>
    <m/>
    <x v="0"/>
    <n v="1"/>
  </r>
  <r>
    <n v="764"/>
    <d v="2024-04-13T00:00:00"/>
    <s v="Basic"/>
    <n v="199"/>
    <n v="2.1"/>
    <n v="7"/>
    <x v="5"/>
    <n v="14"/>
    <n v="31"/>
    <s v="Yes"/>
    <s v="Yes"/>
    <s v="Yes"/>
    <s v="Yes"/>
    <s v="Yes"/>
    <s v="No"/>
    <m/>
    <x v="0"/>
    <n v="1"/>
  </r>
  <r>
    <n v="765"/>
    <d v="2023-11-17T00:00:00"/>
    <s v="Basic"/>
    <n v="199"/>
    <n v="10.4"/>
    <n v="0"/>
    <x v="5"/>
    <n v="28"/>
    <n v="47"/>
    <s v="No"/>
    <s v="No"/>
    <s v="Yes"/>
    <s v="No"/>
    <s v="Yes"/>
    <s v="No"/>
    <m/>
    <x v="0"/>
    <n v="0"/>
  </r>
  <r>
    <n v="766"/>
    <d v="2023-02-13T00:00:00"/>
    <s v="Standard"/>
    <n v="399"/>
    <n v="13.4"/>
    <n v="0"/>
    <x v="5"/>
    <n v="35"/>
    <n v="6"/>
    <s v="No"/>
    <s v="No"/>
    <s v="Yes"/>
    <s v="No"/>
    <s v="No"/>
    <s v="No"/>
    <m/>
    <x v="0"/>
    <n v="0"/>
  </r>
  <r>
    <n v="767"/>
    <d v="2024-10-07T00:00:00"/>
    <s v="Basic"/>
    <n v="199"/>
    <n v="13.7"/>
    <n v="0"/>
    <x v="5"/>
    <n v="34"/>
    <n v="24"/>
    <s v="Yes"/>
    <s v="No"/>
    <s v="Yes"/>
    <s v="No"/>
    <s v="Yes"/>
    <s v="No"/>
    <m/>
    <x v="0"/>
    <n v="1"/>
  </r>
  <r>
    <n v="768"/>
    <d v="2024-04-17T00:00:00"/>
    <s v="Basic"/>
    <n v="199"/>
    <n v="7.6"/>
    <n v="6"/>
    <x v="3"/>
    <n v="13"/>
    <n v="49"/>
    <s v="No"/>
    <s v="No"/>
    <s v="Yes"/>
    <s v="Yes"/>
    <s v="Yes"/>
    <s v="No"/>
    <m/>
    <x v="0"/>
    <n v="0"/>
  </r>
  <r>
    <n v="769"/>
    <d v="2024-04-19T00:00:00"/>
    <s v="Basic"/>
    <n v="199"/>
    <n v="7.7"/>
    <n v="0"/>
    <x v="4"/>
    <n v="28"/>
    <n v="33"/>
    <s v="No"/>
    <s v="No"/>
    <s v="Yes"/>
    <s v="No"/>
    <s v="Yes"/>
    <s v="No"/>
    <m/>
    <x v="0"/>
    <n v="0"/>
  </r>
  <r>
    <n v="770"/>
    <d v="2024-12-13T00:00:00"/>
    <s v="Premium"/>
    <n v="699"/>
    <n v="2.7"/>
    <n v="8"/>
    <x v="1"/>
    <n v="29"/>
    <n v="11"/>
    <s v="No"/>
    <s v="Yes"/>
    <s v="No"/>
    <s v="Yes"/>
    <s v="No"/>
    <s v="No"/>
    <m/>
    <x v="1"/>
    <n v="0"/>
  </r>
  <r>
    <n v="771"/>
    <d v="2024-08-27T00:00:00"/>
    <s v="Premium"/>
    <n v="699"/>
    <n v="10.1"/>
    <n v="5"/>
    <x v="2"/>
    <n v="9"/>
    <n v="1"/>
    <s v="Yes"/>
    <s v="No"/>
    <s v="Yes"/>
    <s v="Yes"/>
    <s v="No"/>
    <s v="No"/>
    <m/>
    <x v="0"/>
    <n v="1"/>
  </r>
  <r>
    <n v="772"/>
    <d v="2024-12-29T00:00:00"/>
    <s v="Premium"/>
    <n v="699"/>
    <n v="22.1"/>
    <n v="1"/>
    <x v="3"/>
    <n v="13"/>
    <n v="20"/>
    <s v="No"/>
    <s v="No"/>
    <s v="Yes"/>
    <s v="No"/>
    <s v="Yes"/>
    <s v="No"/>
    <m/>
    <x v="0"/>
    <n v="0"/>
  </r>
  <r>
    <n v="773"/>
    <d v="2024-12-25T00:00:00"/>
    <s v="Basic"/>
    <n v="199"/>
    <n v="2.7"/>
    <n v="7"/>
    <x v="4"/>
    <n v="8"/>
    <n v="23"/>
    <s v="Yes"/>
    <s v="Yes"/>
    <s v="Yes"/>
    <s v="Yes"/>
    <s v="Yes"/>
    <s v="No"/>
    <m/>
    <x v="0"/>
    <n v="1"/>
  </r>
  <r>
    <n v="774"/>
    <d v="2023-06-24T00:00:00"/>
    <s v="Standard"/>
    <n v="399"/>
    <n v="15.5"/>
    <n v="2"/>
    <x v="2"/>
    <n v="33"/>
    <n v="35"/>
    <s v="Yes"/>
    <s v="No"/>
    <s v="Yes"/>
    <s v="No"/>
    <s v="Yes"/>
    <s v="No"/>
    <m/>
    <x v="0"/>
    <n v="1"/>
  </r>
  <r>
    <n v="775"/>
    <d v="2024-03-05T00:00:00"/>
    <s v="Standard"/>
    <n v="399"/>
    <n v="4.5"/>
    <n v="2"/>
    <x v="0"/>
    <n v="10"/>
    <n v="49"/>
    <s v="No"/>
    <s v="Yes"/>
    <s v="Yes"/>
    <s v="No"/>
    <s v="Yes"/>
    <s v="No"/>
    <m/>
    <x v="0"/>
    <n v="0"/>
  </r>
  <r>
    <n v="776"/>
    <d v="2023-05-15T00:00:00"/>
    <s v="Standard"/>
    <n v="399"/>
    <n v="18.399999999999999"/>
    <n v="7"/>
    <x v="3"/>
    <n v="20"/>
    <n v="40"/>
    <s v="Yes"/>
    <s v="No"/>
    <s v="Yes"/>
    <s v="Yes"/>
    <s v="Yes"/>
    <s v="No"/>
    <m/>
    <x v="0"/>
    <n v="1"/>
  </r>
  <r>
    <n v="777"/>
    <d v="2024-05-25T00:00:00"/>
    <s v="Basic"/>
    <n v="199"/>
    <n v="15.8"/>
    <n v="4"/>
    <x v="1"/>
    <n v="1"/>
    <n v="29"/>
    <s v="Yes"/>
    <s v="No"/>
    <s v="No"/>
    <s v="No"/>
    <s v="Yes"/>
    <s v="Yes"/>
    <m/>
    <x v="1"/>
    <n v="1"/>
  </r>
  <r>
    <n v="778"/>
    <d v="2024-05-02T00:00:00"/>
    <s v="Premium"/>
    <n v="699"/>
    <n v="15.4"/>
    <n v="7"/>
    <x v="0"/>
    <n v="1"/>
    <n v="13"/>
    <s v="No"/>
    <s v="No"/>
    <s v="Yes"/>
    <s v="Yes"/>
    <s v="No"/>
    <s v="Yes"/>
    <m/>
    <x v="0"/>
    <n v="0"/>
  </r>
  <r>
    <n v="779"/>
    <d v="2024-09-26T00:00:00"/>
    <s v="Standard"/>
    <n v="399"/>
    <n v="11.3"/>
    <n v="0"/>
    <x v="0"/>
    <n v="27"/>
    <n v="56"/>
    <s v="No"/>
    <s v="No"/>
    <s v="Yes"/>
    <s v="No"/>
    <s v="Yes"/>
    <s v="No"/>
    <m/>
    <x v="0"/>
    <n v="0"/>
  </r>
  <r>
    <n v="780"/>
    <d v="2024-10-30T00:00:00"/>
    <s v="Premium"/>
    <n v="699"/>
    <n v="20.6"/>
    <n v="3"/>
    <x v="1"/>
    <n v="36"/>
    <n v="11"/>
    <s v="No"/>
    <s v="No"/>
    <s v="No"/>
    <s v="No"/>
    <s v="No"/>
    <s v="No"/>
    <m/>
    <x v="1"/>
    <n v="0"/>
  </r>
  <r>
    <n v="781"/>
    <d v="2023-11-02T00:00:00"/>
    <s v="Standard"/>
    <n v="399"/>
    <n v="4.0999999999999996"/>
    <n v="0"/>
    <x v="4"/>
    <n v="3"/>
    <n v="36"/>
    <s v="Yes"/>
    <s v="Yes"/>
    <s v="Yes"/>
    <s v="No"/>
    <s v="Yes"/>
    <s v="Yes"/>
    <m/>
    <x v="0"/>
    <n v="1"/>
  </r>
  <r>
    <n v="782"/>
    <d v="2024-09-17T00:00:00"/>
    <s v="Standard"/>
    <n v="399"/>
    <n v="1.7"/>
    <n v="6"/>
    <x v="0"/>
    <n v="6"/>
    <n v="10"/>
    <s v="No"/>
    <s v="Yes"/>
    <s v="Yes"/>
    <s v="Yes"/>
    <s v="No"/>
    <s v="No"/>
    <m/>
    <x v="0"/>
    <n v="0"/>
  </r>
  <r>
    <n v="783"/>
    <d v="2023-02-06T00:00:00"/>
    <s v="Premium"/>
    <n v="699"/>
    <n v="4.8"/>
    <n v="7"/>
    <x v="4"/>
    <n v="36"/>
    <n v="37"/>
    <s v="Yes"/>
    <s v="Yes"/>
    <s v="Yes"/>
    <s v="Yes"/>
    <s v="Yes"/>
    <s v="No"/>
    <m/>
    <x v="0"/>
    <n v="1"/>
  </r>
  <r>
    <n v="784"/>
    <d v="2024-07-17T00:00:00"/>
    <s v="Basic"/>
    <n v="199"/>
    <n v="8.4"/>
    <n v="6"/>
    <x v="1"/>
    <n v="20"/>
    <n v="48"/>
    <s v="Yes"/>
    <s v="No"/>
    <s v="No"/>
    <s v="Yes"/>
    <s v="Yes"/>
    <s v="No"/>
    <m/>
    <x v="1"/>
    <n v="1"/>
  </r>
  <r>
    <n v="785"/>
    <d v="2024-06-23T00:00:00"/>
    <s v="Basic"/>
    <n v="199"/>
    <n v="12"/>
    <n v="1"/>
    <x v="4"/>
    <n v="19"/>
    <n v="55"/>
    <s v="Yes"/>
    <s v="No"/>
    <s v="Yes"/>
    <s v="No"/>
    <s v="Yes"/>
    <s v="No"/>
    <m/>
    <x v="0"/>
    <n v="1"/>
  </r>
  <r>
    <n v="786"/>
    <d v="2024-10-06T00:00:00"/>
    <s v="Standard"/>
    <n v="399"/>
    <n v="5.6"/>
    <n v="3"/>
    <x v="5"/>
    <n v="34"/>
    <n v="3"/>
    <s v="Yes"/>
    <s v="No"/>
    <s v="Yes"/>
    <s v="No"/>
    <s v="No"/>
    <s v="No"/>
    <m/>
    <x v="0"/>
    <n v="1"/>
  </r>
  <r>
    <n v="787"/>
    <d v="2023-09-23T00:00:00"/>
    <s v="Premium"/>
    <n v="699"/>
    <n v="12.3"/>
    <n v="4"/>
    <x v="2"/>
    <n v="6"/>
    <n v="38"/>
    <s v="No"/>
    <s v="No"/>
    <s v="Yes"/>
    <s v="No"/>
    <s v="Yes"/>
    <s v="No"/>
    <m/>
    <x v="0"/>
    <n v="0"/>
  </r>
  <r>
    <n v="788"/>
    <d v="2024-05-19T00:00:00"/>
    <s v="Premium"/>
    <n v="699"/>
    <n v="23.2"/>
    <n v="7"/>
    <x v="5"/>
    <n v="23"/>
    <n v="46"/>
    <s v="Yes"/>
    <s v="No"/>
    <s v="Yes"/>
    <s v="Yes"/>
    <s v="Yes"/>
    <s v="No"/>
    <m/>
    <x v="0"/>
    <n v="1"/>
  </r>
  <r>
    <n v="789"/>
    <d v="2024-10-02T00:00:00"/>
    <s v="Basic"/>
    <n v="199"/>
    <n v="17.899999999999999"/>
    <n v="3"/>
    <x v="1"/>
    <n v="15"/>
    <n v="7"/>
    <s v="Yes"/>
    <s v="No"/>
    <s v="No"/>
    <s v="No"/>
    <s v="No"/>
    <s v="No"/>
    <m/>
    <x v="1"/>
    <n v="1"/>
  </r>
  <r>
    <n v="790"/>
    <d v="2024-07-27T00:00:00"/>
    <s v="Basic"/>
    <n v="199"/>
    <n v="20.100000000000001"/>
    <n v="6"/>
    <x v="2"/>
    <n v="14"/>
    <n v="2"/>
    <s v="Yes"/>
    <s v="No"/>
    <s v="Yes"/>
    <s v="Yes"/>
    <s v="No"/>
    <s v="No"/>
    <m/>
    <x v="0"/>
    <n v="1"/>
  </r>
  <r>
    <n v="791"/>
    <d v="2023-03-11T00:00:00"/>
    <s v="Premium"/>
    <n v="699"/>
    <n v="0.8"/>
    <n v="3"/>
    <x v="4"/>
    <n v="14"/>
    <n v="18"/>
    <s v="Yes"/>
    <s v="Yes"/>
    <s v="Yes"/>
    <s v="No"/>
    <s v="Yes"/>
    <s v="No"/>
    <m/>
    <x v="0"/>
    <n v="1"/>
  </r>
  <r>
    <n v="792"/>
    <d v="2023-12-16T00:00:00"/>
    <s v="Standard"/>
    <n v="399"/>
    <n v="12.9"/>
    <n v="5"/>
    <x v="1"/>
    <n v="20"/>
    <n v="7"/>
    <s v="No"/>
    <s v="No"/>
    <s v="No"/>
    <s v="Yes"/>
    <s v="No"/>
    <s v="No"/>
    <m/>
    <x v="1"/>
    <n v="0"/>
  </r>
  <r>
    <n v="793"/>
    <d v="2024-11-19T00:00:00"/>
    <s v="Standard"/>
    <n v="399"/>
    <n v="20.9"/>
    <n v="3"/>
    <x v="3"/>
    <n v="2"/>
    <n v="53"/>
    <s v="Yes"/>
    <s v="No"/>
    <s v="Yes"/>
    <s v="No"/>
    <s v="Yes"/>
    <s v="Yes"/>
    <m/>
    <x v="0"/>
    <n v="1"/>
  </r>
  <r>
    <n v="794"/>
    <d v="2024-07-03T00:00:00"/>
    <s v="Standard"/>
    <n v="399"/>
    <n v="20"/>
    <n v="2"/>
    <x v="2"/>
    <n v="31"/>
    <n v="9"/>
    <s v="No"/>
    <s v="No"/>
    <s v="Yes"/>
    <s v="No"/>
    <s v="No"/>
    <s v="No"/>
    <m/>
    <x v="0"/>
    <n v="0"/>
  </r>
  <r>
    <n v="795"/>
    <d v="2023-11-03T00:00:00"/>
    <s v="Standard"/>
    <n v="399"/>
    <n v="19.7"/>
    <n v="6"/>
    <x v="4"/>
    <n v="30"/>
    <n v="3"/>
    <s v="No"/>
    <s v="No"/>
    <s v="Yes"/>
    <s v="Yes"/>
    <s v="No"/>
    <s v="No"/>
    <m/>
    <x v="0"/>
    <n v="0"/>
  </r>
  <r>
    <n v="796"/>
    <d v="2023-12-29T00:00:00"/>
    <s v="Premium"/>
    <n v="699"/>
    <n v="14.1"/>
    <n v="0"/>
    <x v="0"/>
    <n v="21"/>
    <n v="36"/>
    <s v="No"/>
    <s v="No"/>
    <s v="Yes"/>
    <s v="No"/>
    <s v="Yes"/>
    <s v="No"/>
    <m/>
    <x v="0"/>
    <n v="0"/>
  </r>
  <r>
    <n v="797"/>
    <d v="2023-06-19T00:00:00"/>
    <s v="Basic"/>
    <n v="199"/>
    <n v="7.4"/>
    <n v="0"/>
    <x v="3"/>
    <n v="10"/>
    <n v="24"/>
    <s v="No"/>
    <s v="No"/>
    <s v="Yes"/>
    <s v="No"/>
    <s v="Yes"/>
    <s v="No"/>
    <m/>
    <x v="0"/>
    <n v="0"/>
  </r>
  <r>
    <n v="798"/>
    <d v="2024-12-27T00:00:00"/>
    <s v="Premium"/>
    <n v="699"/>
    <n v="5.0999999999999996"/>
    <n v="1"/>
    <x v="3"/>
    <n v="25"/>
    <n v="45"/>
    <s v="No"/>
    <s v="No"/>
    <s v="Yes"/>
    <s v="No"/>
    <s v="Yes"/>
    <s v="No"/>
    <m/>
    <x v="0"/>
    <n v="0"/>
  </r>
  <r>
    <n v="799"/>
    <d v="2023-11-06T00:00:00"/>
    <s v="Basic"/>
    <n v="199"/>
    <n v="10.6"/>
    <n v="7"/>
    <x v="0"/>
    <n v="18"/>
    <n v="23"/>
    <s v="Yes"/>
    <s v="No"/>
    <s v="Yes"/>
    <s v="Yes"/>
    <s v="Yes"/>
    <s v="No"/>
    <m/>
    <x v="0"/>
    <n v="1"/>
  </r>
  <r>
    <n v="800"/>
    <d v="2023-07-26T00:00:00"/>
    <s v="Basic"/>
    <n v="199"/>
    <n v="7.9"/>
    <n v="1"/>
    <x v="3"/>
    <n v="34"/>
    <n v="50"/>
    <s v="Yes"/>
    <s v="No"/>
    <s v="Yes"/>
    <s v="No"/>
    <s v="Yes"/>
    <s v="No"/>
    <m/>
    <x v="0"/>
    <n v="1"/>
  </r>
  <r>
    <n v="801"/>
    <d v="2024-05-10T00:00:00"/>
    <s v="Basic"/>
    <n v="199"/>
    <n v="12.9"/>
    <n v="7"/>
    <x v="5"/>
    <n v="29"/>
    <n v="9"/>
    <s v="Yes"/>
    <s v="No"/>
    <s v="Yes"/>
    <s v="Yes"/>
    <s v="No"/>
    <s v="No"/>
    <m/>
    <x v="0"/>
    <n v="1"/>
  </r>
  <r>
    <n v="802"/>
    <d v="2024-06-12T00:00:00"/>
    <s v="Premium"/>
    <n v="699"/>
    <n v="8.1"/>
    <n v="5"/>
    <x v="0"/>
    <n v="34"/>
    <n v="49"/>
    <s v="No"/>
    <s v="No"/>
    <s v="Yes"/>
    <s v="Yes"/>
    <s v="Yes"/>
    <s v="No"/>
    <m/>
    <x v="0"/>
    <n v="0"/>
  </r>
  <r>
    <n v="803"/>
    <d v="2024-06-18T00:00:00"/>
    <s v="Premium"/>
    <n v="699"/>
    <n v="5.5"/>
    <n v="0"/>
    <x v="2"/>
    <n v="9"/>
    <n v="24"/>
    <s v="No"/>
    <s v="No"/>
    <s v="Yes"/>
    <s v="No"/>
    <s v="Yes"/>
    <s v="No"/>
    <m/>
    <x v="0"/>
    <n v="0"/>
  </r>
  <r>
    <n v="804"/>
    <d v="2023-03-31T00:00:00"/>
    <s v="Basic"/>
    <n v="199"/>
    <n v="8.1"/>
    <n v="0"/>
    <x v="4"/>
    <n v="1"/>
    <n v="54"/>
    <s v="Yes"/>
    <s v="No"/>
    <s v="Yes"/>
    <s v="No"/>
    <s v="Yes"/>
    <s v="Yes"/>
    <m/>
    <x v="0"/>
    <n v="1"/>
  </r>
  <r>
    <n v="805"/>
    <d v="2023-11-16T00:00:00"/>
    <s v="Standard"/>
    <n v="399"/>
    <n v="22.3"/>
    <n v="1"/>
    <x v="5"/>
    <n v="30"/>
    <n v="49"/>
    <s v="No"/>
    <s v="No"/>
    <s v="Yes"/>
    <s v="No"/>
    <s v="Yes"/>
    <s v="No"/>
    <m/>
    <x v="0"/>
    <n v="0"/>
  </r>
  <r>
    <n v="806"/>
    <d v="2023-10-11T00:00:00"/>
    <s v="Basic"/>
    <n v="199"/>
    <n v="16.2"/>
    <n v="3"/>
    <x v="3"/>
    <n v="20"/>
    <n v="12"/>
    <s v="Yes"/>
    <s v="No"/>
    <s v="Yes"/>
    <s v="No"/>
    <s v="No"/>
    <s v="No"/>
    <m/>
    <x v="0"/>
    <n v="1"/>
  </r>
  <r>
    <n v="807"/>
    <d v="2023-04-28T00:00:00"/>
    <s v="Premium"/>
    <n v="699"/>
    <n v="19.399999999999999"/>
    <n v="1"/>
    <x v="3"/>
    <n v="21"/>
    <n v="9"/>
    <s v="Yes"/>
    <s v="No"/>
    <s v="Yes"/>
    <s v="No"/>
    <s v="No"/>
    <s v="No"/>
    <m/>
    <x v="0"/>
    <n v="1"/>
  </r>
  <r>
    <n v="808"/>
    <d v="2023-10-05T00:00:00"/>
    <s v="Basic"/>
    <n v="199"/>
    <n v="13.1"/>
    <n v="3"/>
    <x v="5"/>
    <n v="36"/>
    <n v="22"/>
    <s v="Yes"/>
    <s v="No"/>
    <s v="Yes"/>
    <s v="No"/>
    <s v="Yes"/>
    <s v="No"/>
    <m/>
    <x v="0"/>
    <n v="1"/>
  </r>
  <r>
    <n v="809"/>
    <d v="2023-12-13T00:00:00"/>
    <s v="Basic"/>
    <n v="199"/>
    <n v="14.6"/>
    <n v="2"/>
    <x v="1"/>
    <n v="19"/>
    <n v="19"/>
    <s v="No"/>
    <s v="No"/>
    <s v="No"/>
    <s v="No"/>
    <s v="Yes"/>
    <s v="No"/>
    <m/>
    <x v="1"/>
    <n v="0"/>
  </r>
  <r>
    <n v="810"/>
    <d v="2023-04-19T00:00:00"/>
    <s v="Premium"/>
    <n v="699"/>
    <n v="1.7"/>
    <n v="0"/>
    <x v="2"/>
    <n v="29"/>
    <n v="57"/>
    <s v="Yes"/>
    <s v="Yes"/>
    <s v="Yes"/>
    <s v="No"/>
    <s v="Yes"/>
    <s v="No"/>
    <m/>
    <x v="0"/>
    <n v="1"/>
  </r>
  <r>
    <n v="811"/>
    <d v="2024-08-29T00:00:00"/>
    <s v="Standard"/>
    <n v="399"/>
    <n v="2.6"/>
    <n v="6"/>
    <x v="0"/>
    <n v="4"/>
    <n v="45"/>
    <s v="Yes"/>
    <s v="Yes"/>
    <s v="Yes"/>
    <s v="Yes"/>
    <s v="Yes"/>
    <s v="Yes"/>
    <m/>
    <x v="0"/>
    <n v="1"/>
  </r>
  <r>
    <n v="812"/>
    <d v="2024-11-17T00:00:00"/>
    <s v="Premium"/>
    <n v="699"/>
    <n v="15.6"/>
    <n v="4"/>
    <x v="3"/>
    <n v="29"/>
    <n v="52"/>
    <s v="Yes"/>
    <s v="No"/>
    <s v="Yes"/>
    <s v="No"/>
    <s v="Yes"/>
    <s v="No"/>
    <m/>
    <x v="0"/>
    <n v="1"/>
  </r>
  <r>
    <n v="813"/>
    <d v="2024-12-16T00:00:00"/>
    <s v="Premium"/>
    <n v="699"/>
    <n v="24.4"/>
    <n v="7"/>
    <x v="5"/>
    <n v="6"/>
    <n v="8"/>
    <s v="Yes"/>
    <s v="No"/>
    <s v="Yes"/>
    <s v="Yes"/>
    <s v="No"/>
    <s v="No"/>
    <m/>
    <x v="0"/>
    <n v="1"/>
  </r>
  <r>
    <n v="814"/>
    <d v="2023-05-28T00:00:00"/>
    <s v="Standard"/>
    <n v="399"/>
    <n v="11.7"/>
    <n v="7"/>
    <x v="2"/>
    <n v="7"/>
    <n v="14"/>
    <s v="No"/>
    <s v="No"/>
    <s v="Yes"/>
    <s v="Yes"/>
    <s v="No"/>
    <s v="No"/>
    <m/>
    <x v="0"/>
    <n v="0"/>
  </r>
  <r>
    <n v="815"/>
    <d v="2023-12-05T00:00:00"/>
    <s v="Premium"/>
    <n v="699"/>
    <n v="22.9"/>
    <n v="6"/>
    <x v="0"/>
    <n v="17"/>
    <n v="44"/>
    <s v="No"/>
    <s v="No"/>
    <s v="Yes"/>
    <s v="Yes"/>
    <s v="Yes"/>
    <s v="No"/>
    <m/>
    <x v="0"/>
    <n v="0"/>
  </r>
  <r>
    <n v="816"/>
    <d v="2024-04-17T00:00:00"/>
    <s v="Standard"/>
    <n v="399"/>
    <n v="12.4"/>
    <n v="1"/>
    <x v="2"/>
    <n v="30"/>
    <n v="7"/>
    <s v="No"/>
    <s v="No"/>
    <s v="Yes"/>
    <s v="No"/>
    <s v="No"/>
    <s v="No"/>
    <m/>
    <x v="0"/>
    <n v="0"/>
  </r>
  <r>
    <n v="817"/>
    <d v="2023-04-20T00:00:00"/>
    <s v="Basic"/>
    <n v="199"/>
    <n v="19.3"/>
    <n v="2"/>
    <x v="5"/>
    <n v="19"/>
    <n v="6"/>
    <s v="No"/>
    <s v="No"/>
    <s v="Yes"/>
    <s v="No"/>
    <s v="No"/>
    <s v="No"/>
    <m/>
    <x v="0"/>
    <n v="0"/>
  </r>
  <r>
    <n v="818"/>
    <d v="2024-02-28T00:00:00"/>
    <s v="Standard"/>
    <n v="399"/>
    <n v="16.399999999999999"/>
    <n v="4"/>
    <x v="5"/>
    <n v="36"/>
    <n v="29"/>
    <s v="Yes"/>
    <s v="No"/>
    <s v="Yes"/>
    <s v="No"/>
    <s v="Yes"/>
    <s v="No"/>
    <m/>
    <x v="0"/>
    <n v="1"/>
  </r>
  <r>
    <n v="819"/>
    <d v="2024-12-11T00:00:00"/>
    <s v="Basic"/>
    <n v="199"/>
    <n v="13.9"/>
    <n v="7"/>
    <x v="2"/>
    <n v="16"/>
    <n v="4"/>
    <s v="Yes"/>
    <s v="No"/>
    <s v="Yes"/>
    <s v="Yes"/>
    <s v="No"/>
    <s v="No"/>
    <m/>
    <x v="0"/>
    <n v="1"/>
  </r>
  <r>
    <n v="820"/>
    <d v="2024-12-11T00:00:00"/>
    <s v="Premium"/>
    <n v="699"/>
    <n v="19.7"/>
    <n v="6"/>
    <x v="5"/>
    <n v="28"/>
    <n v="50"/>
    <s v="Yes"/>
    <s v="No"/>
    <s v="Yes"/>
    <s v="Yes"/>
    <s v="Yes"/>
    <s v="No"/>
    <m/>
    <x v="0"/>
    <n v="1"/>
  </r>
  <r>
    <n v="821"/>
    <d v="2024-05-13T00:00:00"/>
    <s v="Basic"/>
    <n v="199"/>
    <n v="16.7"/>
    <n v="1"/>
    <x v="4"/>
    <n v="12"/>
    <n v="59"/>
    <s v="No"/>
    <s v="No"/>
    <s v="Yes"/>
    <s v="No"/>
    <s v="Yes"/>
    <s v="No"/>
    <m/>
    <x v="0"/>
    <n v="0"/>
  </r>
  <r>
    <n v="822"/>
    <d v="2024-02-20T00:00:00"/>
    <s v="Basic"/>
    <n v="199"/>
    <n v="8.5"/>
    <n v="1"/>
    <x v="2"/>
    <n v="30"/>
    <n v="11"/>
    <s v="Yes"/>
    <s v="No"/>
    <s v="Yes"/>
    <s v="No"/>
    <s v="No"/>
    <s v="No"/>
    <m/>
    <x v="0"/>
    <n v="1"/>
  </r>
  <r>
    <n v="823"/>
    <d v="2023-03-04T00:00:00"/>
    <s v="Basic"/>
    <n v="199"/>
    <n v="17.3"/>
    <n v="6"/>
    <x v="3"/>
    <n v="7"/>
    <n v="31"/>
    <s v="Yes"/>
    <s v="No"/>
    <s v="Yes"/>
    <s v="Yes"/>
    <s v="Yes"/>
    <s v="No"/>
    <m/>
    <x v="0"/>
    <n v="1"/>
  </r>
  <r>
    <n v="824"/>
    <d v="2024-06-28T00:00:00"/>
    <s v="Basic"/>
    <n v="199"/>
    <n v="20.5"/>
    <n v="0"/>
    <x v="0"/>
    <n v="14"/>
    <n v="42"/>
    <s v="Yes"/>
    <s v="No"/>
    <s v="Yes"/>
    <s v="No"/>
    <s v="Yes"/>
    <s v="No"/>
    <m/>
    <x v="0"/>
    <n v="1"/>
  </r>
  <r>
    <n v="825"/>
    <d v="2023-11-21T00:00:00"/>
    <s v="Standard"/>
    <n v="399"/>
    <n v="15.6"/>
    <n v="7"/>
    <x v="0"/>
    <n v="25"/>
    <n v="13"/>
    <s v="No"/>
    <s v="No"/>
    <s v="Yes"/>
    <s v="Yes"/>
    <s v="No"/>
    <s v="No"/>
    <m/>
    <x v="0"/>
    <n v="0"/>
  </r>
  <r>
    <n v="826"/>
    <d v="2023-04-02T00:00:00"/>
    <s v="Standard"/>
    <n v="399"/>
    <n v="23"/>
    <n v="6"/>
    <x v="4"/>
    <n v="20"/>
    <n v="58"/>
    <s v="Yes"/>
    <s v="No"/>
    <s v="Yes"/>
    <s v="Yes"/>
    <s v="Yes"/>
    <s v="No"/>
    <m/>
    <x v="0"/>
    <n v="1"/>
  </r>
  <r>
    <n v="827"/>
    <d v="2023-10-29T00:00:00"/>
    <s v="Premium"/>
    <n v="699"/>
    <n v="15.5"/>
    <n v="8"/>
    <x v="2"/>
    <n v="1"/>
    <n v="54"/>
    <s v="Yes"/>
    <s v="No"/>
    <s v="Yes"/>
    <s v="Yes"/>
    <s v="Yes"/>
    <s v="Yes"/>
    <m/>
    <x v="0"/>
    <n v="1"/>
  </r>
  <r>
    <n v="828"/>
    <d v="2024-01-03T00:00:00"/>
    <s v="Basic"/>
    <n v="199"/>
    <n v="22.6"/>
    <n v="0"/>
    <x v="1"/>
    <n v="24"/>
    <n v="45"/>
    <s v="No"/>
    <s v="No"/>
    <s v="No"/>
    <s v="No"/>
    <s v="Yes"/>
    <s v="No"/>
    <m/>
    <x v="1"/>
    <n v="0"/>
  </r>
  <r>
    <n v="829"/>
    <d v="2024-10-02T00:00:00"/>
    <s v="Basic"/>
    <n v="199"/>
    <n v="21.7"/>
    <n v="3"/>
    <x v="2"/>
    <n v="19"/>
    <n v="44"/>
    <s v="Yes"/>
    <s v="No"/>
    <s v="Yes"/>
    <s v="No"/>
    <s v="Yes"/>
    <s v="No"/>
    <m/>
    <x v="0"/>
    <n v="1"/>
  </r>
  <r>
    <n v="830"/>
    <d v="2024-05-01T00:00:00"/>
    <s v="Standard"/>
    <n v="399"/>
    <n v="10.4"/>
    <n v="6"/>
    <x v="5"/>
    <n v="25"/>
    <n v="13"/>
    <s v="No"/>
    <s v="No"/>
    <s v="Yes"/>
    <s v="Yes"/>
    <s v="No"/>
    <s v="No"/>
    <m/>
    <x v="0"/>
    <n v="0"/>
  </r>
  <r>
    <n v="831"/>
    <d v="2024-11-17T00:00:00"/>
    <s v="Basic"/>
    <n v="199"/>
    <n v="14.1"/>
    <n v="5"/>
    <x v="2"/>
    <n v="13"/>
    <n v="9"/>
    <s v="Yes"/>
    <s v="No"/>
    <s v="Yes"/>
    <s v="Yes"/>
    <s v="No"/>
    <s v="No"/>
    <m/>
    <x v="0"/>
    <n v="1"/>
  </r>
  <r>
    <n v="832"/>
    <d v="2024-11-04T00:00:00"/>
    <s v="Basic"/>
    <n v="199"/>
    <n v="0.8"/>
    <n v="0"/>
    <x v="0"/>
    <n v="9"/>
    <n v="46"/>
    <s v="No"/>
    <s v="Yes"/>
    <s v="Yes"/>
    <s v="No"/>
    <s v="Yes"/>
    <s v="No"/>
    <m/>
    <x v="0"/>
    <n v="0"/>
  </r>
  <r>
    <n v="833"/>
    <d v="2024-09-10T00:00:00"/>
    <s v="Standard"/>
    <n v="399"/>
    <n v="2.6"/>
    <n v="6"/>
    <x v="2"/>
    <n v="9"/>
    <n v="57"/>
    <s v="Yes"/>
    <s v="Yes"/>
    <s v="Yes"/>
    <s v="Yes"/>
    <s v="Yes"/>
    <s v="No"/>
    <m/>
    <x v="0"/>
    <n v="1"/>
  </r>
  <r>
    <n v="834"/>
    <d v="2023-12-30T00:00:00"/>
    <s v="Standard"/>
    <n v="399"/>
    <n v="11.6"/>
    <n v="6"/>
    <x v="5"/>
    <n v="12"/>
    <n v="52"/>
    <s v="Yes"/>
    <s v="No"/>
    <s v="Yes"/>
    <s v="Yes"/>
    <s v="Yes"/>
    <s v="No"/>
    <m/>
    <x v="0"/>
    <n v="1"/>
  </r>
  <r>
    <n v="835"/>
    <d v="2023-08-31T00:00:00"/>
    <s v="Basic"/>
    <n v="199"/>
    <n v="10.9"/>
    <n v="0"/>
    <x v="5"/>
    <n v="12"/>
    <n v="31"/>
    <s v="No"/>
    <s v="No"/>
    <s v="Yes"/>
    <s v="No"/>
    <s v="Yes"/>
    <s v="No"/>
    <m/>
    <x v="0"/>
    <n v="0"/>
  </r>
  <r>
    <n v="836"/>
    <d v="2023-02-08T00:00:00"/>
    <s v="Premium"/>
    <n v="699"/>
    <n v="7.1"/>
    <n v="8"/>
    <x v="5"/>
    <n v="33"/>
    <n v="23"/>
    <s v="Yes"/>
    <s v="No"/>
    <s v="Yes"/>
    <s v="Yes"/>
    <s v="Yes"/>
    <s v="No"/>
    <m/>
    <x v="0"/>
    <n v="1"/>
  </r>
  <r>
    <n v="837"/>
    <d v="2023-03-23T00:00:00"/>
    <s v="Premium"/>
    <n v="699"/>
    <n v="17.8"/>
    <n v="1"/>
    <x v="5"/>
    <n v="31"/>
    <n v="30"/>
    <s v="No"/>
    <s v="No"/>
    <s v="Yes"/>
    <s v="No"/>
    <s v="Yes"/>
    <s v="No"/>
    <m/>
    <x v="0"/>
    <n v="0"/>
  </r>
  <r>
    <n v="838"/>
    <d v="2024-09-16T00:00:00"/>
    <s v="Basic"/>
    <n v="199"/>
    <n v="24.6"/>
    <n v="4"/>
    <x v="2"/>
    <n v="34"/>
    <n v="33"/>
    <s v="Yes"/>
    <s v="No"/>
    <s v="Yes"/>
    <s v="No"/>
    <s v="Yes"/>
    <s v="No"/>
    <m/>
    <x v="0"/>
    <n v="1"/>
  </r>
  <r>
    <n v="839"/>
    <d v="2024-08-16T00:00:00"/>
    <s v="Basic"/>
    <n v="199"/>
    <n v="12.1"/>
    <n v="1"/>
    <x v="4"/>
    <n v="16"/>
    <n v="40"/>
    <s v="Yes"/>
    <s v="No"/>
    <s v="Yes"/>
    <s v="No"/>
    <s v="Yes"/>
    <s v="No"/>
    <m/>
    <x v="0"/>
    <n v="1"/>
  </r>
  <r>
    <n v="840"/>
    <d v="2024-04-25T00:00:00"/>
    <s v="Standard"/>
    <n v="399"/>
    <n v="22.6"/>
    <n v="8"/>
    <x v="1"/>
    <n v="4"/>
    <n v="30"/>
    <s v="Yes"/>
    <s v="No"/>
    <s v="No"/>
    <s v="Yes"/>
    <s v="Yes"/>
    <s v="Yes"/>
    <m/>
    <x v="1"/>
    <n v="1"/>
  </r>
  <r>
    <n v="841"/>
    <d v="2024-09-03T00:00:00"/>
    <s v="Premium"/>
    <n v="699"/>
    <n v="10.8"/>
    <n v="4"/>
    <x v="3"/>
    <n v="22"/>
    <n v="10"/>
    <s v="Yes"/>
    <s v="No"/>
    <s v="Yes"/>
    <s v="No"/>
    <s v="No"/>
    <s v="No"/>
    <m/>
    <x v="0"/>
    <n v="1"/>
  </r>
  <r>
    <n v="842"/>
    <d v="2023-06-23T00:00:00"/>
    <s v="Premium"/>
    <n v="699"/>
    <n v="18.3"/>
    <n v="4"/>
    <x v="1"/>
    <n v="20"/>
    <n v="40"/>
    <s v="Yes"/>
    <s v="No"/>
    <s v="No"/>
    <s v="No"/>
    <s v="Yes"/>
    <s v="No"/>
    <m/>
    <x v="1"/>
    <n v="1"/>
  </r>
  <r>
    <n v="843"/>
    <d v="2024-05-11T00:00:00"/>
    <s v="Premium"/>
    <n v="699"/>
    <n v="16.600000000000001"/>
    <n v="4"/>
    <x v="4"/>
    <n v="4"/>
    <n v="39"/>
    <s v="Yes"/>
    <s v="No"/>
    <s v="Yes"/>
    <s v="No"/>
    <s v="Yes"/>
    <s v="Yes"/>
    <m/>
    <x v="0"/>
    <n v="1"/>
  </r>
  <r>
    <n v="844"/>
    <d v="2023-10-09T00:00:00"/>
    <s v="Basic"/>
    <n v="199"/>
    <n v="12.9"/>
    <n v="4"/>
    <x v="3"/>
    <n v="9"/>
    <n v="8"/>
    <s v="No"/>
    <s v="No"/>
    <s v="Yes"/>
    <s v="No"/>
    <s v="No"/>
    <s v="No"/>
    <m/>
    <x v="0"/>
    <n v="0"/>
  </r>
  <r>
    <n v="845"/>
    <d v="2024-04-02T00:00:00"/>
    <s v="Standard"/>
    <n v="399"/>
    <n v="18.7"/>
    <n v="2"/>
    <x v="5"/>
    <n v="1"/>
    <n v="47"/>
    <s v="Yes"/>
    <s v="No"/>
    <s v="Yes"/>
    <s v="No"/>
    <s v="Yes"/>
    <s v="Yes"/>
    <m/>
    <x v="0"/>
    <n v="1"/>
  </r>
  <r>
    <n v="846"/>
    <d v="2023-02-03T00:00:00"/>
    <s v="Standard"/>
    <n v="399"/>
    <n v="6.9"/>
    <n v="3"/>
    <x v="2"/>
    <n v="12"/>
    <n v="11"/>
    <s v="No"/>
    <s v="No"/>
    <s v="Yes"/>
    <s v="No"/>
    <s v="No"/>
    <s v="No"/>
    <m/>
    <x v="0"/>
    <n v="0"/>
  </r>
  <r>
    <n v="847"/>
    <d v="2024-01-28T00:00:00"/>
    <s v="Standard"/>
    <n v="399"/>
    <n v="24.2"/>
    <n v="2"/>
    <x v="2"/>
    <n v="6"/>
    <n v="48"/>
    <s v="No"/>
    <s v="No"/>
    <s v="Yes"/>
    <s v="No"/>
    <s v="Yes"/>
    <s v="No"/>
    <m/>
    <x v="0"/>
    <n v="0"/>
  </r>
  <r>
    <n v="848"/>
    <d v="2023-12-20T00:00:00"/>
    <s v="Basic"/>
    <n v="199"/>
    <n v="18.3"/>
    <n v="2"/>
    <x v="0"/>
    <n v="29"/>
    <n v="36"/>
    <s v="No"/>
    <s v="No"/>
    <s v="Yes"/>
    <s v="No"/>
    <s v="Yes"/>
    <s v="No"/>
    <m/>
    <x v="0"/>
    <n v="0"/>
  </r>
  <r>
    <n v="849"/>
    <d v="2024-05-02T00:00:00"/>
    <s v="Basic"/>
    <n v="199"/>
    <n v="19"/>
    <n v="1"/>
    <x v="1"/>
    <n v="17"/>
    <n v="10"/>
    <s v="No"/>
    <s v="No"/>
    <s v="No"/>
    <s v="No"/>
    <s v="No"/>
    <s v="No"/>
    <m/>
    <x v="1"/>
    <n v="0"/>
  </r>
  <r>
    <n v="850"/>
    <d v="2024-02-04T00:00:00"/>
    <s v="Standard"/>
    <n v="399"/>
    <n v="18.8"/>
    <n v="8"/>
    <x v="0"/>
    <n v="31"/>
    <n v="24"/>
    <s v="No"/>
    <s v="No"/>
    <s v="Yes"/>
    <s v="Yes"/>
    <s v="Yes"/>
    <s v="No"/>
    <m/>
    <x v="0"/>
    <n v="0"/>
  </r>
  <r>
    <n v="851"/>
    <d v="2024-04-04T00:00:00"/>
    <s v="Standard"/>
    <n v="399"/>
    <n v="4.0999999999999996"/>
    <n v="6"/>
    <x v="1"/>
    <n v="17"/>
    <n v="18"/>
    <s v="No"/>
    <s v="Yes"/>
    <s v="No"/>
    <s v="Yes"/>
    <s v="Yes"/>
    <s v="No"/>
    <m/>
    <x v="1"/>
    <n v="0"/>
  </r>
  <r>
    <n v="852"/>
    <d v="2023-12-29T00:00:00"/>
    <s v="Standard"/>
    <n v="399"/>
    <n v="24.1"/>
    <n v="0"/>
    <x v="1"/>
    <n v="21"/>
    <n v="58"/>
    <s v="No"/>
    <s v="No"/>
    <s v="No"/>
    <s v="No"/>
    <s v="Yes"/>
    <s v="No"/>
    <m/>
    <x v="1"/>
    <n v="0"/>
  </r>
  <r>
    <n v="853"/>
    <d v="2024-02-05T00:00:00"/>
    <s v="Standard"/>
    <n v="399"/>
    <n v="8.6999999999999993"/>
    <n v="4"/>
    <x v="1"/>
    <n v="18"/>
    <n v="16"/>
    <s v="No"/>
    <s v="No"/>
    <s v="No"/>
    <s v="No"/>
    <s v="Yes"/>
    <s v="No"/>
    <m/>
    <x v="1"/>
    <n v="0"/>
  </r>
  <r>
    <n v="854"/>
    <d v="2023-07-04T00:00:00"/>
    <s v="Standard"/>
    <n v="399"/>
    <n v="18.5"/>
    <n v="3"/>
    <x v="5"/>
    <n v="16"/>
    <n v="21"/>
    <s v="No"/>
    <s v="No"/>
    <s v="Yes"/>
    <s v="No"/>
    <s v="Yes"/>
    <s v="No"/>
    <m/>
    <x v="0"/>
    <n v="0"/>
  </r>
  <r>
    <n v="855"/>
    <d v="2024-06-21T00:00:00"/>
    <s v="Standard"/>
    <n v="399"/>
    <n v="0.8"/>
    <n v="0"/>
    <x v="1"/>
    <n v="36"/>
    <n v="0"/>
    <s v="No"/>
    <s v="Yes"/>
    <s v="No"/>
    <s v="No"/>
    <s v="No"/>
    <s v="No"/>
    <m/>
    <x v="1"/>
    <n v="0"/>
  </r>
  <r>
    <n v="856"/>
    <d v="2024-09-26T00:00:00"/>
    <s v="Basic"/>
    <n v="199"/>
    <n v="9.1"/>
    <n v="4"/>
    <x v="3"/>
    <n v="29"/>
    <n v="12"/>
    <s v="Yes"/>
    <s v="No"/>
    <s v="Yes"/>
    <s v="No"/>
    <s v="No"/>
    <s v="No"/>
    <m/>
    <x v="0"/>
    <n v="1"/>
  </r>
  <r>
    <n v="857"/>
    <d v="2023-05-03T00:00:00"/>
    <s v="Basic"/>
    <n v="199"/>
    <n v="23.5"/>
    <n v="3"/>
    <x v="5"/>
    <n v="4"/>
    <n v="40"/>
    <s v="Yes"/>
    <s v="No"/>
    <s v="Yes"/>
    <s v="No"/>
    <s v="Yes"/>
    <s v="Yes"/>
    <m/>
    <x v="0"/>
    <n v="1"/>
  </r>
  <r>
    <n v="858"/>
    <d v="2023-10-29T00:00:00"/>
    <s v="Basic"/>
    <n v="199"/>
    <n v="9.6999999999999993"/>
    <n v="2"/>
    <x v="1"/>
    <n v="9"/>
    <n v="44"/>
    <s v="Yes"/>
    <s v="No"/>
    <s v="No"/>
    <s v="No"/>
    <s v="Yes"/>
    <s v="No"/>
    <m/>
    <x v="1"/>
    <n v="1"/>
  </r>
  <r>
    <n v="859"/>
    <d v="2023-11-28T00:00:00"/>
    <s v="Standard"/>
    <n v="399"/>
    <n v="16.2"/>
    <n v="4"/>
    <x v="2"/>
    <n v="5"/>
    <n v="44"/>
    <s v="No"/>
    <s v="No"/>
    <s v="Yes"/>
    <s v="No"/>
    <s v="Yes"/>
    <s v="Yes"/>
    <m/>
    <x v="0"/>
    <n v="0"/>
  </r>
  <r>
    <n v="860"/>
    <d v="2023-03-03T00:00:00"/>
    <s v="Standard"/>
    <n v="399"/>
    <n v="19.600000000000001"/>
    <n v="4"/>
    <x v="1"/>
    <n v="11"/>
    <n v="24"/>
    <s v="Yes"/>
    <s v="No"/>
    <s v="No"/>
    <s v="No"/>
    <s v="Yes"/>
    <s v="No"/>
    <m/>
    <x v="1"/>
    <n v="1"/>
  </r>
  <r>
    <n v="861"/>
    <d v="2024-02-07T00:00:00"/>
    <s v="Standard"/>
    <n v="399"/>
    <n v="4.9000000000000004"/>
    <n v="1"/>
    <x v="2"/>
    <n v="17"/>
    <n v="59"/>
    <s v="Yes"/>
    <s v="Yes"/>
    <s v="Yes"/>
    <s v="No"/>
    <s v="Yes"/>
    <s v="No"/>
    <m/>
    <x v="0"/>
    <n v="1"/>
  </r>
  <r>
    <n v="862"/>
    <d v="2023-04-19T00:00:00"/>
    <s v="Basic"/>
    <n v="199"/>
    <n v="3.2"/>
    <n v="8"/>
    <x v="2"/>
    <n v="32"/>
    <n v="13"/>
    <s v="Yes"/>
    <s v="Yes"/>
    <s v="Yes"/>
    <s v="Yes"/>
    <s v="No"/>
    <s v="No"/>
    <m/>
    <x v="0"/>
    <n v="1"/>
  </r>
  <r>
    <n v="863"/>
    <d v="2024-04-01T00:00:00"/>
    <s v="Standard"/>
    <n v="399"/>
    <n v="3"/>
    <n v="1"/>
    <x v="1"/>
    <n v="17"/>
    <n v="36"/>
    <s v="No"/>
    <s v="Yes"/>
    <s v="No"/>
    <s v="No"/>
    <s v="Yes"/>
    <s v="No"/>
    <m/>
    <x v="1"/>
    <n v="0"/>
  </r>
  <r>
    <n v="864"/>
    <d v="2023-06-05T00:00:00"/>
    <s v="Basic"/>
    <n v="199"/>
    <n v="4.0999999999999996"/>
    <n v="0"/>
    <x v="1"/>
    <n v="32"/>
    <n v="42"/>
    <s v="Yes"/>
    <s v="Yes"/>
    <s v="No"/>
    <s v="No"/>
    <s v="Yes"/>
    <s v="No"/>
    <m/>
    <x v="1"/>
    <n v="1"/>
  </r>
  <r>
    <n v="865"/>
    <d v="2024-05-17T00:00:00"/>
    <s v="Premium"/>
    <n v="699"/>
    <n v="22.7"/>
    <n v="0"/>
    <x v="5"/>
    <n v="22"/>
    <n v="45"/>
    <s v="No"/>
    <s v="No"/>
    <s v="Yes"/>
    <s v="No"/>
    <s v="Yes"/>
    <s v="No"/>
    <m/>
    <x v="0"/>
    <n v="0"/>
  </r>
  <r>
    <n v="866"/>
    <d v="2024-12-06T00:00:00"/>
    <s v="Standard"/>
    <n v="399"/>
    <n v="10.4"/>
    <n v="1"/>
    <x v="5"/>
    <n v="28"/>
    <n v="14"/>
    <s v="Yes"/>
    <s v="No"/>
    <s v="Yes"/>
    <s v="No"/>
    <s v="No"/>
    <s v="No"/>
    <m/>
    <x v="0"/>
    <n v="1"/>
  </r>
  <r>
    <n v="867"/>
    <d v="2023-02-26T00:00:00"/>
    <s v="Standard"/>
    <n v="399"/>
    <n v="14.4"/>
    <n v="5"/>
    <x v="3"/>
    <n v="8"/>
    <n v="43"/>
    <s v="Yes"/>
    <s v="No"/>
    <s v="Yes"/>
    <s v="Yes"/>
    <s v="Yes"/>
    <s v="No"/>
    <m/>
    <x v="0"/>
    <n v="1"/>
  </r>
  <r>
    <n v="868"/>
    <d v="2023-10-24T00:00:00"/>
    <s v="Premium"/>
    <n v="699"/>
    <n v="9.5"/>
    <n v="5"/>
    <x v="1"/>
    <n v="6"/>
    <n v="53"/>
    <s v="Yes"/>
    <s v="No"/>
    <s v="No"/>
    <s v="Yes"/>
    <s v="Yes"/>
    <s v="No"/>
    <m/>
    <x v="1"/>
    <n v="1"/>
  </r>
  <r>
    <n v="869"/>
    <d v="2024-12-13T00:00:00"/>
    <s v="Premium"/>
    <n v="699"/>
    <n v="4.8"/>
    <n v="0"/>
    <x v="2"/>
    <n v="13"/>
    <n v="42"/>
    <s v="Yes"/>
    <s v="Yes"/>
    <s v="Yes"/>
    <s v="No"/>
    <s v="Yes"/>
    <s v="No"/>
    <m/>
    <x v="0"/>
    <n v="1"/>
  </r>
  <r>
    <n v="870"/>
    <d v="2024-03-24T00:00:00"/>
    <s v="Standard"/>
    <n v="399"/>
    <n v="16"/>
    <n v="5"/>
    <x v="2"/>
    <n v="7"/>
    <n v="5"/>
    <s v="No"/>
    <s v="No"/>
    <s v="Yes"/>
    <s v="Yes"/>
    <s v="No"/>
    <s v="No"/>
    <m/>
    <x v="0"/>
    <n v="0"/>
  </r>
  <r>
    <n v="871"/>
    <d v="2023-09-02T00:00:00"/>
    <s v="Premium"/>
    <n v="699"/>
    <n v="3.9"/>
    <n v="3"/>
    <x v="1"/>
    <n v="13"/>
    <n v="46"/>
    <s v="No"/>
    <s v="Yes"/>
    <s v="No"/>
    <s v="No"/>
    <s v="Yes"/>
    <s v="No"/>
    <m/>
    <x v="1"/>
    <n v="0"/>
  </r>
  <r>
    <n v="872"/>
    <d v="2024-04-05T00:00:00"/>
    <s v="Standard"/>
    <n v="399"/>
    <n v="2"/>
    <n v="8"/>
    <x v="4"/>
    <n v="25"/>
    <n v="19"/>
    <s v="Yes"/>
    <s v="Yes"/>
    <s v="Yes"/>
    <s v="Yes"/>
    <s v="Yes"/>
    <s v="No"/>
    <m/>
    <x v="0"/>
    <n v="1"/>
  </r>
  <r>
    <n v="873"/>
    <d v="2023-08-05T00:00:00"/>
    <s v="Basic"/>
    <n v="199"/>
    <n v="8.8000000000000007"/>
    <n v="5"/>
    <x v="4"/>
    <n v="3"/>
    <n v="2"/>
    <s v="Yes"/>
    <s v="No"/>
    <s v="Yes"/>
    <s v="Yes"/>
    <s v="No"/>
    <s v="Yes"/>
    <m/>
    <x v="0"/>
    <n v="1"/>
  </r>
  <r>
    <n v="874"/>
    <d v="2023-03-15T00:00:00"/>
    <s v="Premium"/>
    <n v="699"/>
    <n v="11.7"/>
    <n v="8"/>
    <x v="0"/>
    <n v="34"/>
    <n v="47"/>
    <s v="No"/>
    <s v="No"/>
    <s v="Yes"/>
    <s v="Yes"/>
    <s v="Yes"/>
    <s v="No"/>
    <m/>
    <x v="0"/>
    <n v="0"/>
  </r>
  <r>
    <n v="875"/>
    <d v="2023-02-16T00:00:00"/>
    <s v="Basic"/>
    <n v="199"/>
    <n v="12.5"/>
    <n v="0"/>
    <x v="2"/>
    <n v="10"/>
    <n v="58"/>
    <s v="No"/>
    <s v="No"/>
    <s v="Yes"/>
    <s v="No"/>
    <s v="Yes"/>
    <s v="No"/>
    <m/>
    <x v="0"/>
    <n v="0"/>
  </r>
  <r>
    <n v="876"/>
    <d v="2024-04-12T00:00:00"/>
    <s v="Basic"/>
    <n v="199"/>
    <n v="0.9"/>
    <n v="0"/>
    <x v="3"/>
    <n v="9"/>
    <n v="52"/>
    <s v="Yes"/>
    <s v="Yes"/>
    <s v="Yes"/>
    <s v="No"/>
    <s v="Yes"/>
    <s v="No"/>
    <m/>
    <x v="0"/>
    <n v="1"/>
  </r>
  <r>
    <n v="877"/>
    <d v="2024-09-22T00:00:00"/>
    <s v="Premium"/>
    <n v="699"/>
    <n v="21"/>
    <n v="1"/>
    <x v="1"/>
    <n v="11"/>
    <n v="7"/>
    <s v="No"/>
    <s v="No"/>
    <s v="No"/>
    <s v="No"/>
    <s v="No"/>
    <s v="No"/>
    <m/>
    <x v="1"/>
    <n v="0"/>
  </r>
  <r>
    <n v="878"/>
    <d v="2024-11-25T00:00:00"/>
    <s v="Basic"/>
    <n v="199"/>
    <n v="20.2"/>
    <n v="6"/>
    <x v="3"/>
    <n v="5"/>
    <n v="51"/>
    <s v="No"/>
    <s v="No"/>
    <s v="Yes"/>
    <s v="Yes"/>
    <s v="Yes"/>
    <s v="Yes"/>
    <m/>
    <x v="0"/>
    <n v="0"/>
  </r>
  <r>
    <n v="879"/>
    <d v="2023-08-07T00:00:00"/>
    <s v="Standard"/>
    <n v="399"/>
    <n v="3.5"/>
    <n v="8"/>
    <x v="0"/>
    <n v="21"/>
    <n v="20"/>
    <s v="No"/>
    <s v="Yes"/>
    <s v="Yes"/>
    <s v="Yes"/>
    <s v="Yes"/>
    <s v="No"/>
    <m/>
    <x v="0"/>
    <n v="0"/>
  </r>
  <r>
    <n v="880"/>
    <d v="2023-06-22T00:00:00"/>
    <s v="Basic"/>
    <n v="199"/>
    <n v="8.6999999999999993"/>
    <n v="1"/>
    <x v="3"/>
    <n v="12"/>
    <n v="9"/>
    <s v="No"/>
    <s v="No"/>
    <s v="Yes"/>
    <s v="No"/>
    <s v="No"/>
    <s v="No"/>
    <m/>
    <x v="0"/>
    <n v="0"/>
  </r>
  <r>
    <n v="881"/>
    <d v="2023-05-17T00:00:00"/>
    <s v="Premium"/>
    <n v="699"/>
    <n v="14.1"/>
    <n v="7"/>
    <x v="0"/>
    <n v="24"/>
    <n v="59"/>
    <s v="No"/>
    <s v="No"/>
    <s v="Yes"/>
    <s v="Yes"/>
    <s v="Yes"/>
    <s v="No"/>
    <m/>
    <x v="0"/>
    <n v="0"/>
  </r>
  <r>
    <n v="882"/>
    <d v="2023-07-03T00:00:00"/>
    <s v="Basic"/>
    <n v="199"/>
    <n v="19.600000000000001"/>
    <n v="0"/>
    <x v="2"/>
    <n v="25"/>
    <n v="5"/>
    <s v="Yes"/>
    <s v="No"/>
    <s v="Yes"/>
    <s v="No"/>
    <s v="No"/>
    <s v="No"/>
    <m/>
    <x v="0"/>
    <n v="1"/>
  </r>
  <r>
    <n v="883"/>
    <d v="2024-10-17T00:00:00"/>
    <s v="Basic"/>
    <n v="199"/>
    <n v="10.7"/>
    <n v="7"/>
    <x v="4"/>
    <n v="19"/>
    <n v="8"/>
    <s v="Yes"/>
    <s v="No"/>
    <s v="Yes"/>
    <s v="Yes"/>
    <s v="No"/>
    <s v="No"/>
    <m/>
    <x v="0"/>
    <n v="1"/>
  </r>
  <r>
    <n v="884"/>
    <d v="2024-09-02T00:00:00"/>
    <s v="Standard"/>
    <n v="399"/>
    <n v="11.5"/>
    <n v="3"/>
    <x v="0"/>
    <n v="34"/>
    <n v="39"/>
    <s v="No"/>
    <s v="No"/>
    <s v="Yes"/>
    <s v="No"/>
    <s v="Yes"/>
    <s v="No"/>
    <m/>
    <x v="0"/>
    <n v="0"/>
  </r>
  <r>
    <n v="885"/>
    <d v="2023-12-23T00:00:00"/>
    <s v="Basic"/>
    <n v="199"/>
    <n v="15.5"/>
    <n v="1"/>
    <x v="4"/>
    <n v="32"/>
    <n v="52"/>
    <s v="No"/>
    <s v="No"/>
    <s v="Yes"/>
    <s v="No"/>
    <s v="Yes"/>
    <s v="No"/>
    <m/>
    <x v="0"/>
    <n v="0"/>
  </r>
  <r>
    <n v="886"/>
    <d v="2024-09-25T00:00:00"/>
    <s v="Standard"/>
    <n v="399"/>
    <n v="14.2"/>
    <n v="3"/>
    <x v="1"/>
    <n v="1"/>
    <n v="33"/>
    <s v="No"/>
    <s v="No"/>
    <s v="No"/>
    <s v="No"/>
    <s v="Yes"/>
    <s v="Yes"/>
    <m/>
    <x v="1"/>
    <n v="0"/>
  </r>
  <r>
    <n v="887"/>
    <d v="2023-02-24T00:00:00"/>
    <s v="Standard"/>
    <n v="399"/>
    <n v="12.9"/>
    <n v="7"/>
    <x v="4"/>
    <n v="35"/>
    <n v="42"/>
    <s v="Yes"/>
    <s v="No"/>
    <s v="Yes"/>
    <s v="Yes"/>
    <s v="Yes"/>
    <s v="No"/>
    <m/>
    <x v="0"/>
    <n v="1"/>
  </r>
  <r>
    <n v="888"/>
    <d v="2023-02-14T00:00:00"/>
    <s v="Basic"/>
    <n v="199"/>
    <n v="20"/>
    <n v="7"/>
    <x v="2"/>
    <n v="8"/>
    <n v="11"/>
    <s v="Yes"/>
    <s v="No"/>
    <s v="Yes"/>
    <s v="Yes"/>
    <s v="No"/>
    <s v="No"/>
    <m/>
    <x v="0"/>
    <n v="1"/>
  </r>
  <r>
    <n v="889"/>
    <d v="2024-04-09T00:00:00"/>
    <s v="Basic"/>
    <n v="199"/>
    <n v="7.5"/>
    <n v="6"/>
    <x v="3"/>
    <n v="24"/>
    <n v="21"/>
    <s v="Yes"/>
    <s v="No"/>
    <s v="Yes"/>
    <s v="Yes"/>
    <s v="Yes"/>
    <s v="No"/>
    <m/>
    <x v="0"/>
    <n v="1"/>
  </r>
  <r>
    <n v="890"/>
    <d v="2024-05-11T00:00:00"/>
    <s v="Basic"/>
    <n v="199"/>
    <n v="18.600000000000001"/>
    <n v="8"/>
    <x v="0"/>
    <n v="7"/>
    <n v="10"/>
    <s v="No"/>
    <s v="No"/>
    <s v="Yes"/>
    <s v="Yes"/>
    <s v="No"/>
    <s v="No"/>
    <m/>
    <x v="0"/>
    <n v="0"/>
  </r>
  <r>
    <n v="891"/>
    <d v="2023-11-30T00:00:00"/>
    <s v="Premium"/>
    <n v="699"/>
    <n v="2.2000000000000002"/>
    <n v="3"/>
    <x v="4"/>
    <n v="8"/>
    <n v="28"/>
    <s v="Yes"/>
    <s v="Yes"/>
    <s v="Yes"/>
    <s v="No"/>
    <s v="Yes"/>
    <s v="No"/>
    <m/>
    <x v="0"/>
    <n v="1"/>
  </r>
  <r>
    <n v="892"/>
    <d v="2023-08-22T00:00:00"/>
    <s v="Standard"/>
    <n v="399"/>
    <n v="18.8"/>
    <n v="5"/>
    <x v="0"/>
    <n v="13"/>
    <n v="49"/>
    <s v="Yes"/>
    <s v="No"/>
    <s v="Yes"/>
    <s v="Yes"/>
    <s v="Yes"/>
    <s v="No"/>
    <m/>
    <x v="0"/>
    <n v="1"/>
  </r>
  <r>
    <n v="893"/>
    <d v="2024-04-27T00:00:00"/>
    <s v="Basic"/>
    <n v="199"/>
    <n v="18.600000000000001"/>
    <n v="3"/>
    <x v="2"/>
    <n v="16"/>
    <n v="57"/>
    <s v="Yes"/>
    <s v="No"/>
    <s v="Yes"/>
    <s v="No"/>
    <s v="Yes"/>
    <s v="No"/>
    <m/>
    <x v="0"/>
    <n v="1"/>
  </r>
  <r>
    <n v="894"/>
    <d v="2024-04-10T00:00:00"/>
    <s v="Premium"/>
    <n v="699"/>
    <n v="1.8"/>
    <n v="6"/>
    <x v="0"/>
    <n v="32"/>
    <n v="13"/>
    <s v="No"/>
    <s v="Yes"/>
    <s v="Yes"/>
    <s v="Yes"/>
    <s v="No"/>
    <s v="No"/>
    <m/>
    <x v="0"/>
    <n v="0"/>
  </r>
  <r>
    <n v="895"/>
    <d v="2023-10-04T00:00:00"/>
    <s v="Basic"/>
    <n v="199"/>
    <n v="9.6999999999999993"/>
    <n v="7"/>
    <x v="4"/>
    <n v="25"/>
    <n v="12"/>
    <s v="No"/>
    <s v="No"/>
    <s v="Yes"/>
    <s v="Yes"/>
    <s v="No"/>
    <s v="No"/>
    <m/>
    <x v="0"/>
    <n v="0"/>
  </r>
  <r>
    <n v="896"/>
    <d v="2024-04-21T00:00:00"/>
    <s v="Basic"/>
    <n v="199"/>
    <n v="3.6"/>
    <n v="0"/>
    <x v="3"/>
    <n v="22"/>
    <n v="8"/>
    <s v="Yes"/>
    <s v="Yes"/>
    <s v="Yes"/>
    <s v="No"/>
    <s v="No"/>
    <s v="No"/>
    <m/>
    <x v="0"/>
    <n v="1"/>
  </r>
  <r>
    <n v="897"/>
    <d v="2023-06-10T00:00:00"/>
    <s v="Standard"/>
    <n v="399"/>
    <n v="4.7"/>
    <n v="5"/>
    <x v="0"/>
    <n v="27"/>
    <n v="56"/>
    <s v="Yes"/>
    <s v="Yes"/>
    <s v="Yes"/>
    <s v="Yes"/>
    <s v="Yes"/>
    <s v="No"/>
    <m/>
    <x v="0"/>
    <n v="1"/>
  </r>
  <r>
    <n v="898"/>
    <d v="2024-06-18T00:00:00"/>
    <s v="Premium"/>
    <n v="699"/>
    <n v="14.7"/>
    <n v="8"/>
    <x v="0"/>
    <n v="11"/>
    <n v="5"/>
    <s v="No"/>
    <s v="No"/>
    <s v="Yes"/>
    <s v="Yes"/>
    <s v="No"/>
    <s v="No"/>
    <m/>
    <x v="0"/>
    <n v="0"/>
  </r>
  <r>
    <n v="899"/>
    <d v="2023-09-10T00:00:00"/>
    <s v="Standard"/>
    <n v="399"/>
    <n v="15"/>
    <n v="7"/>
    <x v="3"/>
    <n v="14"/>
    <n v="0"/>
    <s v="No"/>
    <s v="No"/>
    <s v="Yes"/>
    <s v="Yes"/>
    <s v="No"/>
    <s v="No"/>
    <m/>
    <x v="0"/>
    <n v="0"/>
  </r>
  <r>
    <n v="900"/>
    <d v="2024-08-10T00:00:00"/>
    <s v="Basic"/>
    <n v="199"/>
    <n v="11.1"/>
    <n v="3"/>
    <x v="5"/>
    <n v="21"/>
    <n v="60"/>
    <s v="Yes"/>
    <s v="No"/>
    <s v="Yes"/>
    <s v="No"/>
    <s v="Yes"/>
    <s v="No"/>
    <m/>
    <x v="0"/>
    <n v="1"/>
  </r>
  <r>
    <n v="901"/>
    <d v="2023-02-04T00:00:00"/>
    <s v="Basic"/>
    <n v="199"/>
    <n v="24.5"/>
    <n v="0"/>
    <x v="2"/>
    <n v="27"/>
    <n v="46"/>
    <s v="No"/>
    <s v="No"/>
    <s v="Yes"/>
    <s v="No"/>
    <s v="Yes"/>
    <s v="No"/>
    <m/>
    <x v="0"/>
    <n v="0"/>
  </r>
  <r>
    <n v="902"/>
    <d v="2024-07-25T00:00:00"/>
    <s v="Standard"/>
    <n v="399"/>
    <n v="10.199999999999999"/>
    <n v="1"/>
    <x v="2"/>
    <n v="34"/>
    <n v="31"/>
    <s v="Yes"/>
    <s v="No"/>
    <s v="Yes"/>
    <s v="No"/>
    <s v="Yes"/>
    <s v="No"/>
    <m/>
    <x v="0"/>
    <n v="1"/>
  </r>
  <r>
    <n v="903"/>
    <d v="2023-04-03T00:00:00"/>
    <s v="Basic"/>
    <n v="199"/>
    <n v="23.8"/>
    <n v="2"/>
    <x v="3"/>
    <n v="27"/>
    <n v="18"/>
    <s v="Yes"/>
    <s v="No"/>
    <s v="Yes"/>
    <s v="No"/>
    <s v="Yes"/>
    <s v="No"/>
    <m/>
    <x v="0"/>
    <n v="1"/>
  </r>
  <r>
    <n v="904"/>
    <d v="2024-08-20T00:00:00"/>
    <s v="Basic"/>
    <n v="199"/>
    <n v="16.899999999999999"/>
    <n v="2"/>
    <x v="4"/>
    <n v="31"/>
    <n v="29"/>
    <s v="No"/>
    <s v="No"/>
    <s v="Yes"/>
    <s v="No"/>
    <s v="Yes"/>
    <s v="No"/>
    <m/>
    <x v="0"/>
    <n v="0"/>
  </r>
  <r>
    <n v="905"/>
    <d v="2024-01-15T00:00:00"/>
    <s v="Basic"/>
    <n v="199"/>
    <n v="11.9"/>
    <n v="2"/>
    <x v="4"/>
    <n v="30"/>
    <n v="25"/>
    <s v="Yes"/>
    <s v="No"/>
    <s v="Yes"/>
    <s v="No"/>
    <s v="Yes"/>
    <s v="No"/>
    <m/>
    <x v="0"/>
    <n v="1"/>
  </r>
  <r>
    <n v="906"/>
    <d v="2024-12-08T00:00:00"/>
    <s v="Premium"/>
    <n v="699"/>
    <n v="17.7"/>
    <n v="0"/>
    <x v="4"/>
    <n v="30"/>
    <n v="4"/>
    <s v="No"/>
    <s v="No"/>
    <s v="Yes"/>
    <s v="No"/>
    <s v="No"/>
    <s v="No"/>
    <m/>
    <x v="0"/>
    <n v="0"/>
  </r>
  <r>
    <n v="907"/>
    <d v="2024-07-09T00:00:00"/>
    <s v="Standard"/>
    <n v="399"/>
    <n v="1.3"/>
    <n v="6"/>
    <x v="3"/>
    <n v="34"/>
    <n v="44"/>
    <s v="Yes"/>
    <s v="Yes"/>
    <s v="Yes"/>
    <s v="Yes"/>
    <s v="Yes"/>
    <s v="No"/>
    <m/>
    <x v="0"/>
    <n v="1"/>
  </r>
  <r>
    <n v="908"/>
    <d v="2023-02-26T00:00:00"/>
    <s v="Premium"/>
    <n v="699"/>
    <n v="19.8"/>
    <n v="1"/>
    <x v="5"/>
    <n v="14"/>
    <n v="56"/>
    <s v="Yes"/>
    <s v="No"/>
    <s v="Yes"/>
    <s v="No"/>
    <s v="Yes"/>
    <s v="No"/>
    <m/>
    <x v="0"/>
    <n v="1"/>
  </r>
  <r>
    <n v="909"/>
    <d v="2023-02-11T00:00:00"/>
    <s v="Premium"/>
    <n v="699"/>
    <n v="22.3"/>
    <n v="1"/>
    <x v="2"/>
    <n v="24"/>
    <n v="23"/>
    <s v="Yes"/>
    <s v="No"/>
    <s v="Yes"/>
    <s v="No"/>
    <s v="Yes"/>
    <s v="No"/>
    <m/>
    <x v="0"/>
    <n v="1"/>
  </r>
  <r>
    <n v="910"/>
    <d v="2023-07-29T00:00:00"/>
    <s v="Standard"/>
    <n v="399"/>
    <n v="4.8"/>
    <n v="8"/>
    <x v="4"/>
    <n v="24"/>
    <n v="4"/>
    <s v="Yes"/>
    <s v="Yes"/>
    <s v="Yes"/>
    <s v="Yes"/>
    <s v="No"/>
    <s v="No"/>
    <m/>
    <x v="0"/>
    <n v="1"/>
  </r>
  <r>
    <n v="911"/>
    <d v="2024-08-17T00:00:00"/>
    <s v="Basic"/>
    <n v="199"/>
    <n v="6.3"/>
    <n v="1"/>
    <x v="4"/>
    <n v="22"/>
    <n v="30"/>
    <s v="No"/>
    <s v="No"/>
    <s v="Yes"/>
    <s v="No"/>
    <s v="Yes"/>
    <s v="No"/>
    <m/>
    <x v="0"/>
    <n v="0"/>
  </r>
  <r>
    <n v="912"/>
    <d v="2024-05-30T00:00:00"/>
    <s v="Premium"/>
    <n v="699"/>
    <n v="19"/>
    <n v="3"/>
    <x v="3"/>
    <n v="14"/>
    <n v="22"/>
    <s v="No"/>
    <s v="No"/>
    <s v="Yes"/>
    <s v="No"/>
    <s v="Yes"/>
    <s v="No"/>
    <m/>
    <x v="0"/>
    <n v="0"/>
  </r>
  <r>
    <n v="913"/>
    <d v="2024-05-28T00:00:00"/>
    <s v="Premium"/>
    <n v="699"/>
    <n v="7.3"/>
    <n v="1"/>
    <x v="3"/>
    <n v="28"/>
    <n v="22"/>
    <s v="Yes"/>
    <s v="No"/>
    <s v="Yes"/>
    <s v="No"/>
    <s v="Yes"/>
    <s v="No"/>
    <m/>
    <x v="0"/>
    <n v="1"/>
  </r>
  <r>
    <n v="914"/>
    <d v="2023-10-27T00:00:00"/>
    <s v="Premium"/>
    <n v="699"/>
    <n v="12"/>
    <n v="8"/>
    <x v="4"/>
    <n v="8"/>
    <n v="52"/>
    <s v="Yes"/>
    <s v="No"/>
    <s v="Yes"/>
    <s v="Yes"/>
    <s v="Yes"/>
    <s v="No"/>
    <m/>
    <x v="0"/>
    <n v="1"/>
  </r>
  <r>
    <n v="915"/>
    <d v="2023-03-31T00:00:00"/>
    <s v="Standard"/>
    <n v="399"/>
    <n v="20.100000000000001"/>
    <n v="1"/>
    <x v="0"/>
    <n v="24"/>
    <n v="57"/>
    <s v="No"/>
    <s v="No"/>
    <s v="Yes"/>
    <s v="No"/>
    <s v="Yes"/>
    <s v="No"/>
    <m/>
    <x v="0"/>
    <n v="0"/>
  </r>
  <r>
    <n v="916"/>
    <d v="2023-04-25T00:00:00"/>
    <s v="Basic"/>
    <n v="199"/>
    <n v="22.5"/>
    <n v="4"/>
    <x v="1"/>
    <n v="26"/>
    <n v="6"/>
    <s v="Yes"/>
    <s v="No"/>
    <s v="No"/>
    <s v="No"/>
    <s v="No"/>
    <s v="No"/>
    <m/>
    <x v="1"/>
    <n v="1"/>
  </r>
  <r>
    <n v="917"/>
    <d v="2023-10-28T00:00:00"/>
    <s v="Premium"/>
    <n v="699"/>
    <n v="12.7"/>
    <n v="3"/>
    <x v="5"/>
    <n v="10"/>
    <n v="60"/>
    <s v="No"/>
    <s v="No"/>
    <s v="Yes"/>
    <s v="No"/>
    <s v="Yes"/>
    <s v="No"/>
    <m/>
    <x v="0"/>
    <n v="0"/>
  </r>
  <r>
    <n v="918"/>
    <d v="2024-10-22T00:00:00"/>
    <s v="Standard"/>
    <n v="399"/>
    <n v="23.3"/>
    <n v="7"/>
    <x v="3"/>
    <n v="35"/>
    <n v="26"/>
    <s v="Yes"/>
    <s v="No"/>
    <s v="Yes"/>
    <s v="Yes"/>
    <s v="Yes"/>
    <s v="No"/>
    <m/>
    <x v="0"/>
    <n v="1"/>
  </r>
  <r>
    <n v="919"/>
    <d v="2024-10-22T00:00:00"/>
    <s v="Basic"/>
    <n v="199"/>
    <n v="5.0999999999999996"/>
    <n v="0"/>
    <x v="0"/>
    <n v="19"/>
    <n v="53"/>
    <s v="No"/>
    <s v="No"/>
    <s v="Yes"/>
    <s v="No"/>
    <s v="Yes"/>
    <s v="No"/>
    <m/>
    <x v="0"/>
    <n v="0"/>
  </r>
  <r>
    <n v="920"/>
    <d v="2024-06-26T00:00:00"/>
    <s v="Standard"/>
    <n v="399"/>
    <n v="14.7"/>
    <n v="5"/>
    <x v="2"/>
    <n v="27"/>
    <n v="37"/>
    <s v="Yes"/>
    <s v="No"/>
    <s v="Yes"/>
    <s v="Yes"/>
    <s v="Yes"/>
    <s v="No"/>
    <m/>
    <x v="0"/>
    <n v="1"/>
  </r>
  <r>
    <n v="921"/>
    <d v="2023-08-21T00:00:00"/>
    <s v="Premium"/>
    <n v="699"/>
    <n v="11.7"/>
    <n v="2"/>
    <x v="3"/>
    <n v="29"/>
    <n v="10"/>
    <s v="No"/>
    <s v="No"/>
    <s v="Yes"/>
    <s v="No"/>
    <s v="No"/>
    <s v="No"/>
    <m/>
    <x v="0"/>
    <n v="0"/>
  </r>
  <r>
    <n v="922"/>
    <d v="2023-06-20T00:00:00"/>
    <s v="Standard"/>
    <n v="399"/>
    <n v="24.3"/>
    <n v="0"/>
    <x v="0"/>
    <n v="24"/>
    <n v="22"/>
    <s v="Yes"/>
    <s v="No"/>
    <s v="Yes"/>
    <s v="No"/>
    <s v="Yes"/>
    <s v="No"/>
    <m/>
    <x v="0"/>
    <n v="1"/>
  </r>
  <r>
    <n v="923"/>
    <d v="2024-12-10T00:00:00"/>
    <s v="Premium"/>
    <n v="699"/>
    <n v="17.899999999999999"/>
    <n v="4"/>
    <x v="0"/>
    <n v="11"/>
    <n v="11"/>
    <s v="No"/>
    <s v="No"/>
    <s v="Yes"/>
    <s v="No"/>
    <s v="No"/>
    <s v="No"/>
    <m/>
    <x v="0"/>
    <n v="0"/>
  </r>
  <r>
    <n v="924"/>
    <d v="2024-03-27T00:00:00"/>
    <s v="Premium"/>
    <n v="699"/>
    <n v="4.5"/>
    <n v="1"/>
    <x v="1"/>
    <n v="10"/>
    <n v="20"/>
    <s v="No"/>
    <s v="Yes"/>
    <s v="No"/>
    <s v="No"/>
    <s v="Yes"/>
    <s v="No"/>
    <m/>
    <x v="1"/>
    <n v="0"/>
  </r>
  <r>
    <n v="925"/>
    <d v="2023-12-19T00:00:00"/>
    <s v="Standard"/>
    <n v="399"/>
    <n v="5"/>
    <n v="8"/>
    <x v="4"/>
    <n v="24"/>
    <n v="2"/>
    <s v="No"/>
    <s v="No"/>
    <s v="Yes"/>
    <s v="Yes"/>
    <s v="No"/>
    <s v="No"/>
    <m/>
    <x v="0"/>
    <n v="0"/>
  </r>
  <r>
    <n v="926"/>
    <d v="2023-01-26T00:00:00"/>
    <s v="Basic"/>
    <n v="199"/>
    <n v="11.5"/>
    <n v="2"/>
    <x v="5"/>
    <n v="24"/>
    <n v="19"/>
    <s v="Yes"/>
    <s v="No"/>
    <s v="Yes"/>
    <s v="No"/>
    <s v="Yes"/>
    <s v="No"/>
    <m/>
    <x v="0"/>
    <n v="1"/>
  </r>
  <r>
    <n v="927"/>
    <d v="2024-07-13T00:00:00"/>
    <s v="Standard"/>
    <n v="399"/>
    <n v="19.3"/>
    <n v="7"/>
    <x v="3"/>
    <n v="32"/>
    <n v="9"/>
    <s v="Yes"/>
    <s v="No"/>
    <s v="Yes"/>
    <s v="Yes"/>
    <s v="No"/>
    <s v="No"/>
    <m/>
    <x v="0"/>
    <n v="1"/>
  </r>
  <r>
    <n v="928"/>
    <d v="2024-08-10T00:00:00"/>
    <s v="Premium"/>
    <n v="699"/>
    <n v="16.399999999999999"/>
    <n v="4"/>
    <x v="2"/>
    <n v="22"/>
    <n v="57"/>
    <s v="Yes"/>
    <s v="No"/>
    <s v="Yes"/>
    <s v="No"/>
    <s v="Yes"/>
    <s v="No"/>
    <m/>
    <x v="0"/>
    <n v="1"/>
  </r>
  <r>
    <n v="929"/>
    <d v="2024-05-05T00:00:00"/>
    <s v="Premium"/>
    <n v="699"/>
    <n v="20.100000000000001"/>
    <n v="7"/>
    <x v="3"/>
    <n v="10"/>
    <n v="44"/>
    <s v="Yes"/>
    <s v="No"/>
    <s v="Yes"/>
    <s v="Yes"/>
    <s v="Yes"/>
    <s v="No"/>
    <m/>
    <x v="0"/>
    <n v="1"/>
  </r>
  <r>
    <n v="930"/>
    <d v="2023-08-14T00:00:00"/>
    <s v="Basic"/>
    <n v="199"/>
    <n v="17.100000000000001"/>
    <n v="1"/>
    <x v="3"/>
    <n v="9"/>
    <n v="1"/>
    <s v="No"/>
    <s v="No"/>
    <s v="Yes"/>
    <s v="No"/>
    <s v="No"/>
    <s v="No"/>
    <m/>
    <x v="0"/>
    <n v="0"/>
  </r>
  <r>
    <n v="931"/>
    <d v="2024-06-23T00:00:00"/>
    <s v="Standard"/>
    <n v="399"/>
    <n v="2.8"/>
    <n v="0"/>
    <x v="5"/>
    <n v="23"/>
    <n v="41"/>
    <s v="Yes"/>
    <s v="Yes"/>
    <s v="Yes"/>
    <s v="No"/>
    <s v="Yes"/>
    <s v="No"/>
    <m/>
    <x v="0"/>
    <n v="1"/>
  </r>
  <r>
    <n v="932"/>
    <d v="2024-11-18T00:00:00"/>
    <s v="Basic"/>
    <n v="199"/>
    <n v="5.3"/>
    <n v="1"/>
    <x v="5"/>
    <n v="18"/>
    <n v="54"/>
    <s v="Yes"/>
    <s v="No"/>
    <s v="Yes"/>
    <s v="No"/>
    <s v="Yes"/>
    <s v="No"/>
    <m/>
    <x v="0"/>
    <n v="1"/>
  </r>
  <r>
    <n v="933"/>
    <d v="2023-02-27T00:00:00"/>
    <s v="Basic"/>
    <n v="199"/>
    <n v="10.199999999999999"/>
    <n v="7"/>
    <x v="3"/>
    <n v="33"/>
    <n v="38"/>
    <s v="Yes"/>
    <s v="No"/>
    <s v="Yes"/>
    <s v="Yes"/>
    <s v="Yes"/>
    <s v="No"/>
    <m/>
    <x v="0"/>
    <n v="1"/>
  </r>
  <r>
    <n v="934"/>
    <d v="2023-10-19T00:00:00"/>
    <s v="Premium"/>
    <n v="699"/>
    <n v="10.199999999999999"/>
    <n v="6"/>
    <x v="3"/>
    <n v="24"/>
    <n v="24"/>
    <s v="Yes"/>
    <s v="No"/>
    <s v="Yes"/>
    <s v="Yes"/>
    <s v="Yes"/>
    <s v="No"/>
    <m/>
    <x v="0"/>
    <n v="1"/>
  </r>
  <r>
    <n v="935"/>
    <d v="2024-03-30T00:00:00"/>
    <s v="Standard"/>
    <n v="399"/>
    <n v="8"/>
    <n v="7"/>
    <x v="5"/>
    <n v="23"/>
    <n v="5"/>
    <s v="Yes"/>
    <s v="No"/>
    <s v="Yes"/>
    <s v="Yes"/>
    <s v="No"/>
    <s v="No"/>
    <m/>
    <x v="0"/>
    <n v="1"/>
  </r>
  <r>
    <n v="936"/>
    <d v="2024-03-10T00:00:00"/>
    <s v="Premium"/>
    <n v="699"/>
    <n v="20.2"/>
    <n v="4"/>
    <x v="0"/>
    <n v="27"/>
    <n v="51"/>
    <s v="No"/>
    <s v="No"/>
    <s v="Yes"/>
    <s v="No"/>
    <s v="Yes"/>
    <s v="No"/>
    <m/>
    <x v="0"/>
    <n v="0"/>
  </r>
  <r>
    <n v="937"/>
    <d v="2024-06-21T00:00:00"/>
    <s v="Premium"/>
    <n v="699"/>
    <n v="3.9"/>
    <n v="1"/>
    <x v="0"/>
    <n v="27"/>
    <n v="13"/>
    <s v="Yes"/>
    <s v="Yes"/>
    <s v="Yes"/>
    <s v="No"/>
    <s v="No"/>
    <s v="No"/>
    <m/>
    <x v="0"/>
    <n v="1"/>
  </r>
  <r>
    <n v="938"/>
    <d v="2023-10-07T00:00:00"/>
    <s v="Standard"/>
    <n v="399"/>
    <n v="23.4"/>
    <n v="6"/>
    <x v="1"/>
    <n v="5"/>
    <n v="0"/>
    <s v="No"/>
    <s v="No"/>
    <s v="No"/>
    <s v="Yes"/>
    <s v="No"/>
    <s v="Yes"/>
    <m/>
    <x v="1"/>
    <n v="0"/>
  </r>
  <r>
    <n v="939"/>
    <d v="2023-10-24T00:00:00"/>
    <s v="Standard"/>
    <n v="399"/>
    <n v="14.1"/>
    <n v="2"/>
    <x v="0"/>
    <n v="12"/>
    <n v="11"/>
    <s v="No"/>
    <s v="No"/>
    <s v="Yes"/>
    <s v="No"/>
    <s v="No"/>
    <s v="No"/>
    <m/>
    <x v="0"/>
    <n v="0"/>
  </r>
  <r>
    <n v="940"/>
    <d v="2024-04-19T00:00:00"/>
    <s v="Premium"/>
    <n v="699"/>
    <n v="1.5"/>
    <n v="4"/>
    <x v="5"/>
    <n v="32"/>
    <n v="19"/>
    <s v="Yes"/>
    <s v="Yes"/>
    <s v="Yes"/>
    <s v="No"/>
    <s v="Yes"/>
    <s v="No"/>
    <m/>
    <x v="0"/>
    <n v="1"/>
  </r>
  <r>
    <n v="941"/>
    <d v="2024-10-13T00:00:00"/>
    <s v="Basic"/>
    <n v="199"/>
    <n v="19.899999999999999"/>
    <n v="2"/>
    <x v="3"/>
    <n v="2"/>
    <n v="19"/>
    <s v="No"/>
    <s v="No"/>
    <s v="Yes"/>
    <s v="No"/>
    <s v="Yes"/>
    <s v="Yes"/>
    <m/>
    <x v="0"/>
    <n v="0"/>
  </r>
  <r>
    <n v="942"/>
    <d v="2024-12-05T00:00:00"/>
    <s v="Standard"/>
    <n v="399"/>
    <n v="16.5"/>
    <n v="4"/>
    <x v="2"/>
    <n v="8"/>
    <n v="11"/>
    <s v="Yes"/>
    <s v="No"/>
    <s v="Yes"/>
    <s v="No"/>
    <s v="No"/>
    <s v="No"/>
    <m/>
    <x v="0"/>
    <n v="1"/>
  </r>
  <r>
    <n v="943"/>
    <d v="2024-01-06T00:00:00"/>
    <s v="Premium"/>
    <n v="699"/>
    <n v="1.2"/>
    <n v="4"/>
    <x v="2"/>
    <n v="16"/>
    <n v="4"/>
    <s v="Yes"/>
    <s v="Yes"/>
    <s v="Yes"/>
    <s v="No"/>
    <s v="No"/>
    <s v="No"/>
    <m/>
    <x v="0"/>
    <n v="1"/>
  </r>
  <r>
    <n v="944"/>
    <d v="2024-12-11T00:00:00"/>
    <s v="Premium"/>
    <n v="699"/>
    <n v="14.4"/>
    <n v="4"/>
    <x v="4"/>
    <n v="31"/>
    <n v="43"/>
    <s v="Yes"/>
    <s v="No"/>
    <s v="Yes"/>
    <s v="No"/>
    <s v="Yes"/>
    <s v="No"/>
    <m/>
    <x v="0"/>
    <n v="1"/>
  </r>
  <r>
    <n v="945"/>
    <d v="2023-05-30T00:00:00"/>
    <s v="Basic"/>
    <n v="199"/>
    <n v="13.1"/>
    <n v="0"/>
    <x v="3"/>
    <n v="24"/>
    <n v="10"/>
    <s v="No"/>
    <s v="No"/>
    <s v="Yes"/>
    <s v="No"/>
    <s v="No"/>
    <s v="No"/>
    <m/>
    <x v="0"/>
    <n v="0"/>
  </r>
  <r>
    <n v="946"/>
    <d v="2024-01-05T00:00:00"/>
    <s v="Standard"/>
    <n v="399"/>
    <n v="22"/>
    <n v="2"/>
    <x v="3"/>
    <n v="30"/>
    <n v="10"/>
    <s v="Yes"/>
    <s v="No"/>
    <s v="Yes"/>
    <s v="No"/>
    <s v="No"/>
    <s v="No"/>
    <m/>
    <x v="0"/>
    <n v="1"/>
  </r>
  <r>
    <n v="947"/>
    <d v="2024-06-10T00:00:00"/>
    <s v="Standard"/>
    <n v="399"/>
    <n v="1.7"/>
    <n v="4"/>
    <x v="5"/>
    <n v="23"/>
    <n v="40"/>
    <s v="Yes"/>
    <s v="Yes"/>
    <s v="Yes"/>
    <s v="No"/>
    <s v="Yes"/>
    <s v="No"/>
    <m/>
    <x v="0"/>
    <n v="1"/>
  </r>
  <r>
    <n v="948"/>
    <d v="2024-12-02T00:00:00"/>
    <s v="Basic"/>
    <n v="199"/>
    <n v="19.2"/>
    <n v="2"/>
    <x v="5"/>
    <n v="12"/>
    <n v="20"/>
    <s v="No"/>
    <s v="No"/>
    <s v="Yes"/>
    <s v="No"/>
    <s v="Yes"/>
    <s v="No"/>
    <m/>
    <x v="0"/>
    <n v="0"/>
  </r>
  <r>
    <n v="949"/>
    <d v="2023-05-28T00:00:00"/>
    <s v="Standard"/>
    <n v="399"/>
    <n v="17.3"/>
    <n v="5"/>
    <x v="1"/>
    <n v="18"/>
    <n v="34"/>
    <s v="No"/>
    <s v="No"/>
    <s v="No"/>
    <s v="Yes"/>
    <s v="Yes"/>
    <s v="No"/>
    <m/>
    <x v="1"/>
    <n v="0"/>
  </r>
  <r>
    <n v="950"/>
    <d v="2023-06-16T00:00:00"/>
    <s v="Basic"/>
    <n v="199"/>
    <n v="13.2"/>
    <n v="5"/>
    <x v="2"/>
    <n v="9"/>
    <n v="26"/>
    <s v="Yes"/>
    <s v="No"/>
    <s v="Yes"/>
    <s v="Yes"/>
    <s v="Yes"/>
    <s v="No"/>
    <m/>
    <x v="0"/>
    <n v="1"/>
  </r>
  <r>
    <n v="951"/>
    <d v="2024-09-20T00:00:00"/>
    <s v="Basic"/>
    <n v="199"/>
    <n v="4.3"/>
    <n v="3"/>
    <x v="0"/>
    <n v="14"/>
    <n v="50"/>
    <s v="No"/>
    <s v="Yes"/>
    <s v="Yes"/>
    <s v="No"/>
    <s v="Yes"/>
    <s v="No"/>
    <m/>
    <x v="0"/>
    <n v="0"/>
  </r>
  <r>
    <n v="952"/>
    <d v="2024-03-03T00:00:00"/>
    <s v="Premium"/>
    <n v="699"/>
    <n v="21.2"/>
    <n v="8"/>
    <x v="4"/>
    <n v="34"/>
    <n v="48"/>
    <s v="No"/>
    <s v="No"/>
    <s v="Yes"/>
    <s v="Yes"/>
    <s v="Yes"/>
    <s v="No"/>
    <m/>
    <x v="0"/>
    <n v="0"/>
  </r>
  <r>
    <n v="953"/>
    <d v="2024-12-08T00:00:00"/>
    <s v="Standard"/>
    <n v="399"/>
    <n v="3.4"/>
    <n v="2"/>
    <x v="1"/>
    <n v="5"/>
    <n v="30"/>
    <s v="Yes"/>
    <s v="Yes"/>
    <s v="No"/>
    <s v="No"/>
    <s v="Yes"/>
    <s v="Yes"/>
    <m/>
    <x v="1"/>
    <n v="1"/>
  </r>
  <r>
    <n v="954"/>
    <d v="2023-01-30T00:00:00"/>
    <s v="Standard"/>
    <n v="399"/>
    <n v="20.5"/>
    <n v="8"/>
    <x v="3"/>
    <n v="9"/>
    <n v="11"/>
    <s v="No"/>
    <s v="No"/>
    <s v="Yes"/>
    <s v="Yes"/>
    <s v="No"/>
    <s v="No"/>
    <m/>
    <x v="0"/>
    <n v="0"/>
  </r>
  <r>
    <n v="955"/>
    <d v="2023-08-03T00:00:00"/>
    <s v="Premium"/>
    <n v="699"/>
    <n v="5.9"/>
    <n v="2"/>
    <x v="4"/>
    <n v="8"/>
    <n v="14"/>
    <s v="Yes"/>
    <s v="No"/>
    <s v="Yes"/>
    <s v="No"/>
    <s v="No"/>
    <s v="No"/>
    <m/>
    <x v="0"/>
    <n v="1"/>
  </r>
  <r>
    <n v="956"/>
    <d v="2024-03-17T00:00:00"/>
    <s v="Basic"/>
    <n v="199"/>
    <n v="10.9"/>
    <n v="1"/>
    <x v="1"/>
    <n v="6"/>
    <n v="1"/>
    <s v="No"/>
    <s v="No"/>
    <s v="No"/>
    <s v="No"/>
    <s v="No"/>
    <s v="No"/>
    <m/>
    <x v="1"/>
    <n v="0"/>
  </r>
  <r>
    <n v="957"/>
    <d v="2023-09-17T00:00:00"/>
    <s v="Basic"/>
    <n v="199"/>
    <n v="3.1"/>
    <n v="8"/>
    <x v="5"/>
    <n v="13"/>
    <n v="3"/>
    <s v="Yes"/>
    <s v="Yes"/>
    <s v="Yes"/>
    <s v="Yes"/>
    <s v="No"/>
    <s v="No"/>
    <m/>
    <x v="0"/>
    <n v="1"/>
  </r>
  <r>
    <n v="958"/>
    <d v="2024-09-08T00:00:00"/>
    <s v="Basic"/>
    <n v="199"/>
    <n v="7.9"/>
    <n v="0"/>
    <x v="1"/>
    <n v="5"/>
    <n v="50"/>
    <s v="Yes"/>
    <s v="No"/>
    <s v="No"/>
    <s v="No"/>
    <s v="Yes"/>
    <s v="Yes"/>
    <m/>
    <x v="1"/>
    <n v="1"/>
  </r>
  <r>
    <n v="959"/>
    <d v="2023-10-12T00:00:00"/>
    <s v="Basic"/>
    <n v="199"/>
    <n v="5"/>
    <n v="5"/>
    <x v="1"/>
    <n v="13"/>
    <n v="5"/>
    <s v="Yes"/>
    <s v="No"/>
    <s v="No"/>
    <s v="Yes"/>
    <s v="No"/>
    <s v="No"/>
    <m/>
    <x v="1"/>
    <n v="1"/>
  </r>
  <r>
    <n v="960"/>
    <d v="2024-08-06T00:00:00"/>
    <s v="Premium"/>
    <n v="699"/>
    <n v="9.1"/>
    <n v="8"/>
    <x v="4"/>
    <n v="23"/>
    <n v="39"/>
    <s v="Yes"/>
    <s v="No"/>
    <s v="Yes"/>
    <s v="Yes"/>
    <s v="Yes"/>
    <s v="No"/>
    <m/>
    <x v="0"/>
    <n v="1"/>
  </r>
  <r>
    <n v="961"/>
    <d v="2023-10-16T00:00:00"/>
    <s v="Basic"/>
    <n v="199"/>
    <n v="20.6"/>
    <n v="0"/>
    <x v="5"/>
    <n v="7"/>
    <n v="13"/>
    <s v="No"/>
    <s v="No"/>
    <s v="Yes"/>
    <s v="No"/>
    <s v="No"/>
    <s v="No"/>
    <m/>
    <x v="0"/>
    <n v="0"/>
  </r>
  <r>
    <n v="962"/>
    <d v="2024-12-25T00:00:00"/>
    <s v="Basic"/>
    <n v="199"/>
    <n v="0.6"/>
    <n v="1"/>
    <x v="0"/>
    <n v="35"/>
    <n v="58"/>
    <s v="Yes"/>
    <s v="Yes"/>
    <s v="Yes"/>
    <s v="No"/>
    <s v="Yes"/>
    <s v="No"/>
    <m/>
    <x v="0"/>
    <n v="1"/>
  </r>
  <r>
    <n v="963"/>
    <d v="2023-07-05T00:00:00"/>
    <s v="Standard"/>
    <n v="399"/>
    <n v="17.600000000000001"/>
    <n v="2"/>
    <x v="2"/>
    <n v="24"/>
    <n v="43"/>
    <s v="No"/>
    <s v="No"/>
    <s v="Yes"/>
    <s v="No"/>
    <s v="Yes"/>
    <s v="No"/>
    <m/>
    <x v="0"/>
    <n v="0"/>
  </r>
  <r>
    <n v="964"/>
    <d v="2023-11-18T00:00:00"/>
    <s v="Standard"/>
    <n v="399"/>
    <n v="10.9"/>
    <n v="8"/>
    <x v="0"/>
    <n v="25"/>
    <n v="26"/>
    <s v="Yes"/>
    <s v="No"/>
    <s v="Yes"/>
    <s v="Yes"/>
    <s v="Yes"/>
    <s v="No"/>
    <m/>
    <x v="0"/>
    <n v="1"/>
  </r>
  <r>
    <n v="965"/>
    <d v="2023-10-23T00:00:00"/>
    <s v="Basic"/>
    <n v="199"/>
    <n v="3.2"/>
    <n v="2"/>
    <x v="2"/>
    <n v="30"/>
    <n v="48"/>
    <s v="Yes"/>
    <s v="Yes"/>
    <s v="Yes"/>
    <s v="No"/>
    <s v="Yes"/>
    <s v="No"/>
    <m/>
    <x v="0"/>
    <n v="1"/>
  </r>
  <r>
    <n v="966"/>
    <d v="2024-09-06T00:00:00"/>
    <s v="Premium"/>
    <n v="699"/>
    <n v="2.5"/>
    <n v="7"/>
    <x v="1"/>
    <n v="3"/>
    <n v="24"/>
    <s v="Yes"/>
    <s v="Yes"/>
    <s v="No"/>
    <s v="Yes"/>
    <s v="Yes"/>
    <s v="Yes"/>
    <m/>
    <x v="1"/>
    <n v="1"/>
  </r>
  <r>
    <n v="967"/>
    <d v="2024-03-14T00:00:00"/>
    <s v="Premium"/>
    <n v="699"/>
    <n v="17.3"/>
    <n v="7"/>
    <x v="0"/>
    <n v="20"/>
    <n v="35"/>
    <s v="Yes"/>
    <s v="No"/>
    <s v="Yes"/>
    <s v="Yes"/>
    <s v="Yes"/>
    <s v="No"/>
    <m/>
    <x v="0"/>
    <n v="1"/>
  </r>
  <r>
    <n v="968"/>
    <d v="2024-11-21T00:00:00"/>
    <s v="Basic"/>
    <n v="199"/>
    <n v="22.4"/>
    <n v="7"/>
    <x v="4"/>
    <n v="5"/>
    <n v="23"/>
    <s v="Yes"/>
    <s v="No"/>
    <s v="Yes"/>
    <s v="Yes"/>
    <s v="Yes"/>
    <s v="Yes"/>
    <m/>
    <x v="0"/>
    <n v="1"/>
  </r>
  <r>
    <n v="969"/>
    <d v="2023-05-27T00:00:00"/>
    <s v="Standard"/>
    <n v="399"/>
    <n v="10.199999999999999"/>
    <n v="8"/>
    <x v="4"/>
    <n v="7"/>
    <n v="43"/>
    <s v="Yes"/>
    <s v="No"/>
    <s v="Yes"/>
    <s v="Yes"/>
    <s v="Yes"/>
    <s v="No"/>
    <m/>
    <x v="0"/>
    <n v="1"/>
  </r>
  <r>
    <n v="970"/>
    <d v="2023-06-22T00:00:00"/>
    <s v="Standard"/>
    <n v="399"/>
    <n v="17.5"/>
    <n v="1"/>
    <x v="4"/>
    <n v="26"/>
    <n v="59"/>
    <s v="No"/>
    <s v="No"/>
    <s v="Yes"/>
    <s v="No"/>
    <s v="Yes"/>
    <s v="No"/>
    <m/>
    <x v="0"/>
    <n v="0"/>
  </r>
  <r>
    <n v="971"/>
    <d v="2024-02-18T00:00:00"/>
    <s v="Basic"/>
    <n v="199"/>
    <n v="24.4"/>
    <n v="5"/>
    <x v="0"/>
    <n v="24"/>
    <n v="38"/>
    <s v="No"/>
    <s v="No"/>
    <s v="Yes"/>
    <s v="Yes"/>
    <s v="Yes"/>
    <s v="No"/>
    <m/>
    <x v="0"/>
    <n v="0"/>
  </r>
  <r>
    <n v="972"/>
    <d v="2024-08-18T00:00:00"/>
    <s v="Basic"/>
    <n v="199"/>
    <n v="21"/>
    <n v="7"/>
    <x v="3"/>
    <n v="15"/>
    <n v="48"/>
    <s v="Yes"/>
    <s v="No"/>
    <s v="Yes"/>
    <s v="Yes"/>
    <s v="Yes"/>
    <s v="No"/>
    <m/>
    <x v="0"/>
    <n v="1"/>
  </r>
  <r>
    <n v="973"/>
    <d v="2024-02-19T00:00:00"/>
    <s v="Premium"/>
    <n v="699"/>
    <n v="19"/>
    <n v="6"/>
    <x v="3"/>
    <n v="18"/>
    <n v="30"/>
    <s v="Yes"/>
    <s v="No"/>
    <s v="Yes"/>
    <s v="Yes"/>
    <s v="Yes"/>
    <s v="No"/>
    <m/>
    <x v="0"/>
    <n v="1"/>
  </r>
  <r>
    <n v="974"/>
    <d v="2024-05-24T00:00:00"/>
    <s v="Standard"/>
    <n v="399"/>
    <n v="7.3"/>
    <n v="7"/>
    <x v="1"/>
    <n v="33"/>
    <n v="7"/>
    <s v="No"/>
    <s v="No"/>
    <s v="No"/>
    <s v="Yes"/>
    <s v="No"/>
    <s v="No"/>
    <m/>
    <x v="1"/>
    <n v="0"/>
  </r>
  <r>
    <n v="975"/>
    <d v="2023-07-03T00:00:00"/>
    <s v="Basic"/>
    <n v="199"/>
    <n v="1.2"/>
    <n v="0"/>
    <x v="1"/>
    <n v="9"/>
    <n v="31"/>
    <s v="No"/>
    <s v="Yes"/>
    <s v="No"/>
    <s v="No"/>
    <s v="Yes"/>
    <s v="No"/>
    <m/>
    <x v="1"/>
    <n v="0"/>
  </r>
  <r>
    <n v="976"/>
    <d v="2024-05-19T00:00:00"/>
    <s v="Standard"/>
    <n v="399"/>
    <n v="4.2"/>
    <n v="1"/>
    <x v="1"/>
    <n v="21"/>
    <n v="42"/>
    <s v="No"/>
    <s v="Yes"/>
    <s v="No"/>
    <s v="No"/>
    <s v="Yes"/>
    <s v="No"/>
    <m/>
    <x v="1"/>
    <n v="0"/>
  </r>
  <r>
    <n v="977"/>
    <d v="2023-12-18T00:00:00"/>
    <s v="Standard"/>
    <n v="399"/>
    <n v="7.7"/>
    <n v="7"/>
    <x v="2"/>
    <n v="13"/>
    <n v="32"/>
    <s v="Yes"/>
    <s v="No"/>
    <s v="Yes"/>
    <s v="Yes"/>
    <s v="Yes"/>
    <s v="No"/>
    <m/>
    <x v="0"/>
    <n v="1"/>
  </r>
  <r>
    <n v="978"/>
    <d v="2024-01-28T00:00:00"/>
    <s v="Premium"/>
    <n v="699"/>
    <n v="0.9"/>
    <n v="0"/>
    <x v="2"/>
    <n v="35"/>
    <n v="56"/>
    <s v="No"/>
    <s v="Yes"/>
    <s v="Yes"/>
    <s v="No"/>
    <s v="Yes"/>
    <s v="No"/>
    <m/>
    <x v="0"/>
    <n v="0"/>
  </r>
  <r>
    <n v="979"/>
    <d v="2024-07-24T00:00:00"/>
    <s v="Standard"/>
    <n v="399"/>
    <n v="21.4"/>
    <n v="7"/>
    <x v="2"/>
    <n v="21"/>
    <n v="2"/>
    <s v="Yes"/>
    <s v="No"/>
    <s v="Yes"/>
    <s v="Yes"/>
    <s v="No"/>
    <s v="No"/>
    <m/>
    <x v="0"/>
    <n v="1"/>
  </r>
  <r>
    <n v="980"/>
    <d v="2024-02-03T00:00:00"/>
    <s v="Premium"/>
    <n v="699"/>
    <n v="22.2"/>
    <n v="2"/>
    <x v="2"/>
    <n v="20"/>
    <n v="27"/>
    <s v="Yes"/>
    <s v="No"/>
    <s v="Yes"/>
    <s v="No"/>
    <s v="Yes"/>
    <s v="No"/>
    <m/>
    <x v="0"/>
    <n v="1"/>
  </r>
  <r>
    <n v="981"/>
    <d v="2024-08-08T00:00:00"/>
    <s v="Standard"/>
    <n v="399"/>
    <n v="14.4"/>
    <n v="7"/>
    <x v="4"/>
    <n v="8"/>
    <n v="35"/>
    <s v="Yes"/>
    <s v="No"/>
    <s v="Yes"/>
    <s v="Yes"/>
    <s v="Yes"/>
    <s v="No"/>
    <m/>
    <x v="0"/>
    <n v="1"/>
  </r>
  <r>
    <n v="982"/>
    <d v="2024-05-21T00:00:00"/>
    <s v="Standard"/>
    <n v="399"/>
    <n v="14.3"/>
    <n v="2"/>
    <x v="5"/>
    <n v="31"/>
    <n v="3"/>
    <s v="No"/>
    <s v="No"/>
    <s v="Yes"/>
    <s v="No"/>
    <s v="No"/>
    <s v="No"/>
    <m/>
    <x v="0"/>
    <n v="0"/>
  </r>
  <r>
    <n v="983"/>
    <d v="2024-08-27T00:00:00"/>
    <s v="Premium"/>
    <n v="699"/>
    <n v="15.6"/>
    <n v="5"/>
    <x v="3"/>
    <n v="25"/>
    <n v="20"/>
    <s v="Yes"/>
    <s v="No"/>
    <s v="Yes"/>
    <s v="Yes"/>
    <s v="Yes"/>
    <s v="No"/>
    <m/>
    <x v="0"/>
    <n v="1"/>
  </r>
  <r>
    <n v="984"/>
    <d v="2024-10-02T00:00:00"/>
    <s v="Basic"/>
    <n v="199"/>
    <n v="21"/>
    <n v="5"/>
    <x v="4"/>
    <n v="9"/>
    <n v="37"/>
    <s v="Yes"/>
    <s v="No"/>
    <s v="Yes"/>
    <s v="Yes"/>
    <s v="Yes"/>
    <s v="No"/>
    <m/>
    <x v="0"/>
    <n v="1"/>
  </r>
  <r>
    <n v="985"/>
    <d v="2024-11-08T00:00:00"/>
    <s v="Standard"/>
    <n v="399"/>
    <n v="2.9"/>
    <n v="5"/>
    <x v="3"/>
    <n v="25"/>
    <n v="26"/>
    <s v="Yes"/>
    <s v="Yes"/>
    <s v="Yes"/>
    <s v="Yes"/>
    <s v="Yes"/>
    <s v="No"/>
    <m/>
    <x v="0"/>
    <n v="1"/>
  </r>
  <r>
    <n v="986"/>
    <d v="2023-03-09T00:00:00"/>
    <s v="Basic"/>
    <n v="199"/>
    <n v="6.2"/>
    <n v="4"/>
    <x v="5"/>
    <n v="16"/>
    <n v="5"/>
    <s v="No"/>
    <s v="No"/>
    <s v="Yes"/>
    <s v="No"/>
    <s v="No"/>
    <s v="No"/>
    <m/>
    <x v="0"/>
    <n v="0"/>
  </r>
  <r>
    <n v="987"/>
    <d v="2024-11-04T00:00:00"/>
    <s v="Standard"/>
    <n v="399"/>
    <n v="8.8000000000000007"/>
    <n v="0"/>
    <x v="5"/>
    <n v="8"/>
    <n v="20"/>
    <s v="Yes"/>
    <s v="No"/>
    <s v="Yes"/>
    <s v="No"/>
    <s v="Yes"/>
    <s v="No"/>
    <m/>
    <x v="0"/>
    <n v="1"/>
  </r>
  <r>
    <n v="988"/>
    <d v="2023-01-23T00:00:00"/>
    <s v="Standard"/>
    <n v="399"/>
    <n v="22.6"/>
    <n v="4"/>
    <x v="1"/>
    <n v="33"/>
    <n v="44"/>
    <s v="Yes"/>
    <s v="No"/>
    <s v="No"/>
    <s v="No"/>
    <s v="Yes"/>
    <s v="No"/>
    <m/>
    <x v="1"/>
    <n v="1"/>
  </r>
  <r>
    <n v="989"/>
    <d v="2023-04-13T00:00:00"/>
    <s v="Standard"/>
    <n v="399"/>
    <n v="14.5"/>
    <n v="5"/>
    <x v="5"/>
    <n v="25"/>
    <n v="6"/>
    <s v="No"/>
    <s v="No"/>
    <s v="Yes"/>
    <s v="Yes"/>
    <s v="No"/>
    <s v="No"/>
    <m/>
    <x v="0"/>
    <n v="0"/>
  </r>
  <r>
    <n v="990"/>
    <d v="2023-11-03T00:00:00"/>
    <s v="Premium"/>
    <n v="699"/>
    <n v="8.6999999999999993"/>
    <n v="8"/>
    <x v="4"/>
    <n v="14"/>
    <n v="21"/>
    <s v="Yes"/>
    <s v="No"/>
    <s v="Yes"/>
    <s v="Yes"/>
    <s v="Yes"/>
    <s v="No"/>
    <m/>
    <x v="0"/>
    <n v="1"/>
  </r>
  <r>
    <n v="991"/>
    <d v="2023-02-18T00:00:00"/>
    <s v="Standard"/>
    <n v="399"/>
    <n v="5.4"/>
    <n v="1"/>
    <x v="5"/>
    <n v="28"/>
    <n v="13"/>
    <s v="Yes"/>
    <s v="No"/>
    <s v="Yes"/>
    <s v="No"/>
    <s v="No"/>
    <s v="No"/>
    <m/>
    <x v="0"/>
    <n v="1"/>
  </r>
  <r>
    <n v="992"/>
    <d v="2024-08-29T00:00:00"/>
    <s v="Standard"/>
    <n v="399"/>
    <n v="20.2"/>
    <n v="1"/>
    <x v="4"/>
    <n v="26"/>
    <n v="54"/>
    <s v="Yes"/>
    <s v="No"/>
    <s v="Yes"/>
    <s v="No"/>
    <s v="Yes"/>
    <s v="No"/>
    <m/>
    <x v="0"/>
    <n v="1"/>
  </r>
  <r>
    <n v="993"/>
    <d v="2023-03-20T00:00:00"/>
    <s v="Standard"/>
    <n v="399"/>
    <n v="2.1"/>
    <n v="8"/>
    <x v="2"/>
    <n v="18"/>
    <n v="27"/>
    <s v="Yes"/>
    <s v="Yes"/>
    <s v="Yes"/>
    <s v="Yes"/>
    <s v="Yes"/>
    <s v="No"/>
    <m/>
    <x v="0"/>
    <n v="1"/>
  </r>
  <r>
    <n v="994"/>
    <d v="2023-07-24T00:00:00"/>
    <s v="Premium"/>
    <n v="699"/>
    <n v="12.9"/>
    <n v="4"/>
    <x v="2"/>
    <n v="20"/>
    <n v="42"/>
    <s v="Yes"/>
    <s v="No"/>
    <s v="Yes"/>
    <s v="No"/>
    <s v="Yes"/>
    <s v="No"/>
    <m/>
    <x v="0"/>
    <n v="1"/>
  </r>
  <r>
    <n v="995"/>
    <d v="2023-07-04T00:00:00"/>
    <s v="Standard"/>
    <n v="399"/>
    <n v="6.7"/>
    <n v="8"/>
    <x v="2"/>
    <n v="26"/>
    <n v="42"/>
    <s v="No"/>
    <s v="No"/>
    <s v="Yes"/>
    <s v="Yes"/>
    <s v="Yes"/>
    <s v="No"/>
    <m/>
    <x v="0"/>
    <n v="0"/>
  </r>
  <r>
    <n v="996"/>
    <d v="2024-04-23T00:00:00"/>
    <s v="Basic"/>
    <n v="199"/>
    <n v="21.6"/>
    <n v="7"/>
    <x v="0"/>
    <n v="34"/>
    <n v="42"/>
    <s v="No"/>
    <s v="No"/>
    <s v="Yes"/>
    <s v="Yes"/>
    <s v="Yes"/>
    <s v="No"/>
    <m/>
    <x v="0"/>
    <n v="0"/>
  </r>
  <r>
    <n v="997"/>
    <d v="2024-06-18T00:00:00"/>
    <s v="Standard"/>
    <n v="399"/>
    <n v="20.3"/>
    <n v="6"/>
    <x v="5"/>
    <n v="35"/>
    <n v="46"/>
    <s v="Yes"/>
    <s v="No"/>
    <s v="Yes"/>
    <s v="Yes"/>
    <s v="Yes"/>
    <s v="No"/>
    <m/>
    <x v="0"/>
    <n v="1"/>
  </r>
  <r>
    <n v="998"/>
    <d v="2023-11-04T00:00:00"/>
    <s v="Basic"/>
    <n v="199"/>
    <n v="11.8"/>
    <n v="3"/>
    <x v="0"/>
    <n v="24"/>
    <n v="47"/>
    <s v="No"/>
    <s v="No"/>
    <s v="Yes"/>
    <s v="No"/>
    <s v="Yes"/>
    <s v="No"/>
    <m/>
    <x v="0"/>
    <n v="0"/>
  </r>
  <r>
    <n v="999"/>
    <d v="2023-10-01T00:00:00"/>
    <s v="Standard"/>
    <n v="399"/>
    <n v="8.3000000000000007"/>
    <n v="1"/>
    <x v="4"/>
    <n v="27"/>
    <n v="13"/>
    <s v="No"/>
    <s v="No"/>
    <s v="Yes"/>
    <s v="No"/>
    <s v="No"/>
    <s v="No"/>
    <m/>
    <x v="0"/>
    <n v="0"/>
  </r>
  <r>
    <n v="1000"/>
    <d v="2023-07-16T00:00:00"/>
    <s v="Standard"/>
    <n v="399"/>
    <n v="6.8"/>
    <n v="3"/>
    <x v="2"/>
    <n v="11"/>
    <n v="15"/>
    <s v="Yes"/>
    <s v="No"/>
    <s v="Yes"/>
    <s v="No"/>
    <s v="Yes"/>
    <s v="No"/>
    <m/>
    <x v="0"/>
    <n v="1"/>
  </r>
  <r>
    <n v="1001"/>
    <d v="2024-03-22T00:00:00"/>
    <s v="Basic"/>
    <n v="199"/>
    <n v="20"/>
    <n v="4"/>
    <x v="2"/>
    <n v="16"/>
    <n v="31"/>
    <s v="Yes"/>
    <s v="No"/>
    <s v="Yes"/>
    <s v="No"/>
    <s v="Yes"/>
    <s v="No"/>
    <m/>
    <x v="0"/>
    <n v="1"/>
  </r>
  <r>
    <n v="1002"/>
    <d v="2023-10-12T00:00:00"/>
    <s v="Standard"/>
    <n v="399"/>
    <n v="5.4"/>
    <n v="4"/>
    <x v="0"/>
    <n v="3"/>
    <n v="1"/>
    <s v="No"/>
    <s v="No"/>
    <s v="Yes"/>
    <s v="No"/>
    <s v="No"/>
    <s v="Yes"/>
    <m/>
    <x v="0"/>
    <n v="0"/>
  </r>
  <r>
    <n v="1003"/>
    <d v="2023-02-26T00:00:00"/>
    <s v="Premium"/>
    <n v="699"/>
    <n v="4.8"/>
    <n v="0"/>
    <x v="4"/>
    <n v="36"/>
    <n v="31"/>
    <s v="Yes"/>
    <s v="Yes"/>
    <s v="Yes"/>
    <s v="No"/>
    <s v="Yes"/>
    <s v="No"/>
    <m/>
    <x v="0"/>
    <n v="1"/>
  </r>
  <r>
    <n v="1004"/>
    <d v="2024-11-04T00:00:00"/>
    <s v="Basic"/>
    <n v="199"/>
    <n v="15.2"/>
    <n v="1"/>
    <x v="2"/>
    <n v="21"/>
    <n v="57"/>
    <s v="Yes"/>
    <s v="No"/>
    <s v="Yes"/>
    <s v="No"/>
    <s v="Yes"/>
    <s v="No"/>
    <m/>
    <x v="0"/>
    <n v="1"/>
  </r>
  <r>
    <n v="1005"/>
    <d v="2024-05-27T00:00:00"/>
    <s v="Basic"/>
    <n v="199"/>
    <n v="23.6"/>
    <n v="2"/>
    <x v="0"/>
    <n v="26"/>
    <n v="7"/>
    <s v="No"/>
    <s v="No"/>
    <s v="Yes"/>
    <s v="No"/>
    <s v="No"/>
    <s v="No"/>
    <m/>
    <x v="0"/>
    <n v="0"/>
  </r>
  <r>
    <n v="1006"/>
    <d v="2023-09-01T00:00:00"/>
    <s v="Basic"/>
    <n v="199"/>
    <n v="16.8"/>
    <n v="8"/>
    <x v="3"/>
    <n v="34"/>
    <n v="31"/>
    <s v="No"/>
    <s v="No"/>
    <s v="Yes"/>
    <s v="Yes"/>
    <s v="Yes"/>
    <s v="No"/>
    <m/>
    <x v="0"/>
    <n v="0"/>
  </r>
  <r>
    <n v="1007"/>
    <d v="2024-02-04T00:00:00"/>
    <s v="Premium"/>
    <n v="699"/>
    <n v="19.399999999999999"/>
    <n v="5"/>
    <x v="3"/>
    <n v="8"/>
    <n v="53"/>
    <s v="Yes"/>
    <s v="No"/>
    <s v="Yes"/>
    <s v="Yes"/>
    <s v="Yes"/>
    <s v="No"/>
    <m/>
    <x v="0"/>
    <n v="1"/>
  </r>
  <r>
    <n v="1008"/>
    <d v="2023-10-09T00:00:00"/>
    <s v="Premium"/>
    <n v="699"/>
    <n v="23.4"/>
    <n v="3"/>
    <x v="0"/>
    <n v="16"/>
    <n v="6"/>
    <s v="No"/>
    <s v="No"/>
    <s v="Yes"/>
    <s v="No"/>
    <s v="No"/>
    <s v="No"/>
    <m/>
    <x v="0"/>
    <n v="0"/>
  </r>
  <r>
    <n v="1009"/>
    <d v="2023-04-26T00:00:00"/>
    <s v="Standard"/>
    <n v="399"/>
    <n v="6.7"/>
    <n v="0"/>
    <x v="2"/>
    <n v="27"/>
    <n v="34"/>
    <s v="Yes"/>
    <s v="No"/>
    <s v="Yes"/>
    <s v="No"/>
    <s v="Yes"/>
    <s v="No"/>
    <m/>
    <x v="0"/>
    <n v="1"/>
  </r>
  <r>
    <n v="1010"/>
    <d v="2023-05-29T00:00:00"/>
    <s v="Standard"/>
    <n v="399"/>
    <n v="10.9"/>
    <n v="3"/>
    <x v="3"/>
    <n v="35"/>
    <n v="56"/>
    <s v="No"/>
    <s v="No"/>
    <s v="Yes"/>
    <s v="No"/>
    <s v="Yes"/>
    <s v="No"/>
    <m/>
    <x v="0"/>
    <n v="0"/>
  </r>
  <r>
    <n v="1011"/>
    <d v="2024-09-12T00:00:00"/>
    <s v="Standard"/>
    <n v="399"/>
    <n v="18"/>
    <n v="4"/>
    <x v="1"/>
    <n v="31"/>
    <n v="41"/>
    <s v="No"/>
    <s v="No"/>
    <s v="No"/>
    <s v="No"/>
    <s v="Yes"/>
    <s v="No"/>
    <m/>
    <x v="1"/>
    <n v="0"/>
  </r>
  <r>
    <n v="1012"/>
    <d v="2024-10-16T00:00:00"/>
    <s v="Basic"/>
    <n v="199"/>
    <n v="17.399999999999999"/>
    <n v="3"/>
    <x v="3"/>
    <n v="4"/>
    <n v="35"/>
    <s v="Yes"/>
    <s v="No"/>
    <s v="Yes"/>
    <s v="No"/>
    <s v="Yes"/>
    <s v="Yes"/>
    <m/>
    <x v="0"/>
    <n v="1"/>
  </r>
  <r>
    <n v="1013"/>
    <d v="2024-03-29T00:00:00"/>
    <s v="Premium"/>
    <n v="699"/>
    <n v="22.6"/>
    <n v="1"/>
    <x v="5"/>
    <n v="24"/>
    <n v="55"/>
    <s v="Yes"/>
    <s v="No"/>
    <s v="Yes"/>
    <s v="No"/>
    <s v="Yes"/>
    <s v="No"/>
    <m/>
    <x v="0"/>
    <n v="1"/>
  </r>
  <r>
    <n v="1014"/>
    <d v="2023-08-30T00:00:00"/>
    <s v="Standard"/>
    <n v="399"/>
    <n v="22.8"/>
    <n v="6"/>
    <x v="3"/>
    <n v="1"/>
    <n v="19"/>
    <s v="Yes"/>
    <s v="No"/>
    <s v="Yes"/>
    <s v="Yes"/>
    <s v="Yes"/>
    <s v="Yes"/>
    <m/>
    <x v="0"/>
    <n v="1"/>
  </r>
  <r>
    <n v="1015"/>
    <d v="2024-10-21T00:00:00"/>
    <s v="Standard"/>
    <n v="399"/>
    <n v="21.6"/>
    <n v="2"/>
    <x v="2"/>
    <n v="14"/>
    <n v="40"/>
    <s v="Yes"/>
    <s v="No"/>
    <s v="Yes"/>
    <s v="No"/>
    <s v="Yes"/>
    <s v="No"/>
    <m/>
    <x v="0"/>
    <n v="1"/>
  </r>
  <r>
    <n v="1016"/>
    <d v="2023-12-07T00:00:00"/>
    <s v="Standard"/>
    <n v="399"/>
    <n v="7.2"/>
    <n v="1"/>
    <x v="2"/>
    <n v="3"/>
    <n v="30"/>
    <s v="No"/>
    <s v="No"/>
    <s v="Yes"/>
    <s v="No"/>
    <s v="Yes"/>
    <s v="Yes"/>
    <m/>
    <x v="0"/>
    <n v="0"/>
  </r>
  <r>
    <n v="1017"/>
    <d v="2023-03-09T00:00:00"/>
    <s v="Premium"/>
    <n v="699"/>
    <n v="22"/>
    <n v="1"/>
    <x v="0"/>
    <n v="28"/>
    <n v="44"/>
    <s v="Yes"/>
    <s v="No"/>
    <s v="Yes"/>
    <s v="No"/>
    <s v="Yes"/>
    <s v="No"/>
    <m/>
    <x v="0"/>
    <n v="1"/>
  </r>
  <r>
    <n v="1018"/>
    <d v="2023-01-29T00:00:00"/>
    <s v="Standard"/>
    <n v="399"/>
    <n v="15.3"/>
    <n v="8"/>
    <x v="4"/>
    <n v="27"/>
    <n v="20"/>
    <s v="Yes"/>
    <s v="No"/>
    <s v="Yes"/>
    <s v="Yes"/>
    <s v="Yes"/>
    <s v="No"/>
    <m/>
    <x v="0"/>
    <n v="1"/>
  </r>
  <r>
    <n v="1019"/>
    <d v="2023-11-09T00:00:00"/>
    <s v="Basic"/>
    <n v="199"/>
    <n v="15.9"/>
    <n v="2"/>
    <x v="1"/>
    <n v="12"/>
    <n v="25"/>
    <s v="Yes"/>
    <s v="No"/>
    <s v="No"/>
    <s v="No"/>
    <s v="Yes"/>
    <s v="No"/>
    <m/>
    <x v="1"/>
    <n v="1"/>
  </r>
  <r>
    <n v="1020"/>
    <d v="2024-10-26T00:00:00"/>
    <s v="Standard"/>
    <n v="399"/>
    <n v="3.2"/>
    <n v="3"/>
    <x v="5"/>
    <n v="6"/>
    <n v="45"/>
    <s v="No"/>
    <s v="Yes"/>
    <s v="Yes"/>
    <s v="No"/>
    <s v="Yes"/>
    <s v="No"/>
    <m/>
    <x v="0"/>
    <n v="0"/>
  </r>
  <r>
    <n v="1021"/>
    <d v="2023-05-17T00:00:00"/>
    <s v="Basic"/>
    <n v="199"/>
    <n v="19.899999999999999"/>
    <n v="5"/>
    <x v="2"/>
    <n v="27"/>
    <n v="30"/>
    <s v="No"/>
    <s v="No"/>
    <s v="Yes"/>
    <s v="Yes"/>
    <s v="Yes"/>
    <s v="No"/>
    <m/>
    <x v="0"/>
    <n v="0"/>
  </r>
  <r>
    <n v="1022"/>
    <d v="2024-01-12T00:00:00"/>
    <s v="Standard"/>
    <n v="399"/>
    <n v="17.3"/>
    <n v="5"/>
    <x v="3"/>
    <n v="12"/>
    <n v="12"/>
    <s v="Yes"/>
    <s v="No"/>
    <s v="Yes"/>
    <s v="Yes"/>
    <s v="No"/>
    <s v="No"/>
    <m/>
    <x v="0"/>
    <n v="1"/>
  </r>
  <r>
    <n v="1023"/>
    <d v="2024-07-25T00:00:00"/>
    <s v="Basic"/>
    <n v="199"/>
    <n v="22"/>
    <n v="3"/>
    <x v="1"/>
    <n v="26"/>
    <n v="60"/>
    <s v="Yes"/>
    <s v="No"/>
    <s v="No"/>
    <s v="No"/>
    <s v="Yes"/>
    <s v="No"/>
    <m/>
    <x v="1"/>
    <n v="1"/>
  </r>
  <r>
    <n v="1024"/>
    <d v="2023-06-22T00:00:00"/>
    <s v="Premium"/>
    <n v="699"/>
    <n v="22.7"/>
    <n v="7"/>
    <x v="0"/>
    <n v="15"/>
    <n v="16"/>
    <s v="No"/>
    <s v="No"/>
    <s v="Yes"/>
    <s v="Yes"/>
    <s v="Yes"/>
    <s v="No"/>
    <m/>
    <x v="0"/>
    <n v="0"/>
  </r>
  <r>
    <n v="1025"/>
    <d v="2023-06-24T00:00:00"/>
    <s v="Basic"/>
    <n v="199"/>
    <n v="15.6"/>
    <n v="4"/>
    <x v="0"/>
    <n v="26"/>
    <n v="5"/>
    <s v="No"/>
    <s v="No"/>
    <s v="Yes"/>
    <s v="No"/>
    <s v="No"/>
    <s v="No"/>
    <m/>
    <x v="0"/>
    <n v="0"/>
  </r>
  <r>
    <n v="1026"/>
    <d v="2024-04-09T00:00:00"/>
    <s v="Premium"/>
    <n v="699"/>
    <n v="0.8"/>
    <n v="8"/>
    <x v="2"/>
    <n v="8"/>
    <n v="49"/>
    <s v="Yes"/>
    <s v="Yes"/>
    <s v="Yes"/>
    <s v="Yes"/>
    <s v="Yes"/>
    <s v="No"/>
    <m/>
    <x v="0"/>
    <n v="1"/>
  </r>
  <r>
    <n v="1027"/>
    <d v="2023-09-30T00:00:00"/>
    <s v="Premium"/>
    <n v="699"/>
    <n v="3.4"/>
    <n v="3"/>
    <x v="0"/>
    <n v="32"/>
    <n v="60"/>
    <s v="No"/>
    <s v="Yes"/>
    <s v="Yes"/>
    <s v="No"/>
    <s v="Yes"/>
    <s v="No"/>
    <m/>
    <x v="0"/>
    <n v="0"/>
  </r>
  <r>
    <n v="1028"/>
    <d v="2023-10-17T00:00:00"/>
    <s v="Standard"/>
    <n v="399"/>
    <n v="9.9"/>
    <n v="6"/>
    <x v="0"/>
    <n v="32"/>
    <n v="38"/>
    <s v="Yes"/>
    <s v="No"/>
    <s v="Yes"/>
    <s v="Yes"/>
    <s v="Yes"/>
    <s v="No"/>
    <m/>
    <x v="0"/>
    <n v="1"/>
  </r>
  <r>
    <n v="1029"/>
    <d v="2023-09-26T00:00:00"/>
    <s v="Premium"/>
    <n v="699"/>
    <n v="10.7"/>
    <n v="6"/>
    <x v="0"/>
    <n v="13"/>
    <n v="1"/>
    <s v="No"/>
    <s v="No"/>
    <s v="Yes"/>
    <s v="Yes"/>
    <s v="No"/>
    <s v="No"/>
    <m/>
    <x v="0"/>
    <n v="0"/>
  </r>
  <r>
    <n v="1030"/>
    <d v="2023-03-29T00:00:00"/>
    <s v="Basic"/>
    <n v="199"/>
    <n v="22.7"/>
    <n v="5"/>
    <x v="5"/>
    <n v="29"/>
    <n v="43"/>
    <s v="Yes"/>
    <s v="No"/>
    <s v="Yes"/>
    <s v="Yes"/>
    <s v="Yes"/>
    <s v="No"/>
    <m/>
    <x v="0"/>
    <n v="1"/>
  </r>
  <r>
    <n v="1031"/>
    <d v="2024-12-31T00:00:00"/>
    <s v="Basic"/>
    <n v="199"/>
    <n v="3.8"/>
    <n v="5"/>
    <x v="4"/>
    <n v="31"/>
    <n v="25"/>
    <s v="Yes"/>
    <s v="Yes"/>
    <s v="Yes"/>
    <s v="Yes"/>
    <s v="Yes"/>
    <s v="No"/>
    <m/>
    <x v="0"/>
    <n v="1"/>
  </r>
  <r>
    <n v="1032"/>
    <d v="2023-02-23T00:00:00"/>
    <s v="Standard"/>
    <n v="399"/>
    <n v="18.5"/>
    <n v="4"/>
    <x v="1"/>
    <n v="28"/>
    <n v="6"/>
    <s v="No"/>
    <s v="No"/>
    <s v="No"/>
    <s v="No"/>
    <s v="No"/>
    <s v="No"/>
    <m/>
    <x v="1"/>
    <n v="0"/>
  </r>
  <r>
    <n v="1033"/>
    <d v="2024-09-04T00:00:00"/>
    <s v="Standard"/>
    <n v="399"/>
    <n v="12"/>
    <n v="5"/>
    <x v="5"/>
    <n v="16"/>
    <n v="60"/>
    <s v="Yes"/>
    <s v="No"/>
    <s v="Yes"/>
    <s v="Yes"/>
    <s v="Yes"/>
    <s v="No"/>
    <m/>
    <x v="0"/>
    <n v="1"/>
  </r>
  <r>
    <n v="1034"/>
    <d v="2024-02-09T00:00:00"/>
    <s v="Premium"/>
    <n v="699"/>
    <n v="0.6"/>
    <n v="8"/>
    <x v="5"/>
    <n v="3"/>
    <n v="24"/>
    <s v="Yes"/>
    <s v="Yes"/>
    <s v="Yes"/>
    <s v="Yes"/>
    <s v="Yes"/>
    <s v="Yes"/>
    <m/>
    <x v="0"/>
    <n v="1"/>
  </r>
  <r>
    <n v="1035"/>
    <d v="2023-06-23T00:00:00"/>
    <s v="Premium"/>
    <n v="699"/>
    <n v="3.7"/>
    <n v="8"/>
    <x v="1"/>
    <n v="24"/>
    <n v="37"/>
    <s v="Yes"/>
    <s v="Yes"/>
    <s v="No"/>
    <s v="Yes"/>
    <s v="Yes"/>
    <s v="No"/>
    <m/>
    <x v="1"/>
    <n v="1"/>
  </r>
  <r>
    <n v="1036"/>
    <d v="2024-06-27T00:00:00"/>
    <s v="Premium"/>
    <n v="699"/>
    <n v="23.3"/>
    <n v="7"/>
    <x v="0"/>
    <n v="32"/>
    <n v="5"/>
    <s v="No"/>
    <s v="No"/>
    <s v="Yes"/>
    <s v="Yes"/>
    <s v="No"/>
    <s v="No"/>
    <m/>
    <x v="0"/>
    <n v="0"/>
  </r>
  <r>
    <n v="1037"/>
    <d v="2023-10-15T00:00:00"/>
    <s v="Standard"/>
    <n v="399"/>
    <n v="6.9"/>
    <n v="5"/>
    <x v="1"/>
    <n v="10"/>
    <n v="8"/>
    <s v="No"/>
    <s v="No"/>
    <s v="No"/>
    <s v="Yes"/>
    <s v="No"/>
    <s v="No"/>
    <m/>
    <x v="1"/>
    <n v="0"/>
  </r>
  <r>
    <n v="1038"/>
    <d v="2023-09-28T00:00:00"/>
    <s v="Premium"/>
    <n v="699"/>
    <n v="23.2"/>
    <n v="4"/>
    <x v="3"/>
    <n v="24"/>
    <n v="39"/>
    <s v="No"/>
    <s v="No"/>
    <s v="Yes"/>
    <s v="No"/>
    <s v="Yes"/>
    <s v="No"/>
    <m/>
    <x v="0"/>
    <n v="0"/>
  </r>
  <r>
    <n v="1039"/>
    <d v="2023-06-04T00:00:00"/>
    <s v="Premium"/>
    <n v="699"/>
    <n v="11.2"/>
    <n v="2"/>
    <x v="3"/>
    <n v="21"/>
    <n v="47"/>
    <s v="No"/>
    <s v="No"/>
    <s v="Yes"/>
    <s v="No"/>
    <s v="Yes"/>
    <s v="No"/>
    <m/>
    <x v="0"/>
    <n v="0"/>
  </r>
  <r>
    <n v="1040"/>
    <d v="2024-04-26T00:00:00"/>
    <s v="Premium"/>
    <n v="699"/>
    <n v="1.8"/>
    <n v="2"/>
    <x v="1"/>
    <n v="29"/>
    <n v="14"/>
    <s v="Yes"/>
    <s v="Yes"/>
    <s v="No"/>
    <s v="No"/>
    <s v="No"/>
    <s v="No"/>
    <m/>
    <x v="1"/>
    <n v="1"/>
  </r>
  <r>
    <n v="1041"/>
    <d v="2023-02-11T00:00:00"/>
    <s v="Standard"/>
    <n v="399"/>
    <n v="17.8"/>
    <n v="6"/>
    <x v="1"/>
    <n v="11"/>
    <n v="57"/>
    <s v="No"/>
    <s v="No"/>
    <s v="No"/>
    <s v="Yes"/>
    <s v="Yes"/>
    <s v="No"/>
    <m/>
    <x v="1"/>
    <n v="0"/>
  </r>
  <r>
    <n v="1042"/>
    <d v="2023-06-01T00:00:00"/>
    <s v="Standard"/>
    <n v="399"/>
    <n v="24.7"/>
    <n v="8"/>
    <x v="2"/>
    <n v="23"/>
    <n v="29"/>
    <s v="Yes"/>
    <s v="No"/>
    <s v="Yes"/>
    <s v="Yes"/>
    <s v="Yes"/>
    <s v="No"/>
    <m/>
    <x v="0"/>
    <n v="1"/>
  </r>
  <r>
    <n v="1043"/>
    <d v="2024-06-04T00:00:00"/>
    <s v="Basic"/>
    <n v="199"/>
    <n v="2.8"/>
    <n v="4"/>
    <x v="0"/>
    <n v="23"/>
    <n v="53"/>
    <s v="Yes"/>
    <s v="Yes"/>
    <s v="Yes"/>
    <s v="No"/>
    <s v="Yes"/>
    <s v="No"/>
    <m/>
    <x v="0"/>
    <n v="1"/>
  </r>
  <r>
    <n v="1044"/>
    <d v="2024-03-02T00:00:00"/>
    <s v="Standard"/>
    <n v="399"/>
    <n v="14.8"/>
    <n v="0"/>
    <x v="5"/>
    <n v="14"/>
    <n v="49"/>
    <s v="Yes"/>
    <s v="No"/>
    <s v="Yes"/>
    <s v="No"/>
    <s v="Yes"/>
    <s v="No"/>
    <m/>
    <x v="0"/>
    <n v="1"/>
  </r>
  <r>
    <n v="1045"/>
    <d v="2024-11-27T00:00:00"/>
    <s v="Basic"/>
    <n v="199"/>
    <n v="19.3"/>
    <n v="1"/>
    <x v="3"/>
    <n v="16"/>
    <n v="1"/>
    <s v="Yes"/>
    <s v="No"/>
    <s v="Yes"/>
    <s v="No"/>
    <s v="No"/>
    <s v="No"/>
    <m/>
    <x v="0"/>
    <n v="1"/>
  </r>
  <r>
    <n v="1046"/>
    <d v="2024-04-16T00:00:00"/>
    <s v="Basic"/>
    <n v="199"/>
    <n v="9.6999999999999993"/>
    <n v="1"/>
    <x v="3"/>
    <n v="26"/>
    <n v="9"/>
    <s v="Yes"/>
    <s v="No"/>
    <s v="Yes"/>
    <s v="No"/>
    <s v="No"/>
    <s v="No"/>
    <m/>
    <x v="0"/>
    <n v="1"/>
  </r>
  <r>
    <n v="1047"/>
    <d v="2023-02-14T00:00:00"/>
    <s v="Premium"/>
    <n v="699"/>
    <n v="11.6"/>
    <n v="4"/>
    <x v="5"/>
    <n v="31"/>
    <n v="42"/>
    <s v="Yes"/>
    <s v="No"/>
    <s v="Yes"/>
    <s v="No"/>
    <s v="Yes"/>
    <s v="No"/>
    <m/>
    <x v="0"/>
    <n v="1"/>
  </r>
  <r>
    <n v="1048"/>
    <d v="2024-10-21T00:00:00"/>
    <s v="Premium"/>
    <n v="699"/>
    <n v="8.5"/>
    <n v="2"/>
    <x v="0"/>
    <n v="29"/>
    <n v="55"/>
    <s v="Yes"/>
    <s v="No"/>
    <s v="Yes"/>
    <s v="No"/>
    <s v="Yes"/>
    <s v="No"/>
    <m/>
    <x v="0"/>
    <n v="1"/>
  </r>
  <r>
    <n v="1049"/>
    <d v="2023-04-05T00:00:00"/>
    <s v="Standard"/>
    <n v="399"/>
    <n v="20.100000000000001"/>
    <n v="1"/>
    <x v="5"/>
    <n v="21"/>
    <n v="60"/>
    <s v="No"/>
    <s v="No"/>
    <s v="Yes"/>
    <s v="No"/>
    <s v="Yes"/>
    <s v="No"/>
    <m/>
    <x v="0"/>
    <n v="0"/>
  </r>
  <r>
    <n v="1050"/>
    <d v="2023-06-16T00:00:00"/>
    <s v="Standard"/>
    <n v="399"/>
    <n v="4.9000000000000004"/>
    <n v="6"/>
    <x v="1"/>
    <n v="17"/>
    <n v="1"/>
    <s v="No"/>
    <s v="Yes"/>
    <s v="No"/>
    <s v="Yes"/>
    <s v="No"/>
    <s v="No"/>
    <m/>
    <x v="1"/>
    <n v="0"/>
  </r>
  <r>
    <n v="1051"/>
    <d v="2024-03-18T00:00:00"/>
    <s v="Standard"/>
    <n v="399"/>
    <n v="7.5"/>
    <n v="2"/>
    <x v="1"/>
    <n v="26"/>
    <n v="19"/>
    <s v="No"/>
    <s v="No"/>
    <s v="No"/>
    <s v="No"/>
    <s v="Yes"/>
    <s v="No"/>
    <m/>
    <x v="1"/>
    <n v="0"/>
  </r>
  <r>
    <n v="1052"/>
    <d v="2024-01-12T00:00:00"/>
    <s v="Premium"/>
    <n v="699"/>
    <n v="22.6"/>
    <n v="2"/>
    <x v="3"/>
    <n v="20"/>
    <n v="42"/>
    <s v="Yes"/>
    <s v="No"/>
    <s v="Yes"/>
    <s v="No"/>
    <s v="Yes"/>
    <s v="No"/>
    <m/>
    <x v="0"/>
    <n v="1"/>
  </r>
  <r>
    <n v="1053"/>
    <d v="2024-03-09T00:00:00"/>
    <s v="Premium"/>
    <n v="699"/>
    <n v="12.5"/>
    <n v="6"/>
    <x v="2"/>
    <n v="13"/>
    <n v="17"/>
    <s v="No"/>
    <s v="No"/>
    <s v="Yes"/>
    <s v="Yes"/>
    <s v="Yes"/>
    <s v="No"/>
    <m/>
    <x v="0"/>
    <n v="0"/>
  </r>
  <r>
    <n v="1054"/>
    <d v="2023-02-11T00:00:00"/>
    <s v="Basic"/>
    <n v="199"/>
    <n v="20.399999999999999"/>
    <n v="2"/>
    <x v="2"/>
    <n v="28"/>
    <n v="40"/>
    <s v="Yes"/>
    <s v="No"/>
    <s v="Yes"/>
    <s v="No"/>
    <s v="Yes"/>
    <s v="No"/>
    <m/>
    <x v="0"/>
    <n v="1"/>
  </r>
  <r>
    <n v="1055"/>
    <d v="2024-05-22T00:00:00"/>
    <s v="Premium"/>
    <n v="699"/>
    <n v="24.3"/>
    <n v="3"/>
    <x v="4"/>
    <n v="22"/>
    <n v="43"/>
    <s v="No"/>
    <s v="No"/>
    <s v="Yes"/>
    <s v="No"/>
    <s v="Yes"/>
    <s v="No"/>
    <m/>
    <x v="0"/>
    <n v="0"/>
  </r>
  <r>
    <n v="1056"/>
    <d v="2024-05-04T00:00:00"/>
    <s v="Premium"/>
    <n v="699"/>
    <n v="2.6"/>
    <n v="7"/>
    <x v="2"/>
    <n v="34"/>
    <n v="5"/>
    <s v="No"/>
    <s v="Yes"/>
    <s v="Yes"/>
    <s v="Yes"/>
    <s v="No"/>
    <s v="No"/>
    <m/>
    <x v="0"/>
    <n v="0"/>
  </r>
  <r>
    <n v="1057"/>
    <d v="2024-08-05T00:00:00"/>
    <s v="Standard"/>
    <n v="399"/>
    <n v="24.6"/>
    <n v="4"/>
    <x v="0"/>
    <n v="10"/>
    <n v="33"/>
    <s v="Yes"/>
    <s v="No"/>
    <s v="Yes"/>
    <s v="No"/>
    <s v="Yes"/>
    <s v="No"/>
    <m/>
    <x v="0"/>
    <n v="1"/>
  </r>
  <r>
    <n v="1058"/>
    <d v="2024-02-27T00:00:00"/>
    <s v="Basic"/>
    <n v="199"/>
    <n v="2.4"/>
    <n v="0"/>
    <x v="5"/>
    <n v="36"/>
    <n v="6"/>
    <s v="Yes"/>
    <s v="Yes"/>
    <s v="Yes"/>
    <s v="No"/>
    <s v="No"/>
    <s v="No"/>
    <m/>
    <x v="0"/>
    <n v="1"/>
  </r>
  <r>
    <n v="1059"/>
    <d v="2024-05-30T00:00:00"/>
    <s v="Basic"/>
    <n v="199"/>
    <n v="16.7"/>
    <n v="4"/>
    <x v="3"/>
    <n v="30"/>
    <n v="16"/>
    <s v="No"/>
    <s v="No"/>
    <s v="Yes"/>
    <s v="No"/>
    <s v="Yes"/>
    <s v="No"/>
    <m/>
    <x v="0"/>
    <n v="0"/>
  </r>
  <r>
    <n v="1060"/>
    <d v="2024-02-07T00:00:00"/>
    <s v="Basic"/>
    <n v="199"/>
    <n v="18.600000000000001"/>
    <n v="7"/>
    <x v="0"/>
    <n v="8"/>
    <n v="50"/>
    <s v="Yes"/>
    <s v="No"/>
    <s v="Yes"/>
    <s v="Yes"/>
    <s v="Yes"/>
    <s v="No"/>
    <m/>
    <x v="0"/>
    <n v="1"/>
  </r>
  <r>
    <n v="1061"/>
    <d v="2024-11-17T00:00:00"/>
    <s v="Basic"/>
    <n v="199"/>
    <n v="10.7"/>
    <n v="4"/>
    <x v="3"/>
    <n v="6"/>
    <n v="37"/>
    <s v="Yes"/>
    <s v="No"/>
    <s v="Yes"/>
    <s v="No"/>
    <s v="Yes"/>
    <s v="No"/>
    <m/>
    <x v="0"/>
    <n v="1"/>
  </r>
  <r>
    <n v="1062"/>
    <d v="2024-09-10T00:00:00"/>
    <s v="Standard"/>
    <n v="399"/>
    <n v="8.9"/>
    <n v="2"/>
    <x v="0"/>
    <n v="17"/>
    <n v="11"/>
    <s v="Yes"/>
    <s v="No"/>
    <s v="Yes"/>
    <s v="No"/>
    <s v="No"/>
    <s v="No"/>
    <m/>
    <x v="0"/>
    <n v="1"/>
  </r>
  <r>
    <n v="1063"/>
    <d v="2023-06-25T00:00:00"/>
    <s v="Standard"/>
    <n v="399"/>
    <n v="11.1"/>
    <n v="0"/>
    <x v="1"/>
    <n v="7"/>
    <n v="25"/>
    <s v="Yes"/>
    <s v="No"/>
    <s v="No"/>
    <s v="No"/>
    <s v="Yes"/>
    <s v="No"/>
    <m/>
    <x v="1"/>
    <n v="1"/>
  </r>
  <r>
    <n v="1064"/>
    <d v="2024-05-13T00:00:00"/>
    <s v="Premium"/>
    <n v="699"/>
    <n v="11.8"/>
    <n v="6"/>
    <x v="4"/>
    <n v="31"/>
    <n v="47"/>
    <s v="Yes"/>
    <s v="No"/>
    <s v="Yes"/>
    <s v="Yes"/>
    <s v="Yes"/>
    <s v="No"/>
    <m/>
    <x v="0"/>
    <n v="1"/>
  </r>
  <r>
    <n v="1065"/>
    <d v="2023-01-15T00:00:00"/>
    <s v="Standard"/>
    <n v="399"/>
    <n v="17.399999999999999"/>
    <n v="6"/>
    <x v="3"/>
    <n v="24"/>
    <n v="5"/>
    <s v="Yes"/>
    <s v="No"/>
    <s v="Yes"/>
    <s v="Yes"/>
    <s v="No"/>
    <s v="No"/>
    <m/>
    <x v="0"/>
    <n v="1"/>
  </r>
  <r>
    <n v="1066"/>
    <d v="2023-05-29T00:00:00"/>
    <s v="Basic"/>
    <n v="199"/>
    <n v="20.5"/>
    <n v="3"/>
    <x v="1"/>
    <n v="8"/>
    <n v="13"/>
    <s v="No"/>
    <s v="No"/>
    <s v="No"/>
    <s v="No"/>
    <s v="No"/>
    <s v="No"/>
    <m/>
    <x v="1"/>
    <n v="0"/>
  </r>
  <r>
    <n v="1067"/>
    <d v="2024-04-19T00:00:00"/>
    <s v="Premium"/>
    <n v="699"/>
    <n v="11.2"/>
    <n v="8"/>
    <x v="0"/>
    <n v="16"/>
    <n v="5"/>
    <s v="No"/>
    <s v="No"/>
    <s v="Yes"/>
    <s v="Yes"/>
    <s v="No"/>
    <s v="No"/>
    <m/>
    <x v="0"/>
    <n v="0"/>
  </r>
  <r>
    <n v="1068"/>
    <d v="2024-12-20T00:00:00"/>
    <s v="Basic"/>
    <n v="199"/>
    <n v="10.8"/>
    <n v="1"/>
    <x v="0"/>
    <n v="31"/>
    <n v="57"/>
    <s v="Yes"/>
    <s v="No"/>
    <s v="Yes"/>
    <s v="No"/>
    <s v="Yes"/>
    <s v="No"/>
    <m/>
    <x v="0"/>
    <n v="1"/>
  </r>
  <r>
    <n v="1069"/>
    <d v="2024-08-06T00:00:00"/>
    <s v="Standard"/>
    <n v="399"/>
    <n v="12.1"/>
    <n v="7"/>
    <x v="5"/>
    <n v="32"/>
    <n v="15"/>
    <s v="Yes"/>
    <s v="No"/>
    <s v="Yes"/>
    <s v="Yes"/>
    <s v="Yes"/>
    <s v="No"/>
    <m/>
    <x v="0"/>
    <n v="1"/>
  </r>
  <r>
    <n v="1070"/>
    <d v="2024-03-01T00:00:00"/>
    <s v="Standard"/>
    <n v="399"/>
    <n v="8.6999999999999993"/>
    <n v="1"/>
    <x v="4"/>
    <n v="4"/>
    <n v="54"/>
    <s v="No"/>
    <s v="No"/>
    <s v="Yes"/>
    <s v="No"/>
    <s v="Yes"/>
    <s v="Yes"/>
    <m/>
    <x v="0"/>
    <n v="0"/>
  </r>
  <r>
    <n v="1071"/>
    <d v="2024-08-28T00:00:00"/>
    <s v="Standard"/>
    <n v="399"/>
    <n v="25"/>
    <n v="0"/>
    <x v="2"/>
    <n v="36"/>
    <n v="25"/>
    <s v="Yes"/>
    <s v="No"/>
    <s v="Yes"/>
    <s v="No"/>
    <s v="Yes"/>
    <s v="No"/>
    <m/>
    <x v="0"/>
    <n v="1"/>
  </r>
  <r>
    <n v="1072"/>
    <d v="2023-11-20T00:00:00"/>
    <s v="Premium"/>
    <n v="699"/>
    <n v="6.2"/>
    <n v="0"/>
    <x v="5"/>
    <n v="32"/>
    <n v="1"/>
    <s v="No"/>
    <s v="No"/>
    <s v="Yes"/>
    <s v="No"/>
    <s v="No"/>
    <s v="No"/>
    <m/>
    <x v="0"/>
    <n v="0"/>
  </r>
  <r>
    <n v="1073"/>
    <d v="2024-10-23T00:00:00"/>
    <s v="Premium"/>
    <n v="699"/>
    <n v="7.1"/>
    <n v="6"/>
    <x v="2"/>
    <n v="5"/>
    <n v="7"/>
    <s v="Yes"/>
    <s v="No"/>
    <s v="Yes"/>
    <s v="Yes"/>
    <s v="No"/>
    <s v="Yes"/>
    <m/>
    <x v="0"/>
    <n v="1"/>
  </r>
  <r>
    <n v="1074"/>
    <d v="2024-04-25T00:00:00"/>
    <s v="Standard"/>
    <n v="399"/>
    <n v="17.600000000000001"/>
    <n v="0"/>
    <x v="0"/>
    <n v="29"/>
    <n v="18"/>
    <s v="No"/>
    <s v="No"/>
    <s v="Yes"/>
    <s v="No"/>
    <s v="Yes"/>
    <s v="No"/>
    <m/>
    <x v="0"/>
    <n v="0"/>
  </r>
  <r>
    <n v="1075"/>
    <d v="2024-09-08T00:00:00"/>
    <s v="Standard"/>
    <n v="399"/>
    <n v="6.2"/>
    <n v="3"/>
    <x v="5"/>
    <n v="29"/>
    <n v="58"/>
    <s v="No"/>
    <s v="No"/>
    <s v="Yes"/>
    <s v="No"/>
    <s v="Yes"/>
    <s v="No"/>
    <m/>
    <x v="0"/>
    <n v="0"/>
  </r>
  <r>
    <n v="1076"/>
    <d v="2024-03-02T00:00:00"/>
    <s v="Premium"/>
    <n v="699"/>
    <n v="3.7"/>
    <n v="4"/>
    <x v="4"/>
    <n v="30"/>
    <n v="45"/>
    <s v="Yes"/>
    <s v="Yes"/>
    <s v="Yes"/>
    <s v="No"/>
    <s v="Yes"/>
    <s v="No"/>
    <m/>
    <x v="0"/>
    <n v="1"/>
  </r>
  <r>
    <n v="1077"/>
    <d v="2023-03-30T00:00:00"/>
    <s v="Premium"/>
    <n v="699"/>
    <n v="20"/>
    <n v="2"/>
    <x v="5"/>
    <n v="24"/>
    <n v="13"/>
    <s v="Yes"/>
    <s v="No"/>
    <s v="Yes"/>
    <s v="No"/>
    <s v="No"/>
    <s v="No"/>
    <m/>
    <x v="0"/>
    <n v="1"/>
  </r>
  <r>
    <n v="1078"/>
    <d v="2024-03-01T00:00:00"/>
    <s v="Premium"/>
    <n v="699"/>
    <n v="3.7"/>
    <n v="3"/>
    <x v="0"/>
    <n v="31"/>
    <n v="38"/>
    <s v="Yes"/>
    <s v="Yes"/>
    <s v="Yes"/>
    <s v="No"/>
    <s v="Yes"/>
    <s v="No"/>
    <m/>
    <x v="0"/>
    <n v="1"/>
  </r>
  <r>
    <n v="1079"/>
    <d v="2023-09-25T00:00:00"/>
    <s v="Standard"/>
    <n v="399"/>
    <n v="6.3"/>
    <n v="8"/>
    <x v="1"/>
    <n v="20"/>
    <n v="1"/>
    <s v="No"/>
    <s v="No"/>
    <s v="No"/>
    <s v="Yes"/>
    <s v="No"/>
    <s v="No"/>
    <m/>
    <x v="1"/>
    <n v="0"/>
  </r>
  <r>
    <n v="1080"/>
    <d v="2024-03-16T00:00:00"/>
    <s v="Standard"/>
    <n v="399"/>
    <n v="4.8"/>
    <n v="8"/>
    <x v="1"/>
    <n v="11"/>
    <n v="51"/>
    <s v="Yes"/>
    <s v="Yes"/>
    <s v="No"/>
    <s v="Yes"/>
    <s v="Yes"/>
    <s v="No"/>
    <m/>
    <x v="1"/>
    <n v="1"/>
  </r>
  <r>
    <n v="1081"/>
    <d v="2023-12-30T00:00:00"/>
    <s v="Basic"/>
    <n v="199"/>
    <n v="3.5"/>
    <n v="3"/>
    <x v="2"/>
    <n v="15"/>
    <n v="16"/>
    <s v="No"/>
    <s v="Yes"/>
    <s v="Yes"/>
    <s v="No"/>
    <s v="Yes"/>
    <s v="No"/>
    <m/>
    <x v="0"/>
    <n v="0"/>
  </r>
  <r>
    <n v="1082"/>
    <d v="2024-11-16T00:00:00"/>
    <s v="Basic"/>
    <n v="199"/>
    <n v="7.1"/>
    <n v="2"/>
    <x v="4"/>
    <n v="36"/>
    <n v="55"/>
    <s v="Yes"/>
    <s v="No"/>
    <s v="Yes"/>
    <s v="No"/>
    <s v="Yes"/>
    <s v="No"/>
    <m/>
    <x v="0"/>
    <n v="1"/>
  </r>
  <r>
    <n v="1083"/>
    <d v="2023-04-19T00:00:00"/>
    <s v="Basic"/>
    <n v="199"/>
    <n v="23.2"/>
    <n v="7"/>
    <x v="2"/>
    <n v="4"/>
    <n v="53"/>
    <s v="No"/>
    <s v="No"/>
    <s v="Yes"/>
    <s v="Yes"/>
    <s v="Yes"/>
    <s v="Yes"/>
    <m/>
    <x v="0"/>
    <n v="0"/>
  </r>
  <r>
    <n v="1084"/>
    <d v="2023-05-01T00:00:00"/>
    <s v="Premium"/>
    <n v="699"/>
    <n v="20.7"/>
    <n v="0"/>
    <x v="5"/>
    <n v="7"/>
    <n v="6"/>
    <s v="Yes"/>
    <s v="No"/>
    <s v="Yes"/>
    <s v="No"/>
    <s v="No"/>
    <s v="No"/>
    <m/>
    <x v="0"/>
    <n v="1"/>
  </r>
  <r>
    <n v="1085"/>
    <d v="2024-05-25T00:00:00"/>
    <s v="Basic"/>
    <n v="199"/>
    <n v="4.3"/>
    <n v="4"/>
    <x v="4"/>
    <n v="24"/>
    <n v="28"/>
    <s v="Yes"/>
    <s v="Yes"/>
    <s v="Yes"/>
    <s v="No"/>
    <s v="Yes"/>
    <s v="No"/>
    <m/>
    <x v="0"/>
    <n v="1"/>
  </r>
  <r>
    <n v="1086"/>
    <d v="2023-07-26T00:00:00"/>
    <s v="Premium"/>
    <n v="699"/>
    <n v="4.3"/>
    <n v="5"/>
    <x v="3"/>
    <n v="7"/>
    <n v="52"/>
    <s v="Yes"/>
    <s v="Yes"/>
    <s v="Yes"/>
    <s v="Yes"/>
    <s v="Yes"/>
    <s v="No"/>
    <m/>
    <x v="0"/>
    <n v="1"/>
  </r>
  <r>
    <n v="1087"/>
    <d v="2023-12-16T00:00:00"/>
    <s v="Standard"/>
    <n v="399"/>
    <n v="19.3"/>
    <n v="0"/>
    <x v="0"/>
    <n v="27"/>
    <n v="53"/>
    <s v="No"/>
    <s v="No"/>
    <s v="Yes"/>
    <s v="No"/>
    <s v="Yes"/>
    <s v="No"/>
    <m/>
    <x v="0"/>
    <n v="0"/>
  </r>
  <r>
    <n v="1088"/>
    <d v="2024-01-05T00:00:00"/>
    <s v="Standard"/>
    <n v="399"/>
    <n v="4.7"/>
    <n v="4"/>
    <x v="3"/>
    <n v="33"/>
    <n v="45"/>
    <s v="Yes"/>
    <s v="Yes"/>
    <s v="Yes"/>
    <s v="No"/>
    <s v="Yes"/>
    <s v="No"/>
    <m/>
    <x v="0"/>
    <n v="1"/>
  </r>
  <r>
    <n v="1089"/>
    <d v="2024-03-15T00:00:00"/>
    <s v="Premium"/>
    <n v="699"/>
    <n v="4.2"/>
    <n v="8"/>
    <x v="2"/>
    <n v="16"/>
    <n v="50"/>
    <s v="Yes"/>
    <s v="Yes"/>
    <s v="Yes"/>
    <s v="Yes"/>
    <s v="Yes"/>
    <s v="No"/>
    <m/>
    <x v="0"/>
    <n v="1"/>
  </r>
  <r>
    <n v="1090"/>
    <d v="2024-03-29T00:00:00"/>
    <s v="Standard"/>
    <n v="399"/>
    <n v="22.5"/>
    <n v="8"/>
    <x v="4"/>
    <n v="27"/>
    <n v="23"/>
    <s v="No"/>
    <s v="No"/>
    <s v="Yes"/>
    <s v="Yes"/>
    <s v="Yes"/>
    <s v="No"/>
    <m/>
    <x v="0"/>
    <n v="0"/>
  </r>
  <r>
    <n v="1091"/>
    <d v="2024-02-16T00:00:00"/>
    <s v="Basic"/>
    <n v="199"/>
    <n v="18.100000000000001"/>
    <n v="8"/>
    <x v="1"/>
    <n v="1"/>
    <n v="5"/>
    <s v="No"/>
    <s v="No"/>
    <s v="No"/>
    <s v="Yes"/>
    <s v="No"/>
    <s v="Yes"/>
    <m/>
    <x v="1"/>
    <n v="0"/>
  </r>
  <r>
    <n v="1092"/>
    <d v="2024-08-11T00:00:00"/>
    <s v="Basic"/>
    <n v="199"/>
    <n v="2"/>
    <n v="0"/>
    <x v="4"/>
    <n v="28"/>
    <n v="59"/>
    <s v="Yes"/>
    <s v="Yes"/>
    <s v="Yes"/>
    <s v="No"/>
    <s v="Yes"/>
    <s v="No"/>
    <m/>
    <x v="0"/>
    <n v="1"/>
  </r>
  <r>
    <n v="1093"/>
    <d v="2024-07-20T00:00:00"/>
    <s v="Basic"/>
    <n v="199"/>
    <n v="24.3"/>
    <n v="6"/>
    <x v="2"/>
    <n v="34"/>
    <n v="56"/>
    <s v="Yes"/>
    <s v="No"/>
    <s v="Yes"/>
    <s v="Yes"/>
    <s v="Yes"/>
    <s v="No"/>
    <m/>
    <x v="0"/>
    <n v="1"/>
  </r>
  <r>
    <n v="1094"/>
    <d v="2023-05-31T00:00:00"/>
    <s v="Standard"/>
    <n v="399"/>
    <n v="22.8"/>
    <n v="0"/>
    <x v="3"/>
    <n v="21"/>
    <n v="57"/>
    <s v="Yes"/>
    <s v="No"/>
    <s v="Yes"/>
    <s v="No"/>
    <s v="Yes"/>
    <s v="No"/>
    <m/>
    <x v="0"/>
    <n v="1"/>
  </r>
  <r>
    <n v="1095"/>
    <d v="2024-10-29T00:00:00"/>
    <s v="Premium"/>
    <n v="699"/>
    <n v="11.4"/>
    <n v="3"/>
    <x v="5"/>
    <n v="26"/>
    <n v="39"/>
    <s v="No"/>
    <s v="No"/>
    <s v="Yes"/>
    <s v="No"/>
    <s v="Yes"/>
    <s v="No"/>
    <m/>
    <x v="0"/>
    <n v="0"/>
  </r>
  <r>
    <n v="1096"/>
    <d v="2023-02-07T00:00:00"/>
    <s v="Standard"/>
    <n v="399"/>
    <n v="22.2"/>
    <n v="6"/>
    <x v="0"/>
    <n v="23"/>
    <n v="56"/>
    <s v="Yes"/>
    <s v="No"/>
    <s v="Yes"/>
    <s v="Yes"/>
    <s v="Yes"/>
    <s v="No"/>
    <m/>
    <x v="0"/>
    <n v="1"/>
  </r>
  <r>
    <n v="1097"/>
    <d v="2023-04-06T00:00:00"/>
    <s v="Premium"/>
    <n v="699"/>
    <n v="10.1"/>
    <n v="2"/>
    <x v="5"/>
    <n v="22"/>
    <n v="34"/>
    <s v="Yes"/>
    <s v="No"/>
    <s v="Yes"/>
    <s v="No"/>
    <s v="Yes"/>
    <s v="No"/>
    <m/>
    <x v="0"/>
    <n v="1"/>
  </r>
  <r>
    <n v="1098"/>
    <d v="2024-07-06T00:00:00"/>
    <s v="Premium"/>
    <n v="699"/>
    <n v="8.1999999999999993"/>
    <n v="5"/>
    <x v="4"/>
    <n v="36"/>
    <n v="10"/>
    <s v="Yes"/>
    <s v="No"/>
    <s v="Yes"/>
    <s v="Yes"/>
    <s v="No"/>
    <s v="No"/>
    <m/>
    <x v="0"/>
    <n v="1"/>
  </r>
  <r>
    <n v="1099"/>
    <d v="2023-04-24T00:00:00"/>
    <s v="Premium"/>
    <n v="699"/>
    <n v="6.4"/>
    <n v="4"/>
    <x v="4"/>
    <n v="17"/>
    <n v="27"/>
    <s v="No"/>
    <s v="No"/>
    <s v="Yes"/>
    <s v="No"/>
    <s v="Yes"/>
    <s v="No"/>
    <m/>
    <x v="0"/>
    <n v="0"/>
  </r>
  <r>
    <n v="1100"/>
    <d v="2023-02-18T00:00:00"/>
    <s v="Premium"/>
    <n v="699"/>
    <n v="21.1"/>
    <n v="4"/>
    <x v="4"/>
    <n v="4"/>
    <n v="32"/>
    <s v="Yes"/>
    <s v="No"/>
    <s v="Yes"/>
    <s v="No"/>
    <s v="Yes"/>
    <s v="Yes"/>
    <m/>
    <x v="0"/>
    <n v="1"/>
  </r>
  <r>
    <n v="1101"/>
    <d v="2024-08-18T00:00:00"/>
    <s v="Premium"/>
    <n v="699"/>
    <n v="11.5"/>
    <n v="0"/>
    <x v="2"/>
    <n v="8"/>
    <n v="21"/>
    <s v="No"/>
    <s v="No"/>
    <s v="Yes"/>
    <s v="No"/>
    <s v="Yes"/>
    <s v="No"/>
    <m/>
    <x v="0"/>
    <n v="0"/>
  </r>
  <r>
    <n v="1102"/>
    <d v="2024-08-09T00:00:00"/>
    <s v="Premium"/>
    <n v="699"/>
    <n v="21.2"/>
    <n v="3"/>
    <x v="3"/>
    <n v="35"/>
    <n v="19"/>
    <s v="Yes"/>
    <s v="No"/>
    <s v="Yes"/>
    <s v="No"/>
    <s v="Yes"/>
    <s v="No"/>
    <m/>
    <x v="0"/>
    <n v="1"/>
  </r>
  <r>
    <n v="1103"/>
    <d v="2024-06-12T00:00:00"/>
    <s v="Premium"/>
    <n v="699"/>
    <n v="18"/>
    <n v="8"/>
    <x v="4"/>
    <n v="9"/>
    <n v="15"/>
    <s v="Yes"/>
    <s v="No"/>
    <s v="Yes"/>
    <s v="Yes"/>
    <s v="Yes"/>
    <s v="No"/>
    <m/>
    <x v="0"/>
    <n v="1"/>
  </r>
  <r>
    <n v="1104"/>
    <d v="2024-03-11T00:00:00"/>
    <s v="Premium"/>
    <n v="699"/>
    <n v="20.7"/>
    <n v="5"/>
    <x v="2"/>
    <n v="13"/>
    <n v="6"/>
    <s v="Yes"/>
    <s v="No"/>
    <s v="Yes"/>
    <s v="Yes"/>
    <s v="No"/>
    <s v="No"/>
    <m/>
    <x v="0"/>
    <n v="1"/>
  </r>
  <r>
    <n v="1105"/>
    <d v="2023-03-21T00:00:00"/>
    <s v="Standard"/>
    <n v="399"/>
    <n v="2.8"/>
    <n v="6"/>
    <x v="0"/>
    <n v="6"/>
    <n v="30"/>
    <s v="Yes"/>
    <s v="Yes"/>
    <s v="Yes"/>
    <s v="Yes"/>
    <s v="Yes"/>
    <s v="No"/>
    <m/>
    <x v="0"/>
    <n v="1"/>
  </r>
  <r>
    <n v="1106"/>
    <d v="2023-09-28T00:00:00"/>
    <s v="Standard"/>
    <n v="399"/>
    <n v="10.4"/>
    <n v="8"/>
    <x v="5"/>
    <n v="34"/>
    <n v="49"/>
    <s v="Yes"/>
    <s v="No"/>
    <s v="Yes"/>
    <s v="Yes"/>
    <s v="Yes"/>
    <s v="No"/>
    <m/>
    <x v="0"/>
    <n v="1"/>
  </r>
  <r>
    <n v="1107"/>
    <d v="2024-03-02T00:00:00"/>
    <s v="Premium"/>
    <n v="699"/>
    <n v="16.100000000000001"/>
    <n v="7"/>
    <x v="4"/>
    <n v="32"/>
    <n v="59"/>
    <s v="No"/>
    <s v="No"/>
    <s v="Yes"/>
    <s v="Yes"/>
    <s v="Yes"/>
    <s v="No"/>
    <m/>
    <x v="0"/>
    <n v="0"/>
  </r>
  <r>
    <n v="1108"/>
    <d v="2024-12-22T00:00:00"/>
    <s v="Basic"/>
    <n v="199"/>
    <n v="12.9"/>
    <n v="7"/>
    <x v="4"/>
    <n v="10"/>
    <n v="29"/>
    <s v="Yes"/>
    <s v="No"/>
    <s v="Yes"/>
    <s v="Yes"/>
    <s v="Yes"/>
    <s v="No"/>
    <m/>
    <x v="0"/>
    <n v="1"/>
  </r>
  <r>
    <n v="1109"/>
    <d v="2023-06-10T00:00:00"/>
    <s v="Premium"/>
    <n v="699"/>
    <n v="3.4"/>
    <n v="3"/>
    <x v="2"/>
    <n v="34"/>
    <n v="30"/>
    <s v="Yes"/>
    <s v="Yes"/>
    <s v="Yes"/>
    <s v="No"/>
    <s v="Yes"/>
    <s v="No"/>
    <m/>
    <x v="0"/>
    <n v="1"/>
  </r>
  <r>
    <n v="1110"/>
    <d v="2023-05-04T00:00:00"/>
    <s v="Premium"/>
    <n v="699"/>
    <n v="23.1"/>
    <n v="1"/>
    <x v="5"/>
    <n v="24"/>
    <n v="54"/>
    <s v="Yes"/>
    <s v="No"/>
    <s v="Yes"/>
    <s v="No"/>
    <s v="Yes"/>
    <s v="No"/>
    <m/>
    <x v="0"/>
    <n v="1"/>
  </r>
  <r>
    <n v="1111"/>
    <d v="2024-01-19T00:00:00"/>
    <s v="Standard"/>
    <n v="399"/>
    <n v="1.5"/>
    <n v="2"/>
    <x v="1"/>
    <n v="19"/>
    <n v="23"/>
    <s v="Yes"/>
    <s v="Yes"/>
    <s v="No"/>
    <s v="No"/>
    <s v="Yes"/>
    <s v="No"/>
    <m/>
    <x v="1"/>
    <n v="1"/>
  </r>
  <r>
    <n v="1112"/>
    <d v="2023-02-19T00:00:00"/>
    <s v="Standard"/>
    <n v="399"/>
    <n v="12.4"/>
    <n v="2"/>
    <x v="0"/>
    <n v="19"/>
    <n v="50"/>
    <s v="No"/>
    <s v="No"/>
    <s v="Yes"/>
    <s v="No"/>
    <s v="Yes"/>
    <s v="No"/>
    <m/>
    <x v="0"/>
    <n v="0"/>
  </r>
  <r>
    <n v="1113"/>
    <d v="2023-03-11T00:00:00"/>
    <s v="Standard"/>
    <n v="399"/>
    <n v="5.8"/>
    <n v="7"/>
    <x v="1"/>
    <n v="19"/>
    <n v="7"/>
    <s v="No"/>
    <s v="No"/>
    <s v="No"/>
    <s v="Yes"/>
    <s v="No"/>
    <s v="No"/>
    <m/>
    <x v="1"/>
    <n v="0"/>
  </r>
  <r>
    <n v="1114"/>
    <d v="2024-01-22T00:00:00"/>
    <s v="Basic"/>
    <n v="199"/>
    <n v="12.3"/>
    <n v="4"/>
    <x v="5"/>
    <n v="27"/>
    <n v="28"/>
    <s v="No"/>
    <s v="No"/>
    <s v="Yes"/>
    <s v="No"/>
    <s v="Yes"/>
    <s v="No"/>
    <m/>
    <x v="0"/>
    <n v="0"/>
  </r>
  <r>
    <n v="1115"/>
    <d v="2024-11-14T00:00:00"/>
    <s v="Standard"/>
    <n v="399"/>
    <n v="19.2"/>
    <n v="8"/>
    <x v="4"/>
    <n v="9"/>
    <n v="29"/>
    <s v="No"/>
    <s v="No"/>
    <s v="Yes"/>
    <s v="Yes"/>
    <s v="Yes"/>
    <s v="No"/>
    <m/>
    <x v="0"/>
    <n v="0"/>
  </r>
  <r>
    <n v="1116"/>
    <d v="2024-09-30T00:00:00"/>
    <s v="Standard"/>
    <n v="399"/>
    <n v="21.7"/>
    <n v="5"/>
    <x v="1"/>
    <n v="10"/>
    <n v="51"/>
    <s v="No"/>
    <s v="No"/>
    <s v="No"/>
    <s v="Yes"/>
    <s v="Yes"/>
    <s v="No"/>
    <m/>
    <x v="1"/>
    <n v="0"/>
  </r>
  <r>
    <n v="1117"/>
    <d v="2024-11-17T00:00:00"/>
    <s v="Standard"/>
    <n v="399"/>
    <n v="6.2"/>
    <n v="6"/>
    <x v="3"/>
    <n v="25"/>
    <n v="34"/>
    <s v="Yes"/>
    <s v="No"/>
    <s v="Yes"/>
    <s v="Yes"/>
    <s v="Yes"/>
    <s v="No"/>
    <m/>
    <x v="0"/>
    <n v="1"/>
  </r>
  <r>
    <n v="1118"/>
    <d v="2024-12-25T00:00:00"/>
    <s v="Standard"/>
    <n v="399"/>
    <n v="16.3"/>
    <n v="2"/>
    <x v="4"/>
    <n v="18"/>
    <n v="1"/>
    <s v="No"/>
    <s v="No"/>
    <s v="Yes"/>
    <s v="No"/>
    <s v="No"/>
    <s v="No"/>
    <m/>
    <x v="0"/>
    <n v="0"/>
  </r>
  <r>
    <n v="1119"/>
    <d v="2024-07-08T00:00:00"/>
    <s v="Standard"/>
    <n v="399"/>
    <n v="16.3"/>
    <n v="8"/>
    <x v="1"/>
    <n v="36"/>
    <n v="12"/>
    <s v="No"/>
    <s v="No"/>
    <s v="No"/>
    <s v="Yes"/>
    <s v="No"/>
    <s v="No"/>
    <m/>
    <x v="1"/>
    <n v="0"/>
  </r>
  <r>
    <n v="1120"/>
    <d v="2023-01-20T00:00:00"/>
    <s v="Premium"/>
    <n v="699"/>
    <n v="24"/>
    <n v="8"/>
    <x v="0"/>
    <n v="4"/>
    <n v="48"/>
    <s v="Yes"/>
    <s v="No"/>
    <s v="Yes"/>
    <s v="Yes"/>
    <s v="Yes"/>
    <s v="Yes"/>
    <m/>
    <x v="0"/>
    <n v="1"/>
  </r>
  <r>
    <n v="1121"/>
    <d v="2024-12-23T00:00:00"/>
    <s v="Basic"/>
    <n v="199"/>
    <n v="4.9000000000000004"/>
    <n v="0"/>
    <x v="3"/>
    <n v="35"/>
    <n v="50"/>
    <s v="Yes"/>
    <s v="Yes"/>
    <s v="Yes"/>
    <s v="No"/>
    <s v="Yes"/>
    <s v="No"/>
    <m/>
    <x v="0"/>
    <n v="1"/>
  </r>
  <r>
    <n v="1122"/>
    <d v="2023-02-16T00:00:00"/>
    <s v="Premium"/>
    <n v="699"/>
    <n v="2.6"/>
    <n v="8"/>
    <x v="5"/>
    <n v="29"/>
    <n v="20"/>
    <s v="Yes"/>
    <s v="Yes"/>
    <s v="Yes"/>
    <s v="Yes"/>
    <s v="Yes"/>
    <s v="No"/>
    <m/>
    <x v="0"/>
    <n v="1"/>
  </r>
  <r>
    <n v="1123"/>
    <d v="2023-11-21T00:00:00"/>
    <s v="Standard"/>
    <n v="399"/>
    <n v="8.8000000000000007"/>
    <n v="2"/>
    <x v="2"/>
    <n v="2"/>
    <n v="1"/>
    <s v="No"/>
    <s v="No"/>
    <s v="Yes"/>
    <s v="No"/>
    <s v="No"/>
    <s v="Yes"/>
    <m/>
    <x v="0"/>
    <n v="0"/>
  </r>
  <r>
    <n v="1124"/>
    <d v="2023-07-07T00:00:00"/>
    <s v="Standard"/>
    <n v="399"/>
    <n v="2.7"/>
    <n v="1"/>
    <x v="5"/>
    <n v="17"/>
    <n v="10"/>
    <s v="Yes"/>
    <s v="Yes"/>
    <s v="Yes"/>
    <s v="No"/>
    <s v="No"/>
    <s v="No"/>
    <m/>
    <x v="0"/>
    <n v="1"/>
  </r>
  <r>
    <n v="1125"/>
    <d v="2023-11-30T00:00:00"/>
    <s v="Standard"/>
    <n v="399"/>
    <n v="4.3"/>
    <n v="6"/>
    <x v="4"/>
    <n v="6"/>
    <n v="10"/>
    <s v="Yes"/>
    <s v="Yes"/>
    <s v="Yes"/>
    <s v="Yes"/>
    <s v="No"/>
    <s v="No"/>
    <m/>
    <x v="0"/>
    <n v="1"/>
  </r>
  <r>
    <n v="1126"/>
    <d v="2024-02-27T00:00:00"/>
    <s v="Basic"/>
    <n v="199"/>
    <n v="18"/>
    <n v="4"/>
    <x v="2"/>
    <n v="2"/>
    <n v="6"/>
    <s v="Yes"/>
    <s v="No"/>
    <s v="Yes"/>
    <s v="No"/>
    <s v="No"/>
    <s v="Yes"/>
    <m/>
    <x v="0"/>
    <n v="1"/>
  </r>
  <r>
    <n v="1127"/>
    <d v="2024-09-03T00:00:00"/>
    <s v="Standard"/>
    <n v="399"/>
    <n v="9.6999999999999993"/>
    <n v="1"/>
    <x v="1"/>
    <n v="17"/>
    <n v="12"/>
    <s v="No"/>
    <s v="No"/>
    <s v="No"/>
    <s v="No"/>
    <s v="No"/>
    <s v="No"/>
    <m/>
    <x v="1"/>
    <n v="0"/>
  </r>
  <r>
    <n v="1128"/>
    <d v="2023-03-04T00:00:00"/>
    <s v="Premium"/>
    <n v="699"/>
    <n v="12.6"/>
    <n v="8"/>
    <x v="2"/>
    <n v="16"/>
    <n v="60"/>
    <s v="Yes"/>
    <s v="No"/>
    <s v="Yes"/>
    <s v="Yes"/>
    <s v="Yes"/>
    <s v="No"/>
    <m/>
    <x v="0"/>
    <n v="1"/>
  </r>
  <r>
    <n v="1129"/>
    <d v="2023-08-28T00:00:00"/>
    <s v="Standard"/>
    <n v="399"/>
    <n v="14.1"/>
    <n v="1"/>
    <x v="2"/>
    <n v="30"/>
    <n v="1"/>
    <s v="No"/>
    <s v="No"/>
    <s v="Yes"/>
    <s v="No"/>
    <s v="No"/>
    <s v="No"/>
    <m/>
    <x v="0"/>
    <n v="0"/>
  </r>
  <r>
    <n v="1130"/>
    <d v="2023-05-09T00:00:00"/>
    <s v="Basic"/>
    <n v="199"/>
    <n v="14.1"/>
    <n v="1"/>
    <x v="0"/>
    <n v="18"/>
    <n v="48"/>
    <s v="No"/>
    <s v="No"/>
    <s v="Yes"/>
    <s v="No"/>
    <s v="Yes"/>
    <s v="No"/>
    <m/>
    <x v="0"/>
    <n v="0"/>
  </r>
  <r>
    <n v="1131"/>
    <d v="2024-01-18T00:00:00"/>
    <s v="Standard"/>
    <n v="399"/>
    <n v="11.4"/>
    <n v="8"/>
    <x v="0"/>
    <n v="27"/>
    <n v="50"/>
    <s v="No"/>
    <s v="No"/>
    <s v="Yes"/>
    <s v="Yes"/>
    <s v="Yes"/>
    <s v="No"/>
    <m/>
    <x v="0"/>
    <n v="0"/>
  </r>
  <r>
    <n v="1132"/>
    <d v="2023-02-12T00:00:00"/>
    <s v="Premium"/>
    <n v="699"/>
    <n v="19.7"/>
    <n v="8"/>
    <x v="2"/>
    <n v="11"/>
    <n v="58"/>
    <s v="Yes"/>
    <s v="No"/>
    <s v="Yes"/>
    <s v="Yes"/>
    <s v="Yes"/>
    <s v="No"/>
    <m/>
    <x v="0"/>
    <n v="1"/>
  </r>
  <r>
    <n v="1133"/>
    <d v="2024-05-08T00:00:00"/>
    <s v="Basic"/>
    <n v="199"/>
    <n v="24"/>
    <n v="4"/>
    <x v="4"/>
    <n v="30"/>
    <n v="10"/>
    <s v="Yes"/>
    <s v="No"/>
    <s v="Yes"/>
    <s v="No"/>
    <s v="No"/>
    <s v="No"/>
    <m/>
    <x v="0"/>
    <n v="1"/>
  </r>
  <r>
    <n v="1134"/>
    <d v="2024-08-22T00:00:00"/>
    <s v="Standard"/>
    <n v="399"/>
    <n v="21.1"/>
    <n v="6"/>
    <x v="3"/>
    <n v="17"/>
    <n v="53"/>
    <s v="Yes"/>
    <s v="No"/>
    <s v="Yes"/>
    <s v="Yes"/>
    <s v="Yes"/>
    <s v="No"/>
    <m/>
    <x v="0"/>
    <n v="1"/>
  </r>
  <r>
    <n v="1135"/>
    <d v="2024-02-09T00:00:00"/>
    <s v="Premium"/>
    <n v="699"/>
    <n v="1.6"/>
    <n v="8"/>
    <x v="5"/>
    <n v="19"/>
    <n v="4"/>
    <s v="Yes"/>
    <s v="Yes"/>
    <s v="Yes"/>
    <s v="Yes"/>
    <s v="No"/>
    <s v="No"/>
    <m/>
    <x v="0"/>
    <n v="1"/>
  </r>
  <r>
    <n v="1136"/>
    <d v="2024-09-17T00:00:00"/>
    <s v="Premium"/>
    <n v="699"/>
    <n v="20.8"/>
    <n v="8"/>
    <x v="3"/>
    <n v="8"/>
    <n v="56"/>
    <s v="Yes"/>
    <s v="No"/>
    <s v="Yes"/>
    <s v="Yes"/>
    <s v="Yes"/>
    <s v="No"/>
    <m/>
    <x v="0"/>
    <n v="1"/>
  </r>
  <r>
    <n v="1137"/>
    <d v="2024-12-25T00:00:00"/>
    <s v="Premium"/>
    <n v="699"/>
    <n v="22.2"/>
    <n v="5"/>
    <x v="4"/>
    <n v="21"/>
    <n v="16"/>
    <s v="No"/>
    <s v="No"/>
    <s v="Yes"/>
    <s v="Yes"/>
    <s v="Yes"/>
    <s v="No"/>
    <m/>
    <x v="0"/>
    <n v="0"/>
  </r>
  <r>
    <n v="1138"/>
    <d v="2024-09-05T00:00:00"/>
    <s v="Standard"/>
    <n v="399"/>
    <n v="6.5"/>
    <n v="5"/>
    <x v="3"/>
    <n v="18"/>
    <n v="13"/>
    <s v="Yes"/>
    <s v="No"/>
    <s v="Yes"/>
    <s v="Yes"/>
    <s v="No"/>
    <s v="No"/>
    <m/>
    <x v="0"/>
    <n v="1"/>
  </r>
  <r>
    <n v="1139"/>
    <d v="2024-05-02T00:00:00"/>
    <s v="Standard"/>
    <n v="399"/>
    <n v="22.9"/>
    <n v="2"/>
    <x v="4"/>
    <n v="2"/>
    <n v="59"/>
    <s v="Yes"/>
    <s v="No"/>
    <s v="Yes"/>
    <s v="No"/>
    <s v="Yes"/>
    <s v="Yes"/>
    <m/>
    <x v="0"/>
    <n v="1"/>
  </r>
  <r>
    <n v="1140"/>
    <d v="2024-05-15T00:00:00"/>
    <s v="Basic"/>
    <n v="199"/>
    <n v="17"/>
    <n v="6"/>
    <x v="5"/>
    <n v="1"/>
    <n v="57"/>
    <s v="Yes"/>
    <s v="No"/>
    <s v="Yes"/>
    <s v="Yes"/>
    <s v="Yes"/>
    <s v="Yes"/>
    <m/>
    <x v="0"/>
    <n v="1"/>
  </r>
  <r>
    <n v="1141"/>
    <d v="2024-11-18T00:00:00"/>
    <s v="Standard"/>
    <n v="399"/>
    <n v="2.5"/>
    <n v="1"/>
    <x v="5"/>
    <n v="35"/>
    <n v="1"/>
    <s v="No"/>
    <s v="Yes"/>
    <s v="Yes"/>
    <s v="No"/>
    <s v="No"/>
    <s v="No"/>
    <m/>
    <x v="0"/>
    <n v="0"/>
  </r>
  <r>
    <n v="1142"/>
    <d v="2024-12-14T00:00:00"/>
    <s v="Standard"/>
    <n v="399"/>
    <n v="9.1"/>
    <n v="6"/>
    <x v="5"/>
    <n v="8"/>
    <n v="22"/>
    <s v="Yes"/>
    <s v="No"/>
    <s v="Yes"/>
    <s v="Yes"/>
    <s v="Yes"/>
    <s v="No"/>
    <m/>
    <x v="0"/>
    <n v="1"/>
  </r>
  <r>
    <n v="1143"/>
    <d v="2023-01-21T00:00:00"/>
    <s v="Basic"/>
    <n v="199"/>
    <n v="11.8"/>
    <n v="3"/>
    <x v="2"/>
    <n v="8"/>
    <n v="0"/>
    <s v="Yes"/>
    <s v="No"/>
    <s v="Yes"/>
    <s v="No"/>
    <s v="No"/>
    <s v="No"/>
    <m/>
    <x v="0"/>
    <n v="1"/>
  </r>
  <r>
    <n v="1144"/>
    <d v="2024-05-20T00:00:00"/>
    <s v="Standard"/>
    <n v="399"/>
    <n v="5.2"/>
    <n v="4"/>
    <x v="4"/>
    <n v="23"/>
    <n v="14"/>
    <s v="Yes"/>
    <s v="No"/>
    <s v="Yes"/>
    <s v="No"/>
    <s v="No"/>
    <s v="No"/>
    <m/>
    <x v="0"/>
    <n v="1"/>
  </r>
  <r>
    <n v="1145"/>
    <d v="2024-10-15T00:00:00"/>
    <s v="Standard"/>
    <n v="399"/>
    <n v="7.4"/>
    <n v="3"/>
    <x v="1"/>
    <n v="3"/>
    <n v="12"/>
    <s v="No"/>
    <s v="No"/>
    <s v="No"/>
    <s v="No"/>
    <s v="No"/>
    <s v="Yes"/>
    <m/>
    <x v="1"/>
    <n v="0"/>
  </r>
  <r>
    <n v="1146"/>
    <d v="2024-11-06T00:00:00"/>
    <s v="Standard"/>
    <n v="399"/>
    <n v="21.8"/>
    <n v="8"/>
    <x v="2"/>
    <n v="8"/>
    <n v="10"/>
    <s v="No"/>
    <s v="No"/>
    <s v="Yes"/>
    <s v="Yes"/>
    <s v="No"/>
    <s v="No"/>
    <m/>
    <x v="0"/>
    <n v="0"/>
  </r>
  <r>
    <n v="1147"/>
    <d v="2024-08-06T00:00:00"/>
    <s v="Premium"/>
    <n v="699"/>
    <n v="2.1"/>
    <n v="2"/>
    <x v="4"/>
    <n v="12"/>
    <n v="4"/>
    <s v="Yes"/>
    <s v="Yes"/>
    <s v="Yes"/>
    <s v="No"/>
    <s v="No"/>
    <s v="No"/>
    <m/>
    <x v="0"/>
    <n v="1"/>
  </r>
  <r>
    <n v="1148"/>
    <d v="2024-12-10T00:00:00"/>
    <s v="Basic"/>
    <n v="199"/>
    <n v="18.399999999999999"/>
    <n v="4"/>
    <x v="0"/>
    <n v="34"/>
    <n v="54"/>
    <s v="No"/>
    <s v="No"/>
    <s v="Yes"/>
    <s v="No"/>
    <s v="Yes"/>
    <s v="No"/>
    <m/>
    <x v="0"/>
    <n v="0"/>
  </r>
  <r>
    <n v="1149"/>
    <d v="2024-10-18T00:00:00"/>
    <s v="Premium"/>
    <n v="699"/>
    <n v="15.6"/>
    <n v="8"/>
    <x v="2"/>
    <n v="35"/>
    <n v="0"/>
    <s v="No"/>
    <s v="No"/>
    <s v="Yes"/>
    <s v="Yes"/>
    <s v="No"/>
    <s v="No"/>
    <m/>
    <x v="0"/>
    <n v="0"/>
  </r>
  <r>
    <n v="1150"/>
    <d v="2023-10-08T00:00:00"/>
    <s v="Premium"/>
    <n v="699"/>
    <n v="21.4"/>
    <n v="5"/>
    <x v="2"/>
    <n v="4"/>
    <n v="54"/>
    <s v="No"/>
    <s v="No"/>
    <s v="Yes"/>
    <s v="Yes"/>
    <s v="Yes"/>
    <s v="Yes"/>
    <m/>
    <x v="0"/>
    <n v="0"/>
  </r>
  <r>
    <n v="1151"/>
    <d v="2023-08-18T00:00:00"/>
    <s v="Basic"/>
    <n v="199"/>
    <n v="11.9"/>
    <n v="5"/>
    <x v="5"/>
    <n v="34"/>
    <n v="48"/>
    <s v="Yes"/>
    <s v="No"/>
    <s v="Yes"/>
    <s v="Yes"/>
    <s v="Yes"/>
    <s v="No"/>
    <m/>
    <x v="0"/>
    <n v="1"/>
  </r>
  <r>
    <n v="1152"/>
    <d v="2023-07-19T00:00:00"/>
    <s v="Basic"/>
    <n v="199"/>
    <n v="23"/>
    <n v="8"/>
    <x v="2"/>
    <n v="18"/>
    <n v="20"/>
    <s v="Yes"/>
    <s v="No"/>
    <s v="Yes"/>
    <s v="Yes"/>
    <s v="Yes"/>
    <s v="No"/>
    <m/>
    <x v="0"/>
    <n v="1"/>
  </r>
  <r>
    <n v="1153"/>
    <d v="2024-03-09T00:00:00"/>
    <s v="Standard"/>
    <n v="399"/>
    <n v="22.1"/>
    <n v="0"/>
    <x v="4"/>
    <n v="6"/>
    <n v="14"/>
    <s v="No"/>
    <s v="No"/>
    <s v="Yes"/>
    <s v="No"/>
    <s v="No"/>
    <s v="No"/>
    <m/>
    <x v="0"/>
    <n v="0"/>
  </r>
  <r>
    <n v="1154"/>
    <d v="2023-04-10T00:00:00"/>
    <s v="Basic"/>
    <n v="199"/>
    <n v="5.3"/>
    <n v="5"/>
    <x v="3"/>
    <n v="16"/>
    <n v="4"/>
    <s v="No"/>
    <s v="No"/>
    <s v="Yes"/>
    <s v="Yes"/>
    <s v="No"/>
    <s v="No"/>
    <m/>
    <x v="0"/>
    <n v="0"/>
  </r>
  <r>
    <n v="1155"/>
    <d v="2023-12-09T00:00:00"/>
    <s v="Basic"/>
    <n v="199"/>
    <n v="11.1"/>
    <n v="0"/>
    <x v="5"/>
    <n v="31"/>
    <n v="51"/>
    <s v="No"/>
    <s v="No"/>
    <s v="Yes"/>
    <s v="No"/>
    <s v="Yes"/>
    <s v="No"/>
    <m/>
    <x v="0"/>
    <n v="0"/>
  </r>
  <r>
    <n v="1156"/>
    <d v="2023-12-08T00:00:00"/>
    <s v="Standard"/>
    <n v="399"/>
    <n v="3.1"/>
    <n v="3"/>
    <x v="3"/>
    <n v="16"/>
    <n v="53"/>
    <s v="Yes"/>
    <s v="Yes"/>
    <s v="Yes"/>
    <s v="No"/>
    <s v="Yes"/>
    <s v="No"/>
    <m/>
    <x v="0"/>
    <n v="1"/>
  </r>
  <r>
    <n v="1157"/>
    <d v="2023-05-08T00:00:00"/>
    <s v="Premium"/>
    <n v="699"/>
    <n v="23.6"/>
    <n v="7"/>
    <x v="1"/>
    <n v="16"/>
    <n v="40"/>
    <s v="Yes"/>
    <s v="No"/>
    <s v="No"/>
    <s v="Yes"/>
    <s v="Yes"/>
    <s v="No"/>
    <m/>
    <x v="1"/>
    <n v="1"/>
  </r>
  <r>
    <n v="1158"/>
    <d v="2023-03-08T00:00:00"/>
    <s v="Basic"/>
    <n v="199"/>
    <n v="23"/>
    <n v="6"/>
    <x v="3"/>
    <n v="4"/>
    <n v="56"/>
    <s v="No"/>
    <s v="No"/>
    <s v="Yes"/>
    <s v="Yes"/>
    <s v="Yes"/>
    <s v="Yes"/>
    <m/>
    <x v="0"/>
    <n v="0"/>
  </r>
  <r>
    <n v="1159"/>
    <d v="2024-03-18T00:00:00"/>
    <s v="Basic"/>
    <n v="199"/>
    <n v="23"/>
    <n v="7"/>
    <x v="1"/>
    <n v="4"/>
    <n v="19"/>
    <s v="No"/>
    <s v="No"/>
    <s v="No"/>
    <s v="Yes"/>
    <s v="Yes"/>
    <s v="Yes"/>
    <m/>
    <x v="1"/>
    <n v="0"/>
  </r>
  <r>
    <n v="1160"/>
    <d v="2024-02-16T00:00:00"/>
    <s v="Basic"/>
    <n v="199"/>
    <n v="17.100000000000001"/>
    <n v="8"/>
    <x v="1"/>
    <n v="7"/>
    <n v="18"/>
    <s v="No"/>
    <s v="No"/>
    <s v="No"/>
    <s v="Yes"/>
    <s v="Yes"/>
    <s v="No"/>
    <m/>
    <x v="1"/>
    <n v="0"/>
  </r>
  <r>
    <n v="1161"/>
    <d v="2024-03-14T00:00:00"/>
    <s v="Basic"/>
    <n v="199"/>
    <n v="6.2"/>
    <n v="0"/>
    <x v="2"/>
    <n v="27"/>
    <n v="24"/>
    <s v="Yes"/>
    <s v="No"/>
    <s v="Yes"/>
    <s v="No"/>
    <s v="Yes"/>
    <s v="No"/>
    <m/>
    <x v="0"/>
    <n v="1"/>
  </r>
  <r>
    <n v="1162"/>
    <d v="2023-07-17T00:00:00"/>
    <s v="Premium"/>
    <n v="699"/>
    <n v="8.8000000000000007"/>
    <n v="0"/>
    <x v="2"/>
    <n v="7"/>
    <n v="33"/>
    <s v="Yes"/>
    <s v="No"/>
    <s v="Yes"/>
    <s v="No"/>
    <s v="Yes"/>
    <s v="No"/>
    <m/>
    <x v="0"/>
    <n v="1"/>
  </r>
  <r>
    <n v="1163"/>
    <d v="2024-08-09T00:00:00"/>
    <s v="Basic"/>
    <n v="199"/>
    <n v="0.8"/>
    <n v="1"/>
    <x v="5"/>
    <n v="7"/>
    <n v="50"/>
    <s v="Yes"/>
    <s v="Yes"/>
    <s v="Yes"/>
    <s v="No"/>
    <s v="Yes"/>
    <s v="No"/>
    <m/>
    <x v="0"/>
    <n v="1"/>
  </r>
  <r>
    <n v="1164"/>
    <d v="2023-07-10T00:00:00"/>
    <s v="Basic"/>
    <n v="199"/>
    <n v="6.8"/>
    <n v="6"/>
    <x v="2"/>
    <n v="33"/>
    <n v="46"/>
    <s v="Yes"/>
    <s v="No"/>
    <s v="Yes"/>
    <s v="Yes"/>
    <s v="Yes"/>
    <s v="No"/>
    <m/>
    <x v="0"/>
    <n v="1"/>
  </r>
  <r>
    <n v="1165"/>
    <d v="2024-06-09T00:00:00"/>
    <s v="Basic"/>
    <n v="199"/>
    <n v="20"/>
    <n v="0"/>
    <x v="0"/>
    <n v="9"/>
    <n v="19"/>
    <s v="No"/>
    <s v="No"/>
    <s v="Yes"/>
    <s v="No"/>
    <s v="Yes"/>
    <s v="No"/>
    <m/>
    <x v="0"/>
    <n v="0"/>
  </r>
  <r>
    <n v="1166"/>
    <d v="2024-09-09T00:00:00"/>
    <s v="Premium"/>
    <n v="699"/>
    <n v="8.1"/>
    <n v="8"/>
    <x v="0"/>
    <n v="23"/>
    <n v="9"/>
    <s v="No"/>
    <s v="No"/>
    <s v="Yes"/>
    <s v="Yes"/>
    <s v="No"/>
    <s v="No"/>
    <m/>
    <x v="0"/>
    <n v="0"/>
  </r>
  <r>
    <n v="1167"/>
    <d v="2023-05-29T00:00:00"/>
    <s v="Standard"/>
    <n v="399"/>
    <n v="9.5"/>
    <n v="0"/>
    <x v="5"/>
    <n v="19"/>
    <n v="37"/>
    <s v="No"/>
    <s v="No"/>
    <s v="Yes"/>
    <s v="No"/>
    <s v="Yes"/>
    <s v="No"/>
    <m/>
    <x v="0"/>
    <n v="0"/>
  </r>
  <r>
    <n v="1168"/>
    <d v="2023-07-25T00:00:00"/>
    <s v="Basic"/>
    <n v="199"/>
    <n v="12.9"/>
    <n v="8"/>
    <x v="1"/>
    <n v="16"/>
    <n v="27"/>
    <s v="Yes"/>
    <s v="No"/>
    <s v="No"/>
    <s v="Yes"/>
    <s v="Yes"/>
    <s v="No"/>
    <m/>
    <x v="1"/>
    <n v="1"/>
  </r>
  <r>
    <n v="1169"/>
    <d v="2024-12-09T00:00:00"/>
    <s v="Premium"/>
    <n v="699"/>
    <n v="19.7"/>
    <n v="5"/>
    <x v="0"/>
    <n v="13"/>
    <n v="42"/>
    <s v="Yes"/>
    <s v="No"/>
    <s v="Yes"/>
    <s v="Yes"/>
    <s v="Yes"/>
    <s v="No"/>
    <m/>
    <x v="0"/>
    <n v="1"/>
  </r>
  <r>
    <n v="1170"/>
    <d v="2023-06-16T00:00:00"/>
    <s v="Standard"/>
    <n v="399"/>
    <n v="21.4"/>
    <n v="5"/>
    <x v="5"/>
    <n v="22"/>
    <n v="19"/>
    <s v="Yes"/>
    <s v="No"/>
    <s v="Yes"/>
    <s v="Yes"/>
    <s v="Yes"/>
    <s v="No"/>
    <m/>
    <x v="0"/>
    <n v="1"/>
  </r>
  <r>
    <n v="1171"/>
    <d v="2024-10-16T00:00:00"/>
    <s v="Basic"/>
    <n v="199"/>
    <n v="22"/>
    <n v="0"/>
    <x v="2"/>
    <n v="30"/>
    <n v="14"/>
    <s v="No"/>
    <s v="No"/>
    <s v="Yes"/>
    <s v="No"/>
    <s v="No"/>
    <s v="No"/>
    <m/>
    <x v="0"/>
    <n v="0"/>
  </r>
  <r>
    <n v="1172"/>
    <d v="2023-12-06T00:00:00"/>
    <s v="Basic"/>
    <n v="199"/>
    <n v="11.9"/>
    <n v="3"/>
    <x v="0"/>
    <n v="15"/>
    <n v="30"/>
    <s v="No"/>
    <s v="No"/>
    <s v="Yes"/>
    <s v="No"/>
    <s v="Yes"/>
    <s v="No"/>
    <m/>
    <x v="0"/>
    <n v="0"/>
  </r>
  <r>
    <n v="1173"/>
    <d v="2024-01-02T00:00:00"/>
    <s v="Premium"/>
    <n v="699"/>
    <n v="5.5"/>
    <n v="2"/>
    <x v="1"/>
    <n v="25"/>
    <n v="23"/>
    <s v="Yes"/>
    <s v="No"/>
    <s v="No"/>
    <s v="No"/>
    <s v="Yes"/>
    <s v="No"/>
    <m/>
    <x v="1"/>
    <n v="1"/>
  </r>
  <r>
    <n v="1174"/>
    <d v="2024-01-04T00:00:00"/>
    <s v="Basic"/>
    <n v="199"/>
    <n v="3.3"/>
    <n v="4"/>
    <x v="2"/>
    <n v="36"/>
    <n v="12"/>
    <s v="Yes"/>
    <s v="Yes"/>
    <s v="Yes"/>
    <s v="No"/>
    <s v="No"/>
    <s v="No"/>
    <m/>
    <x v="0"/>
    <n v="1"/>
  </r>
  <r>
    <n v="1175"/>
    <d v="2023-06-28T00:00:00"/>
    <s v="Basic"/>
    <n v="199"/>
    <n v="5.4"/>
    <n v="4"/>
    <x v="0"/>
    <n v="2"/>
    <n v="14"/>
    <s v="No"/>
    <s v="No"/>
    <s v="Yes"/>
    <s v="No"/>
    <s v="No"/>
    <s v="Yes"/>
    <m/>
    <x v="0"/>
    <n v="0"/>
  </r>
  <r>
    <n v="1176"/>
    <d v="2023-04-14T00:00:00"/>
    <s v="Standard"/>
    <n v="399"/>
    <n v="6.5"/>
    <n v="3"/>
    <x v="1"/>
    <n v="36"/>
    <n v="11"/>
    <s v="No"/>
    <s v="No"/>
    <s v="No"/>
    <s v="No"/>
    <s v="No"/>
    <s v="No"/>
    <m/>
    <x v="1"/>
    <n v="0"/>
  </r>
  <r>
    <n v="1177"/>
    <d v="2024-04-12T00:00:00"/>
    <s v="Basic"/>
    <n v="199"/>
    <n v="9.8000000000000007"/>
    <n v="1"/>
    <x v="3"/>
    <n v="9"/>
    <n v="59"/>
    <s v="Yes"/>
    <s v="No"/>
    <s v="Yes"/>
    <s v="No"/>
    <s v="Yes"/>
    <s v="No"/>
    <m/>
    <x v="0"/>
    <n v="1"/>
  </r>
  <r>
    <n v="1178"/>
    <d v="2024-03-20T00:00:00"/>
    <s v="Basic"/>
    <n v="199"/>
    <n v="20.3"/>
    <n v="2"/>
    <x v="5"/>
    <n v="24"/>
    <n v="51"/>
    <s v="No"/>
    <s v="No"/>
    <s v="Yes"/>
    <s v="No"/>
    <s v="Yes"/>
    <s v="No"/>
    <m/>
    <x v="0"/>
    <n v="0"/>
  </r>
  <r>
    <n v="1179"/>
    <d v="2024-12-12T00:00:00"/>
    <s v="Premium"/>
    <n v="699"/>
    <n v="3.4"/>
    <n v="2"/>
    <x v="0"/>
    <n v="5"/>
    <n v="12"/>
    <s v="No"/>
    <s v="Yes"/>
    <s v="Yes"/>
    <s v="No"/>
    <s v="No"/>
    <s v="Yes"/>
    <m/>
    <x v="0"/>
    <n v="0"/>
  </r>
  <r>
    <n v="1180"/>
    <d v="2023-07-13T00:00:00"/>
    <s v="Standard"/>
    <n v="399"/>
    <n v="15.2"/>
    <n v="3"/>
    <x v="1"/>
    <n v="21"/>
    <n v="48"/>
    <s v="No"/>
    <s v="No"/>
    <s v="No"/>
    <s v="No"/>
    <s v="Yes"/>
    <s v="No"/>
    <m/>
    <x v="1"/>
    <n v="0"/>
  </r>
  <r>
    <n v="1181"/>
    <d v="2023-10-14T00:00:00"/>
    <s v="Premium"/>
    <n v="699"/>
    <n v="19.8"/>
    <n v="5"/>
    <x v="0"/>
    <n v="19"/>
    <n v="3"/>
    <s v="No"/>
    <s v="No"/>
    <s v="Yes"/>
    <s v="Yes"/>
    <s v="No"/>
    <s v="No"/>
    <m/>
    <x v="0"/>
    <n v="0"/>
  </r>
  <r>
    <n v="1182"/>
    <d v="2024-04-26T00:00:00"/>
    <s v="Basic"/>
    <n v="199"/>
    <n v="24.2"/>
    <n v="7"/>
    <x v="0"/>
    <n v="33"/>
    <n v="46"/>
    <s v="Yes"/>
    <s v="No"/>
    <s v="Yes"/>
    <s v="Yes"/>
    <s v="Yes"/>
    <s v="No"/>
    <m/>
    <x v="0"/>
    <n v="1"/>
  </r>
  <r>
    <n v="1183"/>
    <d v="2024-05-25T00:00:00"/>
    <s v="Premium"/>
    <n v="699"/>
    <n v="4.5999999999999996"/>
    <n v="6"/>
    <x v="4"/>
    <n v="5"/>
    <n v="48"/>
    <s v="Yes"/>
    <s v="Yes"/>
    <s v="Yes"/>
    <s v="Yes"/>
    <s v="Yes"/>
    <s v="Yes"/>
    <m/>
    <x v="0"/>
    <n v="1"/>
  </r>
  <r>
    <n v="1184"/>
    <d v="2024-05-21T00:00:00"/>
    <s v="Premium"/>
    <n v="699"/>
    <n v="4.9000000000000004"/>
    <n v="5"/>
    <x v="5"/>
    <n v="30"/>
    <n v="44"/>
    <s v="Yes"/>
    <s v="Yes"/>
    <s v="Yes"/>
    <s v="Yes"/>
    <s v="Yes"/>
    <s v="No"/>
    <m/>
    <x v="0"/>
    <n v="1"/>
  </r>
  <r>
    <n v="1185"/>
    <d v="2024-04-07T00:00:00"/>
    <s v="Standard"/>
    <n v="399"/>
    <n v="14.7"/>
    <n v="0"/>
    <x v="0"/>
    <n v="18"/>
    <n v="14"/>
    <s v="No"/>
    <s v="No"/>
    <s v="Yes"/>
    <s v="No"/>
    <s v="No"/>
    <s v="No"/>
    <m/>
    <x v="0"/>
    <n v="0"/>
  </r>
  <r>
    <n v="1186"/>
    <d v="2024-01-19T00:00:00"/>
    <s v="Basic"/>
    <n v="199"/>
    <n v="5.9"/>
    <n v="6"/>
    <x v="2"/>
    <n v="26"/>
    <n v="36"/>
    <s v="Yes"/>
    <s v="No"/>
    <s v="Yes"/>
    <s v="Yes"/>
    <s v="Yes"/>
    <s v="No"/>
    <m/>
    <x v="0"/>
    <n v="1"/>
  </r>
  <r>
    <n v="1187"/>
    <d v="2023-08-24T00:00:00"/>
    <s v="Standard"/>
    <n v="399"/>
    <n v="2.6"/>
    <n v="1"/>
    <x v="3"/>
    <n v="36"/>
    <n v="28"/>
    <s v="Yes"/>
    <s v="Yes"/>
    <s v="Yes"/>
    <s v="No"/>
    <s v="Yes"/>
    <s v="No"/>
    <m/>
    <x v="0"/>
    <n v="1"/>
  </r>
  <r>
    <n v="1188"/>
    <d v="2024-02-23T00:00:00"/>
    <s v="Premium"/>
    <n v="699"/>
    <n v="11.9"/>
    <n v="5"/>
    <x v="2"/>
    <n v="3"/>
    <n v="28"/>
    <s v="Yes"/>
    <s v="No"/>
    <s v="Yes"/>
    <s v="Yes"/>
    <s v="Yes"/>
    <s v="Yes"/>
    <m/>
    <x v="0"/>
    <n v="1"/>
  </r>
  <r>
    <n v="1189"/>
    <d v="2023-09-29T00:00:00"/>
    <s v="Standard"/>
    <n v="399"/>
    <n v="8.3000000000000007"/>
    <n v="6"/>
    <x v="1"/>
    <n v="32"/>
    <n v="11"/>
    <s v="No"/>
    <s v="No"/>
    <s v="No"/>
    <s v="Yes"/>
    <s v="No"/>
    <s v="No"/>
    <m/>
    <x v="1"/>
    <n v="0"/>
  </r>
  <r>
    <n v="1190"/>
    <d v="2024-07-13T00:00:00"/>
    <s v="Premium"/>
    <n v="699"/>
    <n v="9.3000000000000007"/>
    <n v="1"/>
    <x v="3"/>
    <n v="5"/>
    <n v="53"/>
    <s v="Yes"/>
    <s v="No"/>
    <s v="Yes"/>
    <s v="No"/>
    <s v="Yes"/>
    <s v="Yes"/>
    <m/>
    <x v="0"/>
    <n v="1"/>
  </r>
  <r>
    <n v="1191"/>
    <d v="2023-02-09T00:00:00"/>
    <s v="Premium"/>
    <n v="699"/>
    <n v="19.8"/>
    <n v="3"/>
    <x v="1"/>
    <n v="6"/>
    <n v="7"/>
    <s v="Yes"/>
    <s v="No"/>
    <s v="No"/>
    <s v="No"/>
    <s v="No"/>
    <s v="No"/>
    <m/>
    <x v="1"/>
    <n v="1"/>
  </r>
  <r>
    <n v="1192"/>
    <d v="2024-11-30T00:00:00"/>
    <s v="Premium"/>
    <n v="699"/>
    <n v="8.6999999999999993"/>
    <n v="5"/>
    <x v="3"/>
    <n v="13"/>
    <n v="19"/>
    <s v="No"/>
    <s v="No"/>
    <s v="Yes"/>
    <s v="Yes"/>
    <s v="Yes"/>
    <s v="No"/>
    <m/>
    <x v="0"/>
    <n v="0"/>
  </r>
  <r>
    <n v="1193"/>
    <d v="2023-09-25T00:00:00"/>
    <s v="Standard"/>
    <n v="399"/>
    <n v="17.8"/>
    <n v="2"/>
    <x v="4"/>
    <n v="13"/>
    <n v="47"/>
    <s v="Yes"/>
    <s v="No"/>
    <s v="Yes"/>
    <s v="No"/>
    <s v="Yes"/>
    <s v="No"/>
    <m/>
    <x v="0"/>
    <n v="1"/>
  </r>
  <r>
    <n v="1194"/>
    <d v="2024-08-16T00:00:00"/>
    <s v="Basic"/>
    <n v="199"/>
    <n v="7.4"/>
    <n v="5"/>
    <x v="2"/>
    <n v="20"/>
    <n v="60"/>
    <s v="Yes"/>
    <s v="No"/>
    <s v="Yes"/>
    <s v="Yes"/>
    <s v="Yes"/>
    <s v="No"/>
    <m/>
    <x v="0"/>
    <n v="1"/>
  </r>
  <r>
    <n v="1195"/>
    <d v="2023-08-21T00:00:00"/>
    <s v="Premium"/>
    <n v="699"/>
    <n v="12.1"/>
    <n v="8"/>
    <x v="0"/>
    <n v="1"/>
    <n v="55"/>
    <s v="Yes"/>
    <s v="No"/>
    <s v="Yes"/>
    <s v="Yes"/>
    <s v="Yes"/>
    <s v="Yes"/>
    <m/>
    <x v="0"/>
    <n v="1"/>
  </r>
  <r>
    <n v="1196"/>
    <d v="2024-04-24T00:00:00"/>
    <s v="Premium"/>
    <n v="699"/>
    <n v="12.1"/>
    <n v="8"/>
    <x v="5"/>
    <n v="14"/>
    <n v="50"/>
    <s v="Yes"/>
    <s v="No"/>
    <s v="Yes"/>
    <s v="Yes"/>
    <s v="Yes"/>
    <s v="No"/>
    <m/>
    <x v="0"/>
    <n v="1"/>
  </r>
  <r>
    <n v="1197"/>
    <d v="2024-12-15T00:00:00"/>
    <s v="Premium"/>
    <n v="699"/>
    <n v="8.8000000000000007"/>
    <n v="1"/>
    <x v="3"/>
    <n v="30"/>
    <n v="54"/>
    <s v="Yes"/>
    <s v="No"/>
    <s v="Yes"/>
    <s v="No"/>
    <s v="Yes"/>
    <s v="No"/>
    <m/>
    <x v="0"/>
    <n v="1"/>
  </r>
  <r>
    <n v="1198"/>
    <d v="2023-05-12T00:00:00"/>
    <s v="Standard"/>
    <n v="399"/>
    <n v="11.2"/>
    <n v="8"/>
    <x v="1"/>
    <n v="14"/>
    <n v="23"/>
    <s v="Yes"/>
    <s v="No"/>
    <s v="No"/>
    <s v="Yes"/>
    <s v="Yes"/>
    <s v="No"/>
    <m/>
    <x v="1"/>
    <n v="1"/>
  </r>
  <r>
    <n v="1199"/>
    <d v="2024-12-03T00:00:00"/>
    <s v="Standard"/>
    <n v="399"/>
    <n v="12.7"/>
    <n v="5"/>
    <x v="3"/>
    <n v="1"/>
    <n v="14"/>
    <s v="Yes"/>
    <s v="No"/>
    <s v="Yes"/>
    <s v="Yes"/>
    <s v="No"/>
    <s v="Yes"/>
    <m/>
    <x v="0"/>
    <n v="1"/>
  </r>
  <r>
    <n v="1200"/>
    <d v="2023-05-23T00:00:00"/>
    <s v="Standard"/>
    <n v="399"/>
    <n v="7.8"/>
    <n v="0"/>
    <x v="5"/>
    <n v="35"/>
    <n v="50"/>
    <s v="Yes"/>
    <s v="No"/>
    <s v="Yes"/>
    <s v="No"/>
    <s v="Yes"/>
    <s v="No"/>
    <m/>
    <x v="0"/>
    <n v="1"/>
  </r>
  <r>
    <n v="1201"/>
    <d v="2023-03-07T00:00:00"/>
    <s v="Basic"/>
    <n v="199"/>
    <n v="14.4"/>
    <n v="6"/>
    <x v="2"/>
    <n v="22"/>
    <n v="13"/>
    <s v="No"/>
    <s v="No"/>
    <s v="Yes"/>
    <s v="Yes"/>
    <s v="No"/>
    <s v="No"/>
    <m/>
    <x v="0"/>
    <n v="0"/>
  </r>
  <r>
    <n v="1202"/>
    <d v="2024-10-16T00:00:00"/>
    <s v="Premium"/>
    <n v="699"/>
    <n v="5.0999999999999996"/>
    <n v="1"/>
    <x v="3"/>
    <n v="25"/>
    <n v="36"/>
    <s v="No"/>
    <s v="No"/>
    <s v="Yes"/>
    <s v="No"/>
    <s v="Yes"/>
    <s v="No"/>
    <m/>
    <x v="0"/>
    <n v="0"/>
  </r>
  <r>
    <n v="1203"/>
    <d v="2024-09-09T00:00:00"/>
    <s v="Standard"/>
    <n v="399"/>
    <n v="4.7"/>
    <n v="8"/>
    <x v="0"/>
    <n v="6"/>
    <n v="2"/>
    <s v="No"/>
    <s v="Yes"/>
    <s v="Yes"/>
    <s v="Yes"/>
    <s v="No"/>
    <s v="No"/>
    <m/>
    <x v="0"/>
    <n v="0"/>
  </r>
  <r>
    <n v="1204"/>
    <d v="2023-10-26T00:00:00"/>
    <s v="Standard"/>
    <n v="399"/>
    <n v="5.0999999999999996"/>
    <n v="1"/>
    <x v="2"/>
    <n v="2"/>
    <n v="18"/>
    <s v="Yes"/>
    <s v="No"/>
    <s v="Yes"/>
    <s v="No"/>
    <s v="Yes"/>
    <s v="Yes"/>
    <m/>
    <x v="0"/>
    <n v="1"/>
  </r>
  <r>
    <n v="1205"/>
    <d v="2023-12-01T00:00:00"/>
    <s v="Premium"/>
    <n v="699"/>
    <n v="2.2000000000000002"/>
    <n v="0"/>
    <x v="3"/>
    <n v="34"/>
    <n v="33"/>
    <s v="Yes"/>
    <s v="Yes"/>
    <s v="Yes"/>
    <s v="No"/>
    <s v="Yes"/>
    <s v="No"/>
    <m/>
    <x v="0"/>
    <n v="1"/>
  </r>
  <r>
    <n v="1206"/>
    <d v="2023-03-12T00:00:00"/>
    <s v="Standard"/>
    <n v="399"/>
    <n v="4.3"/>
    <n v="1"/>
    <x v="0"/>
    <n v="26"/>
    <n v="34"/>
    <s v="Yes"/>
    <s v="Yes"/>
    <s v="Yes"/>
    <s v="No"/>
    <s v="Yes"/>
    <s v="No"/>
    <m/>
    <x v="0"/>
    <n v="1"/>
  </r>
  <r>
    <n v="1207"/>
    <d v="2024-11-11T00:00:00"/>
    <s v="Standard"/>
    <n v="399"/>
    <n v="3.7"/>
    <n v="3"/>
    <x v="3"/>
    <n v="14"/>
    <n v="27"/>
    <s v="Yes"/>
    <s v="Yes"/>
    <s v="Yes"/>
    <s v="No"/>
    <s v="Yes"/>
    <s v="No"/>
    <m/>
    <x v="0"/>
    <n v="1"/>
  </r>
  <r>
    <n v="1208"/>
    <d v="2024-12-02T00:00:00"/>
    <s v="Standard"/>
    <n v="399"/>
    <n v="15.3"/>
    <n v="4"/>
    <x v="5"/>
    <n v="11"/>
    <n v="12"/>
    <s v="No"/>
    <s v="No"/>
    <s v="Yes"/>
    <s v="No"/>
    <s v="No"/>
    <s v="No"/>
    <m/>
    <x v="0"/>
    <n v="0"/>
  </r>
  <r>
    <n v="1209"/>
    <d v="2024-09-11T00:00:00"/>
    <s v="Standard"/>
    <n v="399"/>
    <n v="5.4"/>
    <n v="2"/>
    <x v="2"/>
    <n v="18"/>
    <n v="4"/>
    <s v="No"/>
    <s v="No"/>
    <s v="Yes"/>
    <s v="No"/>
    <s v="No"/>
    <s v="No"/>
    <m/>
    <x v="0"/>
    <n v="0"/>
  </r>
  <r>
    <n v="1210"/>
    <d v="2023-04-04T00:00:00"/>
    <s v="Basic"/>
    <n v="199"/>
    <n v="8.6"/>
    <n v="7"/>
    <x v="2"/>
    <n v="34"/>
    <n v="29"/>
    <s v="Yes"/>
    <s v="No"/>
    <s v="Yes"/>
    <s v="Yes"/>
    <s v="Yes"/>
    <s v="No"/>
    <m/>
    <x v="0"/>
    <n v="1"/>
  </r>
  <r>
    <n v="1211"/>
    <d v="2023-06-29T00:00:00"/>
    <s v="Standard"/>
    <n v="399"/>
    <n v="9"/>
    <n v="4"/>
    <x v="2"/>
    <n v="30"/>
    <n v="39"/>
    <s v="No"/>
    <s v="No"/>
    <s v="Yes"/>
    <s v="No"/>
    <s v="Yes"/>
    <s v="No"/>
    <m/>
    <x v="0"/>
    <n v="0"/>
  </r>
  <r>
    <n v="1212"/>
    <d v="2023-07-07T00:00:00"/>
    <s v="Standard"/>
    <n v="399"/>
    <n v="4.9000000000000004"/>
    <n v="6"/>
    <x v="2"/>
    <n v="16"/>
    <n v="24"/>
    <s v="Yes"/>
    <s v="Yes"/>
    <s v="Yes"/>
    <s v="Yes"/>
    <s v="Yes"/>
    <s v="No"/>
    <m/>
    <x v="0"/>
    <n v="1"/>
  </r>
  <r>
    <n v="1213"/>
    <d v="2023-10-08T00:00:00"/>
    <s v="Premium"/>
    <n v="699"/>
    <n v="10.1"/>
    <n v="0"/>
    <x v="0"/>
    <n v="7"/>
    <n v="56"/>
    <s v="No"/>
    <s v="No"/>
    <s v="Yes"/>
    <s v="No"/>
    <s v="Yes"/>
    <s v="No"/>
    <m/>
    <x v="0"/>
    <n v="0"/>
  </r>
  <r>
    <n v="1214"/>
    <d v="2023-08-11T00:00:00"/>
    <s v="Premium"/>
    <n v="699"/>
    <n v="7.7"/>
    <n v="1"/>
    <x v="4"/>
    <n v="35"/>
    <n v="46"/>
    <s v="No"/>
    <s v="No"/>
    <s v="Yes"/>
    <s v="No"/>
    <s v="Yes"/>
    <s v="No"/>
    <m/>
    <x v="0"/>
    <n v="0"/>
  </r>
  <r>
    <n v="1215"/>
    <d v="2023-04-18T00:00:00"/>
    <s v="Standard"/>
    <n v="399"/>
    <n v="24.8"/>
    <n v="8"/>
    <x v="1"/>
    <n v="27"/>
    <n v="23"/>
    <s v="Yes"/>
    <s v="No"/>
    <s v="No"/>
    <s v="Yes"/>
    <s v="Yes"/>
    <s v="No"/>
    <m/>
    <x v="1"/>
    <n v="1"/>
  </r>
  <r>
    <n v="1216"/>
    <d v="2024-04-18T00:00:00"/>
    <s v="Premium"/>
    <n v="699"/>
    <n v="10.5"/>
    <n v="2"/>
    <x v="3"/>
    <n v="21"/>
    <n v="13"/>
    <s v="No"/>
    <s v="No"/>
    <s v="Yes"/>
    <s v="No"/>
    <s v="No"/>
    <s v="No"/>
    <m/>
    <x v="0"/>
    <n v="0"/>
  </r>
  <r>
    <n v="1217"/>
    <d v="2023-07-19T00:00:00"/>
    <s v="Basic"/>
    <n v="199"/>
    <n v="16.2"/>
    <n v="7"/>
    <x v="2"/>
    <n v="5"/>
    <n v="21"/>
    <s v="Yes"/>
    <s v="No"/>
    <s v="Yes"/>
    <s v="Yes"/>
    <s v="Yes"/>
    <s v="Yes"/>
    <m/>
    <x v="0"/>
    <n v="1"/>
  </r>
  <r>
    <n v="1218"/>
    <d v="2024-11-17T00:00:00"/>
    <s v="Standard"/>
    <n v="399"/>
    <n v="0.8"/>
    <n v="1"/>
    <x v="4"/>
    <n v="3"/>
    <n v="58"/>
    <s v="Yes"/>
    <s v="Yes"/>
    <s v="Yes"/>
    <s v="No"/>
    <s v="Yes"/>
    <s v="Yes"/>
    <m/>
    <x v="0"/>
    <n v="1"/>
  </r>
  <r>
    <n v="1219"/>
    <d v="2024-12-31T00:00:00"/>
    <s v="Premium"/>
    <n v="699"/>
    <n v="12.4"/>
    <n v="1"/>
    <x v="1"/>
    <n v="30"/>
    <n v="35"/>
    <s v="No"/>
    <s v="No"/>
    <s v="No"/>
    <s v="No"/>
    <s v="Yes"/>
    <s v="No"/>
    <m/>
    <x v="1"/>
    <n v="0"/>
  </r>
  <r>
    <n v="1220"/>
    <d v="2024-09-13T00:00:00"/>
    <s v="Standard"/>
    <n v="399"/>
    <n v="12"/>
    <n v="4"/>
    <x v="0"/>
    <n v="9"/>
    <n v="10"/>
    <s v="No"/>
    <s v="No"/>
    <s v="Yes"/>
    <s v="No"/>
    <s v="No"/>
    <s v="No"/>
    <m/>
    <x v="0"/>
    <n v="0"/>
  </r>
  <r>
    <n v="1221"/>
    <d v="2024-11-18T00:00:00"/>
    <s v="Basic"/>
    <n v="199"/>
    <n v="7.7"/>
    <n v="8"/>
    <x v="4"/>
    <n v="12"/>
    <n v="25"/>
    <s v="Yes"/>
    <s v="No"/>
    <s v="Yes"/>
    <s v="Yes"/>
    <s v="Yes"/>
    <s v="No"/>
    <m/>
    <x v="0"/>
    <n v="1"/>
  </r>
  <r>
    <n v="1222"/>
    <d v="2024-11-22T00:00:00"/>
    <s v="Basic"/>
    <n v="199"/>
    <n v="4.3"/>
    <n v="5"/>
    <x v="0"/>
    <n v="18"/>
    <n v="13"/>
    <s v="No"/>
    <s v="Yes"/>
    <s v="Yes"/>
    <s v="Yes"/>
    <s v="No"/>
    <s v="No"/>
    <m/>
    <x v="0"/>
    <n v="0"/>
  </r>
  <r>
    <n v="1223"/>
    <d v="2024-11-09T00:00:00"/>
    <s v="Premium"/>
    <n v="699"/>
    <n v="11.3"/>
    <n v="0"/>
    <x v="4"/>
    <n v="14"/>
    <n v="51"/>
    <s v="Yes"/>
    <s v="No"/>
    <s v="Yes"/>
    <s v="No"/>
    <s v="Yes"/>
    <s v="No"/>
    <m/>
    <x v="0"/>
    <n v="1"/>
  </r>
  <r>
    <n v="1224"/>
    <d v="2023-02-19T00:00:00"/>
    <s v="Premium"/>
    <n v="699"/>
    <n v="10.1"/>
    <n v="4"/>
    <x v="2"/>
    <n v="7"/>
    <n v="3"/>
    <s v="No"/>
    <s v="No"/>
    <s v="Yes"/>
    <s v="No"/>
    <s v="No"/>
    <s v="No"/>
    <m/>
    <x v="0"/>
    <n v="0"/>
  </r>
  <r>
    <n v="1225"/>
    <d v="2024-03-07T00:00:00"/>
    <s v="Standard"/>
    <n v="399"/>
    <n v="23.3"/>
    <n v="5"/>
    <x v="0"/>
    <n v="13"/>
    <n v="12"/>
    <s v="Yes"/>
    <s v="No"/>
    <s v="Yes"/>
    <s v="Yes"/>
    <s v="No"/>
    <s v="No"/>
    <m/>
    <x v="0"/>
    <n v="1"/>
  </r>
  <r>
    <n v="1226"/>
    <d v="2023-04-09T00:00:00"/>
    <s v="Basic"/>
    <n v="199"/>
    <n v="8.8000000000000007"/>
    <n v="3"/>
    <x v="4"/>
    <n v="1"/>
    <n v="42"/>
    <s v="Yes"/>
    <s v="No"/>
    <s v="Yes"/>
    <s v="No"/>
    <s v="Yes"/>
    <s v="Yes"/>
    <m/>
    <x v="0"/>
    <n v="1"/>
  </r>
  <r>
    <n v="1227"/>
    <d v="2023-12-01T00:00:00"/>
    <s v="Premium"/>
    <n v="699"/>
    <n v="18.2"/>
    <n v="0"/>
    <x v="2"/>
    <n v="11"/>
    <n v="32"/>
    <s v="Yes"/>
    <s v="No"/>
    <s v="Yes"/>
    <s v="No"/>
    <s v="Yes"/>
    <s v="No"/>
    <m/>
    <x v="0"/>
    <n v="1"/>
  </r>
  <r>
    <n v="1228"/>
    <d v="2023-05-04T00:00:00"/>
    <s v="Standard"/>
    <n v="399"/>
    <n v="15.9"/>
    <n v="3"/>
    <x v="5"/>
    <n v="36"/>
    <n v="25"/>
    <s v="No"/>
    <s v="No"/>
    <s v="Yes"/>
    <s v="No"/>
    <s v="Yes"/>
    <s v="No"/>
    <m/>
    <x v="0"/>
    <n v="0"/>
  </r>
  <r>
    <n v="1229"/>
    <d v="2023-11-20T00:00:00"/>
    <s v="Basic"/>
    <n v="199"/>
    <n v="3.1"/>
    <n v="5"/>
    <x v="0"/>
    <n v="14"/>
    <n v="0"/>
    <s v="Yes"/>
    <s v="Yes"/>
    <s v="Yes"/>
    <s v="Yes"/>
    <s v="No"/>
    <s v="No"/>
    <m/>
    <x v="0"/>
    <n v="1"/>
  </r>
  <r>
    <n v="1230"/>
    <d v="2024-10-27T00:00:00"/>
    <s v="Basic"/>
    <n v="199"/>
    <n v="5.7"/>
    <n v="3"/>
    <x v="1"/>
    <n v="25"/>
    <n v="42"/>
    <s v="No"/>
    <s v="No"/>
    <s v="No"/>
    <s v="No"/>
    <s v="Yes"/>
    <s v="No"/>
    <m/>
    <x v="1"/>
    <n v="0"/>
  </r>
  <r>
    <n v="1231"/>
    <d v="2024-05-26T00:00:00"/>
    <s v="Premium"/>
    <n v="699"/>
    <n v="1.6"/>
    <n v="3"/>
    <x v="2"/>
    <n v="24"/>
    <n v="19"/>
    <s v="No"/>
    <s v="Yes"/>
    <s v="Yes"/>
    <s v="No"/>
    <s v="Yes"/>
    <s v="No"/>
    <m/>
    <x v="0"/>
    <n v="0"/>
  </r>
  <r>
    <n v="1232"/>
    <d v="2024-10-08T00:00:00"/>
    <s v="Basic"/>
    <n v="199"/>
    <n v="19.899999999999999"/>
    <n v="2"/>
    <x v="3"/>
    <n v="35"/>
    <n v="6"/>
    <s v="No"/>
    <s v="No"/>
    <s v="Yes"/>
    <s v="No"/>
    <s v="No"/>
    <s v="No"/>
    <m/>
    <x v="0"/>
    <n v="0"/>
  </r>
  <r>
    <n v="1233"/>
    <d v="2024-12-05T00:00:00"/>
    <s v="Premium"/>
    <n v="699"/>
    <n v="17.100000000000001"/>
    <n v="2"/>
    <x v="3"/>
    <n v="25"/>
    <n v="11"/>
    <s v="No"/>
    <s v="No"/>
    <s v="Yes"/>
    <s v="No"/>
    <s v="No"/>
    <s v="No"/>
    <m/>
    <x v="0"/>
    <n v="0"/>
  </r>
  <r>
    <n v="1234"/>
    <d v="2024-01-27T00:00:00"/>
    <s v="Standard"/>
    <n v="399"/>
    <n v="2.2000000000000002"/>
    <n v="0"/>
    <x v="5"/>
    <n v="31"/>
    <n v="58"/>
    <s v="Yes"/>
    <s v="Yes"/>
    <s v="Yes"/>
    <s v="No"/>
    <s v="Yes"/>
    <s v="No"/>
    <m/>
    <x v="0"/>
    <n v="1"/>
  </r>
  <r>
    <n v="1235"/>
    <d v="2023-05-08T00:00:00"/>
    <s v="Premium"/>
    <n v="699"/>
    <n v="12.8"/>
    <n v="0"/>
    <x v="0"/>
    <n v="15"/>
    <n v="1"/>
    <s v="No"/>
    <s v="No"/>
    <s v="Yes"/>
    <s v="No"/>
    <s v="No"/>
    <s v="No"/>
    <m/>
    <x v="0"/>
    <n v="0"/>
  </r>
  <r>
    <n v="1236"/>
    <d v="2024-01-19T00:00:00"/>
    <s v="Standard"/>
    <n v="399"/>
    <n v="18.600000000000001"/>
    <n v="3"/>
    <x v="5"/>
    <n v="16"/>
    <n v="5"/>
    <s v="Yes"/>
    <s v="No"/>
    <s v="Yes"/>
    <s v="No"/>
    <s v="No"/>
    <s v="No"/>
    <m/>
    <x v="0"/>
    <n v="1"/>
  </r>
  <r>
    <n v="1237"/>
    <d v="2024-09-04T00:00:00"/>
    <s v="Standard"/>
    <n v="399"/>
    <n v="5.4"/>
    <n v="6"/>
    <x v="0"/>
    <n v="19"/>
    <n v="41"/>
    <s v="Yes"/>
    <s v="No"/>
    <s v="Yes"/>
    <s v="Yes"/>
    <s v="Yes"/>
    <s v="No"/>
    <m/>
    <x v="0"/>
    <n v="1"/>
  </r>
  <r>
    <n v="1238"/>
    <d v="2024-06-17T00:00:00"/>
    <s v="Standard"/>
    <n v="399"/>
    <n v="3.8"/>
    <n v="5"/>
    <x v="4"/>
    <n v="22"/>
    <n v="50"/>
    <s v="Yes"/>
    <s v="Yes"/>
    <s v="Yes"/>
    <s v="Yes"/>
    <s v="Yes"/>
    <s v="No"/>
    <m/>
    <x v="0"/>
    <n v="1"/>
  </r>
  <r>
    <n v="1239"/>
    <d v="2023-07-30T00:00:00"/>
    <s v="Standard"/>
    <n v="399"/>
    <n v="18.899999999999999"/>
    <n v="3"/>
    <x v="4"/>
    <n v="19"/>
    <n v="21"/>
    <s v="Yes"/>
    <s v="No"/>
    <s v="Yes"/>
    <s v="No"/>
    <s v="Yes"/>
    <s v="No"/>
    <m/>
    <x v="0"/>
    <n v="1"/>
  </r>
  <r>
    <n v="1240"/>
    <d v="2024-09-14T00:00:00"/>
    <s v="Premium"/>
    <n v="699"/>
    <n v="22.7"/>
    <n v="3"/>
    <x v="4"/>
    <n v="4"/>
    <n v="44"/>
    <s v="No"/>
    <s v="No"/>
    <s v="Yes"/>
    <s v="No"/>
    <s v="Yes"/>
    <s v="Yes"/>
    <m/>
    <x v="0"/>
    <n v="0"/>
  </r>
  <r>
    <n v="1241"/>
    <d v="2024-05-18T00:00:00"/>
    <s v="Standard"/>
    <n v="399"/>
    <n v="8.4"/>
    <n v="7"/>
    <x v="4"/>
    <n v="34"/>
    <n v="0"/>
    <s v="Yes"/>
    <s v="No"/>
    <s v="Yes"/>
    <s v="Yes"/>
    <s v="No"/>
    <s v="No"/>
    <m/>
    <x v="0"/>
    <n v="1"/>
  </r>
  <r>
    <n v="1242"/>
    <d v="2024-08-29T00:00:00"/>
    <s v="Basic"/>
    <n v="199"/>
    <n v="1.8"/>
    <n v="2"/>
    <x v="0"/>
    <n v="13"/>
    <n v="8"/>
    <s v="Yes"/>
    <s v="Yes"/>
    <s v="Yes"/>
    <s v="No"/>
    <s v="No"/>
    <s v="No"/>
    <m/>
    <x v="0"/>
    <n v="1"/>
  </r>
  <r>
    <n v="1243"/>
    <d v="2023-06-18T00:00:00"/>
    <s v="Premium"/>
    <n v="699"/>
    <n v="6.3"/>
    <n v="1"/>
    <x v="2"/>
    <n v="14"/>
    <n v="46"/>
    <s v="Yes"/>
    <s v="No"/>
    <s v="Yes"/>
    <s v="No"/>
    <s v="Yes"/>
    <s v="No"/>
    <m/>
    <x v="0"/>
    <n v="1"/>
  </r>
  <r>
    <n v="1244"/>
    <d v="2024-08-13T00:00:00"/>
    <s v="Premium"/>
    <n v="699"/>
    <n v="6.5"/>
    <n v="2"/>
    <x v="5"/>
    <n v="13"/>
    <n v="15"/>
    <s v="Yes"/>
    <s v="No"/>
    <s v="Yes"/>
    <s v="No"/>
    <s v="Yes"/>
    <s v="No"/>
    <m/>
    <x v="0"/>
    <n v="1"/>
  </r>
  <r>
    <n v="1245"/>
    <d v="2024-02-12T00:00:00"/>
    <s v="Standard"/>
    <n v="399"/>
    <n v="7.2"/>
    <n v="7"/>
    <x v="1"/>
    <n v="13"/>
    <n v="60"/>
    <s v="No"/>
    <s v="No"/>
    <s v="No"/>
    <s v="Yes"/>
    <s v="Yes"/>
    <s v="No"/>
    <m/>
    <x v="1"/>
    <n v="0"/>
  </r>
  <r>
    <n v="1246"/>
    <d v="2023-06-09T00:00:00"/>
    <s v="Standard"/>
    <n v="399"/>
    <n v="12"/>
    <n v="6"/>
    <x v="5"/>
    <n v="11"/>
    <n v="39"/>
    <s v="Yes"/>
    <s v="No"/>
    <s v="Yes"/>
    <s v="Yes"/>
    <s v="Yes"/>
    <s v="No"/>
    <m/>
    <x v="0"/>
    <n v="1"/>
  </r>
  <r>
    <n v="1247"/>
    <d v="2023-11-04T00:00:00"/>
    <s v="Standard"/>
    <n v="399"/>
    <n v="19.2"/>
    <n v="6"/>
    <x v="1"/>
    <n v="2"/>
    <n v="48"/>
    <s v="No"/>
    <s v="No"/>
    <s v="No"/>
    <s v="Yes"/>
    <s v="Yes"/>
    <s v="Yes"/>
    <m/>
    <x v="1"/>
    <n v="0"/>
  </r>
  <r>
    <n v="1248"/>
    <d v="2024-04-09T00:00:00"/>
    <s v="Premium"/>
    <n v="699"/>
    <n v="4.2"/>
    <n v="2"/>
    <x v="3"/>
    <n v="35"/>
    <n v="24"/>
    <s v="Yes"/>
    <s v="Yes"/>
    <s v="Yes"/>
    <s v="No"/>
    <s v="Yes"/>
    <s v="No"/>
    <m/>
    <x v="0"/>
    <n v="1"/>
  </r>
  <r>
    <n v="1249"/>
    <d v="2024-04-25T00:00:00"/>
    <s v="Standard"/>
    <n v="399"/>
    <n v="14.3"/>
    <n v="7"/>
    <x v="1"/>
    <n v="25"/>
    <n v="21"/>
    <s v="Yes"/>
    <s v="No"/>
    <s v="No"/>
    <s v="Yes"/>
    <s v="Yes"/>
    <s v="No"/>
    <m/>
    <x v="1"/>
    <n v="1"/>
  </r>
  <r>
    <n v="1250"/>
    <d v="2024-01-19T00:00:00"/>
    <s v="Basic"/>
    <n v="199"/>
    <n v="22.9"/>
    <n v="0"/>
    <x v="1"/>
    <n v="10"/>
    <n v="55"/>
    <s v="No"/>
    <s v="No"/>
    <s v="No"/>
    <s v="No"/>
    <s v="Yes"/>
    <s v="No"/>
    <m/>
    <x v="1"/>
    <n v="0"/>
  </r>
  <r>
    <n v="1251"/>
    <d v="2023-11-12T00:00:00"/>
    <s v="Standard"/>
    <n v="399"/>
    <n v="23.2"/>
    <n v="6"/>
    <x v="4"/>
    <n v="26"/>
    <n v="23"/>
    <s v="Yes"/>
    <s v="No"/>
    <s v="Yes"/>
    <s v="Yes"/>
    <s v="Yes"/>
    <s v="No"/>
    <m/>
    <x v="0"/>
    <n v="1"/>
  </r>
  <r>
    <n v="1252"/>
    <d v="2023-06-16T00:00:00"/>
    <s v="Premium"/>
    <n v="699"/>
    <n v="10.5"/>
    <n v="0"/>
    <x v="1"/>
    <n v="5"/>
    <n v="24"/>
    <s v="No"/>
    <s v="No"/>
    <s v="No"/>
    <s v="No"/>
    <s v="Yes"/>
    <s v="Yes"/>
    <m/>
    <x v="1"/>
    <n v="0"/>
  </r>
  <r>
    <n v="1253"/>
    <d v="2024-12-06T00:00:00"/>
    <s v="Basic"/>
    <n v="199"/>
    <n v="23.9"/>
    <n v="5"/>
    <x v="5"/>
    <n v="28"/>
    <n v="45"/>
    <s v="Yes"/>
    <s v="No"/>
    <s v="Yes"/>
    <s v="Yes"/>
    <s v="Yes"/>
    <s v="No"/>
    <m/>
    <x v="0"/>
    <n v="1"/>
  </r>
  <r>
    <n v="1254"/>
    <d v="2023-02-05T00:00:00"/>
    <s v="Standard"/>
    <n v="399"/>
    <n v="16.399999999999999"/>
    <n v="6"/>
    <x v="4"/>
    <n v="4"/>
    <n v="15"/>
    <s v="Yes"/>
    <s v="No"/>
    <s v="Yes"/>
    <s v="Yes"/>
    <s v="Yes"/>
    <s v="Yes"/>
    <m/>
    <x v="0"/>
    <n v="1"/>
  </r>
  <r>
    <n v="1255"/>
    <d v="2024-11-28T00:00:00"/>
    <s v="Standard"/>
    <n v="399"/>
    <n v="17.600000000000001"/>
    <n v="2"/>
    <x v="3"/>
    <n v="2"/>
    <n v="38"/>
    <s v="Yes"/>
    <s v="No"/>
    <s v="Yes"/>
    <s v="No"/>
    <s v="Yes"/>
    <s v="Yes"/>
    <m/>
    <x v="0"/>
    <n v="1"/>
  </r>
  <r>
    <n v="1256"/>
    <d v="2024-10-21T00:00:00"/>
    <s v="Basic"/>
    <n v="199"/>
    <n v="6.6"/>
    <n v="2"/>
    <x v="1"/>
    <n v="17"/>
    <n v="7"/>
    <s v="No"/>
    <s v="No"/>
    <s v="No"/>
    <s v="No"/>
    <s v="No"/>
    <s v="No"/>
    <m/>
    <x v="1"/>
    <n v="0"/>
  </r>
  <r>
    <n v="1257"/>
    <d v="2024-03-09T00:00:00"/>
    <s v="Premium"/>
    <n v="699"/>
    <n v="10.199999999999999"/>
    <n v="1"/>
    <x v="5"/>
    <n v="25"/>
    <n v="58"/>
    <s v="Yes"/>
    <s v="No"/>
    <s v="Yes"/>
    <s v="No"/>
    <s v="Yes"/>
    <s v="No"/>
    <m/>
    <x v="0"/>
    <n v="1"/>
  </r>
  <r>
    <n v="1258"/>
    <d v="2024-01-27T00:00:00"/>
    <s v="Basic"/>
    <n v="199"/>
    <n v="6.7"/>
    <n v="4"/>
    <x v="5"/>
    <n v="28"/>
    <n v="34"/>
    <s v="Yes"/>
    <s v="No"/>
    <s v="Yes"/>
    <s v="No"/>
    <s v="Yes"/>
    <s v="No"/>
    <m/>
    <x v="0"/>
    <n v="1"/>
  </r>
  <r>
    <n v="1259"/>
    <d v="2023-12-19T00:00:00"/>
    <s v="Premium"/>
    <n v="699"/>
    <n v="18.5"/>
    <n v="1"/>
    <x v="1"/>
    <n v="20"/>
    <n v="40"/>
    <s v="No"/>
    <s v="No"/>
    <s v="No"/>
    <s v="No"/>
    <s v="Yes"/>
    <s v="No"/>
    <m/>
    <x v="1"/>
    <n v="0"/>
  </r>
  <r>
    <n v="1260"/>
    <d v="2023-06-22T00:00:00"/>
    <s v="Basic"/>
    <n v="199"/>
    <n v="18.8"/>
    <n v="6"/>
    <x v="4"/>
    <n v="18"/>
    <n v="19"/>
    <s v="Yes"/>
    <s v="No"/>
    <s v="Yes"/>
    <s v="Yes"/>
    <s v="Yes"/>
    <s v="No"/>
    <m/>
    <x v="0"/>
    <n v="1"/>
  </r>
  <r>
    <n v="1261"/>
    <d v="2024-03-17T00:00:00"/>
    <s v="Standard"/>
    <n v="399"/>
    <n v="2.9"/>
    <n v="6"/>
    <x v="5"/>
    <n v="1"/>
    <n v="26"/>
    <s v="Yes"/>
    <s v="Yes"/>
    <s v="Yes"/>
    <s v="Yes"/>
    <s v="Yes"/>
    <s v="Yes"/>
    <m/>
    <x v="0"/>
    <n v="1"/>
  </r>
  <r>
    <n v="1262"/>
    <d v="2023-04-23T00:00:00"/>
    <s v="Basic"/>
    <n v="199"/>
    <n v="9.6999999999999993"/>
    <n v="2"/>
    <x v="0"/>
    <n v="12"/>
    <n v="31"/>
    <s v="Yes"/>
    <s v="No"/>
    <s v="Yes"/>
    <s v="No"/>
    <s v="Yes"/>
    <s v="No"/>
    <m/>
    <x v="0"/>
    <n v="1"/>
  </r>
  <r>
    <n v="1263"/>
    <d v="2023-07-16T00:00:00"/>
    <s v="Standard"/>
    <n v="399"/>
    <n v="5"/>
    <n v="0"/>
    <x v="4"/>
    <n v="14"/>
    <n v="11"/>
    <s v="No"/>
    <s v="No"/>
    <s v="Yes"/>
    <s v="No"/>
    <s v="No"/>
    <s v="No"/>
    <m/>
    <x v="0"/>
    <n v="0"/>
  </r>
  <r>
    <n v="1264"/>
    <d v="2023-03-29T00:00:00"/>
    <s v="Standard"/>
    <n v="399"/>
    <n v="11.3"/>
    <n v="1"/>
    <x v="4"/>
    <n v="27"/>
    <n v="10"/>
    <s v="Yes"/>
    <s v="No"/>
    <s v="Yes"/>
    <s v="No"/>
    <s v="No"/>
    <s v="No"/>
    <m/>
    <x v="0"/>
    <n v="1"/>
  </r>
  <r>
    <n v="1265"/>
    <d v="2024-05-11T00:00:00"/>
    <s v="Standard"/>
    <n v="399"/>
    <n v="7.3"/>
    <n v="5"/>
    <x v="1"/>
    <n v="8"/>
    <n v="37"/>
    <s v="Yes"/>
    <s v="No"/>
    <s v="No"/>
    <s v="Yes"/>
    <s v="Yes"/>
    <s v="No"/>
    <m/>
    <x v="1"/>
    <n v="1"/>
  </r>
  <r>
    <n v="1266"/>
    <d v="2023-02-12T00:00:00"/>
    <s v="Premium"/>
    <n v="699"/>
    <n v="0.7"/>
    <n v="4"/>
    <x v="1"/>
    <n v="7"/>
    <n v="42"/>
    <s v="Yes"/>
    <s v="Yes"/>
    <s v="No"/>
    <s v="No"/>
    <s v="Yes"/>
    <s v="No"/>
    <m/>
    <x v="1"/>
    <n v="1"/>
  </r>
  <r>
    <n v="1267"/>
    <d v="2023-09-30T00:00:00"/>
    <s v="Basic"/>
    <n v="199"/>
    <n v="13.3"/>
    <n v="0"/>
    <x v="2"/>
    <n v="14"/>
    <n v="38"/>
    <s v="Yes"/>
    <s v="No"/>
    <s v="Yes"/>
    <s v="No"/>
    <s v="Yes"/>
    <s v="No"/>
    <m/>
    <x v="0"/>
    <n v="1"/>
  </r>
  <r>
    <n v="1268"/>
    <d v="2023-12-18T00:00:00"/>
    <s v="Standard"/>
    <n v="399"/>
    <n v="19"/>
    <n v="6"/>
    <x v="3"/>
    <n v="31"/>
    <n v="23"/>
    <s v="Yes"/>
    <s v="No"/>
    <s v="Yes"/>
    <s v="Yes"/>
    <s v="Yes"/>
    <s v="No"/>
    <m/>
    <x v="0"/>
    <n v="1"/>
  </r>
  <r>
    <n v="1269"/>
    <d v="2023-12-31T00:00:00"/>
    <s v="Standard"/>
    <n v="399"/>
    <n v="23.6"/>
    <n v="6"/>
    <x v="2"/>
    <n v="16"/>
    <n v="39"/>
    <s v="Yes"/>
    <s v="No"/>
    <s v="Yes"/>
    <s v="Yes"/>
    <s v="Yes"/>
    <s v="No"/>
    <m/>
    <x v="0"/>
    <n v="1"/>
  </r>
  <r>
    <n v="1270"/>
    <d v="2023-05-23T00:00:00"/>
    <s v="Standard"/>
    <n v="399"/>
    <n v="0.6"/>
    <n v="6"/>
    <x v="4"/>
    <n v="7"/>
    <n v="53"/>
    <s v="Yes"/>
    <s v="Yes"/>
    <s v="Yes"/>
    <s v="Yes"/>
    <s v="Yes"/>
    <s v="No"/>
    <m/>
    <x v="0"/>
    <n v="1"/>
  </r>
  <r>
    <n v="1271"/>
    <d v="2024-01-13T00:00:00"/>
    <s v="Basic"/>
    <n v="199"/>
    <n v="21.8"/>
    <n v="4"/>
    <x v="4"/>
    <n v="8"/>
    <n v="48"/>
    <s v="No"/>
    <s v="No"/>
    <s v="Yes"/>
    <s v="No"/>
    <s v="Yes"/>
    <s v="No"/>
    <m/>
    <x v="0"/>
    <n v="0"/>
  </r>
  <r>
    <n v="1272"/>
    <d v="2023-11-26T00:00:00"/>
    <s v="Standard"/>
    <n v="399"/>
    <n v="13.1"/>
    <n v="3"/>
    <x v="1"/>
    <n v="31"/>
    <n v="40"/>
    <s v="No"/>
    <s v="No"/>
    <s v="No"/>
    <s v="No"/>
    <s v="Yes"/>
    <s v="No"/>
    <m/>
    <x v="1"/>
    <n v="0"/>
  </r>
  <r>
    <n v="1273"/>
    <d v="2024-05-11T00:00:00"/>
    <s v="Basic"/>
    <n v="199"/>
    <n v="21.9"/>
    <n v="5"/>
    <x v="4"/>
    <n v="24"/>
    <n v="28"/>
    <s v="Yes"/>
    <s v="No"/>
    <s v="Yes"/>
    <s v="Yes"/>
    <s v="Yes"/>
    <s v="No"/>
    <m/>
    <x v="0"/>
    <n v="1"/>
  </r>
  <r>
    <n v="1274"/>
    <d v="2023-04-13T00:00:00"/>
    <s v="Standard"/>
    <n v="399"/>
    <n v="9"/>
    <n v="7"/>
    <x v="4"/>
    <n v="6"/>
    <n v="54"/>
    <s v="Yes"/>
    <s v="No"/>
    <s v="Yes"/>
    <s v="Yes"/>
    <s v="Yes"/>
    <s v="No"/>
    <m/>
    <x v="0"/>
    <n v="1"/>
  </r>
  <r>
    <n v="1275"/>
    <d v="2024-08-08T00:00:00"/>
    <s v="Premium"/>
    <n v="699"/>
    <n v="7.7"/>
    <n v="3"/>
    <x v="4"/>
    <n v="25"/>
    <n v="9"/>
    <s v="No"/>
    <s v="No"/>
    <s v="Yes"/>
    <s v="No"/>
    <s v="No"/>
    <s v="No"/>
    <m/>
    <x v="0"/>
    <n v="0"/>
  </r>
  <r>
    <n v="1276"/>
    <d v="2024-07-15T00:00:00"/>
    <s v="Premium"/>
    <n v="699"/>
    <n v="1.3"/>
    <n v="7"/>
    <x v="1"/>
    <n v="33"/>
    <n v="19"/>
    <s v="No"/>
    <s v="Yes"/>
    <s v="No"/>
    <s v="Yes"/>
    <s v="Yes"/>
    <s v="No"/>
    <m/>
    <x v="1"/>
    <n v="0"/>
  </r>
  <r>
    <n v="1277"/>
    <d v="2023-09-07T00:00:00"/>
    <s v="Standard"/>
    <n v="399"/>
    <n v="22.5"/>
    <n v="1"/>
    <x v="2"/>
    <n v="11"/>
    <n v="42"/>
    <s v="Yes"/>
    <s v="No"/>
    <s v="Yes"/>
    <s v="No"/>
    <s v="Yes"/>
    <s v="No"/>
    <m/>
    <x v="0"/>
    <n v="1"/>
  </r>
  <r>
    <n v="1278"/>
    <d v="2023-01-30T00:00:00"/>
    <s v="Basic"/>
    <n v="199"/>
    <n v="19"/>
    <n v="1"/>
    <x v="1"/>
    <n v="11"/>
    <n v="27"/>
    <s v="No"/>
    <s v="No"/>
    <s v="No"/>
    <s v="No"/>
    <s v="Yes"/>
    <s v="No"/>
    <m/>
    <x v="1"/>
    <n v="0"/>
  </r>
  <r>
    <n v="1279"/>
    <d v="2024-05-02T00:00:00"/>
    <s v="Basic"/>
    <n v="199"/>
    <n v="22.6"/>
    <n v="4"/>
    <x v="0"/>
    <n v="21"/>
    <n v="46"/>
    <s v="Yes"/>
    <s v="No"/>
    <s v="Yes"/>
    <s v="No"/>
    <s v="Yes"/>
    <s v="No"/>
    <m/>
    <x v="0"/>
    <n v="1"/>
  </r>
  <r>
    <n v="1280"/>
    <d v="2024-12-09T00:00:00"/>
    <s v="Premium"/>
    <n v="699"/>
    <n v="16.8"/>
    <n v="8"/>
    <x v="4"/>
    <n v="8"/>
    <n v="46"/>
    <s v="Yes"/>
    <s v="No"/>
    <s v="Yes"/>
    <s v="Yes"/>
    <s v="Yes"/>
    <s v="No"/>
    <m/>
    <x v="0"/>
    <n v="1"/>
  </r>
  <r>
    <n v="1281"/>
    <d v="2024-01-26T00:00:00"/>
    <s v="Standard"/>
    <n v="399"/>
    <n v="23.3"/>
    <n v="1"/>
    <x v="4"/>
    <n v="15"/>
    <n v="21"/>
    <s v="Yes"/>
    <s v="No"/>
    <s v="Yes"/>
    <s v="No"/>
    <s v="Yes"/>
    <s v="No"/>
    <m/>
    <x v="0"/>
    <n v="1"/>
  </r>
  <r>
    <n v="1282"/>
    <d v="2023-10-25T00:00:00"/>
    <s v="Premium"/>
    <n v="699"/>
    <n v="24.2"/>
    <n v="6"/>
    <x v="0"/>
    <n v="36"/>
    <n v="14"/>
    <s v="No"/>
    <s v="No"/>
    <s v="Yes"/>
    <s v="Yes"/>
    <s v="No"/>
    <s v="No"/>
    <m/>
    <x v="0"/>
    <n v="0"/>
  </r>
  <r>
    <n v="1283"/>
    <d v="2024-01-12T00:00:00"/>
    <s v="Basic"/>
    <n v="199"/>
    <n v="2.7"/>
    <n v="3"/>
    <x v="4"/>
    <n v="8"/>
    <n v="60"/>
    <s v="Yes"/>
    <s v="Yes"/>
    <s v="Yes"/>
    <s v="No"/>
    <s v="Yes"/>
    <s v="No"/>
    <m/>
    <x v="0"/>
    <n v="1"/>
  </r>
  <r>
    <n v="1284"/>
    <d v="2023-07-14T00:00:00"/>
    <s v="Basic"/>
    <n v="199"/>
    <n v="23.9"/>
    <n v="0"/>
    <x v="3"/>
    <n v="21"/>
    <n v="3"/>
    <s v="No"/>
    <s v="No"/>
    <s v="Yes"/>
    <s v="No"/>
    <s v="No"/>
    <s v="No"/>
    <m/>
    <x v="0"/>
    <n v="0"/>
  </r>
  <r>
    <n v="1285"/>
    <d v="2024-06-16T00:00:00"/>
    <s v="Standard"/>
    <n v="399"/>
    <n v="8.3000000000000007"/>
    <n v="5"/>
    <x v="4"/>
    <n v="28"/>
    <n v="59"/>
    <s v="No"/>
    <s v="No"/>
    <s v="Yes"/>
    <s v="Yes"/>
    <s v="Yes"/>
    <s v="No"/>
    <m/>
    <x v="0"/>
    <n v="0"/>
  </r>
  <r>
    <n v="1286"/>
    <d v="2023-05-29T00:00:00"/>
    <s v="Premium"/>
    <n v="699"/>
    <n v="3.1"/>
    <n v="0"/>
    <x v="5"/>
    <n v="15"/>
    <n v="54"/>
    <s v="Yes"/>
    <s v="Yes"/>
    <s v="Yes"/>
    <s v="No"/>
    <s v="Yes"/>
    <s v="No"/>
    <m/>
    <x v="0"/>
    <n v="1"/>
  </r>
  <r>
    <n v="1287"/>
    <d v="2024-11-12T00:00:00"/>
    <s v="Standard"/>
    <n v="399"/>
    <n v="12.7"/>
    <n v="7"/>
    <x v="0"/>
    <n v="15"/>
    <n v="38"/>
    <s v="Yes"/>
    <s v="No"/>
    <s v="Yes"/>
    <s v="Yes"/>
    <s v="Yes"/>
    <s v="No"/>
    <m/>
    <x v="0"/>
    <n v="1"/>
  </r>
  <r>
    <n v="1288"/>
    <d v="2024-12-24T00:00:00"/>
    <s v="Premium"/>
    <n v="699"/>
    <n v="15.2"/>
    <n v="4"/>
    <x v="5"/>
    <n v="3"/>
    <n v="44"/>
    <s v="Yes"/>
    <s v="No"/>
    <s v="Yes"/>
    <s v="No"/>
    <s v="Yes"/>
    <s v="Yes"/>
    <m/>
    <x v="0"/>
    <n v="1"/>
  </r>
  <r>
    <n v="1289"/>
    <d v="2024-01-21T00:00:00"/>
    <s v="Premium"/>
    <n v="699"/>
    <n v="16"/>
    <n v="3"/>
    <x v="2"/>
    <n v="31"/>
    <n v="18"/>
    <s v="No"/>
    <s v="No"/>
    <s v="Yes"/>
    <s v="No"/>
    <s v="Yes"/>
    <s v="No"/>
    <m/>
    <x v="0"/>
    <n v="0"/>
  </r>
  <r>
    <n v="1290"/>
    <d v="2024-12-18T00:00:00"/>
    <s v="Basic"/>
    <n v="199"/>
    <n v="4.2"/>
    <n v="3"/>
    <x v="4"/>
    <n v="22"/>
    <n v="59"/>
    <s v="Yes"/>
    <s v="Yes"/>
    <s v="Yes"/>
    <s v="No"/>
    <s v="Yes"/>
    <s v="No"/>
    <m/>
    <x v="0"/>
    <n v="1"/>
  </r>
  <r>
    <n v="1291"/>
    <d v="2024-11-06T00:00:00"/>
    <s v="Premium"/>
    <n v="699"/>
    <n v="23.1"/>
    <n v="2"/>
    <x v="2"/>
    <n v="4"/>
    <n v="46"/>
    <s v="Yes"/>
    <s v="No"/>
    <s v="Yes"/>
    <s v="No"/>
    <s v="Yes"/>
    <s v="Yes"/>
    <m/>
    <x v="0"/>
    <n v="1"/>
  </r>
  <r>
    <n v="1292"/>
    <d v="2023-12-23T00:00:00"/>
    <s v="Basic"/>
    <n v="199"/>
    <n v="13.9"/>
    <n v="5"/>
    <x v="2"/>
    <n v="2"/>
    <n v="43"/>
    <s v="Yes"/>
    <s v="No"/>
    <s v="Yes"/>
    <s v="Yes"/>
    <s v="Yes"/>
    <s v="Yes"/>
    <m/>
    <x v="0"/>
    <n v="1"/>
  </r>
  <r>
    <n v="1293"/>
    <d v="2024-12-18T00:00:00"/>
    <s v="Standard"/>
    <n v="399"/>
    <n v="2.2999999999999998"/>
    <n v="4"/>
    <x v="3"/>
    <n v="26"/>
    <n v="44"/>
    <s v="Yes"/>
    <s v="Yes"/>
    <s v="Yes"/>
    <s v="No"/>
    <s v="Yes"/>
    <s v="No"/>
    <m/>
    <x v="0"/>
    <n v="1"/>
  </r>
  <r>
    <n v="1294"/>
    <d v="2024-12-27T00:00:00"/>
    <s v="Premium"/>
    <n v="699"/>
    <n v="2.9"/>
    <n v="5"/>
    <x v="5"/>
    <n v="26"/>
    <n v="55"/>
    <s v="Yes"/>
    <s v="Yes"/>
    <s v="Yes"/>
    <s v="Yes"/>
    <s v="Yes"/>
    <s v="No"/>
    <m/>
    <x v="0"/>
    <n v="1"/>
  </r>
  <r>
    <n v="1295"/>
    <d v="2023-05-29T00:00:00"/>
    <s v="Standard"/>
    <n v="399"/>
    <n v="16.5"/>
    <n v="2"/>
    <x v="2"/>
    <n v="30"/>
    <n v="44"/>
    <s v="Yes"/>
    <s v="No"/>
    <s v="Yes"/>
    <s v="No"/>
    <s v="Yes"/>
    <s v="No"/>
    <m/>
    <x v="0"/>
    <n v="1"/>
  </r>
  <r>
    <n v="1296"/>
    <d v="2024-08-12T00:00:00"/>
    <s v="Basic"/>
    <n v="199"/>
    <n v="20.2"/>
    <n v="3"/>
    <x v="4"/>
    <n v="14"/>
    <n v="41"/>
    <s v="Yes"/>
    <s v="No"/>
    <s v="Yes"/>
    <s v="No"/>
    <s v="Yes"/>
    <s v="No"/>
    <m/>
    <x v="0"/>
    <n v="1"/>
  </r>
  <r>
    <n v="1297"/>
    <d v="2023-02-27T00:00:00"/>
    <s v="Basic"/>
    <n v="199"/>
    <n v="9.6999999999999993"/>
    <n v="6"/>
    <x v="4"/>
    <n v="10"/>
    <n v="53"/>
    <s v="Yes"/>
    <s v="No"/>
    <s v="Yes"/>
    <s v="Yes"/>
    <s v="Yes"/>
    <s v="No"/>
    <m/>
    <x v="0"/>
    <n v="1"/>
  </r>
  <r>
    <n v="1298"/>
    <d v="2024-10-27T00:00:00"/>
    <s v="Basic"/>
    <n v="199"/>
    <n v="24.4"/>
    <n v="2"/>
    <x v="1"/>
    <n v="23"/>
    <n v="7"/>
    <s v="No"/>
    <s v="No"/>
    <s v="No"/>
    <s v="No"/>
    <s v="No"/>
    <s v="No"/>
    <m/>
    <x v="1"/>
    <n v="0"/>
  </r>
  <r>
    <n v="1299"/>
    <d v="2024-02-11T00:00:00"/>
    <s v="Standard"/>
    <n v="399"/>
    <n v="24.3"/>
    <n v="6"/>
    <x v="0"/>
    <n v="28"/>
    <n v="2"/>
    <s v="Yes"/>
    <s v="No"/>
    <s v="Yes"/>
    <s v="Yes"/>
    <s v="No"/>
    <s v="No"/>
    <m/>
    <x v="0"/>
    <n v="1"/>
  </r>
  <r>
    <n v="1300"/>
    <d v="2024-12-09T00:00:00"/>
    <s v="Standard"/>
    <n v="399"/>
    <n v="17.399999999999999"/>
    <n v="2"/>
    <x v="4"/>
    <n v="20"/>
    <n v="47"/>
    <s v="Yes"/>
    <s v="No"/>
    <s v="Yes"/>
    <s v="No"/>
    <s v="Yes"/>
    <s v="No"/>
    <m/>
    <x v="0"/>
    <n v="1"/>
  </r>
  <r>
    <n v="1301"/>
    <d v="2024-01-12T00:00:00"/>
    <s v="Premium"/>
    <n v="699"/>
    <n v="19.600000000000001"/>
    <n v="6"/>
    <x v="3"/>
    <n v="6"/>
    <n v="40"/>
    <s v="Yes"/>
    <s v="No"/>
    <s v="Yes"/>
    <s v="Yes"/>
    <s v="Yes"/>
    <s v="No"/>
    <m/>
    <x v="0"/>
    <n v="1"/>
  </r>
  <r>
    <n v="1302"/>
    <d v="2024-06-05T00:00:00"/>
    <s v="Basic"/>
    <n v="199"/>
    <n v="3.4"/>
    <n v="1"/>
    <x v="2"/>
    <n v="8"/>
    <n v="41"/>
    <s v="Yes"/>
    <s v="Yes"/>
    <s v="Yes"/>
    <s v="No"/>
    <s v="Yes"/>
    <s v="No"/>
    <m/>
    <x v="0"/>
    <n v="1"/>
  </r>
  <r>
    <n v="1303"/>
    <d v="2024-08-30T00:00:00"/>
    <s v="Basic"/>
    <n v="199"/>
    <n v="14.9"/>
    <n v="7"/>
    <x v="3"/>
    <n v="2"/>
    <n v="44"/>
    <s v="Yes"/>
    <s v="No"/>
    <s v="Yes"/>
    <s v="Yes"/>
    <s v="Yes"/>
    <s v="Yes"/>
    <m/>
    <x v="0"/>
    <n v="1"/>
  </r>
  <r>
    <n v="1304"/>
    <d v="2023-11-30T00:00:00"/>
    <s v="Basic"/>
    <n v="199"/>
    <n v="12.4"/>
    <n v="6"/>
    <x v="3"/>
    <n v="25"/>
    <n v="36"/>
    <s v="Yes"/>
    <s v="No"/>
    <s v="Yes"/>
    <s v="Yes"/>
    <s v="Yes"/>
    <s v="No"/>
    <m/>
    <x v="0"/>
    <n v="1"/>
  </r>
  <r>
    <n v="1305"/>
    <d v="2024-06-26T00:00:00"/>
    <s v="Basic"/>
    <n v="199"/>
    <n v="5"/>
    <n v="0"/>
    <x v="2"/>
    <n v="35"/>
    <n v="35"/>
    <s v="No"/>
    <s v="No"/>
    <s v="Yes"/>
    <s v="No"/>
    <s v="Yes"/>
    <s v="No"/>
    <m/>
    <x v="0"/>
    <n v="0"/>
  </r>
  <r>
    <n v="1306"/>
    <d v="2023-05-08T00:00:00"/>
    <s v="Standard"/>
    <n v="399"/>
    <n v="13.2"/>
    <n v="8"/>
    <x v="4"/>
    <n v="5"/>
    <n v="52"/>
    <s v="No"/>
    <s v="No"/>
    <s v="Yes"/>
    <s v="Yes"/>
    <s v="Yes"/>
    <s v="Yes"/>
    <m/>
    <x v="0"/>
    <n v="0"/>
  </r>
  <r>
    <n v="1307"/>
    <d v="2023-11-18T00:00:00"/>
    <s v="Basic"/>
    <n v="199"/>
    <n v="4.9000000000000004"/>
    <n v="2"/>
    <x v="1"/>
    <n v="8"/>
    <n v="35"/>
    <s v="Yes"/>
    <s v="Yes"/>
    <s v="No"/>
    <s v="No"/>
    <s v="Yes"/>
    <s v="No"/>
    <m/>
    <x v="1"/>
    <n v="1"/>
  </r>
  <r>
    <n v="1308"/>
    <d v="2023-09-20T00:00:00"/>
    <s v="Basic"/>
    <n v="199"/>
    <n v="3.7"/>
    <n v="3"/>
    <x v="4"/>
    <n v="3"/>
    <n v="10"/>
    <s v="Yes"/>
    <s v="Yes"/>
    <s v="Yes"/>
    <s v="No"/>
    <s v="No"/>
    <s v="Yes"/>
    <m/>
    <x v="0"/>
    <n v="1"/>
  </r>
  <r>
    <n v="1309"/>
    <d v="2023-06-25T00:00:00"/>
    <s v="Basic"/>
    <n v="199"/>
    <n v="24.5"/>
    <n v="8"/>
    <x v="3"/>
    <n v="6"/>
    <n v="23"/>
    <s v="No"/>
    <s v="No"/>
    <s v="Yes"/>
    <s v="Yes"/>
    <s v="Yes"/>
    <s v="No"/>
    <m/>
    <x v="0"/>
    <n v="0"/>
  </r>
  <r>
    <n v="1310"/>
    <d v="2024-11-05T00:00:00"/>
    <s v="Standard"/>
    <n v="399"/>
    <n v="6.6"/>
    <n v="0"/>
    <x v="5"/>
    <n v="1"/>
    <n v="57"/>
    <s v="No"/>
    <s v="No"/>
    <s v="Yes"/>
    <s v="No"/>
    <s v="Yes"/>
    <s v="Yes"/>
    <m/>
    <x v="0"/>
    <n v="0"/>
  </r>
  <r>
    <n v="1311"/>
    <d v="2023-12-27T00:00:00"/>
    <s v="Premium"/>
    <n v="699"/>
    <n v="3.9"/>
    <n v="7"/>
    <x v="4"/>
    <n v="29"/>
    <n v="20"/>
    <s v="Yes"/>
    <s v="Yes"/>
    <s v="Yes"/>
    <s v="Yes"/>
    <s v="Yes"/>
    <s v="No"/>
    <m/>
    <x v="0"/>
    <n v="1"/>
  </r>
  <r>
    <n v="1312"/>
    <d v="2023-02-07T00:00:00"/>
    <s v="Premium"/>
    <n v="699"/>
    <n v="13"/>
    <n v="1"/>
    <x v="4"/>
    <n v="35"/>
    <n v="52"/>
    <s v="Yes"/>
    <s v="No"/>
    <s v="Yes"/>
    <s v="No"/>
    <s v="Yes"/>
    <s v="No"/>
    <m/>
    <x v="0"/>
    <n v="1"/>
  </r>
  <r>
    <n v="1313"/>
    <d v="2024-08-28T00:00:00"/>
    <s v="Basic"/>
    <n v="199"/>
    <n v="7.8"/>
    <n v="3"/>
    <x v="0"/>
    <n v="10"/>
    <n v="38"/>
    <s v="No"/>
    <s v="No"/>
    <s v="Yes"/>
    <s v="No"/>
    <s v="Yes"/>
    <s v="No"/>
    <m/>
    <x v="0"/>
    <n v="0"/>
  </r>
  <r>
    <n v="1314"/>
    <d v="2024-01-26T00:00:00"/>
    <s v="Standard"/>
    <n v="399"/>
    <n v="3.6"/>
    <n v="6"/>
    <x v="1"/>
    <n v="18"/>
    <n v="35"/>
    <s v="Yes"/>
    <s v="Yes"/>
    <s v="No"/>
    <s v="Yes"/>
    <s v="Yes"/>
    <s v="No"/>
    <m/>
    <x v="1"/>
    <n v="1"/>
  </r>
  <r>
    <n v="1315"/>
    <d v="2024-12-12T00:00:00"/>
    <s v="Premium"/>
    <n v="699"/>
    <n v="10.3"/>
    <n v="1"/>
    <x v="3"/>
    <n v="11"/>
    <n v="43"/>
    <s v="Yes"/>
    <s v="No"/>
    <s v="Yes"/>
    <s v="No"/>
    <s v="Yes"/>
    <s v="No"/>
    <m/>
    <x v="0"/>
    <n v="1"/>
  </r>
  <r>
    <n v="1316"/>
    <d v="2024-01-17T00:00:00"/>
    <s v="Basic"/>
    <n v="199"/>
    <n v="5.5"/>
    <n v="4"/>
    <x v="4"/>
    <n v="35"/>
    <n v="44"/>
    <s v="Yes"/>
    <s v="No"/>
    <s v="Yes"/>
    <s v="No"/>
    <s v="Yes"/>
    <s v="No"/>
    <m/>
    <x v="0"/>
    <n v="1"/>
  </r>
  <r>
    <n v="1317"/>
    <d v="2024-03-20T00:00:00"/>
    <s v="Premium"/>
    <n v="699"/>
    <n v="15.3"/>
    <n v="6"/>
    <x v="0"/>
    <n v="33"/>
    <n v="20"/>
    <s v="No"/>
    <s v="No"/>
    <s v="Yes"/>
    <s v="Yes"/>
    <s v="Yes"/>
    <s v="No"/>
    <m/>
    <x v="0"/>
    <n v="0"/>
  </r>
  <r>
    <n v="1318"/>
    <d v="2023-04-23T00:00:00"/>
    <s v="Standard"/>
    <n v="399"/>
    <n v="24.1"/>
    <n v="3"/>
    <x v="1"/>
    <n v="2"/>
    <n v="17"/>
    <s v="No"/>
    <s v="No"/>
    <s v="No"/>
    <s v="No"/>
    <s v="Yes"/>
    <s v="Yes"/>
    <m/>
    <x v="1"/>
    <n v="0"/>
  </r>
  <r>
    <n v="1319"/>
    <d v="2023-12-08T00:00:00"/>
    <s v="Premium"/>
    <n v="699"/>
    <n v="10.5"/>
    <n v="5"/>
    <x v="4"/>
    <n v="36"/>
    <n v="5"/>
    <s v="Yes"/>
    <s v="No"/>
    <s v="Yes"/>
    <s v="Yes"/>
    <s v="No"/>
    <s v="No"/>
    <m/>
    <x v="0"/>
    <n v="1"/>
  </r>
  <r>
    <n v="1320"/>
    <d v="2023-08-16T00:00:00"/>
    <s v="Standard"/>
    <n v="399"/>
    <n v="21.8"/>
    <n v="3"/>
    <x v="3"/>
    <n v="10"/>
    <n v="0"/>
    <s v="Yes"/>
    <s v="No"/>
    <s v="Yes"/>
    <s v="No"/>
    <s v="No"/>
    <s v="No"/>
    <m/>
    <x v="0"/>
    <n v="1"/>
  </r>
  <r>
    <n v="1321"/>
    <d v="2023-11-10T00:00:00"/>
    <s v="Standard"/>
    <n v="399"/>
    <n v="19.7"/>
    <n v="1"/>
    <x v="0"/>
    <n v="7"/>
    <n v="33"/>
    <s v="No"/>
    <s v="No"/>
    <s v="Yes"/>
    <s v="No"/>
    <s v="Yes"/>
    <s v="No"/>
    <m/>
    <x v="0"/>
    <n v="0"/>
  </r>
  <r>
    <n v="1322"/>
    <d v="2024-07-18T00:00:00"/>
    <s v="Premium"/>
    <n v="699"/>
    <n v="2.8"/>
    <n v="5"/>
    <x v="4"/>
    <n v="32"/>
    <n v="36"/>
    <s v="Yes"/>
    <s v="Yes"/>
    <s v="Yes"/>
    <s v="Yes"/>
    <s v="Yes"/>
    <s v="No"/>
    <m/>
    <x v="0"/>
    <n v="1"/>
  </r>
  <r>
    <n v="1323"/>
    <d v="2023-07-05T00:00:00"/>
    <s v="Standard"/>
    <n v="399"/>
    <n v="22.5"/>
    <n v="2"/>
    <x v="3"/>
    <n v="7"/>
    <n v="60"/>
    <s v="No"/>
    <s v="No"/>
    <s v="Yes"/>
    <s v="No"/>
    <s v="Yes"/>
    <s v="No"/>
    <m/>
    <x v="0"/>
    <n v="0"/>
  </r>
  <r>
    <n v="1324"/>
    <d v="2023-01-10T00:00:00"/>
    <s v="Standard"/>
    <n v="399"/>
    <n v="14"/>
    <n v="6"/>
    <x v="2"/>
    <n v="35"/>
    <n v="37"/>
    <s v="Yes"/>
    <s v="No"/>
    <s v="Yes"/>
    <s v="Yes"/>
    <s v="Yes"/>
    <s v="No"/>
    <m/>
    <x v="0"/>
    <n v="1"/>
  </r>
  <r>
    <n v="1325"/>
    <d v="2023-10-01T00:00:00"/>
    <s v="Premium"/>
    <n v="699"/>
    <n v="18"/>
    <n v="2"/>
    <x v="0"/>
    <n v="33"/>
    <n v="24"/>
    <s v="No"/>
    <s v="No"/>
    <s v="Yes"/>
    <s v="No"/>
    <s v="Yes"/>
    <s v="No"/>
    <m/>
    <x v="0"/>
    <n v="0"/>
  </r>
  <r>
    <n v="1326"/>
    <d v="2024-04-13T00:00:00"/>
    <s v="Basic"/>
    <n v="199"/>
    <n v="17.8"/>
    <n v="3"/>
    <x v="4"/>
    <n v="24"/>
    <n v="38"/>
    <s v="Yes"/>
    <s v="No"/>
    <s v="Yes"/>
    <s v="No"/>
    <s v="Yes"/>
    <s v="No"/>
    <m/>
    <x v="0"/>
    <n v="1"/>
  </r>
  <r>
    <n v="1327"/>
    <d v="2024-03-14T00:00:00"/>
    <s v="Basic"/>
    <n v="199"/>
    <n v="24.7"/>
    <n v="7"/>
    <x v="5"/>
    <n v="29"/>
    <n v="18"/>
    <s v="Yes"/>
    <s v="No"/>
    <s v="Yes"/>
    <s v="Yes"/>
    <s v="Yes"/>
    <s v="No"/>
    <m/>
    <x v="0"/>
    <n v="1"/>
  </r>
  <r>
    <n v="1328"/>
    <d v="2023-04-03T00:00:00"/>
    <s v="Premium"/>
    <n v="699"/>
    <n v="8"/>
    <n v="1"/>
    <x v="3"/>
    <n v="15"/>
    <n v="26"/>
    <s v="No"/>
    <s v="No"/>
    <s v="Yes"/>
    <s v="No"/>
    <s v="Yes"/>
    <s v="No"/>
    <m/>
    <x v="0"/>
    <n v="0"/>
  </r>
  <r>
    <n v="1329"/>
    <d v="2023-03-28T00:00:00"/>
    <s v="Premium"/>
    <n v="699"/>
    <n v="2.4"/>
    <n v="3"/>
    <x v="1"/>
    <n v="6"/>
    <n v="10"/>
    <s v="No"/>
    <s v="Yes"/>
    <s v="No"/>
    <s v="No"/>
    <s v="No"/>
    <s v="No"/>
    <m/>
    <x v="1"/>
    <n v="0"/>
  </r>
  <r>
    <n v="1330"/>
    <d v="2024-06-04T00:00:00"/>
    <s v="Premium"/>
    <n v="699"/>
    <n v="14.1"/>
    <n v="7"/>
    <x v="1"/>
    <n v="19"/>
    <n v="60"/>
    <s v="Yes"/>
    <s v="No"/>
    <s v="No"/>
    <s v="Yes"/>
    <s v="Yes"/>
    <s v="No"/>
    <m/>
    <x v="1"/>
    <n v="1"/>
  </r>
  <r>
    <n v="1331"/>
    <d v="2024-12-15T00:00:00"/>
    <s v="Premium"/>
    <n v="699"/>
    <n v="12.3"/>
    <n v="8"/>
    <x v="4"/>
    <n v="9"/>
    <n v="43"/>
    <s v="No"/>
    <s v="No"/>
    <s v="Yes"/>
    <s v="Yes"/>
    <s v="Yes"/>
    <s v="No"/>
    <m/>
    <x v="0"/>
    <n v="0"/>
  </r>
  <r>
    <n v="1332"/>
    <d v="2024-12-20T00:00:00"/>
    <s v="Basic"/>
    <n v="199"/>
    <n v="0.8"/>
    <n v="3"/>
    <x v="4"/>
    <n v="26"/>
    <n v="0"/>
    <s v="No"/>
    <s v="Yes"/>
    <s v="Yes"/>
    <s v="No"/>
    <s v="No"/>
    <s v="No"/>
    <m/>
    <x v="0"/>
    <n v="0"/>
  </r>
  <r>
    <n v="1333"/>
    <d v="2024-04-04T00:00:00"/>
    <s v="Premium"/>
    <n v="699"/>
    <n v="6.5"/>
    <n v="8"/>
    <x v="4"/>
    <n v="23"/>
    <n v="38"/>
    <s v="Yes"/>
    <s v="No"/>
    <s v="Yes"/>
    <s v="Yes"/>
    <s v="Yes"/>
    <s v="No"/>
    <m/>
    <x v="0"/>
    <n v="1"/>
  </r>
  <r>
    <n v="1334"/>
    <d v="2024-06-10T00:00:00"/>
    <s v="Basic"/>
    <n v="199"/>
    <n v="22.6"/>
    <n v="2"/>
    <x v="1"/>
    <n v="34"/>
    <n v="23"/>
    <s v="No"/>
    <s v="No"/>
    <s v="No"/>
    <s v="No"/>
    <s v="Yes"/>
    <s v="No"/>
    <m/>
    <x v="1"/>
    <n v="0"/>
  </r>
  <r>
    <n v="1335"/>
    <d v="2023-12-13T00:00:00"/>
    <s v="Standard"/>
    <n v="399"/>
    <n v="10.9"/>
    <n v="6"/>
    <x v="0"/>
    <n v="4"/>
    <n v="23"/>
    <s v="No"/>
    <s v="No"/>
    <s v="Yes"/>
    <s v="Yes"/>
    <s v="Yes"/>
    <s v="Yes"/>
    <m/>
    <x v="0"/>
    <n v="0"/>
  </r>
  <r>
    <n v="1336"/>
    <d v="2023-09-29T00:00:00"/>
    <s v="Premium"/>
    <n v="699"/>
    <n v="20.9"/>
    <n v="1"/>
    <x v="3"/>
    <n v="16"/>
    <n v="19"/>
    <s v="No"/>
    <s v="No"/>
    <s v="Yes"/>
    <s v="No"/>
    <s v="Yes"/>
    <s v="No"/>
    <m/>
    <x v="0"/>
    <n v="0"/>
  </r>
  <r>
    <n v="1337"/>
    <d v="2024-10-20T00:00:00"/>
    <s v="Basic"/>
    <n v="199"/>
    <n v="18.600000000000001"/>
    <n v="6"/>
    <x v="0"/>
    <n v="1"/>
    <n v="59"/>
    <s v="Yes"/>
    <s v="No"/>
    <s v="Yes"/>
    <s v="Yes"/>
    <s v="Yes"/>
    <s v="Yes"/>
    <m/>
    <x v="0"/>
    <n v="1"/>
  </r>
  <r>
    <n v="1338"/>
    <d v="2024-04-16T00:00:00"/>
    <s v="Premium"/>
    <n v="699"/>
    <n v="23.4"/>
    <n v="7"/>
    <x v="1"/>
    <n v="3"/>
    <n v="22"/>
    <s v="Yes"/>
    <s v="No"/>
    <s v="No"/>
    <s v="Yes"/>
    <s v="Yes"/>
    <s v="Yes"/>
    <m/>
    <x v="1"/>
    <n v="1"/>
  </r>
  <r>
    <n v="1339"/>
    <d v="2024-02-16T00:00:00"/>
    <s v="Standard"/>
    <n v="399"/>
    <n v="9.1999999999999993"/>
    <n v="0"/>
    <x v="3"/>
    <n v="20"/>
    <n v="56"/>
    <s v="No"/>
    <s v="No"/>
    <s v="Yes"/>
    <s v="No"/>
    <s v="Yes"/>
    <s v="No"/>
    <m/>
    <x v="0"/>
    <n v="0"/>
  </r>
  <r>
    <n v="1340"/>
    <d v="2023-06-07T00:00:00"/>
    <s v="Standard"/>
    <n v="399"/>
    <n v="3"/>
    <n v="7"/>
    <x v="0"/>
    <n v="1"/>
    <n v="5"/>
    <s v="No"/>
    <s v="Yes"/>
    <s v="Yes"/>
    <s v="Yes"/>
    <s v="No"/>
    <s v="Yes"/>
    <m/>
    <x v="0"/>
    <n v="0"/>
  </r>
  <r>
    <n v="1341"/>
    <d v="2023-08-20T00:00:00"/>
    <s v="Standard"/>
    <n v="399"/>
    <n v="22.9"/>
    <n v="0"/>
    <x v="0"/>
    <n v="8"/>
    <n v="49"/>
    <s v="No"/>
    <s v="No"/>
    <s v="Yes"/>
    <s v="No"/>
    <s v="Yes"/>
    <s v="No"/>
    <m/>
    <x v="0"/>
    <n v="0"/>
  </r>
  <r>
    <n v="1342"/>
    <d v="2023-10-03T00:00:00"/>
    <s v="Standard"/>
    <n v="399"/>
    <n v="9.6999999999999993"/>
    <n v="5"/>
    <x v="2"/>
    <n v="26"/>
    <n v="57"/>
    <s v="Yes"/>
    <s v="No"/>
    <s v="Yes"/>
    <s v="Yes"/>
    <s v="Yes"/>
    <s v="No"/>
    <m/>
    <x v="0"/>
    <n v="1"/>
  </r>
  <r>
    <n v="1343"/>
    <d v="2024-03-20T00:00:00"/>
    <s v="Basic"/>
    <n v="199"/>
    <n v="16.600000000000001"/>
    <n v="7"/>
    <x v="0"/>
    <n v="29"/>
    <n v="8"/>
    <s v="No"/>
    <s v="No"/>
    <s v="Yes"/>
    <s v="Yes"/>
    <s v="No"/>
    <s v="No"/>
    <m/>
    <x v="0"/>
    <n v="0"/>
  </r>
  <r>
    <n v="1344"/>
    <d v="2023-05-17T00:00:00"/>
    <s v="Basic"/>
    <n v="199"/>
    <n v="22.1"/>
    <n v="3"/>
    <x v="1"/>
    <n v="23"/>
    <n v="12"/>
    <s v="No"/>
    <s v="No"/>
    <s v="No"/>
    <s v="No"/>
    <s v="No"/>
    <s v="No"/>
    <m/>
    <x v="1"/>
    <n v="0"/>
  </r>
  <r>
    <n v="1345"/>
    <d v="2024-05-05T00:00:00"/>
    <s v="Standard"/>
    <n v="399"/>
    <n v="18.7"/>
    <n v="0"/>
    <x v="0"/>
    <n v="27"/>
    <n v="42"/>
    <s v="Yes"/>
    <s v="No"/>
    <s v="Yes"/>
    <s v="No"/>
    <s v="Yes"/>
    <s v="No"/>
    <m/>
    <x v="0"/>
    <n v="1"/>
  </r>
  <r>
    <n v="1346"/>
    <d v="2023-05-11T00:00:00"/>
    <s v="Premium"/>
    <n v="699"/>
    <n v="3.4"/>
    <n v="7"/>
    <x v="5"/>
    <n v="18"/>
    <n v="31"/>
    <s v="Yes"/>
    <s v="Yes"/>
    <s v="Yes"/>
    <s v="Yes"/>
    <s v="Yes"/>
    <s v="No"/>
    <m/>
    <x v="0"/>
    <n v="1"/>
  </r>
  <r>
    <n v="1347"/>
    <d v="2023-01-22T00:00:00"/>
    <s v="Standard"/>
    <n v="399"/>
    <n v="12.8"/>
    <n v="6"/>
    <x v="0"/>
    <n v="26"/>
    <n v="7"/>
    <s v="No"/>
    <s v="No"/>
    <s v="Yes"/>
    <s v="Yes"/>
    <s v="No"/>
    <s v="No"/>
    <m/>
    <x v="0"/>
    <n v="0"/>
  </r>
  <r>
    <n v="1348"/>
    <d v="2023-12-17T00:00:00"/>
    <s v="Basic"/>
    <n v="199"/>
    <n v="8.9"/>
    <n v="0"/>
    <x v="4"/>
    <n v="10"/>
    <n v="15"/>
    <s v="Yes"/>
    <s v="No"/>
    <s v="Yes"/>
    <s v="No"/>
    <s v="Yes"/>
    <s v="No"/>
    <m/>
    <x v="0"/>
    <n v="1"/>
  </r>
  <r>
    <n v="1349"/>
    <d v="2024-03-15T00:00:00"/>
    <s v="Standard"/>
    <n v="399"/>
    <n v="11.1"/>
    <n v="4"/>
    <x v="3"/>
    <n v="1"/>
    <n v="31"/>
    <s v="Yes"/>
    <s v="No"/>
    <s v="Yes"/>
    <s v="No"/>
    <s v="Yes"/>
    <s v="Yes"/>
    <m/>
    <x v="0"/>
    <n v="1"/>
  </r>
  <r>
    <n v="1350"/>
    <d v="2023-09-27T00:00:00"/>
    <s v="Basic"/>
    <n v="199"/>
    <n v="18.399999999999999"/>
    <n v="2"/>
    <x v="0"/>
    <n v="10"/>
    <n v="17"/>
    <s v="No"/>
    <s v="No"/>
    <s v="Yes"/>
    <s v="No"/>
    <s v="Yes"/>
    <s v="No"/>
    <m/>
    <x v="0"/>
    <n v="0"/>
  </r>
  <r>
    <n v="1351"/>
    <d v="2023-04-16T00:00:00"/>
    <s v="Premium"/>
    <n v="699"/>
    <n v="16.8"/>
    <n v="6"/>
    <x v="0"/>
    <n v="16"/>
    <n v="30"/>
    <s v="No"/>
    <s v="No"/>
    <s v="Yes"/>
    <s v="Yes"/>
    <s v="Yes"/>
    <s v="No"/>
    <m/>
    <x v="0"/>
    <n v="0"/>
  </r>
  <r>
    <n v="1352"/>
    <d v="2023-08-23T00:00:00"/>
    <s v="Premium"/>
    <n v="699"/>
    <n v="15.5"/>
    <n v="3"/>
    <x v="5"/>
    <n v="33"/>
    <n v="40"/>
    <s v="No"/>
    <s v="No"/>
    <s v="Yes"/>
    <s v="No"/>
    <s v="Yes"/>
    <s v="No"/>
    <m/>
    <x v="0"/>
    <n v="0"/>
  </r>
  <r>
    <n v="1353"/>
    <d v="2023-01-19T00:00:00"/>
    <s v="Basic"/>
    <n v="199"/>
    <n v="10.3"/>
    <n v="4"/>
    <x v="0"/>
    <n v="9"/>
    <n v="59"/>
    <s v="Yes"/>
    <s v="No"/>
    <s v="Yes"/>
    <s v="No"/>
    <s v="Yes"/>
    <s v="No"/>
    <m/>
    <x v="0"/>
    <n v="1"/>
  </r>
  <r>
    <n v="1354"/>
    <d v="2024-12-17T00:00:00"/>
    <s v="Premium"/>
    <n v="699"/>
    <n v="2.7"/>
    <n v="0"/>
    <x v="2"/>
    <n v="13"/>
    <n v="26"/>
    <s v="Yes"/>
    <s v="Yes"/>
    <s v="Yes"/>
    <s v="No"/>
    <s v="Yes"/>
    <s v="No"/>
    <m/>
    <x v="0"/>
    <n v="1"/>
  </r>
  <r>
    <n v="1355"/>
    <d v="2024-10-21T00:00:00"/>
    <s v="Premium"/>
    <n v="699"/>
    <n v="5.9"/>
    <n v="6"/>
    <x v="2"/>
    <n v="15"/>
    <n v="3"/>
    <s v="No"/>
    <s v="No"/>
    <s v="Yes"/>
    <s v="Yes"/>
    <s v="No"/>
    <s v="No"/>
    <m/>
    <x v="0"/>
    <n v="0"/>
  </r>
  <r>
    <n v="1356"/>
    <d v="2024-03-04T00:00:00"/>
    <s v="Basic"/>
    <n v="199"/>
    <n v="3.2"/>
    <n v="5"/>
    <x v="3"/>
    <n v="20"/>
    <n v="60"/>
    <s v="Yes"/>
    <s v="Yes"/>
    <s v="Yes"/>
    <s v="Yes"/>
    <s v="Yes"/>
    <s v="No"/>
    <m/>
    <x v="0"/>
    <n v="1"/>
  </r>
  <r>
    <n v="1357"/>
    <d v="2023-11-26T00:00:00"/>
    <s v="Basic"/>
    <n v="199"/>
    <n v="22.4"/>
    <n v="2"/>
    <x v="1"/>
    <n v="21"/>
    <n v="0"/>
    <s v="Yes"/>
    <s v="No"/>
    <s v="No"/>
    <s v="No"/>
    <s v="No"/>
    <s v="No"/>
    <m/>
    <x v="1"/>
    <n v="1"/>
  </r>
  <r>
    <n v="1358"/>
    <d v="2024-05-18T00:00:00"/>
    <s v="Basic"/>
    <n v="199"/>
    <n v="12.1"/>
    <n v="1"/>
    <x v="2"/>
    <n v="19"/>
    <n v="11"/>
    <s v="Yes"/>
    <s v="No"/>
    <s v="Yes"/>
    <s v="No"/>
    <s v="No"/>
    <s v="No"/>
    <m/>
    <x v="0"/>
    <n v="1"/>
  </r>
  <r>
    <n v="1359"/>
    <d v="2023-05-14T00:00:00"/>
    <s v="Standard"/>
    <n v="399"/>
    <n v="8"/>
    <n v="1"/>
    <x v="4"/>
    <n v="22"/>
    <n v="0"/>
    <s v="No"/>
    <s v="No"/>
    <s v="Yes"/>
    <s v="No"/>
    <s v="No"/>
    <s v="No"/>
    <m/>
    <x v="0"/>
    <n v="0"/>
  </r>
  <r>
    <n v="1360"/>
    <d v="2024-09-11T00:00:00"/>
    <s v="Standard"/>
    <n v="399"/>
    <n v="18.7"/>
    <n v="5"/>
    <x v="4"/>
    <n v="24"/>
    <n v="49"/>
    <s v="Yes"/>
    <s v="No"/>
    <s v="Yes"/>
    <s v="Yes"/>
    <s v="Yes"/>
    <s v="No"/>
    <m/>
    <x v="0"/>
    <n v="1"/>
  </r>
  <r>
    <n v="1361"/>
    <d v="2023-04-19T00:00:00"/>
    <s v="Standard"/>
    <n v="399"/>
    <n v="16.399999999999999"/>
    <n v="3"/>
    <x v="5"/>
    <n v="16"/>
    <n v="24"/>
    <s v="Yes"/>
    <s v="No"/>
    <s v="Yes"/>
    <s v="No"/>
    <s v="Yes"/>
    <s v="No"/>
    <m/>
    <x v="0"/>
    <n v="1"/>
  </r>
  <r>
    <n v="1362"/>
    <d v="2023-04-12T00:00:00"/>
    <s v="Basic"/>
    <n v="199"/>
    <n v="1.5"/>
    <n v="3"/>
    <x v="0"/>
    <n v="8"/>
    <n v="45"/>
    <s v="Yes"/>
    <s v="Yes"/>
    <s v="Yes"/>
    <s v="No"/>
    <s v="Yes"/>
    <s v="No"/>
    <m/>
    <x v="0"/>
    <n v="1"/>
  </r>
  <r>
    <n v="1363"/>
    <d v="2023-07-26T00:00:00"/>
    <s v="Basic"/>
    <n v="199"/>
    <n v="15.7"/>
    <n v="4"/>
    <x v="4"/>
    <n v="35"/>
    <n v="30"/>
    <s v="No"/>
    <s v="No"/>
    <s v="Yes"/>
    <s v="No"/>
    <s v="Yes"/>
    <s v="No"/>
    <m/>
    <x v="0"/>
    <n v="0"/>
  </r>
  <r>
    <n v="1364"/>
    <d v="2024-07-27T00:00:00"/>
    <s v="Premium"/>
    <n v="699"/>
    <n v="1.6"/>
    <n v="3"/>
    <x v="2"/>
    <n v="10"/>
    <n v="35"/>
    <s v="Yes"/>
    <s v="Yes"/>
    <s v="Yes"/>
    <s v="No"/>
    <s v="Yes"/>
    <s v="No"/>
    <m/>
    <x v="0"/>
    <n v="1"/>
  </r>
  <r>
    <n v="1365"/>
    <d v="2024-06-20T00:00:00"/>
    <s v="Standard"/>
    <n v="399"/>
    <n v="11.5"/>
    <n v="1"/>
    <x v="2"/>
    <n v="24"/>
    <n v="4"/>
    <s v="No"/>
    <s v="No"/>
    <s v="Yes"/>
    <s v="No"/>
    <s v="No"/>
    <s v="No"/>
    <m/>
    <x v="0"/>
    <n v="0"/>
  </r>
  <r>
    <n v="1366"/>
    <d v="2024-08-02T00:00:00"/>
    <s v="Premium"/>
    <n v="699"/>
    <n v="4.5999999999999996"/>
    <n v="4"/>
    <x v="4"/>
    <n v="2"/>
    <n v="8"/>
    <s v="Yes"/>
    <s v="Yes"/>
    <s v="Yes"/>
    <s v="No"/>
    <s v="No"/>
    <s v="Yes"/>
    <m/>
    <x v="0"/>
    <n v="1"/>
  </r>
  <r>
    <n v="1367"/>
    <d v="2024-06-09T00:00:00"/>
    <s v="Basic"/>
    <n v="199"/>
    <n v="18.600000000000001"/>
    <n v="6"/>
    <x v="2"/>
    <n v="13"/>
    <n v="43"/>
    <s v="Yes"/>
    <s v="No"/>
    <s v="Yes"/>
    <s v="Yes"/>
    <s v="Yes"/>
    <s v="No"/>
    <m/>
    <x v="0"/>
    <n v="1"/>
  </r>
  <r>
    <n v="1368"/>
    <d v="2024-02-15T00:00:00"/>
    <s v="Basic"/>
    <n v="199"/>
    <n v="11.2"/>
    <n v="8"/>
    <x v="2"/>
    <n v="11"/>
    <n v="35"/>
    <s v="No"/>
    <s v="No"/>
    <s v="Yes"/>
    <s v="Yes"/>
    <s v="Yes"/>
    <s v="No"/>
    <m/>
    <x v="0"/>
    <n v="0"/>
  </r>
  <r>
    <n v="1369"/>
    <d v="2024-12-14T00:00:00"/>
    <s v="Premium"/>
    <n v="699"/>
    <n v="5.6"/>
    <n v="0"/>
    <x v="0"/>
    <n v="18"/>
    <n v="36"/>
    <s v="Yes"/>
    <s v="No"/>
    <s v="Yes"/>
    <s v="No"/>
    <s v="Yes"/>
    <s v="No"/>
    <m/>
    <x v="0"/>
    <n v="1"/>
  </r>
  <r>
    <n v="1370"/>
    <d v="2023-10-31T00:00:00"/>
    <s v="Basic"/>
    <n v="199"/>
    <n v="11.7"/>
    <n v="8"/>
    <x v="3"/>
    <n v="33"/>
    <n v="19"/>
    <s v="No"/>
    <s v="No"/>
    <s v="Yes"/>
    <s v="Yes"/>
    <s v="Yes"/>
    <s v="No"/>
    <m/>
    <x v="0"/>
    <n v="0"/>
  </r>
  <r>
    <n v="1371"/>
    <d v="2023-10-26T00:00:00"/>
    <s v="Premium"/>
    <n v="699"/>
    <n v="14"/>
    <n v="2"/>
    <x v="0"/>
    <n v="18"/>
    <n v="2"/>
    <s v="No"/>
    <s v="No"/>
    <s v="Yes"/>
    <s v="No"/>
    <s v="No"/>
    <s v="No"/>
    <m/>
    <x v="0"/>
    <n v="0"/>
  </r>
  <r>
    <n v="1372"/>
    <d v="2023-02-22T00:00:00"/>
    <s v="Basic"/>
    <n v="199"/>
    <n v="23.6"/>
    <n v="4"/>
    <x v="0"/>
    <n v="10"/>
    <n v="17"/>
    <s v="No"/>
    <s v="No"/>
    <s v="Yes"/>
    <s v="No"/>
    <s v="Yes"/>
    <s v="No"/>
    <m/>
    <x v="0"/>
    <n v="0"/>
  </r>
  <r>
    <n v="1373"/>
    <d v="2023-12-22T00:00:00"/>
    <s v="Premium"/>
    <n v="699"/>
    <n v="24.7"/>
    <n v="3"/>
    <x v="5"/>
    <n v="16"/>
    <n v="7"/>
    <s v="Yes"/>
    <s v="No"/>
    <s v="Yes"/>
    <s v="No"/>
    <s v="No"/>
    <s v="No"/>
    <m/>
    <x v="0"/>
    <n v="1"/>
  </r>
  <r>
    <n v="1374"/>
    <d v="2024-09-18T00:00:00"/>
    <s v="Premium"/>
    <n v="699"/>
    <n v="8.5"/>
    <n v="8"/>
    <x v="3"/>
    <n v="24"/>
    <n v="46"/>
    <s v="Yes"/>
    <s v="No"/>
    <s v="Yes"/>
    <s v="Yes"/>
    <s v="Yes"/>
    <s v="No"/>
    <m/>
    <x v="0"/>
    <n v="1"/>
  </r>
  <r>
    <n v="1375"/>
    <d v="2023-10-14T00:00:00"/>
    <s v="Standard"/>
    <n v="399"/>
    <n v="24.6"/>
    <n v="0"/>
    <x v="3"/>
    <n v="21"/>
    <n v="14"/>
    <s v="No"/>
    <s v="No"/>
    <s v="Yes"/>
    <s v="No"/>
    <s v="No"/>
    <s v="No"/>
    <m/>
    <x v="0"/>
    <n v="0"/>
  </r>
  <r>
    <n v="1376"/>
    <d v="2024-08-20T00:00:00"/>
    <s v="Basic"/>
    <n v="199"/>
    <n v="24.3"/>
    <n v="8"/>
    <x v="4"/>
    <n v="17"/>
    <n v="55"/>
    <s v="No"/>
    <s v="No"/>
    <s v="Yes"/>
    <s v="Yes"/>
    <s v="Yes"/>
    <s v="No"/>
    <m/>
    <x v="0"/>
    <n v="0"/>
  </r>
  <r>
    <n v="1377"/>
    <d v="2023-07-31T00:00:00"/>
    <s v="Basic"/>
    <n v="199"/>
    <n v="23.7"/>
    <n v="4"/>
    <x v="4"/>
    <n v="25"/>
    <n v="40"/>
    <s v="Yes"/>
    <s v="No"/>
    <s v="Yes"/>
    <s v="No"/>
    <s v="Yes"/>
    <s v="No"/>
    <m/>
    <x v="0"/>
    <n v="1"/>
  </r>
  <r>
    <n v="1378"/>
    <d v="2024-02-09T00:00:00"/>
    <s v="Standard"/>
    <n v="399"/>
    <n v="8.4"/>
    <n v="3"/>
    <x v="5"/>
    <n v="15"/>
    <n v="40"/>
    <s v="No"/>
    <s v="No"/>
    <s v="Yes"/>
    <s v="No"/>
    <s v="Yes"/>
    <s v="No"/>
    <m/>
    <x v="0"/>
    <n v="0"/>
  </r>
  <r>
    <n v="1379"/>
    <d v="2023-04-06T00:00:00"/>
    <s v="Basic"/>
    <n v="199"/>
    <n v="6.2"/>
    <n v="6"/>
    <x v="3"/>
    <n v="29"/>
    <n v="9"/>
    <s v="No"/>
    <s v="No"/>
    <s v="Yes"/>
    <s v="Yes"/>
    <s v="No"/>
    <s v="No"/>
    <m/>
    <x v="0"/>
    <n v="0"/>
  </r>
  <r>
    <n v="1380"/>
    <d v="2023-07-04T00:00:00"/>
    <s v="Standard"/>
    <n v="399"/>
    <n v="11.8"/>
    <n v="2"/>
    <x v="0"/>
    <n v="12"/>
    <n v="36"/>
    <s v="No"/>
    <s v="No"/>
    <s v="Yes"/>
    <s v="No"/>
    <s v="Yes"/>
    <s v="No"/>
    <m/>
    <x v="0"/>
    <n v="0"/>
  </r>
  <r>
    <n v="1381"/>
    <d v="2024-09-14T00:00:00"/>
    <s v="Premium"/>
    <n v="699"/>
    <n v="1"/>
    <n v="2"/>
    <x v="0"/>
    <n v="19"/>
    <n v="52"/>
    <s v="Yes"/>
    <s v="Yes"/>
    <s v="Yes"/>
    <s v="No"/>
    <s v="Yes"/>
    <s v="No"/>
    <m/>
    <x v="0"/>
    <n v="1"/>
  </r>
  <r>
    <n v="1382"/>
    <d v="2024-02-17T00:00:00"/>
    <s v="Basic"/>
    <n v="199"/>
    <n v="4"/>
    <n v="6"/>
    <x v="0"/>
    <n v="5"/>
    <n v="29"/>
    <s v="No"/>
    <s v="Yes"/>
    <s v="Yes"/>
    <s v="Yes"/>
    <s v="Yes"/>
    <s v="Yes"/>
    <m/>
    <x v="0"/>
    <n v="0"/>
  </r>
  <r>
    <n v="1383"/>
    <d v="2023-01-22T00:00:00"/>
    <s v="Basic"/>
    <n v="199"/>
    <n v="3.9"/>
    <n v="0"/>
    <x v="5"/>
    <n v="34"/>
    <n v="6"/>
    <s v="Yes"/>
    <s v="Yes"/>
    <s v="Yes"/>
    <s v="No"/>
    <s v="No"/>
    <s v="No"/>
    <m/>
    <x v="0"/>
    <n v="1"/>
  </r>
  <r>
    <n v="1384"/>
    <d v="2023-10-02T00:00:00"/>
    <s v="Basic"/>
    <n v="199"/>
    <n v="19.2"/>
    <n v="0"/>
    <x v="0"/>
    <n v="1"/>
    <n v="15"/>
    <s v="No"/>
    <s v="No"/>
    <s v="Yes"/>
    <s v="No"/>
    <s v="Yes"/>
    <s v="Yes"/>
    <m/>
    <x v="0"/>
    <n v="0"/>
  </r>
  <r>
    <n v="1385"/>
    <d v="2023-12-13T00:00:00"/>
    <s v="Basic"/>
    <n v="199"/>
    <n v="19.899999999999999"/>
    <n v="0"/>
    <x v="1"/>
    <n v="1"/>
    <n v="34"/>
    <s v="No"/>
    <s v="No"/>
    <s v="No"/>
    <s v="No"/>
    <s v="Yes"/>
    <s v="Yes"/>
    <m/>
    <x v="1"/>
    <n v="0"/>
  </r>
  <r>
    <n v="1386"/>
    <d v="2023-06-17T00:00:00"/>
    <s v="Premium"/>
    <n v="699"/>
    <n v="5.5"/>
    <n v="7"/>
    <x v="5"/>
    <n v="6"/>
    <n v="57"/>
    <s v="Yes"/>
    <s v="No"/>
    <s v="Yes"/>
    <s v="Yes"/>
    <s v="Yes"/>
    <s v="No"/>
    <m/>
    <x v="0"/>
    <n v="1"/>
  </r>
  <r>
    <n v="1387"/>
    <d v="2024-10-04T00:00:00"/>
    <s v="Standard"/>
    <n v="399"/>
    <n v="12.2"/>
    <n v="3"/>
    <x v="1"/>
    <n v="22"/>
    <n v="34"/>
    <s v="No"/>
    <s v="No"/>
    <s v="No"/>
    <s v="No"/>
    <s v="Yes"/>
    <s v="No"/>
    <m/>
    <x v="1"/>
    <n v="0"/>
  </r>
  <r>
    <n v="1388"/>
    <d v="2024-06-07T00:00:00"/>
    <s v="Premium"/>
    <n v="699"/>
    <n v="1"/>
    <n v="0"/>
    <x v="1"/>
    <n v="8"/>
    <n v="34"/>
    <s v="Yes"/>
    <s v="Yes"/>
    <s v="No"/>
    <s v="No"/>
    <s v="Yes"/>
    <s v="No"/>
    <m/>
    <x v="1"/>
    <n v="1"/>
  </r>
  <r>
    <n v="1389"/>
    <d v="2023-05-31T00:00:00"/>
    <s v="Standard"/>
    <n v="399"/>
    <n v="0.5"/>
    <n v="3"/>
    <x v="1"/>
    <n v="10"/>
    <n v="14"/>
    <s v="No"/>
    <s v="Yes"/>
    <s v="No"/>
    <s v="No"/>
    <s v="No"/>
    <s v="No"/>
    <m/>
    <x v="1"/>
    <n v="0"/>
  </r>
  <r>
    <n v="1390"/>
    <d v="2023-04-26T00:00:00"/>
    <s v="Standard"/>
    <n v="399"/>
    <n v="6"/>
    <n v="6"/>
    <x v="4"/>
    <n v="19"/>
    <n v="56"/>
    <s v="Yes"/>
    <s v="No"/>
    <s v="Yes"/>
    <s v="Yes"/>
    <s v="Yes"/>
    <s v="No"/>
    <m/>
    <x v="0"/>
    <n v="1"/>
  </r>
  <r>
    <n v="1391"/>
    <d v="2024-09-22T00:00:00"/>
    <s v="Standard"/>
    <n v="399"/>
    <n v="24.8"/>
    <n v="3"/>
    <x v="1"/>
    <n v="11"/>
    <n v="18"/>
    <s v="No"/>
    <s v="No"/>
    <s v="No"/>
    <s v="No"/>
    <s v="Yes"/>
    <s v="No"/>
    <m/>
    <x v="1"/>
    <n v="0"/>
  </r>
  <r>
    <n v="1392"/>
    <d v="2024-03-14T00:00:00"/>
    <s v="Standard"/>
    <n v="399"/>
    <n v="9.3000000000000007"/>
    <n v="1"/>
    <x v="1"/>
    <n v="8"/>
    <n v="38"/>
    <s v="Yes"/>
    <s v="No"/>
    <s v="No"/>
    <s v="No"/>
    <s v="Yes"/>
    <s v="No"/>
    <m/>
    <x v="1"/>
    <n v="1"/>
  </r>
  <r>
    <n v="1393"/>
    <d v="2023-11-05T00:00:00"/>
    <s v="Premium"/>
    <n v="699"/>
    <n v="15.2"/>
    <n v="6"/>
    <x v="0"/>
    <n v="22"/>
    <n v="57"/>
    <s v="No"/>
    <s v="No"/>
    <s v="Yes"/>
    <s v="Yes"/>
    <s v="Yes"/>
    <s v="No"/>
    <m/>
    <x v="0"/>
    <n v="0"/>
  </r>
  <r>
    <n v="1394"/>
    <d v="2024-01-13T00:00:00"/>
    <s v="Premium"/>
    <n v="699"/>
    <n v="9"/>
    <n v="1"/>
    <x v="3"/>
    <n v="19"/>
    <n v="58"/>
    <s v="Yes"/>
    <s v="No"/>
    <s v="Yes"/>
    <s v="No"/>
    <s v="Yes"/>
    <s v="No"/>
    <m/>
    <x v="0"/>
    <n v="1"/>
  </r>
  <r>
    <n v="1395"/>
    <d v="2024-02-04T00:00:00"/>
    <s v="Standard"/>
    <n v="399"/>
    <n v="19.8"/>
    <n v="2"/>
    <x v="4"/>
    <n v="5"/>
    <n v="9"/>
    <s v="Yes"/>
    <s v="No"/>
    <s v="Yes"/>
    <s v="No"/>
    <s v="No"/>
    <s v="Yes"/>
    <m/>
    <x v="0"/>
    <n v="1"/>
  </r>
  <r>
    <n v="1396"/>
    <d v="2023-10-13T00:00:00"/>
    <s v="Standard"/>
    <n v="399"/>
    <n v="20.5"/>
    <n v="1"/>
    <x v="5"/>
    <n v="31"/>
    <n v="27"/>
    <s v="No"/>
    <s v="No"/>
    <s v="Yes"/>
    <s v="No"/>
    <s v="Yes"/>
    <s v="No"/>
    <m/>
    <x v="0"/>
    <n v="0"/>
  </r>
  <r>
    <n v="1397"/>
    <d v="2023-11-23T00:00:00"/>
    <s v="Basic"/>
    <n v="199"/>
    <n v="8.4"/>
    <n v="2"/>
    <x v="0"/>
    <n v="6"/>
    <n v="49"/>
    <s v="No"/>
    <s v="No"/>
    <s v="Yes"/>
    <s v="No"/>
    <s v="Yes"/>
    <s v="No"/>
    <m/>
    <x v="0"/>
    <n v="0"/>
  </r>
  <r>
    <n v="1398"/>
    <d v="2023-05-22T00:00:00"/>
    <s v="Standard"/>
    <n v="399"/>
    <n v="12.3"/>
    <n v="6"/>
    <x v="5"/>
    <n v="28"/>
    <n v="50"/>
    <s v="Yes"/>
    <s v="No"/>
    <s v="Yes"/>
    <s v="Yes"/>
    <s v="Yes"/>
    <s v="No"/>
    <m/>
    <x v="0"/>
    <n v="1"/>
  </r>
  <r>
    <n v="1399"/>
    <d v="2024-06-29T00:00:00"/>
    <s v="Premium"/>
    <n v="699"/>
    <n v="9.9"/>
    <n v="8"/>
    <x v="2"/>
    <n v="16"/>
    <n v="34"/>
    <s v="Yes"/>
    <s v="No"/>
    <s v="Yes"/>
    <s v="Yes"/>
    <s v="Yes"/>
    <s v="No"/>
    <m/>
    <x v="0"/>
    <n v="1"/>
  </r>
  <r>
    <n v="1400"/>
    <d v="2023-08-13T00:00:00"/>
    <s v="Premium"/>
    <n v="699"/>
    <n v="9.9"/>
    <n v="6"/>
    <x v="5"/>
    <n v="15"/>
    <n v="36"/>
    <s v="No"/>
    <s v="No"/>
    <s v="Yes"/>
    <s v="Yes"/>
    <s v="Yes"/>
    <s v="No"/>
    <m/>
    <x v="0"/>
    <n v="0"/>
  </r>
  <r>
    <n v="1401"/>
    <d v="2024-07-25T00:00:00"/>
    <s v="Premium"/>
    <n v="699"/>
    <n v="6.3"/>
    <n v="0"/>
    <x v="0"/>
    <n v="6"/>
    <n v="54"/>
    <s v="Yes"/>
    <s v="No"/>
    <s v="Yes"/>
    <s v="No"/>
    <s v="Yes"/>
    <s v="No"/>
    <m/>
    <x v="0"/>
    <n v="1"/>
  </r>
  <r>
    <n v="1402"/>
    <d v="2023-05-23T00:00:00"/>
    <s v="Standard"/>
    <n v="399"/>
    <n v="23.1"/>
    <n v="0"/>
    <x v="3"/>
    <n v="9"/>
    <n v="23"/>
    <s v="No"/>
    <s v="No"/>
    <s v="Yes"/>
    <s v="No"/>
    <s v="Yes"/>
    <s v="No"/>
    <m/>
    <x v="0"/>
    <n v="0"/>
  </r>
  <r>
    <n v="1403"/>
    <d v="2023-08-18T00:00:00"/>
    <s v="Standard"/>
    <n v="399"/>
    <n v="4"/>
    <n v="8"/>
    <x v="2"/>
    <n v="30"/>
    <n v="15"/>
    <s v="Yes"/>
    <s v="Yes"/>
    <s v="Yes"/>
    <s v="Yes"/>
    <s v="Yes"/>
    <s v="No"/>
    <m/>
    <x v="0"/>
    <n v="1"/>
  </r>
  <r>
    <n v="1404"/>
    <d v="2024-03-10T00:00:00"/>
    <s v="Basic"/>
    <n v="199"/>
    <n v="3.4"/>
    <n v="2"/>
    <x v="2"/>
    <n v="9"/>
    <n v="46"/>
    <s v="Yes"/>
    <s v="Yes"/>
    <s v="Yes"/>
    <s v="No"/>
    <s v="Yes"/>
    <s v="No"/>
    <m/>
    <x v="0"/>
    <n v="1"/>
  </r>
  <r>
    <n v="1405"/>
    <d v="2023-06-11T00:00:00"/>
    <s v="Standard"/>
    <n v="399"/>
    <n v="17.7"/>
    <n v="1"/>
    <x v="2"/>
    <n v="4"/>
    <n v="53"/>
    <s v="Yes"/>
    <s v="No"/>
    <s v="Yes"/>
    <s v="No"/>
    <s v="Yes"/>
    <s v="Yes"/>
    <m/>
    <x v="0"/>
    <n v="1"/>
  </r>
  <r>
    <n v="1406"/>
    <d v="2024-03-02T00:00:00"/>
    <s v="Basic"/>
    <n v="199"/>
    <n v="9.4"/>
    <n v="1"/>
    <x v="0"/>
    <n v="10"/>
    <n v="4"/>
    <s v="Yes"/>
    <s v="No"/>
    <s v="Yes"/>
    <s v="No"/>
    <s v="No"/>
    <s v="No"/>
    <m/>
    <x v="0"/>
    <n v="1"/>
  </r>
  <r>
    <n v="1407"/>
    <d v="2023-11-03T00:00:00"/>
    <s v="Basic"/>
    <n v="199"/>
    <n v="12"/>
    <n v="2"/>
    <x v="4"/>
    <n v="12"/>
    <n v="33"/>
    <s v="No"/>
    <s v="No"/>
    <s v="Yes"/>
    <s v="No"/>
    <s v="Yes"/>
    <s v="No"/>
    <m/>
    <x v="0"/>
    <n v="0"/>
  </r>
  <r>
    <n v="1408"/>
    <d v="2023-04-24T00:00:00"/>
    <s v="Standard"/>
    <n v="399"/>
    <n v="18.2"/>
    <n v="7"/>
    <x v="4"/>
    <n v="27"/>
    <n v="44"/>
    <s v="Yes"/>
    <s v="No"/>
    <s v="Yes"/>
    <s v="Yes"/>
    <s v="Yes"/>
    <s v="No"/>
    <m/>
    <x v="0"/>
    <n v="1"/>
  </r>
  <r>
    <n v="1409"/>
    <d v="2023-06-14T00:00:00"/>
    <s v="Basic"/>
    <n v="199"/>
    <n v="22.1"/>
    <n v="0"/>
    <x v="5"/>
    <n v="4"/>
    <n v="48"/>
    <s v="Yes"/>
    <s v="No"/>
    <s v="Yes"/>
    <s v="No"/>
    <s v="Yes"/>
    <s v="Yes"/>
    <m/>
    <x v="0"/>
    <n v="1"/>
  </r>
  <r>
    <n v="1410"/>
    <d v="2024-08-08T00:00:00"/>
    <s v="Basic"/>
    <n v="199"/>
    <n v="20.9"/>
    <n v="7"/>
    <x v="5"/>
    <n v="26"/>
    <n v="45"/>
    <s v="No"/>
    <s v="No"/>
    <s v="Yes"/>
    <s v="Yes"/>
    <s v="Yes"/>
    <s v="No"/>
    <m/>
    <x v="0"/>
    <n v="0"/>
  </r>
  <r>
    <n v="1411"/>
    <d v="2024-06-18T00:00:00"/>
    <s v="Premium"/>
    <n v="699"/>
    <n v="17.899999999999999"/>
    <n v="6"/>
    <x v="0"/>
    <n v="20"/>
    <n v="17"/>
    <s v="No"/>
    <s v="No"/>
    <s v="Yes"/>
    <s v="Yes"/>
    <s v="Yes"/>
    <s v="No"/>
    <m/>
    <x v="0"/>
    <n v="0"/>
  </r>
  <r>
    <n v="1412"/>
    <d v="2023-07-08T00:00:00"/>
    <s v="Standard"/>
    <n v="399"/>
    <n v="18.7"/>
    <n v="6"/>
    <x v="5"/>
    <n v="9"/>
    <n v="3"/>
    <s v="Yes"/>
    <s v="No"/>
    <s v="Yes"/>
    <s v="Yes"/>
    <s v="No"/>
    <s v="No"/>
    <m/>
    <x v="0"/>
    <n v="1"/>
  </r>
  <r>
    <n v="1413"/>
    <d v="2024-10-30T00:00:00"/>
    <s v="Premium"/>
    <n v="699"/>
    <n v="15.3"/>
    <n v="1"/>
    <x v="4"/>
    <n v="36"/>
    <n v="29"/>
    <s v="Yes"/>
    <s v="No"/>
    <s v="Yes"/>
    <s v="No"/>
    <s v="Yes"/>
    <s v="No"/>
    <m/>
    <x v="0"/>
    <n v="1"/>
  </r>
  <r>
    <n v="1414"/>
    <d v="2024-03-10T00:00:00"/>
    <s v="Premium"/>
    <n v="699"/>
    <n v="20.8"/>
    <n v="2"/>
    <x v="1"/>
    <n v="26"/>
    <n v="51"/>
    <s v="No"/>
    <s v="No"/>
    <s v="No"/>
    <s v="No"/>
    <s v="Yes"/>
    <s v="No"/>
    <m/>
    <x v="1"/>
    <n v="0"/>
  </r>
  <r>
    <n v="1415"/>
    <d v="2023-12-10T00:00:00"/>
    <s v="Basic"/>
    <n v="199"/>
    <n v="3.2"/>
    <n v="1"/>
    <x v="3"/>
    <n v="18"/>
    <n v="38"/>
    <s v="Yes"/>
    <s v="Yes"/>
    <s v="Yes"/>
    <s v="No"/>
    <s v="Yes"/>
    <s v="No"/>
    <m/>
    <x v="0"/>
    <n v="1"/>
  </r>
  <r>
    <n v="1416"/>
    <d v="2023-01-12T00:00:00"/>
    <s v="Basic"/>
    <n v="199"/>
    <n v="7.4"/>
    <n v="8"/>
    <x v="1"/>
    <n v="16"/>
    <n v="4"/>
    <s v="Yes"/>
    <s v="No"/>
    <s v="No"/>
    <s v="Yes"/>
    <s v="No"/>
    <s v="No"/>
    <m/>
    <x v="1"/>
    <n v="1"/>
  </r>
  <r>
    <n v="1417"/>
    <d v="2024-08-06T00:00:00"/>
    <s v="Standard"/>
    <n v="399"/>
    <n v="14"/>
    <n v="0"/>
    <x v="0"/>
    <n v="13"/>
    <n v="17"/>
    <s v="Yes"/>
    <s v="No"/>
    <s v="Yes"/>
    <s v="No"/>
    <s v="Yes"/>
    <s v="No"/>
    <m/>
    <x v="0"/>
    <n v="1"/>
  </r>
  <r>
    <n v="1418"/>
    <d v="2023-11-13T00:00:00"/>
    <s v="Premium"/>
    <n v="699"/>
    <n v="14.3"/>
    <n v="7"/>
    <x v="1"/>
    <n v="3"/>
    <n v="3"/>
    <s v="No"/>
    <s v="No"/>
    <s v="No"/>
    <s v="Yes"/>
    <s v="No"/>
    <s v="Yes"/>
    <m/>
    <x v="1"/>
    <n v="0"/>
  </r>
  <r>
    <n v="1419"/>
    <d v="2024-02-05T00:00:00"/>
    <s v="Basic"/>
    <n v="199"/>
    <n v="18.899999999999999"/>
    <n v="6"/>
    <x v="5"/>
    <n v="23"/>
    <n v="12"/>
    <s v="Yes"/>
    <s v="No"/>
    <s v="Yes"/>
    <s v="Yes"/>
    <s v="No"/>
    <s v="No"/>
    <m/>
    <x v="0"/>
    <n v="1"/>
  </r>
  <r>
    <n v="1420"/>
    <d v="2024-05-30T00:00:00"/>
    <s v="Premium"/>
    <n v="699"/>
    <n v="24.4"/>
    <n v="1"/>
    <x v="3"/>
    <n v="23"/>
    <n v="26"/>
    <s v="No"/>
    <s v="No"/>
    <s v="Yes"/>
    <s v="No"/>
    <s v="Yes"/>
    <s v="No"/>
    <m/>
    <x v="0"/>
    <n v="0"/>
  </r>
  <r>
    <n v="1421"/>
    <d v="2024-05-03T00:00:00"/>
    <s v="Basic"/>
    <n v="199"/>
    <n v="20.3"/>
    <n v="2"/>
    <x v="1"/>
    <n v="33"/>
    <n v="37"/>
    <s v="No"/>
    <s v="No"/>
    <s v="No"/>
    <s v="No"/>
    <s v="Yes"/>
    <s v="No"/>
    <m/>
    <x v="1"/>
    <n v="0"/>
  </r>
  <r>
    <n v="1422"/>
    <d v="2024-10-02T00:00:00"/>
    <s v="Premium"/>
    <n v="699"/>
    <n v="7.6"/>
    <n v="2"/>
    <x v="4"/>
    <n v="3"/>
    <n v="29"/>
    <s v="Yes"/>
    <s v="No"/>
    <s v="Yes"/>
    <s v="No"/>
    <s v="Yes"/>
    <s v="Yes"/>
    <m/>
    <x v="0"/>
    <n v="1"/>
  </r>
  <r>
    <n v="1423"/>
    <d v="2024-05-28T00:00:00"/>
    <s v="Basic"/>
    <n v="199"/>
    <n v="22.2"/>
    <n v="2"/>
    <x v="4"/>
    <n v="15"/>
    <n v="10"/>
    <s v="No"/>
    <s v="No"/>
    <s v="Yes"/>
    <s v="No"/>
    <s v="No"/>
    <s v="No"/>
    <m/>
    <x v="0"/>
    <n v="0"/>
  </r>
  <r>
    <n v="1424"/>
    <d v="2023-10-25T00:00:00"/>
    <s v="Premium"/>
    <n v="699"/>
    <n v="23.3"/>
    <n v="5"/>
    <x v="2"/>
    <n v="34"/>
    <n v="50"/>
    <s v="Yes"/>
    <s v="No"/>
    <s v="Yes"/>
    <s v="Yes"/>
    <s v="Yes"/>
    <s v="No"/>
    <m/>
    <x v="0"/>
    <n v="1"/>
  </r>
  <r>
    <n v="1425"/>
    <d v="2024-09-13T00:00:00"/>
    <s v="Standard"/>
    <n v="399"/>
    <n v="1.5"/>
    <n v="6"/>
    <x v="0"/>
    <n v="28"/>
    <n v="13"/>
    <s v="No"/>
    <s v="Yes"/>
    <s v="Yes"/>
    <s v="Yes"/>
    <s v="No"/>
    <s v="No"/>
    <m/>
    <x v="0"/>
    <n v="0"/>
  </r>
  <r>
    <n v="1426"/>
    <d v="2023-11-13T00:00:00"/>
    <s v="Basic"/>
    <n v="199"/>
    <n v="14.4"/>
    <n v="7"/>
    <x v="1"/>
    <n v="10"/>
    <n v="51"/>
    <s v="Yes"/>
    <s v="No"/>
    <s v="No"/>
    <s v="Yes"/>
    <s v="Yes"/>
    <s v="No"/>
    <m/>
    <x v="1"/>
    <n v="1"/>
  </r>
  <r>
    <n v="1427"/>
    <d v="2023-06-15T00:00:00"/>
    <s v="Premium"/>
    <n v="699"/>
    <n v="12.7"/>
    <n v="7"/>
    <x v="3"/>
    <n v="6"/>
    <n v="10"/>
    <s v="No"/>
    <s v="No"/>
    <s v="Yes"/>
    <s v="Yes"/>
    <s v="No"/>
    <s v="No"/>
    <m/>
    <x v="0"/>
    <n v="0"/>
  </r>
  <r>
    <n v="1428"/>
    <d v="2024-04-16T00:00:00"/>
    <s v="Basic"/>
    <n v="199"/>
    <n v="14.6"/>
    <n v="5"/>
    <x v="1"/>
    <n v="18"/>
    <n v="4"/>
    <s v="Yes"/>
    <s v="No"/>
    <s v="No"/>
    <s v="Yes"/>
    <s v="No"/>
    <s v="No"/>
    <m/>
    <x v="1"/>
    <n v="1"/>
  </r>
  <r>
    <n v="1429"/>
    <d v="2023-05-07T00:00:00"/>
    <s v="Standard"/>
    <n v="399"/>
    <n v="24.5"/>
    <n v="7"/>
    <x v="4"/>
    <n v="31"/>
    <n v="59"/>
    <s v="Yes"/>
    <s v="No"/>
    <s v="Yes"/>
    <s v="Yes"/>
    <s v="Yes"/>
    <s v="No"/>
    <m/>
    <x v="0"/>
    <n v="1"/>
  </r>
  <r>
    <n v="1430"/>
    <d v="2024-11-27T00:00:00"/>
    <s v="Premium"/>
    <n v="699"/>
    <n v="1.5"/>
    <n v="4"/>
    <x v="2"/>
    <n v="32"/>
    <n v="26"/>
    <s v="Yes"/>
    <s v="Yes"/>
    <s v="Yes"/>
    <s v="No"/>
    <s v="Yes"/>
    <s v="No"/>
    <m/>
    <x v="0"/>
    <n v="1"/>
  </r>
  <r>
    <n v="1431"/>
    <d v="2024-06-02T00:00:00"/>
    <s v="Basic"/>
    <n v="199"/>
    <n v="9.5"/>
    <n v="5"/>
    <x v="3"/>
    <n v="29"/>
    <n v="5"/>
    <s v="No"/>
    <s v="No"/>
    <s v="Yes"/>
    <s v="Yes"/>
    <s v="No"/>
    <s v="No"/>
    <m/>
    <x v="0"/>
    <n v="0"/>
  </r>
  <r>
    <n v="1432"/>
    <d v="2023-09-08T00:00:00"/>
    <s v="Standard"/>
    <n v="399"/>
    <n v="22"/>
    <n v="0"/>
    <x v="5"/>
    <n v="17"/>
    <n v="41"/>
    <s v="Yes"/>
    <s v="No"/>
    <s v="Yes"/>
    <s v="No"/>
    <s v="Yes"/>
    <s v="No"/>
    <m/>
    <x v="0"/>
    <n v="1"/>
  </r>
  <r>
    <n v="1433"/>
    <d v="2024-02-13T00:00:00"/>
    <s v="Premium"/>
    <n v="699"/>
    <n v="0.7"/>
    <n v="1"/>
    <x v="3"/>
    <n v="36"/>
    <n v="24"/>
    <s v="Yes"/>
    <s v="Yes"/>
    <s v="Yes"/>
    <s v="No"/>
    <s v="Yes"/>
    <s v="No"/>
    <m/>
    <x v="0"/>
    <n v="1"/>
  </r>
  <r>
    <n v="1434"/>
    <d v="2024-04-24T00:00:00"/>
    <s v="Basic"/>
    <n v="199"/>
    <n v="10"/>
    <n v="7"/>
    <x v="4"/>
    <n v="15"/>
    <n v="5"/>
    <s v="Yes"/>
    <s v="No"/>
    <s v="Yes"/>
    <s v="Yes"/>
    <s v="No"/>
    <s v="No"/>
    <m/>
    <x v="0"/>
    <n v="1"/>
  </r>
  <r>
    <n v="1435"/>
    <d v="2023-04-21T00:00:00"/>
    <s v="Premium"/>
    <n v="699"/>
    <n v="22.6"/>
    <n v="7"/>
    <x v="1"/>
    <n v="35"/>
    <n v="5"/>
    <s v="Yes"/>
    <s v="No"/>
    <s v="No"/>
    <s v="Yes"/>
    <s v="No"/>
    <s v="No"/>
    <m/>
    <x v="1"/>
    <n v="1"/>
  </r>
  <r>
    <n v="1436"/>
    <d v="2024-09-10T00:00:00"/>
    <s v="Standard"/>
    <n v="399"/>
    <n v="5.4"/>
    <n v="5"/>
    <x v="1"/>
    <n v="28"/>
    <n v="20"/>
    <s v="No"/>
    <s v="No"/>
    <s v="No"/>
    <s v="Yes"/>
    <s v="Yes"/>
    <s v="No"/>
    <m/>
    <x v="1"/>
    <n v="0"/>
  </r>
  <r>
    <n v="1437"/>
    <d v="2024-07-12T00:00:00"/>
    <s v="Standard"/>
    <n v="399"/>
    <n v="17.7"/>
    <n v="7"/>
    <x v="1"/>
    <n v="14"/>
    <n v="17"/>
    <s v="No"/>
    <s v="No"/>
    <s v="No"/>
    <s v="Yes"/>
    <s v="Yes"/>
    <s v="No"/>
    <m/>
    <x v="1"/>
    <n v="0"/>
  </r>
  <r>
    <n v="1438"/>
    <d v="2024-09-07T00:00:00"/>
    <s v="Basic"/>
    <n v="199"/>
    <n v="4.0999999999999996"/>
    <n v="3"/>
    <x v="3"/>
    <n v="31"/>
    <n v="36"/>
    <s v="Yes"/>
    <s v="Yes"/>
    <s v="Yes"/>
    <s v="No"/>
    <s v="Yes"/>
    <s v="No"/>
    <m/>
    <x v="0"/>
    <n v="1"/>
  </r>
  <r>
    <n v="1439"/>
    <d v="2023-08-05T00:00:00"/>
    <s v="Standard"/>
    <n v="399"/>
    <n v="23.4"/>
    <n v="5"/>
    <x v="2"/>
    <n v="4"/>
    <n v="30"/>
    <s v="Yes"/>
    <s v="No"/>
    <s v="Yes"/>
    <s v="Yes"/>
    <s v="Yes"/>
    <s v="Yes"/>
    <m/>
    <x v="0"/>
    <n v="1"/>
  </r>
  <r>
    <n v="1440"/>
    <d v="2024-02-19T00:00:00"/>
    <s v="Basic"/>
    <n v="199"/>
    <n v="7.1"/>
    <n v="2"/>
    <x v="1"/>
    <n v="28"/>
    <n v="9"/>
    <s v="Yes"/>
    <s v="No"/>
    <s v="No"/>
    <s v="No"/>
    <s v="No"/>
    <s v="No"/>
    <m/>
    <x v="1"/>
    <n v="1"/>
  </r>
  <r>
    <n v="1441"/>
    <d v="2023-09-23T00:00:00"/>
    <s v="Basic"/>
    <n v="199"/>
    <n v="21.9"/>
    <n v="7"/>
    <x v="2"/>
    <n v="20"/>
    <n v="33"/>
    <s v="Yes"/>
    <s v="No"/>
    <s v="Yes"/>
    <s v="Yes"/>
    <s v="Yes"/>
    <s v="No"/>
    <m/>
    <x v="0"/>
    <n v="1"/>
  </r>
  <r>
    <n v="1442"/>
    <d v="2023-07-23T00:00:00"/>
    <s v="Basic"/>
    <n v="199"/>
    <n v="2.8"/>
    <n v="6"/>
    <x v="3"/>
    <n v="4"/>
    <n v="48"/>
    <s v="Yes"/>
    <s v="Yes"/>
    <s v="Yes"/>
    <s v="Yes"/>
    <s v="Yes"/>
    <s v="Yes"/>
    <m/>
    <x v="0"/>
    <n v="1"/>
  </r>
  <r>
    <n v="1443"/>
    <d v="2024-12-14T00:00:00"/>
    <s v="Standard"/>
    <n v="399"/>
    <n v="12.3"/>
    <n v="8"/>
    <x v="4"/>
    <n v="27"/>
    <n v="50"/>
    <s v="Yes"/>
    <s v="No"/>
    <s v="Yes"/>
    <s v="Yes"/>
    <s v="Yes"/>
    <s v="No"/>
    <m/>
    <x v="0"/>
    <n v="1"/>
  </r>
  <r>
    <n v="1444"/>
    <d v="2024-09-03T00:00:00"/>
    <s v="Standard"/>
    <n v="399"/>
    <n v="22.9"/>
    <n v="6"/>
    <x v="1"/>
    <n v="23"/>
    <n v="35"/>
    <s v="No"/>
    <s v="No"/>
    <s v="No"/>
    <s v="Yes"/>
    <s v="Yes"/>
    <s v="No"/>
    <m/>
    <x v="1"/>
    <n v="0"/>
  </r>
  <r>
    <n v="1445"/>
    <d v="2023-11-21T00:00:00"/>
    <s v="Basic"/>
    <n v="199"/>
    <n v="18.2"/>
    <n v="2"/>
    <x v="3"/>
    <n v="5"/>
    <n v="42"/>
    <s v="No"/>
    <s v="No"/>
    <s v="Yes"/>
    <s v="No"/>
    <s v="Yes"/>
    <s v="Yes"/>
    <m/>
    <x v="0"/>
    <n v="0"/>
  </r>
  <r>
    <n v="1446"/>
    <d v="2024-11-21T00:00:00"/>
    <s v="Basic"/>
    <n v="199"/>
    <n v="22.5"/>
    <n v="2"/>
    <x v="2"/>
    <n v="10"/>
    <n v="55"/>
    <s v="Yes"/>
    <s v="No"/>
    <s v="Yes"/>
    <s v="No"/>
    <s v="Yes"/>
    <s v="No"/>
    <m/>
    <x v="0"/>
    <n v="1"/>
  </r>
  <r>
    <n v="1447"/>
    <d v="2023-05-09T00:00:00"/>
    <s v="Standard"/>
    <n v="399"/>
    <n v="13.3"/>
    <n v="0"/>
    <x v="2"/>
    <n v="17"/>
    <n v="60"/>
    <s v="No"/>
    <s v="No"/>
    <s v="Yes"/>
    <s v="No"/>
    <s v="Yes"/>
    <s v="No"/>
    <m/>
    <x v="0"/>
    <n v="0"/>
  </r>
  <r>
    <n v="1448"/>
    <d v="2023-07-12T00:00:00"/>
    <s v="Premium"/>
    <n v="699"/>
    <n v="16.2"/>
    <n v="1"/>
    <x v="1"/>
    <n v="29"/>
    <n v="13"/>
    <s v="No"/>
    <s v="No"/>
    <s v="No"/>
    <s v="No"/>
    <s v="No"/>
    <s v="No"/>
    <m/>
    <x v="1"/>
    <n v="0"/>
  </r>
  <r>
    <n v="1449"/>
    <d v="2023-07-15T00:00:00"/>
    <s v="Standard"/>
    <n v="399"/>
    <n v="19.5"/>
    <n v="6"/>
    <x v="0"/>
    <n v="35"/>
    <n v="22"/>
    <s v="Yes"/>
    <s v="No"/>
    <s v="Yes"/>
    <s v="Yes"/>
    <s v="Yes"/>
    <s v="No"/>
    <m/>
    <x v="0"/>
    <n v="1"/>
  </r>
  <r>
    <n v="1450"/>
    <d v="2024-05-29T00:00:00"/>
    <s v="Premium"/>
    <n v="699"/>
    <n v="9.6"/>
    <n v="5"/>
    <x v="1"/>
    <n v="1"/>
    <n v="19"/>
    <s v="No"/>
    <s v="No"/>
    <s v="No"/>
    <s v="Yes"/>
    <s v="Yes"/>
    <s v="Yes"/>
    <m/>
    <x v="1"/>
    <n v="0"/>
  </r>
  <r>
    <n v="1451"/>
    <d v="2024-07-09T00:00:00"/>
    <s v="Basic"/>
    <n v="199"/>
    <n v="16.399999999999999"/>
    <n v="7"/>
    <x v="2"/>
    <n v="32"/>
    <n v="26"/>
    <s v="Yes"/>
    <s v="No"/>
    <s v="Yes"/>
    <s v="Yes"/>
    <s v="Yes"/>
    <s v="No"/>
    <m/>
    <x v="0"/>
    <n v="1"/>
  </r>
  <r>
    <n v="1452"/>
    <d v="2024-03-14T00:00:00"/>
    <s v="Standard"/>
    <n v="399"/>
    <n v="24.4"/>
    <n v="5"/>
    <x v="1"/>
    <n v="34"/>
    <n v="59"/>
    <s v="Yes"/>
    <s v="No"/>
    <s v="No"/>
    <s v="Yes"/>
    <s v="Yes"/>
    <s v="No"/>
    <m/>
    <x v="1"/>
    <n v="1"/>
  </r>
  <r>
    <n v="1453"/>
    <d v="2024-11-06T00:00:00"/>
    <s v="Standard"/>
    <n v="399"/>
    <n v="14"/>
    <n v="2"/>
    <x v="5"/>
    <n v="12"/>
    <n v="27"/>
    <s v="Yes"/>
    <s v="No"/>
    <s v="Yes"/>
    <s v="No"/>
    <s v="Yes"/>
    <s v="No"/>
    <m/>
    <x v="0"/>
    <n v="1"/>
  </r>
  <r>
    <n v="1454"/>
    <d v="2023-04-02T00:00:00"/>
    <s v="Premium"/>
    <n v="699"/>
    <n v="16"/>
    <n v="1"/>
    <x v="1"/>
    <n v="28"/>
    <n v="51"/>
    <s v="No"/>
    <s v="No"/>
    <s v="No"/>
    <s v="No"/>
    <s v="Yes"/>
    <s v="No"/>
    <m/>
    <x v="1"/>
    <n v="0"/>
  </r>
  <r>
    <n v="1455"/>
    <d v="2024-09-30T00:00:00"/>
    <s v="Premium"/>
    <n v="699"/>
    <n v="15.6"/>
    <n v="6"/>
    <x v="1"/>
    <n v="2"/>
    <n v="31"/>
    <s v="No"/>
    <s v="No"/>
    <s v="No"/>
    <s v="Yes"/>
    <s v="Yes"/>
    <s v="Yes"/>
    <m/>
    <x v="1"/>
    <n v="0"/>
  </r>
  <r>
    <n v="1456"/>
    <d v="2023-10-24T00:00:00"/>
    <s v="Premium"/>
    <n v="699"/>
    <n v="16"/>
    <n v="8"/>
    <x v="5"/>
    <n v="7"/>
    <n v="51"/>
    <s v="Yes"/>
    <s v="No"/>
    <s v="Yes"/>
    <s v="Yes"/>
    <s v="Yes"/>
    <s v="No"/>
    <m/>
    <x v="0"/>
    <n v="1"/>
  </r>
  <r>
    <n v="1457"/>
    <d v="2024-04-25T00:00:00"/>
    <s v="Standard"/>
    <n v="399"/>
    <n v="6"/>
    <n v="7"/>
    <x v="5"/>
    <n v="14"/>
    <n v="24"/>
    <s v="Yes"/>
    <s v="No"/>
    <s v="Yes"/>
    <s v="Yes"/>
    <s v="Yes"/>
    <s v="No"/>
    <m/>
    <x v="0"/>
    <n v="1"/>
  </r>
  <r>
    <n v="1458"/>
    <d v="2024-12-21T00:00:00"/>
    <s v="Basic"/>
    <n v="199"/>
    <n v="24.2"/>
    <n v="7"/>
    <x v="2"/>
    <n v="23"/>
    <n v="58"/>
    <s v="No"/>
    <s v="No"/>
    <s v="Yes"/>
    <s v="Yes"/>
    <s v="Yes"/>
    <s v="No"/>
    <m/>
    <x v="0"/>
    <n v="0"/>
  </r>
  <r>
    <n v="1459"/>
    <d v="2024-11-05T00:00:00"/>
    <s v="Premium"/>
    <n v="699"/>
    <n v="0.7"/>
    <n v="5"/>
    <x v="0"/>
    <n v="26"/>
    <n v="32"/>
    <s v="Yes"/>
    <s v="Yes"/>
    <s v="Yes"/>
    <s v="Yes"/>
    <s v="Yes"/>
    <s v="No"/>
    <m/>
    <x v="0"/>
    <n v="1"/>
  </r>
  <r>
    <n v="1460"/>
    <d v="2024-02-29T00:00:00"/>
    <s v="Standard"/>
    <n v="399"/>
    <n v="21"/>
    <n v="6"/>
    <x v="4"/>
    <n v="20"/>
    <n v="15"/>
    <s v="Yes"/>
    <s v="No"/>
    <s v="Yes"/>
    <s v="Yes"/>
    <s v="Yes"/>
    <s v="No"/>
    <m/>
    <x v="0"/>
    <n v="1"/>
  </r>
  <r>
    <n v="1461"/>
    <d v="2023-11-22T00:00:00"/>
    <s v="Basic"/>
    <n v="199"/>
    <n v="1.1000000000000001"/>
    <n v="5"/>
    <x v="5"/>
    <n v="1"/>
    <n v="52"/>
    <s v="Yes"/>
    <s v="Yes"/>
    <s v="Yes"/>
    <s v="Yes"/>
    <s v="Yes"/>
    <s v="Yes"/>
    <m/>
    <x v="0"/>
    <n v="1"/>
  </r>
  <r>
    <n v="1462"/>
    <d v="2023-07-17T00:00:00"/>
    <s v="Standard"/>
    <n v="399"/>
    <n v="24"/>
    <n v="6"/>
    <x v="0"/>
    <n v="11"/>
    <n v="35"/>
    <s v="No"/>
    <s v="No"/>
    <s v="Yes"/>
    <s v="Yes"/>
    <s v="Yes"/>
    <s v="No"/>
    <m/>
    <x v="0"/>
    <n v="0"/>
  </r>
  <r>
    <n v="1463"/>
    <d v="2023-06-27T00:00:00"/>
    <s v="Premium"/>
    <n v="699"/>
    <n v="20.8"/>
    <n v="6"/>
    <x v="0"/>
    <n v="26"/>
    <n v="60"/>
    <s v="No"/>
    <s v="No"/>
    <s v="Yes"/>
    <s v="Yes"/>
    <s v="Yes"/>
    <s v="No"/>
    <m/>
    <x v="0"/>
    <n v="0"/>
  </r>
  <r>
    <n v="1464"/>
    <d v="2023-05-10T00:00:00"/>
    <s v="Standard"/>
    <n v="399"/>
    <n v="13.2"/>
    <n v="6"/>
    <x v="0"/>
    <n v="21"/>
    <n v="6"/>
    <s v="No"/>
    <s v="No"/>
    <s v="Yes"/>
    <s v="Yes"/>
    <s v="No"/>
    <s v="No"/>
    <m/>
    <x v="0"/>
    <n v="0"/>
  </r>
  <r>
    <n v="1465"/>
    <d v="2024-07-20T00:00:00"/>
    <s v="Premium"/>
    <n v="699"/>
    <n v="16"/>
    <n v="6"/>
    <x v="4"/>
    <n v="8"/>
    <n v="58"/>
    <s v="Yes"/>
    <s v="No"/>
    <s v="Yes"/>
    <s v="Yes"/>
    <s v="Yes"/>
    <s v="No"/>
    <m/>
    <x v="0"/>
    <n v="1"/>
  </r>
  <r>
    <n v="1466"/>
    <d v="2024-08-30T00:00:00"/>
    <s v="Basic"/>
    <n v="199"/>
    <n v="5.5"/>
    <n v="1"/>
    <x v="1"/>
    <n v="21"/>
    <n v="27"/>
    <s v="Yes"/>
    <s v="No"/>
    <s v="No"/>
    <s v="No"/>
    <s v="Yes"/>
    <s v="No"/>
    <m/>
    <x v="1"/>
    <n v="1"/>
  </r>
  <r>
    <n v="1467"/>
    <d v="2023-05-14T00:00:00"/>
    <s v="Basic"/>
    <n v="199"/>
    <n v="15.6"/>
    <n v="8"/>
    <x v="1"/>
    <n v="2"/>
    <n v="36"/>
    <s v="Yes"/>
    <s v="No"/>
    <s v="No"/>
    <s v="Yes"/>
    <s v="Yes"/>
    <s v="Yes"/>
    <m/>
    <x v="1"/>
    <n v="1"/>
  </r>
  <r>
    <n v="1468"/>
    <d v="2023-09-09T00:00:00"/>
    <s v="Standard"/>
    <n v="399"/>
    <n v="5.0999999999999996"/>
    <n v="3"/>
    <x v="3"/>
    <n v="23"/>
    <n v="12"/>
    <s v="No"/>
    <s v="No"/>
    <s v="Yes"/>
    <s v="No"/>
    <s v="No"/>
    <s v="No"/>
    <m/>
    <x v="0"/>
    <n v="0"/>
  </r>
  <r>
    <n v="1469"/>
    <d v="2024-10-04T00:00:00"/>
    <s v="Premium"/>
    <n v="699"/>
    <n v="19.399999999999999"/>
    <n v="0"/>
    <x v="3"/>
    <n v="25"/>
    <n v="5"/>
    <s v="No"/>
    <s v="No"/>
    <s v="Yes"/>
    <s v="No"/>
    <s v="No"/>
    <s v="No"/>
    <m/>
    <x v="0"/>
    <n v="0"/>
  </r>
  <r>
    <n v="1470"/>
    <d v="2023-07-04T00:00:00"/>
    <s v="Basic"/>
    <n v="199"/>
    <n v="3.2"/>
    <n v="1"/>
    <x v="1"/>
    <n v="7"/>
    <n v="9"/>
    <s v="Yes"/>
    <s v="Yes"/>
    <s v="No"/>
    <s v="No"/>
    <s v="No"/>
    <s v="No"/>
    <m/>
    <x v="1"/>
    <n v="1"/>
  </r>
  <r>
    <n v="1471"/>
    <d v="2023-01-23T00:00:00"/>
    <s v="Basic"/>
    <n v="199"/>
    <n v="12.6"/>
    <n v="5"/>
    <x v="0"/>
    <n v="5"/>
    <n v="25"/>
    <s v="Yes"/>
    <s v="No"/>
    <s v="Yes"/>
    <s v="Yes"/>
    <s v="Yes"/>
    <s v="Yes"/>
    <m/>
    <x v="0"/>
    <n v="1"/>
  </r>
  <r>
    <n v="1472"/>
    <d v="2023-11-18T00:00:00"/>
    <s v="Standard"/>
    <n v="399"/>
    <n v="12.4"/>
    <n v="1"/>
    <x v="0"/>
    <n v="5"/>
    <n v="43"/>
    <s v="No"/>
    <s v="No"/>
    <s v="Yes"/>
    <s v="No"/>
    <s v="Yes"/>
    <s v="Yes"/>
    <m/>
    <x v="0"/>
    <n v="0"/>
  </r>
  <r>
    <n v="1473"/>
    <d v="2024-11-06T00:00:00"/>
    <s v="Premium"/>
    <n v="699"/>
    <n v="20.3"/>
    <n v="2"/>
    <x v="3"/>
    <n v="29"/>
    <n v="0"/>
    <s v="No"/>
    <s v="No"/>
    <s v="Yes"/>
    <s v="No"/>
    <s v="No"/>
    <s v="No"/>
    <m/>
    <x v="0"/>
    <n v="0"/>
  </r>
  <r>
    <n v="1474"/>
    <d v="2024-09-06T00:00:00"/>
    <s v="Premium"/>
    <n v="699"/>
    <n v="3.4"/>
    <n v="5"/>
    <x v="3"/>
    <n v="3"/>
    <n v="30"/>
    <s v="Yes"/>
    <s v="Yes"/>
    <s v="Yes"/>
    <s v="Yes"/>
    <s v="Yes"/>
    <s v="Yes"/>
    <m/>
    <x v="0"/>
    <n v="1"/>
  </r>
  <r>
    <n v="1475"/>
    <d v="2024-07-02T00:00:00"/>
    <s v="Premium"/>
    <n v="699"/>
    <n v="4.4000000000000004"/>
    <n v="4"/>
    <x v="1"/>
    <n v="1"/>
    <n v="12"/>
    <s v="No"/>
    <s v="Yes"/>
    <s v="No"/>
    <s v="No"/>
    <s v="No"/>
    <s v="Yes"/>
    <m/>
    <x v="1"/>
    <n v="0"/>
  </r>
  <r>
    <n v="1476"/>
    <d v="2023-08-11T00:00:00"/>
    <s v="Basic"/>
    <n v="199"/>
    <n v="13"/>
    <n v="2"/>
    <x v="0"/>
    <n v="34"/>
    <n v="55"/>
    <s v="No"/>
    <s v="No"/>
    <s v="Yes"/>
    <s v="No"/>
    <s v="Yes"/>
    <s v="No"/>
    <m/>
    <x v="0"/>
    <n v="0"/>
  </r>
  <r>
    <n v="1477"/>
    <d v="2023-10-02T00:00:00"/>
    <s v="Basic"/>
    <n v="199"/>
    <n v="3.9"/>
    <n v="1"/>
    <x v="4"/>
    <n v="21"/>
    <n v="44"/>
    <s v="No"/>
    <s v="Yes"/>
    <s v="Yes"/>
    <s v="No"/>
    <s v="Yes"/>
    <s v="No"/>
    <m/>
    <x v="0"/>
    <n v="0"/>
  </r>
  <r>
    <n v="1478"/>
    <d v="2023-10-29T00:00:00"/>
    <s v="Standard"/>
    <n v="399"/>
    <n v="5.4"/>
    <n v="1"/>
    <x v="3"/>
    <n v="31"/>
    <n v="45"/>
    <s v="Yes"/>
    <s v="No"/>
    <s v="Yes"/>
    <s v="No"/>
    <s v="Yes"/>
    <s v="No"/>
    <m/>
    <x v="0"/>
    <n v="1"/>
  </r>
  <r>
    <n v="1479"/>
    <d v="2024-12-04T00:00:00"/>
    <s v="Standard"/>
    <n v="399"/>
    <n v="11.2"/>
    <n v="6"/>
    <x v="0"/>
    <n v="32"/>
    <n v="16"/>
    <s v="Yes"/>
    <s v="No"/>
    <s v="Yes"/>
    <s v="Yes"/>
    <s v="Yes"/>
    <s v="No"/>
    <m/>
    <x v="0"/>
    <n v="1"/>
  </r>
  <r>
    <n v="1480"/>
    <d v="2023-11-16T00:00:00"/>
    <s v="Premium"/>
    <n v="699"/>
    <n v="24.1"/>
    <n v="1"/>
    <x v="5"/>
    <n v="18"/>
    <n v="50"/>
    <s v="No"/>
    <s v="No"/>
    <s v="Yes"/>
    <s v="No"/>
    <s v="Yes"/>
    <s v="No"/>
    <m/>
    <x v="0"/>
    <n v="0"/>
  </r>
  <r>
    <n v="1481"/>
    <d v="2024-09-02T00:00:00"/>
    <s v="Basic"/>
    <n v="199"/>
    <n v="23.9"/>
    <n v="7"/>
    <x v="2"/>
    <n v="14"/>
    <n v="56"/>
    <s v="Yes"/>
    <s v="No"/>
    <s v="Yes"/>
    <s v="Yes"/>
    <s v="Yes"/>
    <s v="No"/>
    <m/>
    <x v="0"/>
    <n v="1"/>
  </r>
  <r>
    <n v="1482"/>
    <d v="2024-08-03T00:00:00"/>
    <s v="Premium"/>
    <n v="699"/>
    <n v="20.5"/>
    <n v="1"/>
    <x v="5"/>
    <n v="18"/>
    <n v="24"/>
    <s v="Yes"/>
    <s v="No"/>
    <s v="Yes"/>
    <s v="No"/>
    <s v="Yes"/>
    <s v="No"/>
    <m/>
    <x v="0"/>
    <n v="1"/>
  </r>
  <r>
    <n v="1483"/>
    <d v="2024-06-07T00:00:00"/>
    <s v="Standard"/>
    <n v="399"/>
    <n v="22.5"/>
    <n v="1"/>
    <x v="2"/>
    <n v="24"/>
    <n v="10"/>
    <s v="No"/>
    <s v="No"/>
    <s v="Yes"/>
    <s v="No"/>
    <s v="No"/>
    <s v="No"/>
    <m/>
    <x v="0"/>
    <n v="0"/>
  </r>
  <r>
    <n v="1484"/>
    <d v="2023-07-04T00:00:00"/>
    <s v="Standard"/>
    <n v="399"/>
    <n v="7.7"/>
    <n v="8"/>
    <x v="3"/>
    <n v="27"/>
    <n v="25"/>
    <s v="Yes"/>
    <s v="No"/>
    <s v="Yes"/>
    <s v="Yes"/>
    <s v="Yes"/>
    <s v="No"/>
    <m/>
    <x v="0"/>
    <n v="1"/>
  </r>
  <r>
    <n v="1485"/>
    <d v="2024-01-16T00:00:00"/>
    <s v="Standard"/>
    <n v="399"/>
    <n v="19.899999999999999"/>
    <n v="5"/>
    <x v="0"/>
    <n v="28"/>
    <n v="4"/>
    <s v="Yes"/>
    <s v="No"/>
    <s v="Yes"/>
    <s v="Yes"/>
    <s v="No"/>
    <s v="No"/>
    <m/>
    <x v="0"/>
    <n v="1"/>
  </r>
  <r>
    <n v="1486"/>
    <d v="2023-12-03T00:00:00"/>
    <s v="Standard"/>
    <n v="399"/>
    <n v="19.600000000000001"/>
    <n v="1"/>
    <x v="1"/>
    <n v="10"/>
    <n v="20"/>
    <s v="No"/>
    <s v="No"/>
    <s v="No"/>
    <s v="No"/>
    <s v="Yes"/>
    <s v="No"/>
    <m/>
    <x v="1"/>
    <n v="0"/>
  </r>
  <r>
    <n v="1487"/>
    <d v="2023-10-18T00:00:00"/>
    <s v="Basic"/>
    <n v="199"/>
    <n v="14.4"/>
    <n v="5"/>
    <x v="0"/>
    <n v="30"/>
    <n v="35"/>
    <s v="Yes"/>
    <s v="No"/>
    <s v="Yes"/>
    <s v="Yes"/>
    <s v="Yes"/>
    <s v="No"/>
    <m/>
    <x v="0"/>
    <n v="1"/>
  </r>
  <r>
    <n v="1488"/>
    <d v="2024-11-18T00:00:00"/>
    <s v="Premium"/>
    <n v="699"/>
    <n v="13.4"/>
    <n v="1"/>
    <x v="5"/>
    <n v="14"/>
    <n v="17"/>
    <s v="No"/>
    <s v="No"/>
    <s v="Yes"/>
    <s v="No"/>
    <s v="Yes"/>
    <s v="No"/>
    <m/>
    <x v="0"/>
    <n v="0"/>
  </r>
  <r>
    <n v="1489"/>
    <d v="2023-07-21T00:00:00"/>
    <s v="Basic"/>
    <n v="199"/>
    <n v="17.2"/>
    <n v="6"/>
    <x v="3"/>
    <n v="27"/>
    <n v="52"/>
    <s v="Yes"/>
    <s v="No"/>
    <s v="Yes"/>
    <s v="Yes"/>
    <s v="Yes"/>
    <s v="No"/>
    <m/>
    <x v="0"/>
    <n v="1"/>
  </r>
  <r>
    <n v="1490"/>
    <d v="2023-06-25T00:00:00"/>
    <s v="Basic"/>
    <n v="199"/>
    <n v="12.7"/>
    <n v="4"/>
    <x v="2"/>
    <n v="32"/>
    <n v="7"/>
    <s v="Yes"/>
    <s v="No"/>
    <s v="Yes"/>
    <s v="No"/>
    <s v="No"/>
    <s v="No"/>
    <m/>
    <x v="0"/>
    <n v="1"/>
  </r>
  <r>
    <n v="1491"/>
    <d v="2024-10-21T00:00:00"/>
    <s v="Premium"/>
    <n v="699"/>
    <n v="15"/>
    <n v="3"/>
    <x v="5"/>
    <n v="21"/>
    <n v="1"/>
    <s v="Yes"/>
    <s v="No"/>
    <s v="Yes"/>
    <s v="No"/>
    <s v="No"/>
    <s v="No"/>
    <m/>
    <x v="0"/>
    <n v="1"/>
  </r>
  <r>
    <n v="1492"/>
    <d v="2023-02-07T00:00:00"/>
    <s v="Premium"/>
    <n v="699"/>
    <n v="22.8"/>
    <n v="4"/>
    <x v="0"/>
    <n v="1"/>
    <n v="53"/>
    <s v="No"/>
    <s v="No"/>
    <s v="Yes"/>
    <s v="No"/>
    <s v="Yes"/>
    <s v="Yes"/>
    <m/>
    <x v="0"/>
    <n v="0"/>
  </r>
  <r>
    <n v="1493"/>
    <d v="2024-03-01T00:00:00"/>
    <s v="Premium"/>
    <n v="699"/>
    <n v="1.5"/>
    <n v="0"/>
    <x v="1"/>
    <n v="34"/>
    <n v="30"/>
    <s v="Yes"/>
    <s v="Yes"/>
    <s v="No"/>
    <s v="No"/>
    <s v="Yes"/>
    <s v="No"/>
    <m/>
    <x v="1"/>
    <n v="1"/>
  </r>
  <r>
    <n v="1494"/>
    <d v="2023-11-17T00:00:00"/>
    <s v="Premium"/>
    <n v="699"/>
    <n v="7.2"/>
    <n v="5"/>
    <x v="2"/>
    <n v="20"/>
    <n v="5"/>
    <s v="No"/>
    <s v="No"/>
    <s v="Yes"/>
    <s v="Yes"/>
    <s v="No"/>
    <s v="No"/>
    <m/>
    <x v="0"/>
    <n v="0"/>
  </r>
  <r>
    <n v="1495"/>
    <d v="2023-05-05T00:00:00"/>
    <s v="Standard"/>
    <n v="399"/>
    <n v="10.1"/>
    <n v="7"/>
    <x v="2"/>
    <n v="4"/>
    <n v="54"/>
    <s v="Yes"/>
    <s v="No"/>
    <s v="Yes"/>
    <s v="Yes"/>
    <s v="Yes"/>
    <s v="Yes"/>
    <m/>
    <x v="0"/>
    <n v="1"/>
  </r>
  <r>
    <n v="1496"/>
    <d v="2023-11-27T00:00:00"/>
    <s v="Standard"/>
    <n v="399"/>
    <n v="1.2"/>
    <n v="0"/>
    <x v="1"/>
    <n v="7"/>
    <n v="8"/>
    <s v="Yes"/>
    <s v="Yes"/>
    <s v="No"/>
    <s v="No"/>
    <s v="No"/>
    <s v="No"/>
    <m/>
    <x v="1"/>
    <n v="1"/>
  </r>
  <r>
    <n v="1497"/>
    <d v="2024-01-13T00:00:00"/>
    <s v="Premium"/>
    <n v="699"/>
    <n v="6"/>
    <n v="1"/>
    <x v="0"/>
    <n v="28"/>
    <n v="46"/>
    <s v="No"/>
    <s v="No"/>
    <s v="Yes"/>
    <s v="No"/>
    <s v="Yes"/>
    <s v="No"/>
    <m/>
    <x v="0"/>
    <n v="0"/>
  </r>
  <r>
    <n v="1498"/>
    <d v="2023-04-24T00:00:00"/>
    <s v="Premium"/>
    <n v="699"/>
    <n v="23.4"/>
    <n v="0"/>
    <x v="3"/>
    <n v="1"/>
    <n v="56"/>
    <s v="No"/>
    <s v="No"/>
    <s v="Yes"/>
    <s v="No"/>
    <s v="Yes"/>
    <s v="Yes"/>
    <m/>
    <x v="0"/>
    <n v="0"/>
  </r>
  <r>
    <n v="1499"/>
    <d v="2024-01-24T00:00:00"/>
    <s v="Basic"/>
    <n v="199"/>
    <n v="2.2999999999999998"/>
    <n v="5"/>
    <x v="4"/>
    <n v="20"/>
    <n v="39"/>
    <s v="Yes"/>
    <s v="Yes"/>
    <s v="Yes"/>
    <s v="Yes"/>
    <s v="Yes"/>
    <s v="No"/>
    <m/>
    <x v="0"/>
    <n v="1"/>
  </r>
  <r>
    <n v="1500"/>
    <d v="2023-06-01T00:00:00"/>
    <s v="Standard"/>
    <n v="399"/>
    <n v="23.2"/>
    <n v="7"/>
    <x v="1"/>
    <n v="11"/>
    <n v="8"/>
    <s v="No"/>
    <s v="No"/>
    <s v="No"/>
    <s v="Yes"/>
    <s v="No"/>
    <s v="No"/>
    <m/>
    <x v="1"/>
    <n v="0"/>
  </r>
  <r>
    <n v="1501"/>
    <d v="2024-05-04T00:00:00"/>
    <s v="Premium"/>
    <n v="699"/>
    <n v="16.100000000000001"/>
    <n v="1"/>
    <x v="5"/>
    <n v="27"/>
    <n v="33"/>
    <s v="Yes"/>
    <s v="No"/>
    <s v="Yes"/>
    <s v="No"/>
    <s v="Yes"/>
    <s v="No"/>
    <m/>
    <x v="0"/>
    <n v="1"/>
  </r>
  <r>
    <n v="1502"/>
    <d v="2023-09-28T00:00:00"/>
    <s v="Premium"/>
    <n v="699"/>
    <n v="24.4"/>
    <n v="5"/>
    <x v="4"/>
    <n v="32"/>
    <n v="30"/>
    <s v="Yes"/>
    <s v="No"/>
    <s v="Yes"/>
    <s v="Yes"/>
    <s v="Yes"/>
    <s v="No"/>
    <m/>
    <x v="0"/>
    <n v="1"/>
  </r>
  <r>
    <n v="1503"/>
    <d v="2023-07-30T00:00:00"/>
    <s v="Standard"/>
    <n v="399"/>
    <n v="9.1"/>
    <n v="3"/>
    <x v="4"/>
    <n v="6"/>
    <n v="41"/>
    <s v="No"/>
    <s v="No"/>
    <s v="Yes"/>
    <s v="No"/>
    <s v="Yes"/>
    <s v="No"/>
    <m/>
    <x v="0"/>
    <n v="0"/>
  </r>
  <r>
    <n v="1504"/>
    <d v="2023-08-10T00:00:00"/>
    <s v="Premium"/>
    <n v="699"/>
    <n v="2.2999999999999998"/>
    <n v="7"/>
    <x v="1"/>
    <n v="5"/>
    <n v="13"/>
    <s v="Yes"/>
    <s v="Yes"/>
    <s v="No"/>
    <s v="Yes"/>
    <s v="No"/>
    <s v="Yes"/>
    <m/>
    <x v="1"/>
    <n v="1"/>
  </r>
  <r>
    <n v="1505"/>
    <d v="2024-06-24T00:00:00"/>
    <s v="Standard"/>
    <n v="399"/>
    <n v="5.0999999999999996"/>
    <n v="1"/>
    <x v="3"/>
    <n v="25"/>
    <n v="13"/>
    <s v="No"/>
    <s v="No"/>
    <s v="Yes"/>
    <s v="No"/>
    <s v="No"/>
    <s v="No"/>
    <m/>
    <x v="0"/>
    <n v="0"/>
  </r>
  <r>
    <n v="1506"/>
    <d v="2024-05-31T00:00:00"/>
    <s v="Premium"/>
    <n v="699"/>
    <n v="19.100000000000001"/>
    <n v="4"/>
    <x v="4"/>
    <n v="21"/>
    <n v="29"/>
    <s v="Yes"/>
    <s v="No"/>
    <s v="Yes"/>
    <s v="No"/>
    <s v="Yes"/>
    <s v="No"/>
    <m/>
    <x v="0"/>
    <n v="1"/>
  </r>
  <r>
    <n v="1507"/>
    <d v="2024-06-09T00:00:00"/>
    <s v="Basic"/>
    <n v="199"/>
    <n v="5.9"/>
    <n v="5"/>
    <x v="2"/>
    <n v="9"/>
    <n v="28"/>
    <s v="No"/>
    <s v="No"/>
    <s v="Yes"/>
    <s v="Yes"/>
    <s v="Yes"/>
    <s v="No"/>
    <m/>
    <x v="0"/>
    <n v="0"/>
  </r>
  <r>
    <n v="1508"/>
    <d v="2024-08-14T00:00:00"/>
    <s v="Basic"/>
    <n v="199"/>
    <n v="5.0999999999999996"/>
    <n v="4"/>
    <x v="2"/>
    <n v="26"/>
    <n v="10"/>
    <s v="No"/>
    <s v="No"/>
    <s v="Yes"/>
    <s v="No"/>
    <s v="No"/>
    <s v="No"/>
    <m/>
    <x v="0"/>
    <n v="0"/>
  </r>
  <r>
    <n v="1509"/>
    <d v="2024-04-16T00:00:00"/>
    <s v="Premium"/>
    <n v="699"/>
    <n v="4.0999999999999996"/>
    <n v="1"/>
    <x v="4"/>
    <n v="7"/>
    <n v="7"/>
    <s v="Yes"/>
    <s v="Yes"/>
    <s v="Yes"/>
    <s v="No"/>
    <s v="No"/>
    <s v="No"/>
    <m/>
    <x v="0"/>
    <n v="1"/>
  </r>
  <r>
    <n v="1510"/>
    <d v="2024-07-17T00:00:00"/>
    <s v="Basic"/>
    <n v="199"/>
    <n v="1.2"/>
    <n v="8"/>
    <x v="2"/>
    <n v="18"/>
    <n v="22"/>
    <s v="Yes"/>
    <s v="Yes"/>
    <s v="Yes"/>
    <s v="Yes"/>
    <s v="Yes"/>
    <s v="No"/>
    <m/>
    <x v="0"/>
    <n v="1"/>
  </r>
  <r>
    <n v="1511"/>
    <d v="2023-12-08T00:00:00"/>
    <s v="Basic"/>
    <n v="199"/>
    <n v="11.1"/>
    <n v="2"/>
    <x v="2"/>
    <n v="23"/>
    <n v="32"/>
    <s v="Yes"/>
    <s v="No"/>
    <s v="Yes"/>
    <s v="No"/>
    <s v="Yes"/>
    <s v="No"/>
    <m/>
    <x v="0"/>
    <n v="1"/>
  </r>
  <r>
    <n v="1512"/>
    <d v="2024-03-08T00:00:00"/>
    <s v="Basic"/>
    <n v="199"/>
    <n v="7.2"/>
    <n v="1"/>
    <x v="1"/>
    <n v="29"/>
    <n v="41"/>
    <s v="No"/>
    <s v="No"/>
    <s v="No"/>
    <s v="No"/>
    <s v="Yes"/>
    <s v="No"/>
    <m/>
    <x v="1"/>
    <n v="0"/>
  </r>
  <r>
    <n v="1513"/>
    <d v="2024-05-20T00:00:00"/>
    <s v="Basic"/>
    <n v="199"/>
    <n v="5.0999999999999996"/>
    <n v="2"/>
    <x v="5"/>
    <n v="19"/>
    <n v="17"/>
    <s v="No"/>
    <s v="No"/>
    <s v="Yes"/>
    <s v="No"/>
    <s v="Yes"/>
    <s v="No"/>
    <m/>
    <x v="0"/>
    <n v="0"/>
  </r>
  <r>
    <n v="1514"/>
    <d v="2023-08-13T00:00:00"/>
    <s v="Premium"/>
    <n v="699"/>
    <n v="3.2"/>
    <n v="0"/>
    <x v="4"/>
    <n v="28"/>
    <n v="15"/>
    <s v="No"/>
    <s v="Yes"/>
    <s v="Yes"/>
    <s v="No"/>
    <s v="Yes"/>
    <s v="No"/>
    <m/>
    <x v="0"/>
    <n v="0"/>
  </r>
  <r>
    <n v="1515"/>
    <d v="2023-10-10T00:00:00"/>
    <s v="Basic"/>
    <n v="199"/>
    <n v="22.4"/>
    <n v="4"/>
    <x v="0"/>
    <n v="4"/>
    <n v="4"/>
    <s v="No"/>
    <s v="No"/>
    <s v="Yes"/>
    <s v="No"/>
    <s v="No"/>
    <s v="Yes"/>
    <m/>
    <x v="0"/>
    <n v="0"/>
  </r>
  <r>
    <n v="1516"/>
    <d v="2024-12-09T00:00:00"/>
    <s v="Basic"/>
    <n v="199"/>
    <n v="10.1"/>
    <n v="1"/>
    <x v="0"/>
    <n v="26"/>
    <n v="46"/>
    <s v="No"/>
    <s v="No"/>
    <s v="Yes"/>
    <s v="No"/>
    <s v="Yes"/>
    <s v="No"/>
    <m/>
    <x v="0"/>
    <n v="0"/>
  </r>
  <r>
    <n v="1517"/>
    <d v="2024-09-02T00:00:00"/>
    <s v="Standard"/>
    <n v="399"/>
    <n v="5.5"/>
    <n v="3"/>
    <x v="3"/>
    <n v="32"/>
    <n v="40"/>
    <s v="Yes"/>
    <s v="No"/>
    <s v="Yes"/>
    <s v="No"/>
    <s v="Yes"/>
    <s v="No"/>
    <m/>
    <x v="0"/>
    <n v="1"/>
  </r>
  <r>
    <n v="1518"/>
    <d v="2023-11-09T00:00:00"/>
    <s v="Standard"/>
    <n v="399"/>
    <n v="2.8"/>
    <n v="8"/>
    <x v="4"/>
    <n v="1"/>
    <n v="39"/>
    <s v="Yes"/>
    <s v="Yes"/>
    <s v="Yes"/>
    <s v="Yes"/>
    <s v="Yes"/>
    <s v="Yes"/>
    <m/>
    <x v="0"/>
    <n v="1"/>
  </r>
  <r>
    <n v="1519"/>
    <d v="2024-04-11T00:00:00"/>
    <s v="Premium"/>
    <n v="699"/>
    <n v="4.7"/>
    <n v="1"/>
    <x v="0"/>
    <n v="16"/>
    <n v="11"/>
    <s v="Yes"/>
    <s v="Yes"/>
    <s v="Yes"/>
    <s v="No"/>
    <s v="No"/>
    <s v="No"/>
    <m/>
    <x v="0"/>
    <n v="1"/>
  </r>
  <r>
    <n v="1520"/>
    <d v="2023-09-28T00:00:00"/>
    <s v="Basic"/>
    <n v="199"/>
    <n v="16.8"/>
    <n v="6"/>
    <x v="3"/>
    <n v="1"/>
    <n v="1"/>
    <s v="Yes"/>
    <s v="No"/>
    <s v="Yes"/>
    <s v="Yes"/>
    <s v="No"/>
    <s v="Yes"/>
    <m/>
    <x v="0"/>
    <n v="1"/>
  </r>
  <r>
    <n v="1521"/>
    <d v="2024-08-20T00:00:00"/>
    <s v="Basic"/>
    <n v="199"/>
    <n v="17.100000000000001"/>
    <n v="0"/>
    <x v="5"/>
    <n v="11"/>
    <n v="22"/>
    <s v="No"/>
    <s v="No"/>
    <s v="Yes"/>
    <s v="No"/>
    <s v="Yes"/>
    <s v="No"/>
    <m/>
    <x v="0"/>
    <n v="0"/>
  </r>
  <r>
    <n v="1522"/>
    <d v="2024-08-03T00:00:00"/>
    <s v="Basic"/>
    <n v="199"/>
    <n v="21.9"/>
    <n v="7"/>
    <x v="1"/>
    <n v="32"/>
    <n v="2"/>
    <s v="No"/>
    <s v="No"/>
    <s v="No"/>
    <s v="Yes"/>
    <s v="No"/>
    <s v="No"/>
    <m/>
    <x v="1"/>
    <n v="0"/>
  </r>
  <r>
    <n v="1523"/>
    <d v="2023-04-07T00:00:00"/>
    <s v="Premium"/>
    <n v="699"/>
    <n v="21"/>
    <n v="8"/>
    <x v="5"/>
    <n v="19"/>
    <n v="10"/>
    <s v="No"/>
    <s v="No"/>
    <s v="Yes"/>
    <s v="Yes"/>
    <s v="No"/>
    <s v="No"/>
    <m/>
    <x v="0"/>
    <n v="0"/>
  </r>
  <r>
    <n v="1524"/>
    <d v="2024-07-12T00:00:00"/>
    <s v="Basic"/>
    <n v="199"/>
    <n v="20.2"/>
    <n v="5"/>
    <x v="2"/>
    <n v="20"/>
    <n v="31"/>
    <s v="Yes"/>
    <s v="No"/>
    <s v="Yes"/>
    <s v="Yes"/>
    <s v="Yes"/>
    <s v="No"/>
    <m/>
    <x v="0"/>
    <n v="1"/>
  </r>
  <r>
    <n v="1525"/>
    <d v="2024-12-28T00:00:00"/>
    <s v="Standard"/>
    <n v="399"/>
    <n v="6.7"/>
    <n v="7"/>
    <x v="1"/>
    <n v="32"/>
    <n v="52"/>
    <s v="Yes"/>
    <s v="No"/>
    <s v="No"/>
    <s v="Yes"/>
    <s v="Yes"/>
    <s v="No"/>
    <m/>
    <x v="1"/>
    <n v="1"/>
  </r>
  <r>
    <n v="1526"/>
    <d v="2024-10-17T00:00:00"/>
    <s v="Standard"/>
    <n v="399"/>
    <n v="19.5"/>
    <n v="7"/>
    <x v="1"/>
    <n v="34"/>
    <n v="17"/>
    <s v="No"/>
    <s v="No"/>
    <s v="No"/>
    <s v="Yes"/>
    <s v="Yes"/>
    <s v="No"/>
    <m/>
    <x v="1"/>
    <n v="0"/>
  </r>
  <r>
    <n v="1527"/>
    <d v="2023-02-01T00:00:00"/>
    <s v="Basic"/>
    <n v="199"/>
    <n v="24.5"/>
    <n v="3"/>
    <x v="4"/>
    <n v="10"/>
    <n v="9"/>
    <s v="No"/>
    <s v="No"/>
    <s v="Yes"/>
    <s v="No"/>
    <s v="No"/>
    <s v="No"/>
    <m/>
    <x v="0"/>
    <n v="0"/>
  </r>
  <r>
    <n v="1528"/>
    <d v="2024-10-16T00:00:00"/>
    <s v="Basic"/>
    <n v="199"/>
    <n v="9.3000000000000007"/>
    <n v="1"/>
    <x v="0"/>
    <n v="28"/>
    <n v="58"/>
    <s v="No"/>
    <s v="No"/>
    <s v="Yes"/>
    <s v="No"/>
    <s v="Yes"/>
    <s v="No"/>
    <m/>
    <x v="0"/>
    <n v="0"/>
  </r>
  <r>
    <n v="1529"/>
    <d v="2023-09-29T00:00:00"/>
    <s v="Basic"/>
    <n v="199"/>
    <n v="22"/>
    <n v="8"/>
    <x v="2"/>
    <n v="18"/>
    <n v="56"/>
    <s v="Yes"/>
    <s v="No"/>
    <s v="Yes"/>
    <s v="Yes"/>
    <s v="Yes"/>
    <s v="No"/>
    <m/>
    <x v="0"/>
    <n v="1"/>
  </r>
  <r>
    <n v="1530"/>
    <d v="2023-10-10T00:00:00"/>
    <s v="Premium"/>
    <n v="699"/>
    <n v="22.3"/>
    <n v="6"/>
    <x v="5"/>
    <n v="23"/>
    <n v="26"/>
    <s v="No"/>
    <s v="No"/>
    <s v="Yes"/>
    <s v="Yes"/>
    <s v="Yes"/>
    <s v="No"/>
    <m/>
    <x v="0"/>
    <n v="0"/>
  </r>
  <r>
    <n v="1531"/>
    <d v="2023-05-06T00:00:00"/>
    <s v="Standard"/>
    <n v="399"/>
    <n v="1.5"/>
    <n v="8"/>
    <x v="4"/>
    <n v="13"/>
    <n v="21"/>
    <s v="Yes"/>
    <s v="Yes"/>
    <s v="Yes"/>
    <s v="Yes"/>
    <s v="Yes"/>
    <s v="No"/>
    <m/>
    <x v="0"/>
    <n v="1"/>
  </r>
  <r>
    <n v="1532"/>
    <d v="2024-05-25T00:00:00"/>
    <s v="Standard"/>
    <n v="399"/>
    <n v="14.4"/>
    <n v="5"/>
    <x v="3"/>
    <n v="30"/>
    <n v="7"/>
    <s v="No"/>
    <s v="No"/>
    <s v="Yes"/>
    <s v="Yes"/>
    <s v="No"/>
    <s v="No"/>
    <m/>
    <x v="0"/>
    <n v="0"/>
  </r>
  <r>
    <n v="1533"/>
    <d v="2024-11-11T00:00:00"/>
    <s v="Premium"/>
    <n v="699"/>
    <n v="11.9"/>
    <n v="2"/>
    <x v="5"/>
    <n v="10"/>
    <n v="18"/>
    <s v="No"/>
    <s v="No"/>
    <s v="Yes"/>
    <s v="No"/>
    <s v="Yes"/>
    <s v="No"/>
    <m/>
    <x v="0"/>
    <n v="0"/>
  </r>
  <r>
    <n v="1534"/>
    <d v="2023-08-11T00:00:00"/>
    <s v="Basic"/>
    <n v="199"/>
    <n v="12.4"/>
    <n v="1"/>
    <x v="3"/>
    <n v="20"/>
    <n v="0"/>
    <s v="No"/>
    <s v="No"/>
    <s v="Yes"/>
    <s v="No"/>
    <s v="No"/>
    <s v="No"/>
    <m/>
    <x v="0"/>
    <n v="0"/>
  </r>
  <r>
    <n v="1535"/>
    <d v="2023-01-01T00:00:00"/>
    <s v="Standard"/>
    <n v="399"/>
    <n v="1.8"/>
    <n v="4"/>
    <x v="1"/>
    <n v="8"/>
    <n v="27"/>
    <s v="Yes"/>
    <s v="Yes"/>
    <s v="No"/>
    <s v="No"/>
    <s v="Yes"/>
    <s v="No"/>
    <m/>
    <x v="1"/>
    <n v="1"/>
  </r>
  <r>
    <n v="1536"/>
    <d v="2024-07-28T00:00:00"/>
    <s v="Basic"/>
    <n v="199"/>
    <n v="3.9"/>
    <n v="4"/>
    <x v="5"/>
    <n v="17"/>
    <n v="42"/>
    <s v="Yes"/>
    <s v="Yes"/>
    <s v="Yes"/>
    <s v="No"/>
    <s v="Yes"/>
    <s v="No"/>
    <m/>
    <x v="0"/>
    <n v="1"/>
  </r>
  <r>
    <n v="1537"/>
    <d v="2023-03-24T00:00:00"/>
    <s v="Basic"/>
    <n v="199"/>
    <n v="18"/>
    <n v="2"/>
    <x v="4"/>
    <n v="6"/>
    <n v="12"/>
    <s v="No"/>
    <s v="No"/>
    <s v="Yes"/>
    <s v="No"/>
    <s v="No"/>
    <s v="No"/>
    <m/>
    <x v="0"/>
    <n v="0"/>
  </r>
  <r>
    <n v="1538"/>
    <d v="2024-01-31T00:00:00"/>
    <s v="Standard"/>
    <n v="399"/>
    <n v="1.3"/>
    <n v="5"/>
    <x v="0"/>
    <n v="15"/>
    <n v="51"/>
    <s v="Yes"/>
    <s v="Yes"/>
    <s v="Yes"/>
    <s v="Yes"/>
    <s v="Yes"/>
    <s v="No"/>
    <m/>
    <x v="0"/>
    <n v="1"/>
  </r>
  <r>
    <n v="1539"/>
    <d v="2023-11-15T00:00:00"/>
    <s v="Standard"/>
    <n v="399"/>
    <n v="24.2"/>
    <n v="1"/>
    <x v="3"/>
    <n v="26"/>
    <n v="58"/>
    <s v="Yes"/>
    <s v="No"/>
    <s v="Yes"/>
    <s v="No"/>
    <s v="Yes"/>
    <s v="No"/>
    <m/>
    <x v="0"/>
    <n v="1"/>
  </r>
  <r>
    <n v="1540"/>
    <d v="2023-07-24T00:00:00"/>
    <s v="Basic"/>
    <n v="199"/>
    <n v="17.100000000000001"/>
    <n v="5"/>
    <x v="5"/>
    <n v="28"/>
    <n v="8"/>
    <s v="No"/>
    <s v="No"/>
    <s v="Yes"/>
    <s v="Yes"/>
    <s v="No"/>
    <s v="No"/>
    <m/>
    <x v="0"/>
    <n v="0"/>
  </r>
  <r>
    <n v="1541"/>
    <d v="2024-08-03T00:00:00"/>
    <s v="Standard"/>
    <n v="399"/>
    <n v="10.7"/>
    <n v="3"/>
    <x v="3"/>
    <n v="9"/>
    <n v="19"/>
    <s v="Yes"/>
    <s v="No"/>
    <s v="Yes"/>
    <s v="No"/>
    <s v="Yes"/>
    <s v="No"/>
    <m/>
    <x v="0"/>
    <n v="1"/>
  </r>
  <r>
    <n v="1542"/>
    <d v="2024-03-28T00:00:00"/>
    <s v="Premium"/>
    <n v="699"/>
    <n v="13.9"/>
    <n v="6"/>
    <x v="2"/>
    <n v="30"/>
    <n v="6"/>
    <s v="Yes"/>
    <s v="No"/>
    <s v="Yes"/>
    <s v="Yes"/>
    <s v="No"/>
    <s v="No"/>
    <m/>
    <x v="0"/>
    <n v="1"/>
  </r>
  <r>
    <n v="1543"/>
    <d v="2024-03-06T00:00:00"/>
    <s v="Premium"/>
    <n v="699"/>
    <n v="12.8"/>
    <n v="5"/>
    <x v="2"/>
    <n v="21"/>
    <n v="22"/>
    <s v="Yes"/>
    <s v="No"/>
    <s v="Yes"/>
    <s v="Yes"/>
    <s v="Yes"/>
    <s v="No"/>
    <m/>
    <x v="0"/>
    <n v="1"/>
  </r>
  <r>
    <n v="1544"/>
    <d v="2023-05-24T00:00:00"/>
    <s v="Standard"/>
    <n v="399"/>
    <n v="1.2"/>
    <n v="8"/>
    <x v="1"/>
    <n v="30"/>
    <n v="49"/>
    <s v="Yes"/>
    <s v="Yes"/>
    <s v="No"/>
    <s v="Yes"/>
    <s v="Yes"/>
    <s v="No"/>
    <m/>
    <x v="1"/>
    <n v="1"/>
  </r>
  <r>
    <n v="1545"/>
    <d v="2024-08-02T00:00:00"/>
    <s v="Premium"/>
    <n v="699"/>
    <n v="19.8"/>
    <n v="8"/>
    <x v="3"/>
    <n v="20"/>
    <n v="8"/>
    <s v="No"/>
    <s v="No"/>
    <s v="Yes"/>
    <s v="Yes"/>
    <s v="No"/>
    <s v="No"/>
    <m/>
    <x v="0"/>
    <n v="0"/>
  </r>
  <r>
    <n v="1546"/>
    <d v="2024-04-18T00:00:00"/>
    <s v="Standard"/>
    <n v="399"/>
    <n v="19"/>
    <n v="6"/>
    <x v="0"/>
    <n v="4"/>
    <n v="25"/>
    <s v="No"/>
    <s v="No"/>
    <s v="Yes"/>
    <s v="Yes"/>
    <s v="Yes"/>
    <s v="Yes"/>
    <m/>
    <x v="0"/>
    <n v="0"/>
  </r>
  <r>
    <n v="1547"/>
    <d v="2024-10-27T00:00:00"/>
    <s v="Premium"/>
    <n v="699"/>
    <n v="21.1"/>
    <n v="1"/>
    <x v="1"/>
    <n v="30"/>
    <n v="17"/>
    <s v="No"/>
    <s v="No"/>
    <s v="No"/>
    <s v="No"/>
    <s v="Yes"/>
    <s v="No"/>
    <m/>
    <x v="1"/>
    <n v="0"/>
  </r>
  <r>
    <n v="1548"/>
    <d v="2023-03-04T00:00:00"/>
    <s v="Basic"/>
    <n v="199"/>
    <n v="15.1"/>
    <n v="4"/>
    <x v="5"/>
    <n v="22"/>
    <n v="30"/>
    <s v="Yes"/>
    <s v="No"/>
    <s v="Yes"/>
    <s v="No"/>
    <s v="Yes"/>
    <s v="No"/>
    <m/>
    <x v="0"/>
    <n v="1"/>
  </r>
  <r>
    <n v="1549"/>
    <d v="2024-07-29T00:00:00"/>
    <s v="Basic"/>
    <n v="199"/>
    <n v="18.600000000000001"/>
    <n v="0"/>
    <x v="4"/>
    <n v="33"/>
    <n v="13"/>
    <s v="No"/>
    <s v="No"/>
    <s v="Yes"/>
    <s v="No"/>
    <s v="No"/>
    <s v="No"/>
    <m/>
    <x v="0"/>
    <n v="0"/>
  </r>
  <r>
    <n v="1550"/>
    <d v="2023-01-07T00:00:00"/>
    <s v="Premium"/>
    <n v="699"/>
    <n v="3.8"/>
    <n v="2"/>
    <x v="3"/>
    <n v="32"/>
    <n v="40"/>
    <s v="Yes"/>
    <s v="Yes"/>
    <s v="Yes"/>
    <s v="No"/>
    <s v="Yes"/>
    <s v="No"/>
    <m/>
    <x v="0"/>
    <n v="1"/>
  </r>
  <r>
    <n v="1551"/>
    <d v="2024-06-16T00:00:00"/>
    <s v="Standard"/>
    <n v="399"/>
    <n v="3.3"/>
    <n v="0"/>
    <x v="0"/>
    <n v="13"/>
    <n v="38"/>
    <s v="No"/>
    <s v="Yes"/>
    <s v="Yes"/>
    <s v="No"/>
    <s v="Yes"/>
    <s v="No"/>
    <m/>
    <x v="0"/>
    <n v="0"/>
  </r>
  <r>
    <n v="1552"/>
    <d v="2024-02-05T00:00:00"/>
    <s v="Basic"/>
    <n v="199"/>
    <n v="5.5"/>
    <n v="7"/>
    <x v="1"/>
    <n v="16"/>
    <n v="53"/>
    <s v="No"/>
    <s v="No"/>
    <s v="No"/>
    <s v="Yes"/>
    <s v="Yes"/>
    <s v="No"/>
    <m/>
    <x v="1"/>
    <n v="0"/>
  </r>
  <r>
    <n v="1553"/>
    <d v="2024-07-13T00:00:00"/>
    <s v="Basic"/>
    <n v="199"/>
    <n v="7.8"/>
    <n v="7"/>
    <x v="0"/>
    <n v="8"/>
    <n v="52"/>
    <s v="Yes"/>
    <s v="No"/>
    <s v="Yes"/>
    <s v="Yes"/>
    <s v="Yes"/>
    <s v="No"/>
    <m/>
    <x v="0"/>
    <n v="1"/>
  </r>
  <r>
    <n v="1554"/>
    <d v="2023-07-09T00:00:00"/>
    <s v="Standard"/>
    <n v="399"/>
    <n v="21.6"/>
    <n v="1"/>
    <x v="2"/>
    <n v="29"/>
    <n v="9"/>
    <s v="No"/>
    <s v="No"/>
    <s v="Yes"/>
    <s v="No"/>
    <s v="No"/>
    <s v="No"/>
    <m/>
    <x v="0"/>
    <n v="0"/>
  </r>
  <r>
    <n v="1555"/>
    <d v="2023-10-24T00:00:00"/>
    <s v="Basic"/>
    <n v="199"/>
    <n v="4.7"/>
    <n v="8"/>
    <x v="0"/>
    <n v="16"/>
    <n v="30"/>
    <s v="Yes"/>
    <s v="Yes"/>
    <s v="Yes"/>
    <s v="Yes"/>
    <s v="Yes"/>
    <s v="No"/>
    <m/>
    <x v="0"/>
    <n v="1"/>
  </r>
  <r>
    <n v="1556"/>
    <d v="2024-01-31T00:00:00"/>
    <s v="Premium"/>
    <n v="699"/>
    <n v="24"/>
    <n v="7"/>
    <x v="3"/>
    <n v="7"/>
    <n v="42"/>
    <s v="Yes"/>
    <s v="No"/>
    <s v="Yes"/>
    <s v="Yes"/>
    <s v="Yes"/>
    <s v="No"/>
    <m/>
    <x v="0"/>
    <n v="1"/>
  </r>
  <r>
    <n v="1557"/>
    <d v="2023-05-04T00:00:00"/>
    <s v="Premium"/>
    <n v="699"/>
    <n v="11.9"/>
    <n v="6"/>
    <x v="0"/>
    <n v="7"/>
    <n v="1"/>
    <s v="No"/>
    <s v="No"/>
    <s v="Yes"/>
    <s v="Yes"/>
    <s v="No"/>
    <s v="No"/>
    <m/>
    <x v="0"/>
    <n v="0"/>
  </r>
  <r>
    <n v="1558"/>
    <d v="2024-11-03T00:00:00"/>
    <s v="Premium"/>
    <n v="699"/>
    <n v="0.8"/>
    <n v="4"/>
    <x v="1"/>
    <n v="25"/>
    <n v="41"/>
    <s v="Yes"/>
    <s v="Yes"/>
    <s v="No"/>
    <s v="No"/>
    <s v="Yes"/>
    <s v="No"/>
    <m/>
    <x v="1"/>
    <n v="1"/>
  </r>
  <r>
    <n v="1559"/>
    <d v="2024-04-14T00:00:00"/>
    <s v="Premium"/>
    <n v="699"/>
    <n v="1.5"/>
    <n v="5"/>
    <x v="0"/>
    <n v="29"/>
    <n v="29"/>
    <s v="No"/>
    <s v="Yes"/>
    <s v="Yes"/>
    <s v="Yes"/>
    <s v="Yes"/>
    <s v="No"/>
    <m/>
    <x v="0"/>
    <n v="0"/>
  </r>
  <r>
    <n v="1560"/>
    <d v="2023-08-04T00:00:00"/>
    <s v="Standard"/>
    <n v="399"/>
    <n v="24.6"/>
    <n v="5"/>
    <x v="5"/>
    <n v="1"/>
    <n v="54"/>
    <s v="No"/>
    <s v="No"/>
    <s v="Yes"/>
    <s v="Yes"/>
    <s v="Yes"/>
    <s v="Yes"/>
    <m/>
    <x v="0"/>
    <n v="0"/>
  </r>
  <r>
    <n v="1561"/>
    <d v="2024-11-02T00:00:00"/>
    <s v="Standard"/>
    <n v="399"/>
    <n v="10.1"/>
    <n v="1"/>
    <x v="0"/>
    <n v="34"/>
    <n v="41"/>
    <s v="Yes"/>
    <s v="No"/>
    <s v="Yes"/>
    <s v="No"/>
    <s v="Yes"/>
    <s v="No"/>
    <m/>
    <x v="0"/>
    <n v="1"/>
  </r>
  <r>
    <n v="1562"/>
    <d v="2023-11-07T00:00:00"/>
    <s v="Premium"/>
    <n v="699"/>
    <n v="11.8"/>
    <n v="2"/>
    <x v="3"/>
    <n v="22"/>
    <n v="50"/>
    <s v="No"/>
    <s v="No"/>
    <s v="Yes"/>
    <s v="No"/>
    <s v="Yes"/>
    <s v="No"/>
    <m/>
    <x v="0"/>
    <n v="0"/>
  </r>
  <r>
    <n v="1563"/>
    <d v="2023-07-04T00:00:00"/>
    <s v="Standard"/>
    <n v="399"/>
    <n v="22.9"/>
    <n v="7"/>
    <x v="2"/>
    <n v="5"/>
    <n v="30"/>
    <s v="Yes"/>
    <s v="No"/>
    <s v="Yes"/>
    <s v="Yes"/>
    <s v="Yes"/>
    <s v="Yes"/>
    <m/>
    <x v="0"/>
    <n v="1"/>
  </r>
  <r>
    <n v="1564"/>
    <d v="2024-08-25T00:00:00"/>
    <s v="Premium"/>
    <n v="699"/>
    <n v="19.5"/>
    <n v="8"/>
    <x v="3"/>
    <n v="33"/>
    <n v="8"/>
    <s v="No"/>
    <s v="No"/>
    <s v="Yes"/>
    <s v="Yes"/>
    <s v="No"/>
    <s v="No"/>
    <m/>
    <x v="0"/>
    <n v="0"/>
  </r>
  <r>
    <n v="1565"/>
    <d v="2023-06-12T00:00:00"/>
    <s v="Premium"/>
    <n v="699"/>
    <n v="14.8"/>
    <n v="6"/>
    <x v="1"/>
    <n v="23"/>
    <n v="2"/>
    <s v="Yes"/>
    <s v="No"/>
    <s v="No"/>
    <s v="Yes"/>
    <s v="No"/>
    <s v="No"/>
    <m/>
    <x v="1"/>
    <n v="1"/>
  </r>
  <r>
    <n v="1566"/>
    <d v="2023-08-26T00:00:00"/>
    <s v="Basic"/>
    <n v="199"/>
    <n v="16.8"/>
    <n v="7"/>
    <x v="4"/>
    <n v="7"/>
    <n v="30"/>
    <s v="Yes"/>
    <s v="No"/>
    <s v="Yes"/>
    <s v="Yes"/>
    <s v="Yes"/>
    <s v="No"/>
    <m/>
    <x v="0"/>
    <n v="1"/>
  </r>
  <r>
    <n v="1567"/>
    <d v="2024-03-06T00:00:00"/>
    <s v="Premium"/>
    <n v="699"/>
    <n v="3.1"/>
    <n v="2"/>
    <x v="4"/>
    <n v="16"/>
    <n v="57"/>
    <s v="Yes"/>
    <s v="Yes"/>
    <s v="Yes"/>
    <s v="No"/>
    <s v="Yes"/>
    <s v="No"/>
    <m/>
    <x v="0"/>
    <n v="1"/>
  </r>
  <r>
    <n v="1568"/>
    <d v="2024-03-28T00:00:00"/>
    <s v="Basic"/>
    <n v="199"/>
    <n v="15.5"/>
    <n v="1"/>
    <x v="1"/>
    <n v="4"/>
    <n v="54"/>
    <s v="No"/>
    <s v="No"/>
    <s v="No"/>
    <s v="No"/>
    <s v="Yes"/>
    <s v="Yes"/>
    <m/>
    <x v="1"/>
    <n v="0"/>
  </r>
  <r>
    <n v="1569"/>
    <d v="2023-05-17T00:00:00"/>
    <s v="Standard"/>
    <n v="399"/>
    <n v="23.1"/>
    <n v="5"/>
    <x v="1"/>
    <n v="2"/>
    <n v="44"/>
    <s v="Yes"/>
    <s v="No"/>
    <s v="No"/>
    <s v="Yes"/>
    <s v="Yes"/>
    <s v="Yes"/>
    <m/>
    <x v="1"/>
    <n v="1"/>
  </r>
  <r>
    <n v="1570"/>
    <d v="2023-08-19T00:00:00"/>
    <s v="Premium"/>
    <n v="699"/>
    <n v="5.4"/>
    <n v="4"/>
    <x v="2"/>
    <n v="36"/>
    <n v="28"/>
    <s v="Yes"/>
    <s v="No"/>
    <s v="Yes"/>
    <s v="No"/>
    <s v="Yes"/>
    <s v="No"/>
    <m/>
    <x v="0"/>
    <n v="1"/>
  </r>
  <r>
    <n v="1571"/>
    <d v="2024-10-06T00:00:00"/>
    <s v="Basic"/>
    <n v="199"/>
    <n v="11.1"/>
    <n v="8"/>
    <x v="0"/>
    <n v="11"/>
    <n v="5"/>
    <s v="No"/>
    <s v="No"/>
    <s v="Yes"/>
    <s v="Yes"/>
    <s v="No"/>
    <s v="No"/>
    <m/>
    <x v="0"/>
    <n v="0"/>
  </r>
  <r>
    <n v="1572"/>
    <d v="2024-08-04T00:00:00"/>
    <s v="Premium"/>
    <n v="699"/>
    <n v="5.5"/>
    <n v="2"/>
    <x v="1"/>
    <n v="7"/>
    <n v="23"/>
    <s v="No"/>
    <s v="No"/>
    <s v="No"/>
    <s v="No"/>
    <s v="Yes"/>
    <s v="No"/>
    <m/>
    <x v="1"/>
    <n v="0"/>
  </r>
  <r>
    <n v="1573"/>
    <d v="2024-08-07T00:00:00"/>
    <s v="Premium"/>
    <n v="699"/>
    <n v="8.8000000000000007"/>
    <n v="8"/>
    <x v="2"/>
    <n v="5"/>
    <n v="12"/>
    <s v="No"/>
    <s v="No"/>
    <s v="Yes"/>
    <s v="Yes"/>
    <s v="No"/>
    <s v="Yes"/>
    <m/>
    <x v="0"/>
    <n v="0"/>
  </r>
  <r>
    <n v="1574"/>
    <d v="2024-03-13T00:00:00"/>
    <s v="Standard"/>
    <n v="399"/>
    <n v="9.1"/>
    <n v="8"/>
    <x v="0"/>
    <n v="33"/>
    <n v="51"/>
    <s v="Yes"/>
    <s v="No"/>
    <s v="Yes"/>
    <s v="Yes"/>
    <s v="Yes"/>
    <s v="No"/>
    <m/>
    <x v="0"/>
    <n v="1"/>
  </r>
  <r>
    <n v="1575"/>
    <d v="2023-04-14T00:00:00"/>
    <s v="Premium"/>
    <n v="699"/>
    <n v="21.9"/>
    <n v="1"/>
    <x v="0"/>
    <n v="25"/>
    <n v="50"/>
    <s v="No"/>
    <s v="No"/>
    <s v="Yes"/>
    <s v="No"/>
    <s v="Yes"/>
    <s v="No"/>
    <m/>
    <x v="0"/>
    <n v="0"/>
  </r>
  <r>
    <n v="1576"/>
    <d v="2023-10-24T00:00:00"/>
    <s v="Basic"/>
    <n v="199"/>
    <n v="6.1"/>
    <n v="8"/>
    <x v="3"/>
    <n v="32"/>
    <n v="1"/>
    <s v="Yes"/>
    <s v="No"/>
    <s v="Yes"/>
    <s v="Yes"/>
    <s v="No"/>
    <s v="No"/>
    <m/>
    <x v="0"/>
    <n v="1"/>
  </r>
  <r>
    <n v="1577"/>
    <d v="2024-08-12T00:00:00"/>
    <s v="Standard"/>
    <n v="399"/>
    <n v="17.7"/>
    <n v="1"/>
    <x v="0"/>
    <n v="25"/>
    <n v="18"/>
    <s v="Yes"/>
    <s v="No"/>
    <s v="Yes"/>
    <s v="No"/>
    <s v="Yes"/>
    <s v="No"/>
    <m/>
    <x v="0"/>
    <n v="1"/>
  </r>
  <r>
    <n v="1578"/>
    <d v="2024-07-13T00:00:00"/>
    <s v="Basic"/>
    <n v="199"/>
    <n v="23.3"/>
    <n v="8"/>
    <x v="3"/>
    <n v="34"/>
    <n v="25"/>
    <s v="Yes"/>
    <s v="No"/>
    <s v="Yes"/>
    <s v="Yes"/>
    <s v="Yes"/>
    <s v="No"/>
    <m/>
    <x v="0"/>
    <n v="1"/>
  </r>
  <r>
    <n v="1579"/>
    <d v="2024-03-07T00:00:00"/>
    <s v="Premium"/>
    <n v="699"/>
    <n v="14.8"/>
    <n v="4"/>
    <x v="4"/>
    <n v="8"/>
    <n v="1"/>
    <s v="Yes"/>
    <s v="No"/>
    <s v="Yes"/>
    <s v="No"/>
    <s v="No"/>
    <s v="No"/>
    <m/>
    <x v="0"/>
    <n v="1"/>
  </r>
  <r>
    <n v="1580"/>
    <d v="2023-12-04T00:00:00"/>
    <s v="Standard"/>
    <n v="399"/>
    <n v="8.6999999999999993"/>
    <n v="0"/>
    <x v="0"/>
    <n v="13"/>
    <n v="13"/>
    <s v="No"/>
    <s v="No"/>
    <s v="Yes"/>
    <s v="No"/>
    <s v="No"/>
    <s v="No"/>
    <m/>
    <x v="0"/>
    <n v="0"/>
  </r>
  <r>
    <n v="1581"/>
    <d v="2023-02-06T00:00:00"/>
    <s v="Premium"/>
    <n v="699"/>
    <n v="6.3"/>
    <n v="1"/>
    <x v="5"/>
    <n v="4"/>
    <n v="57"/>
    <s v="No"/>
    <s v="No"/>
    <s v="Yes"/>
    <s v="No"/>
    <s v="Yes"/>
    <s v="Yes"/>
    <m/>
    <x v="0"/>
    <n v="0"/>
  </r>
  <r>
    <n v="1582"/>
    <d v="2023-10-05T00:00:00"/>
    <s v="Standard"/>
    <n v="399"/>
    <n v="23.8"/>
    <n v="1"/>
    <x v="5"/>
    <n v="5"/>
    <n v="30"/>
    <s v="No"/>
    <s v="No"/>
    <s v="Yes"/>
    <s v="No"/>
    <s v="Yes"/>
    <s v="Yes"/>
    <m/>
    <x v="0"/>
    <n v="0"/>
  </r>
  <r>
    <n v="1583"/>
    <d v="2024-03-17T00:00:00"/>
    <s v="Premium"/>
    <n v="699"/>
    <n v="3"/>
    <n v="7"/>
    <x v="5"/>
    <n v="3"/>
    <n v="14"/>
    <s v="Yes"/>
    <s v="Yes"/>
    <s v="Yes"/>
    <s v="Yes"/>
    <s v="No"/>
    <s v="Yes"/>
    <m/>
    <x v="0"/>
    <n v="1"/>
  </r>
  <r>
    <n v="1584"/>
    <d v="2023-07-20T00:00:00"/>
    <s v="Standard"/>
    <n v="399"/>
    <n v="19.600000000000001"/>
    <n v="3"/>
    <x v="1"/>
    <n v="20"/>
    <n v="59"/>
    <s v="Yes"/>
    <s v="No"/>
    <s v="No"/>
    <s v="No"/>
    <s v="Yes"/>
    <s v="No"/>
    <m/>
    <x v="1"/>
    <n v="1"/>
  </r>
  <r>
    <n v="1585"/>
    <d v="2024-01-22T00:00:00"/>
    <s v="Premium"/>
    <n v="699"/>
    <n v="17.2"/>
    <n v="0"/>
    <x v="5"/>
    <n v="25"/>
    <n v="30"/>
    <s v="Yes"/>
    <s v="No"/>
    <s v="Yes"/>
    <s v="No"/>
    <s v="Yes"/>
    <s v="No"/>
    <m/>
    <x v="0"/>
    <n v="1"/>
  </r>
  <r>
    <n v="1586"/>
    <d v="2023-05-01T00:00:00"/>
    <s v="Premium"/>
    <n v="699"/>
    <n v="11"/>
    <n v="6"/>
    <x v="5"/>
    <n v="9"/>
    <n v="8"/>
    <s v="Yes"/>
    <s v="No"/>
    <s v="Yes"/>
    <s v="Yes"/>
    <s v="No"/>
    <s v="No"/>
    <m/>
    <x v="0"/>
    <n v="1"/>
  </r>
  <r>
    <n v="1587"/>
    <d v="2023-08-26T00:00:00"/>
    <s v="Premium"/>
    <n v="699"/>
    <n v="9.1"/>
    <n v="5"/>
    <x v="2"/>
    <n v="24"/>
    <n v="58"/>
    <s v="Yes"/>
    <s v="No"/>
    <s v="Yes"/>
    <s v="Yes"/>
    <s v="Yes"/>
    <s v="No"/>
    <m/>
    <x v="0"/>
    <n v="1"/>
  </r>
  <r>
    <n v="1588"/>
    <d v="2023-01-16T00:00:00"/>
    <s v="Basic"/>
    <n v="199"/>
    <n v="6.1"/>
    <n v="8"/>
    <x v="5"/>
    <n v="1"/>
    <n v="2"/>
    <s v="No"/>
    <s v="No"/>
    <s v="Yes"/>
    <s v="Yes"/>
    <s v="No"/>
    <s v="Yes"/>
    <m/>
    <x v="0"/>
    <n v="0"/>
  </r>
  <r>
    <n v="1589"/>
    <d v="2023-10-17T00:00:00"/>
    <s v="Premium"/>
    <n v="699"/>
    <n v="20.399999999999999"/>
    <n v="1"/>
    <x v="1"/>
    <n v="16"/>
    <n v="8"/>
    <s v="No"/>
    <s v="No"/>
    <s v="No"/>
    <s v="No"/>
    <s v="No"/>
    <s v="No"/>
    <m/>
    <x v="1"/>
    <n v="0"/>
  </r>
  <r>
    <n v="1590"/>
    <d v="2024-05-05T00:00:00"/>
    <s v="Basic"/>
    <n v="199"/>
    <n v="9.1"/>
    <n v="3"/>
    <x v="3"/>
    <n v="21"/>
    <n v="8"/>
    <s v="No"/>
    <s v="No"/>
    <s v="Yes"/>
    <s v="No"/>
    <s v="No"/>
    <s v="No"/>
    <m/>
    <x v="0"/>
    <n v="0"/>
  </r>
  <r>
    <n v="1591"/>
    <d v="2024-05-21T00:00:00"/>
    <s v="Premium"/>
    <n v="699"/>
    <n v="16.600000000000001"/>
    <n v="1"/>
    <x v="3"/>
    <n v="8"/>
    <n v="60"/>
    <s v="Yes"/>
    <s v="No"/>
    <s v="Yes"/>
    <s v="No"/>
    <s v="Yes"/>
    <s v="No"/>
    <m/>
    <x v="0"/>
    <n v="1"/>
  </r>
  <r>
    <n v="1592"/>
    <d v="2024-01-11T00:00:00"/>
    <s v="Premium"/>
    <n v="699"/>
    <n v="22.5"/>
    <n v="3"/>
    <x v="2"/>
    <n v="23"/>
    <n v="45"/>
    <s v="Yes"/>
    <s v="No"/>
    <s v="Yes"/>
    <s v="No"/>
    <s v="Yes"/>
    <s v="No"/>
    <m/>
    <x v="0"/>
    <n v="1"/>
  </r>
  <r>
    <n v="1593"/>
    <d v="2024-12-15T00:00:00"/>
    <s v="Premium"/>
    <n v="699"/>
    <n v="21.8"/>
    <n v="3"/>
    <x v="5"/>
    <n v="19"/>
    <n v="57"/>
    <s v="Yes"/>
    <s v="No"/>
    <s v="Yes"/>
    <s v="No"/>
    <s v="Yes"/>
    <s v="No"/>
    <m/>
    <x v="0"/>
    <n v="1"/>
  </r>
  <r>
    <n v="1594"/>
    <d v="2024-05-12T00:00:00"/>
    <s v="Premium"/>
    <n v="699"/>
    <n v="3.1"/>
    <n v="5"/>
    <x v="2"/>
    <n v="33"/>
    <n v="45"/>
    <s v="Yes"/>
    <s v="Yes"/>
    <s v="Yes"/>
    <s v="Yes"/>
    <s v="Yes"/>
    <s v="No"/>
    <m/>
    <x v="0"/>
    <n v="1"/>
  </r>
  <r>
    <n v="1595"/>
    <d v="2024-07-20T00:00:00"/>
    <s v="Standard"/>
    <n v="399"/>
    <n v="5.5"/>
    <n v="2"/>
    <x v="5"/>
    <n v="6"/>
    <n v="14"/>
    <s v="Yes"/>
    <s v="No"/>
    <s v="Yes"/>
    <s v="No"/>
    <s v="No"/>
    <s v="No"/>
    <m/>
    <x v="0"/>
    <n v="1"/>
  </r>
  <r>
    <n v="1596"/>
    <d v="2024-10-27T00:00:00"/>
    <s v="Basic"/>
    <n v="199"/>
    <n v="9.6"/>
    <n v="2"/>
    <x v="1"/>
    <n v="8"/>
    <n v="15"/>
    <s v="No"/>
    <s v="No"/>
    <s v="No"/>
    <s v="No"/>
    <s v="Yes"/>
    <s v="No"/>
    <m/>
    <x v="1"/>
    <n v="0"/>
  </r>
  <r>
    <n v="1597"/>
    <d v="2023-11-04T00:00:00"/>
    <s v="Standard"/>
    <n v="399"/>
    <n v="1"/>
    <n v="0"/>
    <x v="3"/>
    <n v="8"/>
    <n v="17"/>
    <s v="Yes"/>
    <s v="Yes"/>
    <s v="Yes"/>
    <s v="No"/>
    <s v="Yes"/>
    <s v="No"/>
    <m/>
    <x v="0"/>
    <n v="1"/>
  </r>
  <r>
    <n v="1598"/>
    <d v="2024-01-29T00:00:00"/>
    <s v="Basic"/>
    <n v="199"/>
    <n v="7.3"/>
    <n v="6"/>
    <x v="2"/>
    <n v="4"/>
    <n v="1"/>
    <s v="No"/>
    <s v="No"/>
    <s v="Yes"/>
    <s v="Yes"/>
    <s v="No"/>
    <s v="Yes"/>
    <m/>
    <x v="0"/>
    <n v="0"/>
  </r>
  <r>
    <n v="1599"/>
    <d v="2023-02-23T00:00:00"/>
    <s v="Standard"/>
    <n v="399"/>
    <n v="6"/>
    <n v="6"/>
    <x v="0"/>
    <n v="3"/>
    <n v="42"/>
    <s v="Yes"/>
    <s v="No"/>
    <s v="Yes"/>
    <s v="Yes"/>
    <s v="Yes"/>
    <s v="Yes"/>
    <m/>
    <x v="0"/>
    <n v="1"/>
  </r>
  <r>
    <n v="1600"/>
    <d v="2023-12-11T00:00:00"/>
    <s v="Premium"/>
    <n v="699"/>
    <n v="1.3"/>
    <n v="5"/>
    <x v="1"/>
    <n v="20"/>
    <n v="58"/>
    <s v="Yes"/>
    <s v="Yes"/>
    <s v="No"/>
    <s v="Yes"/>
    <s v="Yes"/>
    <s v="No"/>
    <m/>
    <x v="1"/>
    <n v="1"/>
  </r>
  <r>
    <n v="1601"/>
    <d v="2024-03-13T00:00:00"/>
    <s v="Standard"/>
    <n v="399"/>
    <n v="19.100000000000001"/>
    <n v="5"/>
    <x v="4"/>
    <n v="14"/>
    <n v="53"/>
    <s v="Yes"/>
    <s v="No"/>
    <s v="Yes"/>
    <s v="Yes"/>
    <s v="Yes"/>
    <s v="No"/>
    <m/>
    <x v="0"/>
    <n v="1"/>
  </r>
  <r>
    <n v="1602"/>
    <d v="2024-11-25T00:00:00"/>
    <s v="Premium"/>
    <n v="699"/>
    <n v="20.3"/>
    <n v="8"/>
    <x v="2"/>
    <n v="4"/>
    <n v="60"/>
    <s v="Yes"/>
    <s v="No"/>
    <s v="Yes"/>
    <s v="Yes"/>
    <s v="Yes"/>
    <s v="Yes"/>
    <m/>
    <x v="0"/>
    <n v="1"/>
  </r>
  <r>
    <n v="1603"/>
    <d v="2024-04-23T00:00:00"/>
    <s v="Standard"/>
    <n v="399"/>
    <n v="11.9"/>
    <n v="8"/>
    <x v="3"/>
    <n v="35"/>
    <n v="10"/>
    <s v="No"/>
    <s v="No"/>
    <s v="Yes"/>
    <s v="Yes"/>
    <s v="No"/>
    <s v="No"/>
    <m/>
    <x v="0"/>
    <n v="0"/>
  </r>
  <r>
    <n v="1604"/>
    <d v="2023-10-08T00:00:00"/>
    <s v="Premium"/>
    <n v="699"/>
    <n v="3.7"/>
    <n v="0"/>
    <x v="3"/>
    <n v="16"/>
    <n v="51"/>
    <s v="Yes"/>
    <s v="Yes"/>
    <s v="Yes"/>
    <s v="No"/>
    <s v="Yes"/>
    <s v="No"/>
    <m/>
    <x v="0"/>
    <n v="1"/>
  </r>
  <r>
    <n v="1605"/>
    <d v="2024-09-22T00:00:00"/>
    <s v="Basic"/>
    <n v="199"/>
    <n v="19.399999999999999"/>
    <n v="4"/>
    <x v="3"/>
    <n v="16"/>
    <n v="36"/>
    <s v="Yes"/>
    <s v="No"/>
    <s v="Yes"/>
    <s v="No"/>
    <s v="Yes"/>
    <s v="No"/>
    <m/>
    <x v="0"/>
    <n v="1"/>
  </r>
  <r>
    <n v="1606"/>
    <d v="2023-01-13T00:00:00"/>
    <s v="Standard"/>
    <n v="399"/>
    <n v="7.1"/>
    <n v="4"/>
    <x v="4"/>
    <n v="24"/>
    <n v="51"/>
    <s v="No"/>
    <s v="No"/>
    <s v="Yes"/>
    <s v="No"/>
    <s v="Yes"/>
    <s v="No"/>
    <m/>
    <x v="0"/>
    <n v="0"/>
  </r>
  <r>
    <n v="1607"/>
    <d v="2024-04-18T00:00:00"/>
    <s v="Basic"/>
    <n v="199"/>
    <n v="14.4"/>
    <n v="5"/>
    <x v="3"/>
    <n v="20"/>
    <n v="54"/>
    <s v="Yes"/>
    <s v="No"/>
    <s v="Yes"/>
    <s v="Yes"/>
    <s v="Yes"/>
    <s v="No"/>
    <m/>
    <x v="0"/>
    <n v="1"/>
  </r>
  <r>
    <n v="1608"/>
    <d v="2024-07-23T00:00:00"/>
    <s v="Basic"/>
    <n v="199"/>
    <n v="0.7"/>
    <n v="0"/>
    <x v="3"/>
    <n v="29"/>
    <n v="30"/>
    <s v="Yes"/>
    <s v="Yes"/>
    <s v="Yes"/>
    <s v="No"/>
    <s v="Yes"/>
    <s v="No"/>
    <m/>
    <x v="0"/>
    <n v="1"/>
  </r>
  <r>
    <n v="1609"/>
    <d v="2023-11-18T00:00:00"/>
    <s v="Basic"/>
    <n v="199"/>
    <n v="1.9"/>
    <n v="1"/>
    <x v="3"/>
    <n v="27"/>
    <n v="57"/>
    <s v="Yes"/>
    <s v="Yes"/>
    <s v="Yes"/>
    <s v="No"/>
    <s v="Yes"/>
    <s v="No"/>
    <m/>
    <x v="0"/>
    <n v="1"/>
  </r>
  <r>
    <n v="1610"/>
    <d v="2023-08-21T00:00:00"/>
    <s v="Basic"/>
    <n v="199"/>
    <n v="4.9000000000000004"/>
    <n v="4"/>
    <x v="3"/>
    <n v="29"/>
    <n v="55"/>
    <s v="Yes"/>
    <s v="Yes"/>
    <s v="Yes"/>
    <s v="No"/>
    <s v="Yes"/>
    <s v="No"/>
    <m/>
    <x v="0"/>
    <n v="1"/>
  </r>
  <r>
    <n v="1611"/>
    <d v="2023-07-08T00:00:00"/>
    <s v="Premium"/>
    <n v="699"/>
    <n v="4.0999999999999996"/>
    <n v="0"/>
    <x v="0"/>
    <n v="12"/>
    <n v="7"/>
    <s v="No"/>
    <s v="Yes"/>
    <s v="Yes"/>
    <s v="No"/>
    <s v="No"/>
    <s v="No"/>
    <m/>
    <x v="0"/>
    <n v="0"/>
  </r>
  <r>
    <n v="1612"/>
    <d v="2023-03-04T00:00:00"/>
    <s v="Premium"/>
    <n v="699"/>
    <n v="21.6"/>
    <n v="5"/>
    <x v="1"/>
    <n v="33"/>
    <n v="35"/>
    <s v="No"/>
    <s v="No"/>
    <s v="No"/>
    <s v="Yes"/>
    <s v="Yes"/>
    <s v="No"/>
    <m/>
    <x v="1"/>
    <n v="0"/>
  </r>
  <r>
    <n v="1613"/>
    <d v="2023-12-28T00:00:00"/>
    <s v="Premium"/>
    <n v="699"/>
    <n v="24.4"/>
    <n v="0"/>
    <x v="4"/>
    <n v="17"/>
    <n v="54"/>
    <s v="No"/>
    <s v="No"/>
    <s v="Yes"/>
    <s v="No"/>
    <s v="Yes"/>
    <s v="No"/>
    <m/>
    <x v="0"/>
    <n v="0"/>
  </r>
  <r>
    <n v="1614"/>
    <d v="2023-04-26T00:00:00"/>
    <s v="Premium"/>
    <n v="699"/>
    <n v="15.2"/>
    <n v="5"/>
    <x v="1"/>
    <n v="3"/>
    <n v="4"/>
    <s v="No"/>
    <s v="No"/>
    <s v="No"/>
    <s v="Yes"/>
    <s v="No"/>
    <s v="Yes"/>
    <m/>
    <x v="1"/>
    <n v="0"/>
  </r>
  <r>
    <n v="1615"/>
    <d v="2024-11-28T00:00:00"/>
    <s v="Premium"/>
    <n v="699"/>
    <n v="6.3"/>
    <n v="5"/>
    <x v="5"/>
    <n v="5"/>
    <n v="23"/>
    <s v="No"/>
    <s v="No"/>
    <s v="Yes"/>
    <s v="Yes"/>
    <s v="Yes"/>
    <s v="Yes"/>
    <m/>
    <x v="0"/>
    <n v="0"/>
  </r>
  <r>
    <n v="1616"/>
    <d v="2024-01-04T00:00:00"/>
    <s v="Standard"/>
    <n v="399"/>
    <n v="16.2"/>
    <n v="4"/>
    <x v="0"/>
    <n v="5"/>
    <n v="1"/>
    <s v="No"/>
    <s v="No"/>
    <s v="Yes"/>
    <s v="No"/>
    <s v="No"/>
    <s v="Yes"/>
    <m/>
    <x v="0"/>
    <n v="0"/>
  </r>
  <r>
    <n v="1617"/>
    <d v="2024-09-28T00:00:00"/>
    <s v="Standard"/>
    <n v="399"/>
    <n v="22.5"/>
    <n v="5"/>
    <x v="2"/>
    <n v="27"/>
    <n v="60"/>
    <s v="No"/>
    <s v="No"/>
    <s v="Yes"/>
    <s v="Yes"/>
    <s v="Yes"/>
    <s v="No"/>
    <m/>
    <x v="0"/>
    <n v="0"/>
  </r>
  <r>
    <n v="1618"/>
    <d v="2023-04-19T00:00:00"/>
    <s v="Basic"/>
    <n v="199"/>
    <n v="9.5"/>
    <n v="4"/>
    <x v="0"/>
    <n v="11"/>
    <n v="58"/>
    <s v="No"/>
    <s v="No"/>
    <s v="Yes"/>
    <s v="No"/>
    <s v="Yes"/>
    <s v="No"/>
    <m/>
    <x v="0"/>
    <n v="0"/>
  </r>
  <r>
    <n v="1619"/>
    <d v="2024-08-18T00:00:00"/>
    <s v="Premium"/>
    <n v="699"/>
    <n v="20.3"/>
    <n v="8"/>
    <x v="4"/>
    <n v="14"/>
    <n v="49"/>
    <s v="Yes"/>
    <s v="No"/>
    <s v="Yes"/>
    <s v="Yes"/>
    <s v="Yes"/>
    <s v="No"/>
    <m/>
    <x v="0"/>
    <n v="1"/>
  </r>
  <r>
    <n v="1620"/>
    <d v="2023-06-03T00:00:00"/>
    <s v="Premium"/>
    <n v="699"/>
    <n v="23.5"/>
    <n v="6"/>
    <x v="5"/>
    <n v="23"/>
    <n v="2"/>
    <s v="No"/>
    <s v="No"/>
    <s v="Yes"/>
    <s v="Yes"/>
    <s v="No"/>
    <s v="No"/>
    <m/>
    <x v="0"/>
    <n v="0"/>
  </r>
  <r>
    <n v="1621"/>
    <d v="2024-10-07T00:00:00"/>
    <s v="Standard"/>
    <n v="399"/>
    <n v="23.9"/>
    <n v="3"/>
    <x v="5"/>
    <n v="6"/>
    <n v="32"/>
    <s v="No"/>
    <s v="No"/>
    <s v="Yes"/>
    <s v="No"/>
    <s v="Yes"/>
    <s v="No"/>
    <m/>
    <x v="0"/>
    <n v="0"/>
  </r>
  <r>
    <n v="1622"/>
    <d v="2024-04-28T00:00:00"/>
    <s v="Premium"/>
    <n v="699"/>
    <n v="13.7"/>
    <n v="1"/>
    <x v="5"/>
    <n v="27"/>
    <n v="51"/>
    <s v="Yes"/>
    <s v="No"/>
    <s v="Yes"/>
    <s v="No"/>
    <s v="Yes"/>
    <s v="No"/>
    <m/>
    <x v="0"/>
    <n v="1"/>
  </r>
  <r>
    <n v="1623"/>
    <d v="2023-10-28T00:00:00"/>
    <s v="Premium"/>
    <n v="699"/>
    <n v="13.2"/>
    <n v="5"/>
    <x v="3"/>
    <n v="34"/>
    <n v="12"/>
    <s v="No"/>
    <s v="No"/>
    <s v="Yes"/>
    <s v="Yes"/>
    <s v="No"/>
    <s v="No"/>
    <m/>
    <x v="0"/>
    <n v="0"/>
  </r>
  <r>
    <n v="1624"/>
    <d v="2023-04-29T00:00:00"/>
    <s v="Basic"/>
    <n v="199"/>
    <n v="6.5"/>
    <n v="5"/>
    <x v="0"/>
    <n v="22"/>
    <n v="29"/>
    <s v="Yes"/>
    <s v="No"/>
    <s v="Yes"/>
    <s v="Yes"/>
    <s v="Yes"/>
    <s v="No"/>
    <m/>
    <x v="0"/>
    <n v="1"/>
  </r>
  <r>
    <n v="1625"/>
    <d v="2024-06-01T00:00:00"/>
    <s v="Premium"/>
    <n v="699"/>
    <n v="11.4"/>
    <n v="6"/>
    <x v="3"/>
    <n v="16"/>
    <n v="5"/>
    <s v="Yes"/>
    <s v="No"/>
    <s v="Yes"/>
    <s v="Yes"/>
    <s v="No"/>
    <s v="No"/>
    <m/>
    <x v="0"/>
    <n v="1"/>
  </r>
  <r>
    <n v="1626"/>
    <d v="2024-08-06T00:00:00"/>
    <s v="Basic"/>
    <n v="199"/>
    <n v="16.5"/>
    <n v="3"/>
    <x v="2"/>
    <n v="24"/>
    <n v="50"/>
    <s v="Yes"/>
    <s v="No"/>
    <s v="Yes"/>
    <s v="No"/>
    <s v="Yes"/>
    <s v="No"/>
    <m/>
    <x v="0"/>
    <n v="1"/>
  </r>
  <r>
    <n v="1627"/>
    <d v="2024-09-12T00:00:00"/>
    <s v="Basic"/>
    <n v="199"/>
    <n v="6.5"/>
    <n v="6"/>
    <x v="4"/>
    <n v="35"/>
    <n v="37"/>
    <s v="Yes"/>
    <s v="No"/>
    <s v="Yes"/>
    <s v="Yes"/>
    <s v="Yes"/>
    <s v="No"/>
    <m/>
    <x v="0"/>
    <n v="1"/>
  </r>
  <r>
    <n v="1628"/>
    <d v="2023-06-01T00:00:00"/>
    <s v="Standard"/>
    <n v="399"/>
    <n v="8.9"/>
    <n v="1"/>
    <x v="1"/>
    <n v="19"/>
    <n v="26"/>
    <s v="No"/>
    <s v="No"/>
    <s v="No"/>
    <s v="No"/>
    <s v="Yes"/>
    <s v="No"/>
    <m/>
    <x v="1"/>
    <n v="0"/>
  </r>
  <r>
    <n v="1629"/>
    <d v="2023-06-20T00:00:00"/>
    <s v="Premium"/>
    <n v="699"/>
    <n v="16"/>
    <n v="3"/>
    <x v="0"/>
    <n v="32"/>
    <n v="56"/>
    <s v="No"/>
    <s v="No"/>
    <s v="Yes"/>
    <s v="No"/>
    <s v="Yes"/>
    <s v="No"/>
    <m/>
    <x v="0"/>
    <n v="0"/>
  </r>
  <r>
    <n v="1630"/>
    <d v="2023-04-14T00:00:00"/>
    <s v="Basic"/>
    <n v="199"/>
    <n v="7"/>
    <n v="8"/>
    <x v="4"/>
    <n v="27"/>
    <n v="59"/>
    <s v="Yes"/>
    <s v="No"/>
    <s v="Yes"/>
    <s v="Yes"/>
    <s v="Yes"/>
    <s v="No"/>
    <m/>
    <x v="0"/>
    <n v="1"/>
  </r>
  <r>
    <n v="1631"/>
    <d v="2023-05-16T00:00:00"/>
    <s v="Basic"/>
    <n v="199"/>
    <n v="20.9"/>
    <n v="0"/>
    <x v="4"/>
    <n v="3"/>
    <n v="10"/>
    <s v="No"/>
    <s v="No"/>
    <s v="Yes"/>
    <s v="No"/>
    <s v="No"/>
    <s v="Yes"/>
    <m/>
    <x v="0"/>
    <n v="0"/>
  </r>
  <r>
    <n v="1632"/>
    <d v="2024-07-24T00:00:00"/>
    <s v="Premium"/>
    <n v="699"/>
    <n v="23"/>
    <n v="6"/>
    <x v="3"/>
    <n v="34"/>
    <n v="8"/>
    <s v="Yes"/>
    <s v="No"/>
    <s v="Yes"/>
    <s v="Yes"/>
    <s v="No"/>
    <s v="No"/>
    <m/>
    <x v="0"/>
    <n v="1"/>
  </r>
  <r>
    <n v="1633"/>
    <d v="2023-02-16T00:00:00"/>
    <s v="Basic"/>
    <n v="199"/>
    <n v="3.4"/>
    <n v="5"/>
    <x v="5"/>
    <n v="19"/>
    <n v="38"/>
    <s v="Yes"/>
    <s v="Yes"/>
    <s v="Yes"/>
    <s v="Yes"/>
    <s v="Yes"/>
    <s v="No"/>
    <m/>
    <x v="0"/>
    <n v="1"/>
  </r>
  <r>
    <n v="1634"/>
    <d v="2024-03-22T00:00:00"/>
    <s v="Basic"/>
    <n v="199"/>
    <n v="23.8"/>
    <n v="6"/>
    <x v="4"/>
    <n v="23"/>
    <n v="28"/>
    <s v="Yes"/>
    <s v="No"/>
    <s v="Yes"/>
    <s v="Yes"/>
    <s v="Yes"/>
    <s v="No"/>
    <m/>
    <x v="0"/>
    <n v="1"/>
  </r>
  <r>
    <n v="1635"/>
    <d v="2024-06-05T00:00:00"/>
    <s v="Standard"/>
    <n v="399"/>
    <n v="17.7"/>
    <n v="2"/>
    <x v="4"/>
    <n v="31"/>
    <n v="49"/>
    <s v="Yes"/>
    <s v="No"/>
    <s v="Yes"/>
    <s v="No"/>
    <s v="Yes"/>
    <s v="No"/>
    <m/>
    <x v="0"/>
    <n v="1"/>
  </r>
  <r>
    <n v="1636"/>
    <d v="2023-11-25T00:00:00"/>
    <s v="Basic"/>
    <n v="199"/>
    <n v="22.4"/>
    <n v="5"/>
    <x v="4"/>
    <n v="10"/>
    <n v="41"/>
    <s v="Yes"/>
    <s v="No"/>
    <s v="Yes"/>
    <s v="Yes"/>
    <s v="Yes"/>
    <s v="No"/>
    <m/>
    <x v="0"/>
    <n v="1"/>
  </r>
  <r>
    <n v="1637"/>
    <d v="2023-12-16T00:00:00"/>
    <s v="Standard"/>
    <n v="399"/>
    <n v="13"/>
    <n v="4"/>
    <x v="1"/>
    <n v="12"/>
    <n v="14"/>
    <s v="No"/>
    <s v="No"/>
    <s v="No"/>
    <s v="No"/>
    <s v="No"/>
    <s v="No"/>
    <m/>
    <x v="1"/>
    <n v="0"/>
  </r>
  <r>
    <n v="1638"/>
    <d v="2023-11-23T00:00:00"/>
    <s v="Basic"/>
    <n v="199"/>
    <n v="22.5"/>
    <n v="8"/>
    <x v="2"/>
    <n v="34"/>
    <n v="18"/>
    <s v="Yes"/>
    <s v="No"/>
    <s v="Yes"/>
    <s v="Yes"/>
    <s v="Yes"/>
    <s v="No"/>
    <m/>
    <x v="0"/>
    <n v="1"/>
  </r>
  <r>
    <n v="1639"/>
    <d v="2024-09-22T00:00:00"/>
    <s v="Basic"/>
    <n v="199"/>
    <n v="1.5"/>
    <n v="3"/>
    <x v="2"/>
    <n v="10"/>
    <n v="33"/>
    <s v="Yes"/>
    <s v="Yes"/>
    <s v="Yes"/>
    <s v="No"/>
    <s v="Yes"/>
    <s v="No"/>
    <m/>
    <x v="0"/>
    <n v="1"/>
  </r>
  <r>
    <n v="1640"/>
    <d v="2024-03-25T00:00:00"/>
    <s v="Standard"/>
    <n v="399"/>
    <n v="9"/>
    <n v="2"/>
    <x v="1"/>
    <n v="7"/>
    <n v="18"/>
    <s v="No"/>
    <s v="No"/>
    <s v="No"/>
    <s v="No"/>
    <s v="Yes"/>
    <s v="No"/>
    <m/>
    <x v="1"/>
    <n v="0"/>
  </r>
  <r>
    <n v="1641"/>
    <d v="2023-08-26T00:00:00"/>
    <s v="Basic"/>
    <n v="199"/>
    <n v="7.6"/>
    <n v="4"/>
    <x v="5"/>
    <n v="11"/>
    <n v="48"/>
    <s v="Yes"/>
    <s v="No"/>
    <s v="Yes"/>
    <s v="No"/>
    <s v="Yes"/>
    <s v="No"/>
    <m/>
    <x v="0"/>
    <n v="1"/>
  </r>
  <r>
    <n v="1642"/>
    <d v="2023-06-22T00:00:00"/>
    <s v="Premium"/>
    <n v="699"/>
    <n v="4"/>
    <n v="3"/>
    <x v="5"/>
    <n v="18"/>
    <n v="53"/>
    <s v="Yes"/>
    <s v="Yes"/>
    <s v="Yes"/>
    <s v="No"/>
    <s v="Yes"/>
    <s v="No"/>
    <m/>
    <x v="0"/>
    <n v="1"/>
  </r>
  <r>
    <n v="1643"/>
    <d v="2024-05-15T00:00:00"/>
    <s v="Basic"/>
    <n v="199"/>
    <n v="24"/>
    <n v="8"/>
    <x v="5"/>
    <n v="3"/>
    <n v="51"/>
    <s v="Yes"/>
    <s v="No"/>
    <s v="Yes"/>
    <s v="Yes"/>
    <s v="Yes"/>
    <s v="Yes"/>
    <m/>
    <x v="0"/>
    <n v="1"/>
  </r>
  <r>
    <n v="1644"/>
    <d v="2024-04-09T00:00:00"/>
    <s v="Basic"/>
    <n v="199"/>
    <n v="5.5"/>
    <n v="6"/>
    <x v="4"/>
    <n v="24"/>
    <n v="28"/>
    <s v="Yes"/>
    <s v="No"/>
    <s v="Yes"/>
    <s v="Yes"/>
    <s v="Yes"/>
    <s v="No"/>
    <m/>
    <x v="0"/>
    <n v="1"/>
  </r>
  <r>
    <n v="1645"/>
    <d v="2023-09-27T00:00:00"/>
    <s v="Standard"/>
    <n v="399"/>
    <n v="18"/>
    <n v="1"/>
    <x v="2"/>
    <n v="8"/>
    <n v="56"/>
    <s v="Yes"/>
    <s v="No"/>
    <s v="Yes"/>
    <s v="No"/>
    <s v="Yes"/>
    <s v="No"/>
    <m/>
    <x v="0"/>
    <n v="1"/>
  </r>
  <r>
    <n v="1646"/>
    <d v="2023-08-16T00:00:00"/>
    <s v="Basic"/>
    <n v="199"/>
    <n v="24.8"/>
    <n v="1"/>
    <x v="3"/>
    <n v="9"/>
    <n v="51"/>
    <s v="Yes"/>
    <s v="No"/>
    <s v="Yes"/>
    <s v="No"/>
    <s v="Yes"/>
    <s v="No"/>
    <m/>
    <x v="0"/>
    <n v="1"/>
  </r>
  <r>
    <n v="1647"/>
    <d v="2024-06-09T00:00:00"/>
    <s v="Premium"/>
    <n v="699"/>
    <n v="8.5"/>
    <n v="8"/>
    <x v="3"/>
    <n v="5"/>
    <n v="17"/>
    <s v="Yes"/>
    <s v="No"/>
    <s v="Yes"/>
    <s v="Yes"/>
    <s v="Yes"/>
    <s v="Yes"/>
    <m/>
    <x v="0"/>
    <n v="1"/>
  </r>
  <r>
    <n v="1648"/>
    <d v="2024-12-23T00:00:00"/>
    <s v="Premium"/>
    <n v="699"/>
    <n v="17.8"/>
    <n v="5"/>
    <x v="1"/>
    <n v="5"/>
    <n v="27"/>
    <s v="Yes"/>
    <s v="No"/>
    <s v="No"/>
    <s v="Yes"/>
    <s v="Yes"/>
    <s v="Yes"/>
    <m/>
    <x v="1"/>
    <n v="1"/>
  </r>
  <r>
    <n v="1649"/>
    <d v="2023-02-06T00:00:00"/>
    <s v="Premium"/>
    <n v="699"/>
    <n v="5.2"/>
    <n v="8"/>
    <x v="4"/>
    <n v="21"/>
    <n v="53"/>
    <s v="No"/>
    <s v="No"/>
    <s v="Yes"/>
    <s v="Yes"/>
    <s v="Yes"/>
    <s v="No"/>
    <m/>
    <x v="0"/>
    <n v="0"/>
  </r>
  <r>
    <n v="1650"/>
    <d v="2024-04-26T00:00:00"/>
    <s v="Premium"/>
    <n v="699"/>
    <n v="6.5"/>
    <n v="6"/>
    <x v="0"/>
    <n v="1"/>
    <n v="43"/>
    <s v="Yes"/>
    <s v="No"/>
    <s v="Yes"/>
    <s v="Yes"/>
    <s v="Yes"/>
    <s v="Yes"/>
    <m/>
    <x v="0"/>
    <n v="1"/>
  </r>
  <r>
    <n v="1651"/>
    <d v="2023-04-01T00:00:00"/>
    <s v="Basic"/>
    <n v="199"/>
    <n v="20.399999999999999"/>
    <n v="7"/>
    <x v="3"/>
    <n v="32"/>
    <n v="8"/>
    <s v="Yes"/>
    <s v="No"/>
    <s v="Yes"/>
    <s v="Yes"/>
    <s v="No"/>
    <s v="No"/>
    <m/>
    <x v="0"/>
    <n v="1"/>
  </r>
  <r>
    <n v="1652"/>
    <d v="2024-12-28T00:00:00"/>
    <s v="Premium"/>
    <n v="699"/>
    <n v="0.6"/>
    <n v="1"/>
    <x v="2"/>
    <n v="14"/>
    <n v="35"/>
    <s v="Yes"/>
    <s v="Yes"/>
    <s v="Yes"/>
    <s v="No"/>
    <s v="Yes"/>
    <s v="No"/>
    <m/>
    <x v="0"/>
    <n v="1"/>
  </r>
  <r>
    <n v="1653"/>
    <d v="2023-08-29T00:00:00"/>
    <s v="Basic"/>
    <n v="199"/>
    <n v="10.7"/>
    <n v="4"/>
    <x v="5"/>
    <n v="3"/>
    <n v="24"/>
    <s v="Yes"/>
    <s v="No"/>
    <s v="Yes"/>
    <s v="No"/>
    <s v="Yes"/>
    <s v="Yes"/>
    <m/>
    <x v="0"/>
    <n v="1"/>
  </r>
  <r>
    <n v="1654"/>
    <d v="2023-10-27T00:00:00"/>
    <s v="Premium"/>
    <n v="699"/>
    <n v="12.4"/>
    <n v="2"/>
    <x v="3"/>
    <n v="23"/>
    <n v="53"/>
    <s v="Yes"/>
    <s v="No"/>
    <s v="Yes"/>
    <s v="No"/>
    <s v="Yes"/>
    <s v="No"/>
    <m/>
    <x v="0"/>
    <n v="1"/>
  </r>
  <r>
    <n v="1655"/>
    <d v="2023-10-30T00:00:00"/>
    <s v="Premium"/>
    <n v="699"/>
    <n v="12.5"/>
    <n v="6"/>
    <x v="5"/>
    <n v="32"/>
    <n v="22"/>
    <s v="Yes"/>
    <s v="No"/>
    <s v="Yes"/>
    <s v="Yes"/>
    <s v="Yes"/>
    <s v="No"/>
    <m/>
    <x v="0"/>
    <n v="1"/>
  </r>
  <r>
    <n v="1656"/>
    <d v="2024-11-09T00:00:00"/>
    <s v="Basic"/>
    <n v="199"/>
    <n v="3.3"/>
    <n v="4"/>
    <x v="2"/>
    <n v="15"/>
    <n v="28"/>
    <s v="Yes"/>
    <s v="Yes"/>
    <s v="Yes"/>
    <s v="No"/>
    <s v="Yes"/>
    <s v="No"/>
    <m/>
    <x v="0"/>
    <n v="1"/>
  </r>
  <r>
    <n v="1657"/>
    <d v="2024-02-12T00:00:00"/>
    <s v="Standard"/>
    <n v="399"/>
    <n v="4.8"/>
    <n v="5"/>
    <x v="4"/>
    <n v="8"/>
    <n v="7"/>
    <s v="Yes"/>
    <s v="Yes"/>
    <s v="Yes"/>
    <s v="Yes"/>
    <s v="No"/>
    <s v="No"/>
    <m/>
    <x v="0"/>
    <n v="1"/>
  </r>
  <r>
    <n v="1658"/>
    <d v="2023-08-29T00:00:00"/>
    <s v="Premium"/>
    <n v="699"/>
    <n v="19.5"/>
    <n v="7"/>
    <x v="2"/>
    <n v="9"/>
    <n v="38"/>
    <s v="Yes"/>
    <s v="No"/>
    <s v="Yes"/>
    <s v="Yes"/>
    <s v="Yes"/>
    <s v="No"/>
    <m/>
    <x v="0"/>
    <n v="1"/>
  </r>
  <r>
    <n v="1659"/>
    <d v="2023-11-27T00:00:00"/>
    <s v="Basic"/>
    <n v="199"/>
    <n v="7.1"/>
    <n v="3"/>
    <x v="2"/>
    <n v="19"/>
    <n v="3"/>
    <s v="No"/>
    <s v="No"/>
    <s v="Yes"/>
    <s v="No"/>
    <s v="No"/>
    <s v="No"/>
    <m/>
    <x v="0"/>
    <n v="0"/>
  </r>
  <r>
    <n v="1660"/>
    <d v="2023-02-25T00:00:00"/>
    <s v="Standard"/>
    <n v="399"/>
    <n v="10.6"/>
    <n v="7"/>
    <x v="2"/>
    <n v="21"/>
    <n v="25"/>
    <s v="Yes"/>
    <s v="No"/>
    <s v="Yes"/>
    <s v="Yes"/>
    <s v="Yes"/>
    <s v="No"/>
    <m/>
    <x v="0"/>
    <n v="1"/>
  </r>
  <r>
    <n v="1661"/>
    <d v="2024-04-03T00:00:00"/>
    <s v="Standard"/>
    <n v="399"/>
    <n v="18.3"/>
    <n v="5"/>
    <x v="4"/>
    <n v="32"/>
    <n v="52"/>
    <s v="Yes"/>
    <s v="No"/>
    <s v="Yes"/>
    <s v="Yes"/>
    <s v="Yes"/>
    <s v="No"/>
    <m/>
    <x v="0"/>
    <n v="1"/>
  </r>
  <r>
    <n v="1662"/>
    <d v="2023-04-23T00:00:00"/>
    <s v="Standard"/>
    <n v="399"/>
    <n v="14.5"/>
    <n v="2"/>
    <x v="5"/>
    <n v="15"/>
    <n v="13"/>
    <s v="No"/>
    <s v="No"/>
    <s v="Yes"/>
    <s v="No"/>
    <s v="No"/>
    <s v="No"/>
    <m/>
    <x v="0"/>
    <n v="0"/>
  </r>
  <r>
    <n v="1663"/>
    <d v="2024-01-24T00:00:00"/>
    <s v="Premium"/>
    <n v="699"/>
    <n v="3.7"/>
    <n v="8"/>
    <x v="1"/>
    <n v="22"/>
    <n v="60"/>
    <s v="Yes"/>
    <s v="Yes"/>
    <s v="No"/>
    <s v="Yes"/>
    <s v="Yes"/>
    <s v="No"/>
    <m/>
    <x v="1"/>
    <n v="1"/>
  </r>
  <r>
    <n v="1664"/>
    <d v="2023-08-04T00:00:00"/>
    <s v="Basic"/>
    <n v="199"/>
    <n v="22.8"/>
    <n v="8"/>
    <x v="1"/>
    <n v="22"/>
    <n v="41"/>
    <s v="Yes"/>
    <s v="No"/>
    <s v="No"/>
    <s v="Yes"/>
    <s v="Yes"/>
    <s v="No"/>
    <m/>
    <x v="1"/>
    <n v="1"/>
  </r>
  <r>
    <n v="1665"/>
    <d v="2023-08-23T00:00:00"/>
    <s v="Standard"/>
    <n v="399"/>
    <n v="5.4"/>
    <n v="2"/>
    <x v="5"/>
    <n v="35"/>
    <n v="25"/>
    <s v="No"/>
    <s v="No"/>
    <s v="Yes"/>
    <s v="No"/>
    <s v="Yes"/>
    <s v="No"/>
    <m/>
    <x v="0"/>
    <n v="0"/>
  </r>
  <r>
    <n v="1666"/>
    <d v="2023-09-12T00:00:00"/>
    <s v="Standard"/>
    <n v="399"/>
    <n v="22.8"/>
    <n v="5"/>
    <x v="2"/>
    <n v="11"/>
    <n v="13"/>
    <s v="No"/>
    <s v="No"/>
    <s v="Yes"/>
    <s v="Yes"/>
    <s v="No"/>
    <s v="No"/>
    <m/>
    <x v="0"/>
    <n v="0"/>
  </r>
  <r>
    <n v="1667"/>
    <d v="2024-05-11T00:00:00"/>
    <s v="Basic"/>
    <n v="199"/>
    <n v="21.2"/>
    <n v="8"/>
    <x v="1"/>
    <n v="3"/>
    <n v="32"/>
    <s v="Yes"/>
    <s v="No"/>
    <s v="No"/>
    <s v="Yes"/>
    <s v="Yes"/>
    <s v="Yes"/>
    <m/>
    <x v="1"/>
    <n v="1"/>
  </r>
  <r>
    <n v="1668"/>
    <d v="2023-09-11T00:00:00"/>
    <s v="Basic"/>
    <n v="199"/>
    <n v="7.4"/>
    <n v="0"/>
    <x v="0"/>
    <n v="11"/>
    <n v="40"/>
    <s v="No"/>
    <s v="No"/>
    <s v="Yes"/>
    <s v="No"/>
    <s v="Yes"/>
    <s v="No"/>
    <m/>
    <x v="0"/>
    <n v="0"/>
  </r>
  <r>
    <n v="1669"/>
    <d v="2023-10-04T00:00:00"/>
    <s v="Basic"/>
    <n v="199"/>
    <n v="18.899999999999999"/>
    <n v="6"/>
    <x v="4"/>
    <n v="18"/>
    <n v="25"/>
    <s v="Yes"/>
    <s v="No"/>
    <s v="Yes"/>
    <s v="Yes"/>
    <s v="Yes"/>
    <s v="No"/>
    <m/>
    <x v="0"/>
    <n v="1"/>
  </r>
  <r>
    <n v="1670"/>
    <d v="2024-07-08T00:00:00"/>
    <s v="Basic"/>
    <n v="199"/>
    <n v="2.2999999999999998"/>
    <n v="6"/>
    <x v="1"/>
    <n v="5"/>
    <n v="0"/>
    <s v="No"/>
    <s v="Yes"/>
    <s v="No"/>
    <s v="Yes"/>
    <s v="No"/>
    <s v="Yes"/>
    <m/>
    <x v="1"/>
    <n v="0"/>
  </r>
  <r>
    <n v="1671"/>
    <d v="2023-11-16T00:00:00"/>
    <s v="Premium"/>
    <n v="699"/>
    <n v="2.8"/>
    <n v="6"/>
    <x v="0"/>
    <n v="10"/>
    <n v="53"/>
    <s v="Yes"/>
    <s v="Yes"/>
    <s v="Yes"/>
    <s v="Yes"/>
    <s v="Yes"/>
    <s v="No"/>
    <m/>
    <x v="0"/>
    <n v="1"/>
  </r>
  <r>
    <n v="1672"/>
    <d v="2023-04-13T00:00:00"/>
    <s v="Standard"/>
    <n v="399"/>
    <n v="13.1"/>
    <n v="0"/>
    <x v="3"/>
    <n v="28"/>
    <n v="17"/>
    <s v="No"/>
    <s v="No"/>
    <s v="Yes"/>
    <s v="No"/>
    <s v="Yes"/>
    <s v="No"/>
    <m/>
    <x v="0"/>
    <n v="0"/>
  </r>
  <r>
    <n v="1673"/>
    <d v="2024-07-28T00:00:00"/>
    <s v="Standard"/>
    <n v="399"/>
    <n v="9.6999999999999993"/>
    <n v="6"/>
    <x v="1"/>
    <n v="31"/>
    <n v="14"/>
    <s v="No"/>
    <s v="No"/>
    <s v="No"/>
    <s v="Yes"/>
    <s v="No"/>
    <s v="No"/>
    <m/>
    <x v="1"/>
    <n v="0"/>
  </r>
  <r>
    <n v="1674"/>
    <d v="2024-05-23T00:00:00"/>
    <s v="Standard"/>
    <n v="399"/>
    <n v="7.5"/>
    <n v="8"/>
    <x v="5"/>
    <n v="31"/>
    <n v="15"/>
    <s v="Yes"/>
    <s v="No"/>
    <s v="Yes"/>
    <s v="Yes"/>
    <s v="Yes"/>
    <s v="No"/>
    <m/>
    <x v="0"/>
    <n v="1"/>
  </r>
  <r>
    <n v="1675"/>
    <d v="2024-08-14T00:00:00"/>
    <s v="Premium"/>
    <n v="699"/>
    <n v="23.8"/>
    <n v="8"/>
    <x v="4"/>
    <n v="26"/>
    <n v="6"/>
    <s v="Yes"/>
    <s v="No"/>
    <s v="Yes"/>
    <s v="Yes"/>
    <s v="No"/>
    <s v="No"/>
    <m/>
    <x v="0"/>
    <n v="1"/>
  </r>
  <r>
    <n v="1676"/>
    <d v="2024-10-20T00:00:00"/>
    <s v="Basic"/>
    <n v="199"/>
    <n v="19.399999999999999"/>
    <n v="7"/>
    <x v="3"/>
    <n v="26"/>
    <n v="30"/>
    <s v="Yes"/>
    <s v="No"/>
    <s v="Yes"/>
    <s v="Yes"/>
    <s v="Yes"/>
    <s v="No"/>
    <m/>
    <x v="0"/>
    <n v="1"/>
  </r>
  <r>
    <n v="1677"/>
    <d v="2024-05-16T00:00:00"/>
    <s v="Standard"/>
    <n v="399"/>
    <n v="4"/>
    <n v="1"/>
    <x v="1"/>
    <n v="22"/>
    <n v="35"/>
    <s v="Yes"/>
    <s v="Yes"/>
    <s v="No"/>
    <s v="No"/>
    <s v="Yes"/>
    <s v="No"/>
    <m/>
    <x v="1"/>
    <n v="1"/>
  </r>
  <r>
    <n v="1678"/>
    <d v="2024-08-03T00:00:00"/>
    <s v="Premium"/>
    <n v="699"/>
    <n v="2.6"/>
    <n v="6"/>
    <x v="5"/>
    <n v="16"/>
    <n v="53"/>
    <s v="Yes"/>
    <s v="Yes"/>
    <s v="Yes"/>
    <s v="Yes"/>
    <s v="Yes"/>
    <s v="No"/>
    <m/>
    <x v="0"/>
    <n v="1"/>
  </r>
  <r>
    <n v="1679"/>
    <d v="2023-06-04T00:00:00"/>
    <s v="Basic"/>
    <n v="199"/>
    <n v="19.3"/>
    <n v="4"/>
    <x v="2"/>
    <n v="4"/>
    <n v="19"/>
    <s v="No"/>
    <s v="No"/>
    <s v="Yes"/>
    <s v="No"/>
    <s v="Yes"/>
    <s v="Yes"/>
    <m/>
    <x v="0"/>
    <n v="0"/>
  </r>
  <r>
    <n v="1680"/>
    <d v="2024-07-29T00:00:00"/>
    <s v="Basic"/>
    <n v="199"/>
    <n v="17.399999999999999"/>
    <n v="6"/>
    <x v="1"/>
    <n v="21"/>
    <n v="17"/>
    <s v="No"/>
    <s v="No"/>
    <s v="No"/>
    <s v="Yes"/>
    <s v="Yes"/>
    <s v="No"/>
    <m/>
    <x v="1"/>
    <n v="0"/>
  </r>
  <r>
    <n v="1681"/>
    <d v="2024-06-10T00:00:00"/>
    <s v="Standard"/>
    <n v="399"/>
    <n v="12.7"/>
    <n v="3"/>
    <x v="3"/>
    <n v="35"/>
    <n v="29"/>
    <s v="No"/>
    <s v="No"/>
    <s v="Yes"/>
    <s v="No"/>
    <s v="Yes"/>
    <s v="No"/>
    <m/>
    <x v="0"/>
    <n v="0"/>
  </r>
  <r>
    <n v="1682"/>
    <d v="2023-01-14T00:00:00"/>
    <s v="Premium"/>
    <n v="699"/>
    <n v="23.1"/>
    <n v="6"/>
    <x v="4"/>
    <n v="6"/>
    <n v="4"/>
    <s v="Yes"/>
    <s v="No"/>
    <s v="Yes"/>
    <s v="Yes"/>
    <s v="No"/>
    <s v="No"/>
    <m/>
    <x v="0"/>
    <n v="1"/>
  </r>
  <r>
    <n v="1683"/>
    <d v="2023-04-27T00:00:00"/>
    <s v="Basic"/>
    <n v="199"/>
    <n v="18.8"/>
    <n v="2"/>
    <x v="0"/>
    <n v="34"/>
    <n v="28"/>
    <s v="No"/>
    <s v="No"/>
    <s v="Yes"/>
    <s v="No"/>
    <s v="Yes"/>
    <s v="No"/>
    <m/>
    <x v="0"/>
    <n v="0"/>
  </r>
  <r>
    <n v="1684"/>
    <d v="2024-07-14T00:00:00"/>
    <s v="Basic"/>
    <n v="199"/>
    <n v="12.6"/>
    <n v="8"/>
    <x v="2"/>
    <n v="28"/>
    <n v="8"/>
    <s v="No"/>
    <s v="No"/>
    <s v="Yes"/>
    <s v="Yes"/>
    <s v="No"/>
    <s v="No"/>
    <m/>
    <x v="0"/>
    <n v="0"/>
  </r>
  <r>
    <n v="1685"/>
    <d v="2024-11-23T00:00:00"/>
    <s v="Standard"/>
    <n v="399"/>
    <n v="0.7"/>
    <n v="1"/>
    <x v="2"/>
    <n v="26"/>
    <n v="18"/>
    <s v="No"/>
    <s v="Yes"/>
    <s v="Yes"/>
    <s v="No"/>
    <s v="Yes"/>
    <s v="No"/>
    <m/>
    <x v="0"/>
    <n v="0"/>
  </r>
  <r>
    <n v="1686"/>
    <d v="2023-10-25T00:00:00"/>
    <s v="Standard"/>
    <n v="399"/>
    <n v="8.4"/>
    <n v="5"/>
    <x v="5"/>
    <n v="34"/>
    <n v="41"/>
    <s v="Yes"/>
    <s v="No"/>
    <s v="Yes"/>
    <s v="Yes"/>
    <s v="Yes"/>
    <s v="No"/>
    <m/>
    <x v="0"/>
    <n v="1"/>
  </r>
  <r>
    <n v="1687"/>
    <d v="2024-04-18T00:00:00"/>
    <s v="Premium"/>
    <n v="699"/>
    <n v="20.2"/>
    <n v="5"/>
    <x v="5"/>
    <n v="14"/>
    <n v="38"/>
    <s v="Yes"/>
    <s v="No"/>
    <s v="Yes"/>
    <s v="Yes"/>
    <s v="Yes"/>
    <s v="No"/>
    <m/>
    <x v="0"/>
    <n v="1"/>
  </r>
  <r>
    <n v="1688"/>
    <d v="2024-04-30T00:00:00"/>
    <s v="Basic"/>
    <n v="199"/>
    <n v="23.2"/>
    <n v="2"/>
    <x v="0"/>
    <n v="22"/>
    <n v="33"/>
    <s v="No"/>
    <s v="No"/>
    <s v="Yes"/>
    <s v="No"/>
    <s v="Yes"/>
    <s v="No"/>
    <m/>
    <x v="0"/>
    <n v="0"/>
  </r>
  <r>
    <n v="1689"/>
    <d v="2023-01-06T00:00:00"/>
    <s v="Basic"/>
    <n v="199"/>
    <n v="10.7"/>
    <n v="2"/>
    <x v="2"/>
    <n v="21"/>
    <n v="4"/>
    <s v="No"/>
    <s v="No"/>
    <s v="Yes"/>
    <s v="No"/>
    <s v="No"/>
    <s v="No"/>
    <m/>
    <x v="0"/>
    <n v="0"/>
  </r>
  <r>
    <n v="1690"/>
    <d v="2023-03-04T00:00:00"/>
    <s v="Standard"/>
    <n v="399"/>
    <n v="5.4"/>
    <n v="1"/>
    <x v="5"/>
    <n v="13"/>
    <n v="29"/>
    <s v="Yes"/>
    <s v="No"/>
    <s v="Yes"/>
    <s v="No"/>
    <s v="Yes"/>
    <s v="No"/>
    <m/>
    <x v="0"/>
    <n v="1"/>
  </r>
  <r>
    <n v="1691"/>
    <d v="2023-08-20T00:00:00"/>
    <s v="Premium"/>
    <n v="699"/>
    <n v="15.1"/>
    <n v="1"/>
    <x v="3"/>
    <n v="30"/>
    <n v="40"/>
    <s v="Yes"/>
    <s v="No"/>
    <s v="Yes"/>
    <s v="No"/>
    <s v="Yes"/>
    <s v="No"/>
    <m/>
    <x v="0"/>
    <n v="1"/>
  </r>
  <r>
    <n v="1692"/>
    <d v="2024-03-12T00:00:00"/>
    <s v="Standard"/>
    <n v="399"/>
    <n v="23.2"/>
    <n v="4"/>
    <x v="3"/>
    <n v="1"/>
    <n v="52"/>
    <s v="No"/>
    <s v="No"/>
    <s v="Yes"/>
    <s v="No"/>
    <s v="Yes"/>
    <s v="Yes"/>
    <m/>
    <x v="0"/>
    <n v="0"/>
  </r>
  <r>
    <n v="1693"/>
    <d v="2024-11-06T00:00:00"/>
    <s v="Premium"/>
    <n v="699"/>
    <n v="9.5"/>
    <n v="6"/>
    <x v="3"/>
    <n v="20"/>
    <n v="35"/>
    <s v="Yes"/>
    <s v="No"/>
    <s v="Yes"/>
    <s v="Yes"/>
    <s v="Yes"/>
    <s v="No"/>
    <m/>
    <x v="0"/>
    <n v="1"/>
  </r>
  <r>
    <n v="1694"/>
    <d v="2023-09-27T00:00:00"/>
    <s v="Basic"/>
    <n v="199"/>
    <n v="15"/>
    <n v="1"/>
    <x v="4"/>
    <n v="5"/>
    <n v="13"/>
    <s v="Yes"/>
    <s v="No"/>
    <s v="Yes"/>
    <s v="No"/>
    <s v="No"/>
    <s v="Yes"/>
    <m/>
    <x v="0"/>
    <n v="1"/>
  </r>
  <r>
    <n v="1695"/>
    <d v="2023-12-05T00:00:00"/>
    <s v="Premium"/>
    <n v="699"/>
    <n v="3.6"/>
    <n v="8"/>
    <x v="5"/>
    <n v="7"/>
    <n v="41"/>
    <s v="Yes"/>
    <s v="Yes"/>
    <s v="Yes"/>
    <s v="Yes"/>
    <s v="Yes"/>
    <s v="No"/>
    <m/>
    <x v="0"/>
    <n v="1"/>
  </r>
  <r>
    <n v="1696"/>
    <d v="2023-08-26T00:00:00"/>
    <s v="Premium"/>
    <n v="699"/>
    <n v="24.2"/>
    <n v="7"/>
    <x v="0"/>
    <n v="18"/>
    <n v="10"/>
    <s v="Yes"/>
    <s v="No"/>
    <s v="Yes"/>
    <s v="Yes"/>
    <s v="No"/>
    <s v="No"/>
    <m/>
    <x v="0"/>
    <n v="1"/>
  </r>
  <r>
    <n v="1697"/>
    <d v="2023-01-01T00:00:00"/>
    <s v="Basic"/>
    <n v="199"/>
    <n v="23.3"/>
    <n v="2"/>
    <x v="0"/>
    <n v="6"/>
    <n v="10"/>
    <s v="No"/>
    <s v="No"/>
    <s v="Yes"/>
    <s v="No"/>
    <s v="No"/>
    <s v="No"/>
    <m/>
    <x v="0"/>
    <n v="0"/>
  </r>
  <r>
    <n v="1698"/>
    <d v="2024-03-11T00:00:00"/>
    <s v="Standard"/>
    <n v="399"/>
    <n v="22.5"/>
    <n v="0"/>
    <x v="0"/>
    <n v="5"/>
    <n v="32"/>
    <s v="No"/>
    <s v="No"/>
    <s v="Yes"/>
    <s v="No"/>
    <s v="Yes"/>
    <s v="Yes"/>
    <m/>
    <x v="0"/>
    <n v="0"/>
  </r>
  <r>
    <n v="1699"/>
    <d v="2024-01-22T00:00:00"/>
    <s v="Premium"/>
    <n v="699"/>
    <n v="8.5"/>
    <n v="8"/>
    <x v="1"/>
    <n v="31"/>
    <n v="15"/>
    <s v="No"/>
    <s v="No"/>
    <s v="No"/>
    <s v="Yes"/>
    <s v="Yes"/>
    <s v="No"/>
    <m/>
    <x v="1"/>
    <n v="0"/>
  </r>
  <r>
    <n v="1700"/>
    <d v="2024-09-11T00:00:00"/>
    <s v="Standard"/>
    <n v="399"/>
    <n v="9.1999999999999993"/>
    <n v="8"/>
    <x v="3"/>
    <n v="31"/>
    <n v="33"/>
    <s v="Yes"/>
    <s v="No"/>
    <s v="Yes"/>
    <s v="Yes"/>
    <s v="Yes"/>
    <s v="No"/>
    <m/>
    <x v="0"/>
    <n v="1"/>
  </r>
  <r>
    <n v="1701"/>
    <d v="2024-07-27T00:00:00"/>
    <s v="Basic"/>
    <n v="199"/>
    <n v="23.7"/>
    <n v="4"/>
    <x v="4"/>
    <n v="11"/>
    <n v="9"/>
    <s v="No"/>
    <s v="No"/>
    <s v="Yes"/>
    <s v="No"/>
    <s v="No"/>
    <s v="No"/>
    <m/>
    <x v="0"/>
    <n v="0"/>
  </r>
  <r>
    <n v="1702"/>
    <d v="2024-03-21T00:00:00"/>
    <s v="Standard"/>
    <n v="399"/>
    <n v="17.5"/>
    <n v="4"/>
    <x v="4"/>
    <n v="32"/>
    <n v="7"/>
    <s v="No"/>
    <s v="No"/>
    <s v="Yes"/>
    <s v="No"/>
    <s v="No"/>
    <s v="No"/>
    <m/>
    <x v="0"/>
    <n v="0"/>
  </r>
  <r>
    <n v="1703"/>
    <d v="2024-03-10T00:00:00"/>
    <s v="Premium"/>
    <n v="699"/>
    <n v="4.9000000000000004"/>
    <n v="5"/>
    <x v="2"/>
    <n v="23"/>
    <n v="49"/>
    <s v="Yes"/>
    <s v="Yes"/>
    <s v="Yes"/>
    <s v="Yes"/>
    <s v="Yes"/>
    <s v="No"/>
    <m/>
    <x v="0"/>
    <n v="1"/>
  </r>
  <r>
    <n v="1704"/>
    <d v="2023-01-11T00:00:00"/>
    <s v="Basic"/>
    <n v="199"/>
    <n v="22"/>
    <n v="3"/>
    <x v="2"/>
    <n v="36"/>
    <n v="23"/>
    <s v="Yes"/>
    <s v="No"/>
    <s v="Yes"/>
    <s v="No"/>
    <s v="Yes"/>
    <s v="No"/>
    <m/>
    <x v="0"/>
    <n v="1"/>
  </r>
  <r>
    <n v="1705"/>
    <d v="2023-04-07T00:00:00"/>
    <s v="Basic"/>
    <n v="199"/>
    <n v="9.3000000000000007"/>
    <n v="3"/>
    <x v="1"/>
    <n v="29"/>
    <n v="37"/>
    <s v="Yes"/>
    <s v="No"/>
    <s v="No"/>
    <s v="No"/>
    <s v="Yes"/>
    <s v="No"/>
    <m/>
    <x v="1"/>
    <n v="1"/>
  </r>
  <r>
    <n v="1706"/>
    <d v="2023-10-09T00:00:00"/>
    <s v="Standard"/>
    <n v="399"/>
    <n v="12.8"/>
    <n v="0"/>
    <x v="5"/>
    <n v="17"/>
    <n v="17"/>
    <s v="Yes"/>
    <s v="No"/>
    <s v="Yes"/>
    <s v="No"/>
    <s v="Yes"/>
    <s v="No"/>
    <m/>
    <x v="0"/>
    <n v="1"/>
  </r>
  <r>
    <n v="1707"/>
    <d v="2024-08-08T00:00:00"/>
    <s v="Premium"/>
    <n v="699"/>
    <n v="10.3"/>
    <n v="4"/>
    <x v="3"/>
    <n v="31"/>
    <n v="40"/>
    <s v="Yes"/>
    <s v="No"/>
    <s v="Yes"/>
    <s v="No"/>
    <s v="Yes"/>
    <s v="No"/>
    <m/>
    <x v="0"/>
    <n v="1"/>
  </r>
  <r>
    <n v="1708"/>
    <d v="2024-10-25T00:00:00"/>
    <s v="Basic"/>
    <n v="199"/>
    <n v="24.9"/>
    <n v="7"/>
    <x v="2"/>
    <n v="31"/>
    <n v="11"/>
    <s v="Yes"/>
    <s v="No"/>
    <s v="Yes"/>
    <s v="Yes"/>
    <s v="No"/>
    <s v="No"/>
    <m/>
    <x v="0"/>
    <n v="1"/>
  </r>
  <r>
    <n v="1709"/>
    <d v="2024-12-23T00:00:00"/>
    <s v="Premium"/>
    <n v="699"/>
    <n v="1.4"/>
    <n v="0"/>
    <x v="5"/>
    <n v="7"/>
    <n v="57"/>
    <s v="Yes"/>
    <s v="Yes"/>
    <s v="Yes"/>
    <s v="No"/>
    <s v="Yes"/>
    <s v="No"/>
    <m/>
    <x v="0"/>
    <n v="1"/>
  </r>
  <r>
    <n v="1710"/>
    <d v="2023-05-03T00:00:00"/>
    <s v="Premium"/>
    <n v="699"/>
    <n v="21.8"/>
    <n v="2"/>
    <x v="1"/>
    <n v="12"/>
    <n v="26"/>
    <s v="No"/>
    <s v="No"/>
    <s v="No"/>
    <s v="No"/>
    <s v="Yes"/>
    <s v="No"/>
    <m/>
    <x v="1"/>
    <n v="0"/>
  </r>
  <r>
    <n v="1711"/>
    <d v="2023-10-12T00:00:00"/>
    <s v="Basic"/>
    <n v="199"/>
    <n v="16.100000000000001"/>
    <n v="0"/>
    <x v="3"/>
    <n v="29"/>
    <n v="6"/>
    <s v="No"/>
    <s v="No"/>
    <s v="Yes"/>
    <s v="No"/>
    <s v="No"/>
    <s v="No"/>
    <m/>
    <x v="0"/>
    <n v="0"/>
  </r>
  <r>
    <n v="1712"/>
    <d v="2024-08-23T00:00:00"/>
    <s v="Basic"/>
    <n v="199"/>
    <n v="8.6999999999999993"/>
    <n v="5"/>
    <x v="4"/>
    <n v="2"/>
    <n v="10"/>
    <s v="No"/>
    <s v="No"/>
    <s v="Yes"/>
    <s v="Yes"/>
    <s v="No"/>
    <s v="Yes"/>
    <m/>
    <x v="0"/>
    <n v="0"/>
  </r>
  <r>
    <n v="1713"/>
    <d v="2023-03-04T00:00:00"/>
    <s v="Premium"/>
    <n v="699"/>
    <n v="13.2"/>
    <n v="6"/>
    <x v="2"/>
    <n v="24"/>
    <n v="53"/>
    <s v="Yes"/>
    <s v="No"/>
    <s v="Yes"/>
    <s v="Yes"/>
    <s v="Yes"/>
    <s v="No"/>
    <m/>
    <x v="0"/>
    <n v="1"/>
  </r>
  <r>
    <n v="1714"/>
    <d v="2023-06-26T00:00:00"/>
    <s v="Basic"/>
    <n v="199"/>
    <n v="20.7"/>
    <n v="8"/>
    <x v="0"/>
    <n v="13"/>
    <n v="46"/>
    <s v="Yes"/>
    <s v="No"/>
    <s v="Yes"/>
    <s v="Yes"/>
    <s v="Yes"/>
    <s v="No"/>
    <m/>
    <x v="0"/>
    <n v="1"/>
  </r>
  <r>
    <n v="1715"/>
    <d v="2024-10-12T00:00:00"/>
    <s v="Standard"/>
    <n v="399"/>
    <n v="7.3"/>
    <n v="3"/>
    <x v="4"/>
    <n v="3"/>
    <n v="32"/>
    <s v="Yes"/>
    <s v="No"/>
    <s v="Yes"/>
    <s v="No"/>
    <s v="Yes"/>
    <s v="Yes"/>
    <m/>
    <x v="0"/>
    <n v="1"/>
  </r>
  <r>
    <n v="1716"/>
    <d v="2024-08-04T00:00:00"/>
    <s v="Premium"/>
    <n v="699"/>
    <n v="8.1"/>
    <n v="8"/>
    <x v="3"/>
    <n v="1"/>
    <n v="7"/>
    <s v="Yes"/>
    <s v="No"/>
    <s v="Yes"/>
    <s v="Yes"/>
    <s v="No"/>
    <s v="Yes"/>
    <m/>
    <x v="0"/>
    <n v="1"/>
  </r>
  <r>
    <n v="1717"/>
    <d v="2023-07-06T00:00:00"/>
    <s v="Premium"/>
    <n v="699"/>
    <n v="14.4"/>
    <n v="7"/>
    <x v="1"/>
    <n v="6"/>
    <n v="7"/>
    <s v="No"/>
    <s v="No"/>
    <s v="No"/>
    <s v="Yes"/>
    <s v="No"/>
    <s v="No"/>
    <m/>
    <x v="1"/>
    <n v="0"/>
  </r>
  <r>
    <n v="1718"/>
    <d v="2024-10-15T00:00:00"/>
    <s v="Premium"/>
    <n v="699"/>
    <n v="5"/>
    <n v="0"/>
    <x v="0"/>
    <n v="6"/>
    <n v="50"/>
    <s v="Yes"/>
    <s v="No"/>
    <s v="Yes"/>
    <s v="No"/>
    <s v="Yes"/>
    <s v="No"/>
    <m/>
    <x v="0"/>
    <n v="1"/>
  </r>
  <r>
    <n v="1719"/>
    <d v="2023-07-15T00:00:00"/>
    <s v="Standard"/>
    <n v="399"/>
    <n v="2.5"/>
    <n v="3"/>
    <x v="3"/>
    <n v="30"/>
    <n v="53"/>
    <s v="Yes"/>
    <s v="Yes"/>
    <s v="Yes"/>
    <s v="No"/>
    <s v="Yes"/>
    <s v="No"/>
    <m/>
    <x v="0"/>
    <n v="1"/>
  </r>
  <r>
    <n v="1720"/>
    <d v="2023-05-24T00:00:00"/>
    <s v="Premium"/>
    <n v="699"/>
    <n v="8.1"/>
    <n v="6"/>
    <x v="4"/>
    <n v="9"/>
    <n v="18"/>
    <s v="Yes"/>
    <s v="No"/>
    <s v="Yes"/>
    <s v="Yes"/>
    <s v="Yes"/>
    <s v="No"/>
    <m/>
    <x v="0"/>
    <n v="1"/>
  </r>
  <r>
    <n v="1721"/>
    <d v="2023-10-30T00:00:00"/>
    <s v="Premium"/>
    <n v="699"/>
    <n v="10.6"/>
    <n v="3"/>
    <x v="3"/>
    <n v="21"/>
    <n v="56"/>
    <s v="Yes"/>
    <s v="No"/>
    <s v="Yes"/>
    <s v="No"/>
    <s v="Yes"/>
    <s v="No"/>
    <m/>
    <x v="0"/>
    <n v="1"/>
  </r>
  <r>
    <n v="1722"/>
    <d v="2024-10-19T00:00:00"/>
    <s v="Standard"/>
    <n v="399"/>
    <n v="7"/>
    <n v="7"/>
    <x v="3"/>
    <n v="29"/>
    <n v="37"/>
    <s v="Yes"/>
    <s v="No"/>
    <s v="Yes"/>
    <s v="Yes"/>
    <s v="Yes"/>
    <s v="No"/>
    <m/>
    <x v="0"/>
    <n v="1"/>
  </r>
  <r>
    <n v="1723"/>
    <d v="2024-01-30T00:00:00"/>
    <s v="Premium"/>
    <n v="699"/>
    <n v="20.8"/>
    <n v="2"/>
    <x v="1"/>
    <n v="29"/>
    <n v="60"/>
    <s v="No"/>
    <s v="No"/>
    <s v="No"/>
    <s v="No"/>
    <s v="Yes"/>
    <s v="No"/>
    <m/>
    <x v="1"/>
    <n v="0"/>
  </r>
  <r>
    <n v="1724"/>
    <d v="2023-10-23T00:00:00"/>
    <s v="Basic"/>
    <n v="199"/>
    <n v="14.4"/>
    <n v="6"/>
    <x v="3"/>
    <n v="35"/>
    <n v="41"/>
    <s v="No"/>
    <s v="No"/>
    <s v="Yes"/>
    <s v="Yes"/>
    <s v="Yes"/>
    <s v="No"/>
    <m/>
    <x v="0"/>
    <n v="0"/>
  </r>
  <r>
    <n v="1725"/>
    <d v="2023-10-03T00:00:00"/>
    <s v="Basic"/>
    <n v="199"/>
    <n v="17.600000000000001"/>
    <n v="8"/>
    <x v="5"/>
    <n v="22"/>
    <n v="53"/>
    <s v="Yes"/>
    <s v="No"/>
    <s v="Yes"/>
    <s v="Yes"/>
    <s v="Yes"/>
    <s v="No"/>
    <m/>
    <x v="0"/>
    <n v="1"/>
  </r>
  <r>
    <n v="1726"/>
    <d v="2023-04-29T00:00:00"/>
    <s v="Basic"/>
    <n v="199"/>
    <n v="19.399999999999999"/>
    <n v="4"/>
    <x v="0"/>
    <n v="33"/>
    <n v="29"/>
    <s v="Yes"/>
    <s v="No"/>
    <s v="Yes"/>
    <s v="No"/>
    <s v="Yes"/>
    <s v="No"/>
    <m/>
    <x v="0"/>
    <n v="1"/>
  </r>
  <r>
    <n v="1727"/>
    <d v="2024-01-22T00:00:00"/>
    <s v="Premium"/>
    <n v="699"/>
    <n v="12.1"/>
    <n v="7"/>
    <x v="5"/>
    <n v="12"/>
    <n v="20"/>
    <s v="Yes"/>
    <s v="No"/>
    <s v="Yes"/>
    <s v="Yes"/>
    <s v="Yes"/>
    <s v="No"/>
    <m/>
    <x v="0"/>
    <n v="1"/>
  </r>
  <r>
    <n v="1728"/>
    <d v="2023-01-09T00:00:00"/>
    <s v="Premium"/>
    <n v="699"/>
    <n v="8.4"/>
    <n v="1"/>
    <x v="4"/>
    <n v="3"/>
    <n v="22"/>
    <s v="No"/>
    <s v="No"/>
    <s v="Yes"/>
    <s v="No"/>
    <s v="Yes"/>
    <s v="Yes"/>
    <m/>
    <x v="0"/>
    <n v="0"/>
  </r>
  <r>
    <n v="1729"/>
    <d v="2024-01-02T00:00:00"/>
    <s v="Basic"/>
    <n v="199"/>
    <n v="12.1"/>
    <n v="5"/>
    <x v="4"/>
    <n v="27"/>
    <n v="57"/>
    <s v="Yes"/>
    <s v="No"/>
    <s v="Yes"/>
    <s v="Yes"/>
    <s v="Yes"/>
    <s v="No"/>
    <m/>
    <x v="0"/>
    <n v="1"/>
  </r>
  <r>
    <n v="1730"/>
    <d v="2024-04-12T00:00:00"/>
    <s v="Standard"/>
    <n v="399"/>
    <n v="11.9"/>
    <n v="2"/>
    <x v="1"/>
    <n v="11"/>
    <n v="28"/>
    <s v="No"/>
    <s v="No"/>
    <s v="No"/>
    <s v="No"/>
    <s v="Yes"/>
    <s v="No"/>
    <m/>
    <x v="1"/>
    <n v="0"/>
  </r>
  <r>
    <n v="1731"/>
    <d v="2024-09-07T00:00:00"/>
    <s v="Premium"/>
    <n v="699"/>
    <n v="18.399999999999999"/>
    <n v="7"/>
    <x v="0"/>
    <n v="28"/>
    <n v="16"/>
    <s v="No"/>
    <s v="No"/>
    <s v="Yes"/>
    <s v="Yes"/>
    <s v="Yes"/>
    <s v="No"/>
    <m/>
    <x v="0"/>
    <n v="0"/>
  </r>
  <r>
    <n v="1732"/>
    <d v="2024-06-03T00:00:00"/>
    <s v="Standard"/>
    <n v="399"/>
    <n v="17.100000000000001"/>
    <n v="4"/>
    <x v="1"/>
    <n v="31"/>
    <n v="59"/>
    <s v="No"/>
    <s v="No"/>
    <s v="No"/>
    <s v="No"/>
    <s v="Yes"/>
    <s v="No"/>
    <m/>
    <x v="1"/>
    <n v="0"/>
  </r>
  <r>
    <n v="1733"/>
    <d v="2023-06-17T00:00:00"/>
    <s v="Basic"/>
    <n v="199"/>
    <n v="10.9"/>
    <n v="4"/>
    <x v="5"/>
    <n v="27"/>
    <n v="25"/>
    <s v="Yes"/>
    <s v="No"/>
    <s v="Yes"/>
    <s v="No"/>
    <s v="Yes"/>
    <s v="No"/>
    <m/>
    <x v="0"/>
    <n v="1"/>
  </r>
  <r>
    <n v="1734"/>
    <d v="2023-05-23T00:00:00"/>
    <s v="Premium"/>
    <n v="699"/>
    <n v="23.1"/>
    <n v="8"/>
    <x v="0"/>
    <n v="11"/>
    <n v="60"/>
    <s v="No"/>
    <s v="No"/>
    <s v="Yes"/>
    <s v="Yes"/>
    <s v="Yes"/>
    <s v="No"/>
    <m/>
    <x v="0"/>
    <n v="0"/>
  </r>
  <r>
    <n v="1735"/>
    <d v="2023-05-25T00:00:00"/>
    <s v="Basic"/>
    <n v="199"/>
    <n v="19.8"/>
    <n v="0"/>
    <x v="1"/>
    <n v="22"/>
    <n v="19"/>
    <s v="No"/>
    <s v="No"/>
    <s v="No"/>
    <s v="No"/>
    <s v="Yes"/>
    <s v="No"/>
    <m/>
    <x v="1"/>
    <n v="0"/>
  </r>
  <r>
    <n v="1736"/>
    <d v="2023-06-26T00:00:00"/>
    <s v="Standard"/>
    <n v="399"/>
    <n v="10.199999999999999"/>
    <n v="7"/>
    <x v="1"/>
    <n v="30"/>
    <n v="42"/>
    <s v="Yes"/>
    <s v="No"/>
    <s v="No"/>
    <s v="Yes"/>
    <s v="Yes"/>
    <s v="No"/>
    <m/>
    <x v="1"/>
    <n v="1"/>
  </r>
  <r>
    <n v="1737"/>
    <d v="2023-09-08T00:00:00"/>
    <s v="Standard"/>
    <n v="399"/>
    <n v="2.5"/>
    <n v="3"/>
    <x v="0"/>
    <n v="20"/>
    <n v="27"/>
    <s v="Yes"/>
    <s v="Yes"/>
    <s v="Yes"/>
    <s v="No"/>
    <s v="Yes"/>
    <s v="No"/>
    <m/>
    <x v="0"/>
    <n v="1"/>
  </r>
  <r>
    <n v="1738"/>
    <d v="2023-04-13T00:00:00"/>
    <s v="Basic"/>
    <n v="199"/>
    <n v="21.2"/>
    <n v="5"/>
    <x v="1"/>
    <n v="36"/>
    <n v="30"/>
    <s v="Yes"/>
    <s v="No"/>
    <s v="No"/>
    <s v="Yes"/>
    <s v="Yes"/>
    <s v="No"/>
    <m/>
    <x v="1"/>
    <n v="1"/>
  </r>
  <r>
    <n v="1739"/>
    <d v="2024-04-19T00:00:00"/>
    <s v="Standard"/>
    <n v="399"/>
    <n v="17.3"/>
    <n v="3"/>
    <x v="2"/>
    <n v="36"/>
    <n v="42"/>
    <s v="Yes"/>
    <s v="No"/>
    <s v="Yes"/>
    <s v="No"/>
    <s v="Yes"/>
    <s v="No"/>
    <m/>
    <x v="0"/>
    <n v="1"/>
  </r>
  <r>
    <n v="1740"/>
    <d v="2023-05-17T00:00:00"/>
    <s v="Premium"/>
    <n v="699"/>
    <n v="19.2"/>
    <n v="1"/>
    <x v="2"/>
    <n v="16"/>
    <n v="8"/>
    <s v="Yes"/>
    <s v="No"/>
    <s v="Yes"/>
    <s v="No"/>
    <s v="No"/>
    <s v="No"/>
    <m/>
    <x v="0"/>
    <n v="1"/>
  </r>
  <r>
    <n v="1741"/>
    <d v="2023-12-22T00:00:00"/>
    <s v="Standard"/>
    <n v="399"/>
    <n v="22.5"/>
    <n v="6"/>
    <x v="5"/>
    <n v="21"/>
    <n v="25"/>
    <s v="Yes"/>
    <s v="No"/>
    <s v="Yes"/>
    <s v="Yes"/>
    <s v="Yes"/>
    <s v="No"/>
    <m/>
    <x v="0"/>
    <n v="1"/>
  </r>
  <r>
    <n v="1742"/>
    <d v="2024-05-28T00:00:00"/>
    <s v="Standard"/>
    <n v="399"/>
    <n v="5.9"/>
    <n v="2"/>
    <x v="0"/>
    <n v="2"/>
    <n v="23"/>
    <s v="No"/>
    <s v="No"/>
    <s v="Yes"/>
    <s v="No"/>
    <s v="Yes"/>
    <s v="Yes"/>
    <m/>
    <x v="0"/>
    <n v="0"/>
  </r>
  <r>
    <n v="1743"/>
    <d v="2023-08-05T00:00:00"/>
    <s v="Basic"/>
    <n v="199"/>
    <n v="22.9"/>
    <n v="3"/>
    <x v="0"/>
    <n v="26"/>
    <n v="31"/>
    <s v="Yes"/>
    <s v="No"/>
    <s v="Yes"/>
    <s v="No"/>
    <s v="Yes"/>
    <s v="No"/>
    <m/>
    <x v="0"/>
    <n v="1"/>
  </r>
  <r>
    <n v="1744"/>
    <d v="2023-10-19T00:00:00"/>
    <s v="Standard"/>
    <n v="399"/>
    <n v="2.8"/>
    <n v="6"/>
    <x v="4"/>
    <n v="28"/>
    <n v="11"/>
    <s v="Yes"/>
    <s v="Yes"/>
    <s v="Yes"/>
    <s v="Yes"/>
    <s v="No"/>
    <s v="No"/>
    <m/>
    <x v="0"/>
    <n v="1"/>
  </r>
  <r>
    <n v="1745"/>
    <d v="2024-03-07T00:00:00"/>
    <s v="Standard"/>
    <n v="399"/>
    <n v="17"/>
    <n v="7"/>
    <x v="1"/>
    <n v="25"/>
    <n v="16"/>
    <s v="No"/>
    <s v="No"/>
    <s v="No"/>
    <s v="Yes"/>
    <s v="Yes"/>
    <s v="No"/>
    <m/>
    <x v="1"/>
    <n v="0"/>
  </r>
  <r>
    <n v="1746"/>
    <d v="2023-12-21T00:00:00"/>
    <s v="Basic"/>
    <n v="199"/>
    <n v="10.3"/>
    <n v="8"/>
    <x v="1"/>
    <n v="11"/>
    <n v="29"/>
    <s v="No"/>
    <s v="No"/>
    <s v="No"/>
    <s v="Yes"/>
    <s v="Yes"/>
    <s v="No"/>
    <m/>
    <x v="1"/>
    <n v="0"/>
  </r>
  <r>
    <n v="1747"/>
    <d v="2024-08-11T00:00:00"/>
    <s v="Premium"/>
    <n v="699"/>
    <n v="16.600000000000001"/>
    <n v="6"/>
    <x v="1"/>
    <n v="7"/>
    <n v="10"/>
    <s v="No"/>
    <s v="No"/>
    <s v="No"/>
    <s v="Yes"/>
    <s v="No"/>
    <s v="No"/>
    <m/>
    <x v="1"/>
    <n v="0"/>
  </r>
  <r>
    <n v="1748"/>
    <d v="2024-02-16T00:00:00"/>
    <s v="Premium"/>
    <n v="699"/>
    <n v="17.3"/>
    <n v="0"/>
    <x v="2"/>
    <n v="25"/>
    <n v="41"/>
    <s v="No"/>
    <s v="No"/>
    <s v="Yes"/>
    <s v="No"/>
    <s v="Yes"/>
    <s v="No"/>
    <m/>
    <x v="0"/>
    <n v="0"/>
  </r>
  <r>
    <n v="1749"/>
    <d v="2024-04-06T00:00:00"/>
    <s v="Standard"/>
    <n v="399"/>
    <n v="7.9"/>
    <n v="4"/>
    <x v="4"/>
    <n v="4"/>
    <n v="40"/>
    <s v="Yes"/>
    <s v="No"/>
    <s v="Yes"/>
    <s v="No"/>
    <s v="Yes"/>
    <s v="Yes"/>
    <m/>
    <x v="0"/>
    <n v="1"/>
  </r>
  <r>
    <n v="1750"/>
    <d v="2023-07-03T00:00:00"/>
    <s v="Premium"/>
    <n v="699"/>
    <n v="19.600000000000001"/>
    <n v="5"/>
    <x v="5"/>
    <n v="24"/>
    <n v="23"/>
    <s v="Yes"/>
    <s v="No"/>
    <s v="Yes"/>
    <s v="Yes"/>
    <s v="Yes"/>
    <s v="No"/>
    <m/>
    <x v="0"/>
    <n v="1"/>
  </r>
  <r>
    <n v="1751"/>
    <d v="2024-12-25T00:00:00"/>
    <s v="Standard"/>
    <n v="399"/>
    <n v="19.100000000000001"/>
    <n v="1"/>
    <x v="0"/>
    <n v="35"/>
    <n v="0"/>
    <s v="No"/>
    <s v="No"/>
    <s v="Yes"/>
    <s v="No"/>
    <s v="No"/>
    <s v="No"/>
    <m/>
    <x v="0"/>
    <n v="0"/>
  </r>
  <r>
    <n v="1752"/>
    <d v="2023-02-10T00:00:00"/>
    <s v="Premium"/>
    <n v="699"/>
    <n v="5.3"/>
    <n v="7"/>
    <x v="2"/>
    <n v="17"/>
    <n v="3"/>
    <s v="Yes"/>
    <s v="No"/>
    <s v="Yes"/>
    <s v="Yes"/>
    <s v="No"/>
    <s v="No"/>
    <m/>
    <x v="0"/>
    <n v="1"/>
  </r>
  <r>
    <n v="1753"/>
    <d v="2024-03-11T00:00:00"/>
    <s v="Basic"/>
    <n v="199"/>
    <n v="11.8"/>
    <n v="0"/>
    <x v="5"/>
    <n v="32"/>
    <n v="43"/>
    <s v="Yes"/>
    <s v="No"/>
    <s v="Yes"/>
    <s v="No"/>
    <s v="Yes"/>
    <s v="No"/>
    <m/>
    <x v="0"/>
    <n v="1"/>
  </r>
  <r>
    <n v="1754"/>
    <d v="2024-01-01T00:00:00"/>
    <s v="Standard"/>
    <n v="399"/>
    <n v="19.3"/>
    <n v="0"/>
    <x v="5"/>
    <n v="19"/>
    <n v="17"/>
    <s v="Yes"/>
    <s v="No"/>
    <s v="Yes"/>
    <s v="No"/>
    <s v="Yes"/>
    <s v="No"/>
    <m/>
    <x v="0"/>
    <n v="1"/>
  </r>
  <r>
    <n v="1755"/>
    <d v="2024-01-01T00:00:00"/>
    <s v="Standard"/>
    <n v="399"/>
    <n v="11.4"/>
    <n v="4"/>
    <x v="4"/>
    <n v="2"/>
    <n v="2"/>
    <s v="No"/>
    <s v="No"/>
    <s v="Yes"/>
    <s v="No"/>
    <s v="No"/>
    <s v="Yes"/>
    <m/>
    <x v="0"/>
    <n v="0"/>
  </r>
  <r>
    <n v="1756"/>
    <d v="2023-04-07T00:00:00"/>
    <s v="Premium"/>
    <n v="699"/>
    <n v="13.5"/>
    <n v="6"/>
    <x v="0"/>
    <n v="3"/>
    <n v="11"/>
    <s v="Yes"/>
    <s v="No"/>
    <s v="Yes"/>
    <s v="Yes"/>
    <s v="No"/>
    <s v="Yes"/>
    <m/>
    <x v="0"/>
    <n v="1"/>
  </r>
  <r>
    <n v="1757"/>
    <d v="2024-12-06T00:00:00"/>
    <s v="Basic"/>
    <n v="199"/>
    <n v="16"/>
    <n v="6"/>
    <x v="3"/>
    <n v="10"/>
    <n v="22"/>
    <s v="No"/>
    <s v="No"/>
    <s v="Yes"/>
    <s v="Yes"/>
    <s v="Yes"/>
    <s v="No"/>
    <m/>
    <x v="0"/>
    <n v="0"/>
  </r>
  <r>
    <n v="1758"/>
    <d v="2023-12-01T00:00:00"/>
    <s v="Premium"/>
    <n v="699"/>
    <n v="23"/>
    <n v="8"/>
    <x v="5"/>
    <n v="16"/>
    <n v="29"/>
    <s v="Yes"/>
    <s v="No"/>
    <s v="Yes"/>
    <s v="Yes"/>
    <s v="Yes"/>
    <s v="No"/>
    <m/>
    <x v="0"/>
    <n v="1"/>
  </r>
  <r>
    <n v="1759"/>
    <d v="2023-03-22T00:00:00"/>
    <s v="Standard"/>
    <n v="399"/>
    <n v="4.0999999999999996"/>
    <n v="1"/>
    <x v="2"/>
    <n v="3"/>
    <n v="32"/>
    <s v="No"/>
    <s v="Yes"/>
    <s v="Yes"/>
    <s v="No"/>
    <s v="Yes"/>
    <s v="Yes"/>
    <m/>
    <x v="0"/>
    <n v="0"/>
  </r>
  <r>
    <n v="1760"/>
    <d v="2024-10-30T00:00:00"/>
    <s v="Standard"/>
    <n v="399"/>
    <n v="10.9"/>
    <n v="0"/>
    <x v="0"/>
    <n v="20"/>
    <n v="60"/>
    <s v="No"/>
    <s v="No"/>
    <s v="Yes"/>
    <s v="No"/>
    <s v="Yes"/>
    <s v="No"/>
    <m/>
    <x v="0"/>
    <n v="0"/>
  </r>
  <r>
    <n v="1761"/>
    <d v="2023-09-25T00:00:00"/>
    <s v="Premium"/>
    <n v="699"/>
    <n v="21"/>
    <n v="6"/>
    <x v="1"/>
    <n v="6"/>
    <n v="50"/>
    <s v="Yes"/>
    <s v="No"/>
    <s v="No"/>
    <s v="Yes"/>
    <s v="Yes"/>
    <s v="No"/>
    <m/>
    <x v="1"/>
    <n v="1"/>
  </r>
  <r>
    <n v="1762"/>
    <d v="2024-08-10T00:00:00"/>
    <s v="Standard"/>
    <n v="399"/>
    <n v="13.7"/>
    <n v="3"/>
    <x v="4"/>
    <n v="33"/>
    <n v="51"/>
    <s v="Yes"/>
    <s v="No"/>
    <s v="Yes"/>
    <s v="No"/>
    <s v="Yes"/>
    <s v="No"/>
    <m/>
    <x v="0"/>
    <n v="1"/>
  </r>
  <r>
    <n v="1763"/>
    <d v="2023-07-10T00:00:00"/>
    <s v="Standard"/>
    <n v="399"/>
    <n v="19.100000000000001"/>
    <n v="6"/>
    <x v="3"/>
    <n v="14"/>
    <n v="47"/>
    <s v="Yes"/>
    <s v="No"/>
    <s v="Yes"/>
    <s v="Yes"/>
    <s v="Yes"/>
    <s v="No"/>
    <m/>
    <x v="0"/>
    <n v="1"/>
  </r>
  <r>
    <n v="1764"/>
    <d v="2023-01-06T00:00:00"/>
    <s v="Standard"/>
    <n v="399"/>
    <n v="17"/>
    <n v="6"/>
    <x v="0"/>
    <n v="33"/>
    <n v="43"/>
    <s v="Yes"/>
    <s v="No"/>
    <s v="Yes"/>
    <s v="Yes"/>
    <s v="Yes"/>
    <s v="No"/>
    <m/>
    <x v="0"/>
    <n v="1"/>
  </r>
  <r>
    <n v="1765"/>
    <d v="2024-04-18T00:00:00"/>
    <s v="Standard"/>
    <n v="399"/>
    <n v="1"/>
    <n v="6"/>
    <x v="4"/>
    <n v="14"/>
    <n v="8"/>
    <s v="Yes"/>
    <s v="Yes"/>
    <s v="Yes"/>
    <s v="Yes"/>
    <s v="No"/>
    <s v="No"/>
    <m/>
    <x v="0"/>
    <n v="1"/>
  </r>
  <r>
    <n v="1766"/>
    <d v="2023-03-07T00:00:00"/>
    <s v="Premium"/>
    <n v="699"/>
    <n v="2.9"/>
    <n v="3"/>
    <x v="1"/>
    <n v="21"/>
    <n v="45"/>
    <s v="Yes"/>
    <s v="Yes"/>
    <s v="No"/>
    <s v="No"/>
    <s v="Yes"/>
    <s v="No"/>
    <m/>
    <x v="1"/>
    <n v="1"/>
  </r>
  <r>
    <n v="1767"/>
    <d v="2023-12-03T00:00:00"/>
    <s v="Premium"/>
    <n v="699"/>
    <n v="18.3"/>
    <n v="7"/>
    <x v="5"/>
    <n v="19"/>
    <n v="26"/>
    <s v="Yes"/>
    <s v="No"/>
    <s v="Yes"/>
    <s v="Yes"/>
    <s v="Yes"/>
    <s v="No"/>
    <m/>
    <x v="0"/>
    <n v="1"/>
  </r>
  <r>
    <n v="1768"/>
    <d v="2023-12-21T00:00:00"/>
    <s v="Premium"/>
    <n v="699"/>
    <n v="12.2"/>
    <n v="8"/>
    <x v="1"/>
    <n v="25"/>
    <n v="21"/>
    <s v="Yes"/>
    <s v="No"/>
    <s v="No"/>
    <s v="Yes"/>
    <s v="Yes"/>
    <s v="No"/>
    <m/>
    <x v="1"/>
    <n v="1"/>
  </r>
  <r>
    <n v="1769"/>
    <d v="2024-11-20T00:00:00"/>
    <s v="Standard"/>
    <n v="399"/>
    <n v="11.8"/>
    <n v="7"/>
    <x v="0"/>
    <n v="10"/>
    <n v="34"/>
    <s v="No"/>
    <s v="No"/>
    <s v="Yes"/>
    <s v="Yes"/>
    <s v="Yes"/>
    <s v="No"/>
    <m/>
    <x v="0"/>
    <n v="0"/>
  </r>
  <r>
    <n v="1770"/>
    <d v="2023-12-20T00:00:00"/>
    <s v="Standard"/>
    <n v="399"/>
    <n v="10.4"/>
    <n v="1"/>
    <x v="4"/>
    <n v="17"/>
    <n v="31"/>
    <s v="Yes"/>
    <s v="No"/>
    <s v="Yes"/>
    <s v="No"/>
    <s v="Yes"/>
    <s v="No"/>
    <m/>
    <x v="0"/>
    <n v="1"/>
  </r>
  <r>
    <n v="1771"/>
    <d v="2023-11-19T00:00:00"/>
    <s v="Basic"/>
    <n v="199"/>
    <n v="18.8"/>
    <n v="8"/>
    <x v="3"/>
    <n v="14"/>
    <n v="19"/>
    <s v="Yes"/>
    <s v="No"/>
    <s v="Yes"/>
    <s v="Yes"/>
    <s v="Yes"/>
    <s v="No"/>
    <m/>
    <x v="0"/>
    <n v="1"/>
  </r>
  <r>
    <n v="1772"/>
    <d v="2024-03-01T00:00:00"/>
    <s v="Standard"/>
    <n v="399"/>
    <n v="1.2"/>
    <n v="2"/>
    <x v="5"/>
    <n v="30"/>
    <n v="22"/>
    <s v="Yes"/>
    <s v="Yes"/>
    <s v="Yes"/>
    <s v="No"/>
    <s v="Yes"/>
    <s v="No"/>
    <m/>
    <x v="0"/>
    <n v="1"/>
  </r>
  <r>
    <n v="1773"/>
    <d v="2023-05-15T00:00:00"/>
    <s v="Basic"/>
    <n v="199"/>
    <n v="14.1"/>
    <n v="7"/>
    <x v="0"/>
    <n v="19"/>
    <n v="24"/>
    <s v="No"/>
    <s v="No"/>
    <s v="Yes"/>
    <s v="Yes"/>
    <s v="Yes"/>
    <s v="No"/>
    <m/>
    <x v="0"/>
    <n v="0"/>
  </r>
  <r>
    <n v="1774"/>
    <d v="2023-07-02T00:00:00"/>
    <s v="Standard"/>
    <n v="399"/>
    <n v="2.9"/>
    <n v="3"/>
    <x v="0"/>
    <n v="8"/>
    <n v="7"/>
    <s v="No"/>
    <s v="Yes"/>
    <s v="Yes"/>
    <s v="No"/>
    <s v="No"/>
    <s v="No"/>
    <m/>
    <x v="0"/>
    <n v="0"/>
  </r>
  <r>
    <n v="1775"/>
    <d v="2023-10-13T00:00:00"/>
    <s v="Basic"/>
    <n v="199"/>
    <n v="14"/>
    <n v="5"/>
    <x v="0"/>
    <n v="26"/>
    <n v="26"/>
    <s v="No"/>
    <s v="No"/>
    <s v="Yes"/>
    <s v="Yes"/>
    <s v="Yes"/>
    <s v="No"/>
    <m/>
    <x v="0"/>
    <n v="0"/>
  </r>
  <r>
    <n v="1776"/>
    <d v="2023-08-19T00:00:00"/>
    <s v="Standard"/>
    <n v="399"/>
    <n v="15.9"/>
    <n v="5"/>
    <x v="5"/>
    <n v="24"/>
    <n v="34"/>
    <s v="Yes"/>
    <s v="No"/>
    <s v="Yes"/>
    <s v="Yes"/>
    <s v="Yes"/>
    <s v="No"/>
    <m/>
    <x v="0"/>
    <n v="1"/>
  </r>
  <r>
    <n v="1777"/>
    <d v="2023-07-01T00:00:00"/>
    <s v="Standard"/>
    <n v="399"/>
    <n v="19"/>
    <n v="4"/>
    <x v="2"/>
    <n v="32"/>
    <n v="10"/>
    <s v="No"/>
    <s v="No"/>
    <s v="Yes"/>
    <s v="No"/>
    <s v="No"/>
    <s v="No"/>
    <m/>
    <x v="0"/>
    <n v="0"/>
  </r>
  <r>
    <n v="1778"/>
    <d v="2023-04-11T00:00:00"/>
    <s v="Standard"/>
    <n v="399"/>
    <n v="0.6"/>
    <n v="5"/>
    <x v="2"/>
    <n v="19"/>
    <n v="41"/>
    <s v="Yes"/>
    <s v="Yes"/>
    <s v="Yes"/>
    <s v="Yes"/>
    <s v="Yes"/>
    <s v="No"/>
    <m/>
    <x v="0"/>
    <n v="1"/>
  </r>
  <r>
    <n v="1779"/>
    <d v="2023-08-18T00:00:00"/>
    <s v="Standard"/>
    <n v="399"/>
    <n v="24.4"/>
    <n v="6"/>
    <x v="0"/>
    <n v="27"/>
    <n v="40"/>
    <s v="Yes"/>
    <s v="No"/>
    <s v="Yes"/>
    <s v="Yes"/>
    <s v="Yes"/>
    <s v="No"/>
    <m/>
    <x v="0"/>
    <n v="1"/>
  </r>
  <r>
    <n v="1780"/>
    <d v="2023-06-20T00:00:00"/>
    <s v="Basic"/>
    <n v="199"/>
    <n v="25"/>
    <n v="6"/>
    <x v="1"/>
    <n v="33"/>
    <n v="20"/>
    <s v="No"/>
    <s v="No"/>
    <s v="No"/>
    <s v="Yes"/>
    <s v="Yes"/>
    <s v="No"/>
    <m/>
    <x v="1"/>
    <n v="0"/>
  </r>
  <r>
    <n v="1781"/>
    <d v="2024-10-31T00:00:00"/>
    <s v="Premium"/>
    <n v="699"/>
    <n v="17.3"/>
    <n v="5"/>
    <x v="1"/>
    <n v="31"/>
    <n v="47"/>
    <s v="No"/>
    <s v="No"/>
    <s v="No"/>
    <s v="Yes"/>
    <s v="Yes"/>
    <s v="No"/>
    <m/>
    <x v="1"/>
    <n v="0"/>
  </r>
  <r>
    <n v="1782"/>
    <d v="2023-09-03T00:00:00"/>
    <s v="Standard"/>
    <n v="399"/>
    <n v="13"/>
    <n v="3"/>
    <x v="0"/>
    <n v="36"/>
    <n v="29"/>
    <s v="No"/>
    <s v="No"/>
    <s v="Yes"/>
    <s v="No"/>
    <s v="Yes"/>
    <s v="No"/>
    <m/>
    <x v="0"/>
    <n v="0"/>
  </r>
  <r>
    <n v="1783"/>
    <d v="2023-02-01T00:00:00"/>
    <s v="Basic"/>
    <n v="199"/>
    <n v="23.5"/>
    <n v="3"/>
    <x v="3"/>
    <n v="31"/>
    <n v="8"/>
    <s v="Yes"/>
    <s v="No"/>
    <s v="Yes"/>
    <s v="No"/>
    <s v="No"/>
    <s v="No"/>
    <m/>
    <x v="0"/>
    <n v="1"/>
  </r>
  <r>
    <n v="1784"/>
    <d v="2024-04-17T00:00:00"/>
    <s v="Basic"/>
    <n v="199"/>
    <n v="11.8"/>
    <n v="7"/>
    <x v="0"/>
    <n v="30"/>
    <n v="50"/>
    <s v="Yes"/>
    <s v="No"/>
    <s v="Yes"/>
    <s v="Yes"/>
    <s v="Yes"/>
    <s v="No"/>
    <m/>
    <x v="0"/>
    <n v="1"/>
  </r>
  <r>
    <n v="1785"/>
    <d v="2023-03-13T00:00:00"/>
    <s v="Premium"/>
    <n v="699"/>
    <n v="20.2"/>
    <n v="5"/>
    <x v="0"/>
    <n v="8"/>
    <n v="15"/>
    <s v="No"/>
    <s v="No"/>
    <s v="Yes"/>
    <s v="Yes"/>
    <s v="Yes"/>
    <s v="No"/>
    <m/>
    <x v="0"/>
    <n v="0"/>
  </r>
  <r>
    <n v="1786"/>
    <d v="2023-03-14T00:00:00"/>
    <s v="Basic"/>
    <n v="199"/>
    <n v="17.2"/>
    <n v="6"/>
    <x v="5"/>
    <n v="3"/>
    <n v="30"/>
    <s v="No"/>
    <s v="No"/>
    <s v="Yes"/>
    <s v="Yes"/>
    <s v="Yes"/>
    <s v="Yes"/>
    <m/>
    <x v="0"/>
    <n v="0"/>
  </r>
  <r>
    <n v="1787"/>
    <d v="2024-10-24T00:00:00"/>
    <s v="Standard"/>
    <n v="399"/>
    <n v="22.1"/>
    <n v="8"/>
    <x v="1"/>
    <n v="17"/>
    <n v="45"/>
    <s v="No"/>
    <s v="No"/>
    <s v="No"/>
    <s v="Yes"/>
    <s v="Yes"/>
    <s v="No"/>
    <m/>
    <x v="1"/>
    <n v="0"/>
  </r>
  <r>
    <n v="1788"/>
    <d v="2023-02-10T00:00:00"/>
    <s v="Premium"/>
    <n v="699"/>
    <n v="11.2"/>
    <n v="0"/>
    <x v="3"/>
    <n v="2"/>
    <n v="51"/>
    <s v="Yes"/>
    <s v="No"/>
    <s v="Yes"/>
    <s v="No"/>
    <s v="Yes"/>
    <s v="Yes"/>
    <m/>
    <x v="0"/>
    <n v="1"/>
  </r>
  <r>
    <n v="1789"/>
    <d v="2023-05-08T00:00:00"/>
    <s v="Standard"/>
    <n v="399"/>
    <n v="18.100000000000001"/>
    <n v="8"/>
    <x v="4"/>
    <n v="26"/>
    <n v="41"/>
    <s v="Yes"/>
    <s v="No"/>
    <s v="Yes"/>
    <s v="Yes"/>
    <s v="Yes"/>
    <s v="No"/>
    <m/>
    <x v="0"/>
    <n v="1"/>
  </r>
  <r>
    <n v="1790"/>
    <d v="2024-11-03T00:00:00"/>
    <s v="Basic"/>
    <n v="199"/>
    <n v="21.3"/>
    <n v="1"/>
    <x v="4"/>
    <n v="10"/>
    <n v="10"/>
    <s v="No"/>
    <s v="No"/>
    <s v="Yes"/>
    <s v="No"/>
    <s v="No"/>
    <s v="No"/>
    <m/>
    <x v="0"/>
    <n v="0"/>
  </r>
  <r>
    <n v="1791"/>
    <d v="2024-10-19T00:00:00"/>
    <s v="Standard"/>
    <n v="399"/>
    <n v="22.9"/>
    <n v="7"/>
    <x v="0"/>
    <n v="10"/>
    <n v="16"/>
    <s v="Yes"/>
    <s v="No"/>
    <s v="Yes"/>
    <s v="Yes"/>
    <s v="Yes"/>
    <s v="No"/>
    <m/>
    <x v="0"/>
    <n v="1"/>
  </r>
  <r>
    <n v="1792"/>
    <d v="2023-10-30T00:00:00"/>
    <s v="Premium"/>
    <n v="699"/>
    <n v="11.7"/>
    <n v="7"/>
    <x v="0"/>
    <n v="5"/>
    <n v="48"/>
    <s v="Yes"/>
    <s v="No"/>
    <s v="Yes"/>
    <s v="Yes"/>
    <s v="Yes"/>
    <s v="Yes"/>
    <m/>
    <x v="0"/>
    <n v="1"/>
  </r>
  <r>
    <n v="1793"/>
    <d v="2024-08-31T00:00:00"/>
    <s v="Premium"/>
    <n v="699"/>
    <n v="8.6"/>
    <n v="7"/>
    <x v="4"/>
    <n v="29"/>
    <n v="16"/>
    <s v="No"/>
    <s v="No"/>
    <s v="Yes"/>
    <s v="Yes"/>
    <s v="Yes"/>
    <s v="No"/>
    <m/>
    <x v="0"/>
    <n v="0"/>
  </r>
  <r>
    <n v="1794"/>
    <d v="2024-07-31T00:00:00"/>
    <s v="Basic"/>
    <n v="199"/>
    <n v="4.0999999999999996"/>
    <n v="4"/>
    <x v="1"/>
    <n v="9"/>
    <n v="14"/>
    <s v="No"/>
    <s v="Yes"/>
    <s v="No"/>
    <s v="No"/>
    <s v="No"/>
    <s v="No"/>
    <m/>
    <x v="1"/>
    <n v="0"/>
  </r>
  <r>
    <n v="1795"/>
    <d v="2024-12-31T00:00:00"/>
    <s v="Standard"/>
    <n v="399"/>
    <n v="8"/>
    <n v="2"/>
    <x v="5"/>
    <n v="19"/>
    <n v="40"/>
    <s v="Yes"/>
    <s v="No"/>
    <s v="Yes"/>
    <s v="No"/>
    <s v="Yes"/>
    <s v="No"/>
    <m/>
    <x v="0"/>
    <n v="1"/>
  </r>
  <r>
    <n v="1796"/>
    <d v="2024-01-29T00:00:00"/>
    <s v="Standard"/>
    <n v="399"/>
    <n v="4.3"/>
    <n v="2"/>
    <x v="0"/>
    <n v="19"/>
    <n v="38"/>
    <s v="Yes"/>
    <s v="Yes"/>
    <s v="Yes"/>
    <s v="No"/>
    <s v="Yes"/>
    <s v="No"/>
    <m/>
    <x v="0"/>
    <n v="1"/>
  </r>
  <r>
    <n v="1797"/>
    <d v="2023-01-13T00:00:00"/>
    <s v="Standard"/>
    <n v="399"/>
    <n v="1.2"/>
    <n v="3"/>
    <x v="5"/>
    <n v="15"/>
    <n v="19"/>
    <s v="Yes"/>
    <s v="Yes"/>
    <s v="Yes"/>
    <s v="No"/>
    <s v="Yes"/>
    <s v="No"/>
    <m/>
    <x v="0"/>
    <n v="1"/>
  </r>
  <r>
    <n v="1798"/>
    <d v="2023-06-24T00:00:00"/>
    <s v="Standard"/>
    <n v="399"/>
    <n v="18.2"/>
    <n v="8"/>
    <x v="2"/>
    <n v="24"/>
    <n v="30"/>
    <s v="Yes"/>
    <s v="No"/>
    <s v="Yes"/>
    <s v="Yes"/>
    <s v="Yes"/>
    <s v="No"/>
    <m/>
    <x v="0"/>
    <n v="1"/>
  </r>
  <r>
    <n v="1799"/>
    <d v="2024-05-11T00:00:00"/>
    <s v="Standard"/>
    <n v="399"/>
    <n v="14.9"/>
    <n v="8"/>
    <x v="3"/>
    <n v="10"/>
    <n v="33"/>
    <s v="Yes"/>
    <s v="No"/>
    <s v="Yes"/>
    <s v="Yes"/>
    <s v="Yes"/>
    <s v="No"/>
    <m/>
    <x v="0"/>
    <n v="1"/>
  </r>
  <r>
    <n v="1800"/>
    <d v="2023-01-15T00:00:00"/>
    <s v="Premium"/>
    <n v="699"/>
    <n v="21.8"/>
    <n v="7"/>
    <x v="0"/>
    <n v="11"/>
    <n v="30"/>
    <s v="No"/>
    <s v="No"/>
    <s v="Yes"/>
    <s v="Yes"/>
    <s v="Yes"/>
    <s v="No"/>
    <m/>
    <x v="0"/>
    <n v="0"/>
  </r>
  <r>
    <n v="1801"/>
    <d v="2024-09-15T00:00:00"/>
    <s v="Premium"/>
    <n v="699"/>
    <n v="8.9"/>
    <n v="4"/>
    <x v="0"/>
    <n v="5"/>
    <n v="14"/>
    <s v="Yes"/>
    <s v="No"/>
    <s v="Yes"/>
    <s v="No"/>
    <s v="No"/>
    <s v="Yes"/>
    <m/>
    <x v="0"/>
    <n v="1"/>
  </r>
  <r>
    <n v="1802"/>
    <d v="2024-10-15T00:00:00"/>
    <s v="Premium"/>
    <n v="699"/>
    <n v="16.399999999999999"/>
    <n v="5"/>
    <x v="2"/>
    <n v="8"/>
    <n v="29"/>
    <s v="Yes"/>
    <s v="No"/>
    <s v="Yes"/>
    <s v="Yes"/>
    <s v="Yes"/>
    <s v="No"/>
    <m/>
    <x v="0"/>
    <n v="1"/>
  </r>
  <r>
    <n v="1803"/>
    <d v="2024-10-03T00:00:00"/>
    <s v="Basic"/>
    <n v="199"/>
    <n v="22.5"/>
    <n v="3"/>
    <x v="3"/>
    <n v="34"/>
    <n v="42"/>
    <s v="Yes"/>
    <s v="No"/>
    <s v="Yes"/>
    <s v="No"/>
    <s v="Yes"/>
    <s v="No"/>
    <m/>
    <x v="0"/>
    <n v="1"/>
  </r>
  <r>
    <n v="1804"/>
    <d v="2024-07-04T00:00:00"/>
    <s v="Basic"/>
    <n v="199"/>
    <n v="12.9"/>
    <n v="4"/>
    <x v="5"/>
    <n v="22"/>
    <n v="34"/>
    <s v="No"/>
    <s v="No"/>
    <s v="Yes"/>
    <s v="No"/>
    <s v="Yes"/>
    <s v="No"/>
    <m/>
    <x v="0"/>
    <n v="0"/>
  </r>
  <r>
    <n v="1805"/>
    <d v="2023-07-07T00:00:00"/>
    <s v="Basic"/>
    <n v="199"/>
    <n v="11.4"/>
    <n v="8"/>
    <x v="0"/>
    <n v="4"/>
    <n v="15"/>
    <s v="No"/>
    <s v="No"/>
    <s v="Yes"/>
    <s v="Yes"/>
    <s v="Yes"/>
    <s v="Yes"/>
    <m/>
    <x v="0"/>
    <n v="0"/>
  </r>
  <r>
    <n v="1806"/>
    <d v="2023-09-30T00:00:00"/>
    <s v="Premium"/>
    <n v="699"/>
    <n v="6.1"/>
    <n v="7"/>
    <x v="0"/>
    <n v="16"/>
    <n v="2"/>
    <s v="No"/>
    <s v="No"/>
    <s v="Yes"/>
    <s v="Yes"/>
    <s v="No"/>
    <s v="No"/>
    <m/>
    <x v="0"/>
    <n v="0"/>
  </r>
  <r>
    <n v="1807"/>
    <d v="2023-05-16T00:00:00"/>
    <s v="Premium"/>
    <n v="699"/>
    <n v="2.7"/>
    <n v="3"/>
    <x v="4"/>
    <n v="18"/>
    <n v="53"/>
    <s v="No"/>
    <s v="Yes"/>
    <s v="Yes"/>
    <s v="No"/>
    <s v="Yes"/>
    <s v="No"/>
    <m/>
    <x v="0"/>
    <n v="0"/>
  </r>
  <r>
    <n v="1808"/>
    <d v="2024-05-03T00:00:00"/>
    <s v="Premium"/>
    <n v="699"/>
    <n v="2"/>
    <n v="3"/>
    <x v="0"/>
    <n v="20"/>
    <n v="37"/>
    <s v="No"/>
    <s v="Yes"/>
    <s v="Yes"/>
    <s v="No"/>
    <s v="Yes"/>
    <s v="No"/>
    <m/>
    <x v="0"/>
    <n v="0"/>
  </r>
  <r>
    <n v="1809"/>
    <d v="2023-07-21T00:00:00"/>
    <s v="Standard"/>
    <n v="399"/>
    <n v="13.7"/>
    <n v="0"/>
    <x v="3"/>
    <n v="7"/>
    <n v="50"/>
    <s v="No"/>
    <s v="No"/>
    <s v="Yes"/>
    <s v="No"/>
    <s v="Yes"/>
    <s v="No"/>
    <m/>
    <x v="0"/>
    <n v="0"/>
  </r>
  <r>
    <n v="1810"/>
    <d v="2023-08-09T00:00:00"/>
    <s v="Standard"/>
    <n v="399"/>
    <n v="11.3"/>
    <n v="7"/>
    <x v="0"/>
    <n v="8"/>
    <n v="6"/>
    <s v="No"/>
    <s v="No"/>
    <s v="Yes"/>
    <s v="Yes"/>
    <s v="No"/>
    <s v="No"/>
    <m/>
    <x v="0"/>
    <n v="0"/>
  </r>
  <r>
    <n v="1811"/>
    <d v="2023-04-25T00:00:00"/>
    <s v="Premium"/>
    <n v="699"/>
    <n v="7.8"/>
    <n v="0"/>
    <x v="5"/>
    <n v="32"/>
    <n v="27"/>
    <s v="No"/>
    <s v="No"/>
    <s v="Yes"/>
    <s v="No"/>
    <s v="Yes"/>
    <s v="No"/>
    <m/>
    <x v="0"/>
    <n v="0"/>
  </r>
  <r>
    <n v="1812"/>
    <d v="2024-04-12T00:00:00"/>
    <s v="Premium"/>
    <n v="699"/>
    <n v="19.5"/>
    <n v="3"/>
    <x v="5"/>
    <n v="29"/>
    <n v="51"/>
    <s v="No"/>
    <s v="No"/>
    <s v="Yes"/>
    <s v="No"/>
    <s v="Yes"/>
    <s v="No"/>
    <m/>
    <x v="0"/>
    <n v="0"/>
  </r>
  <r>
    <n v="1813"/>
    <d v="2024-06-03T00:00:00"/>
    <s v="Basic"/>
    <n v="199"/>
    <n v="19"/>
    <n v="4"/>
    <x v="2"/>
    <n v="17"/>
    <n v="40"/>
    <s v="Yes"/>
    <s v="No"/>
    <s v="Yes"/>
    <s v="No"/>
    <s v="Yes"/>
    <s v="No"/>
    <m/>
    <x v="0"/>
    <n v="1"/>
  </r>
  <r>
    <n v="1814"/>
    <d v="2023-12-16T00:00:00"/>
    <s v="Standard"/>
    <n v="399"/>
    <n v="7.5"/>
    <n v="4"/>
    <x v="3"/>
    <n v="33"/>
    <n v="55"/>
    <s v="Yes"/>
    <s v="No"/>
    <s v="Yes"/>
    <s v="No"/>
    <s v="Yes"/>
    <s v="No"/>
    <m/>
    <x v="0"/>
    <n v="1"/>
  </r>
  <r>
    <n v="1815"/>
    <d v="2024-05-14T00:00:00"/>
    <s v="Standard"/>
    <n v="399"/>
    <n v="12.8"/>
    <n v="7"/>
    <x v="1"/>
    <n v="36"/>
    <n v="48"/>
    <s v="No"/>
    <s v="No"/>
    <s v="No"/>
    <s v="Yes"/>
    <s v="Yes"/>
    <s v="No"/>
    <m/>
    <x v="1"/>
    <n v="0"/>
  </r>
  <r>
    <n v="1816"/>
    <d v="2023-03-09T00:00:00"/>
    <s v="Basic"/>
    <n v="199"/>
    <n v="22.4"/>
    <n v="8"/>
    <x v="2"/>
    <n v="21"/>
    <n v="31"/>
    <s v="Yes"/>
    <s v="No"/>
    <s v="Yes"/>
    <s v="Yes"/>
    <s v="Yes"/>
    <s v="No"/>
    <m/>
    <x v="0"/>
    <n v="1"/>
  </r>
  <r>
    <n v="1817"/>
    <d v="2023-07-07T00:00:00"/>
    <s v="Standard"/>
    <n v="399"/>
    <n v="2.8"/>
    <n v="7"/>
    <x v="3"/>
    <n v="20"/>
    <n v="40"/>
    <s v="Yes"/>
    <s v="Yes"/>
    <s v="Yes"/>
    <s v="Yes"/>
    <s v="Yes"/>
    <s v="No"/>
    <m/>
    <x v="0"/>
    <n v="1"/>
  </r>
  <r>
    <n v="1818"/>
    <d v="2024-06-27T00:00:00"/>
    <s v="Basic"/>
    <n v="199"/>
    <n v="19.2"/>
    <n v="3"/>
    <x v="3"/>
    <n v="7"/>
    <n v="32"/>
    <s v="Yes"/>
    <s v="No"/>
    <s v="Yes"/>
    <s v="No"/>
    <s v="Yes"/>
    <s v="No"/>
    <m/>
    <x v="0"/>
    <n v="1"/>
  </r>
  <r>
    <n v="1819"/>
    <d v="2023-06-10T00:00:00"/>
    <s v="Standard"/>
    <n v="399"/>
    <n v="17.3"/>
    <n v="3"/>
    <x v="5"/>
    <n v="7"/>
    <n v="43"/>
    <s v="Yes"/>
    <s v="No"/>
    <s v="Yes"/>
    <s v="No"/>
    <s v="Yes"/>
    <s v="No"/>
    <m/>
    <x v="0"/>
    <n v="1"/>
  </r>
  <r>
    <n v="1820"/>
    <d v="2024-06-12T00:00:00"/>
    <s v="Basic"/>
    <n v="199"/>
    <n v="19.8"/>
    <n v="2"/>
    <x v="5"/>
    <n v="26"/>
    <n v="42"/>
    <s v="Yes"/>
    <s v="No"/>
    <s v="Yes"/>
    <s v="No"/>
    <s v="Yes"/>
    <s v="No"/>
    <m/>
    <x v="0"/>
    <n v="1"/>
  </r>
  <r>
    <n v="1821"/>
    <d v="2023-11-07T00:00:00"/>
    <s v="Standard"/>
    <n v="399"/>
    <n v="19.600000000000001"/>
    <n v="4"/>
    <x v="0"/>
    <n v="27"/>
    <n v="59"/>
    <s v="Yes"/>
    <s v="No"/>
    <s v="Yes"/>
    <s v="No"/>
    <s v="Yes"/>
    <s v="No"/>
    <m/>
    <x v="0"/>
    <n v="1"/>
  </r>
  <r>
    <n v="1822"/>
    <d v="2024-03-11T00:00:00"/>
    <s v="Standard"/>
    <n v="399"/>
    <n v="8"/>
    <n v="5"/>
    <x v="4"/>
    <n v="10"/>
    <n v="20"/>
    <s v="Yes"/>
    <s v="No"/>
    <s v="Yes"/>
    <s v="Yes"/>
    <s v="Yes"/>
    <s v="No"/>
    <m/>
    <x v="0"/>
    <n v="1"/>
  </r>
  <r>
    <n v="1823"/>
    <d v="2023-12-29T00:00:00"/>
    <s v="Premium"/>
    <n v="699"/>
    <n v="19.2"/>
    <n v="0"/>
    <x v="2"/>
    <n v="26"/>
    <n v="3"/>
    <s v="No"/>
    <s v="No"/>
    <s v="Yes"/>
    <s v="No"/>
    <s v="No"/>
    <s v="No"/>
    <m/>
    <x v="0"/>
    <n v="0"/>
  </r>
  <r>
    <n v="1824"/>
    <d v="2023-08-02T00:00:00"/>
    <s v="Premium"/>
    <n v="699"/>
    <n v="24.4"/>
    <n v="4"/>
    <x v="1"/>
    <n v="9"/>
    <n v="52"/>
    <s v="No"/>
    <s v="No"/>
    <s v="No"/>
    <s v="No"/>
    <s v="Yes"/>
    <s v="No"/>
    <m/>
    <x v="1"/>
    <n v="0"/>
  </r>
  <r>
    <n v="1825"/>
    <d v="2024-01-27T00:00:00"/>
    <s v="Premium"/>
    <n v="699"/>
    <n v="7.7"/>
    <n v="5"/>
    <x v="1"/>
    <n v="17"/>
    <n v="20"/>
    <s v="No"/>
    <s v="No"/>
    <s v="No"/>
    <s v="Yes"/>
    <s v="Yes"/>
    <s v="No"/>
    <m/>
    <x v="1"/>
    <n v="0"/>
  </r>
  <r>
    <n v="1826"/>
    <d v="2023-10-08T00:00:00"/>
    <s v="Standard"/>
    <n v="399"/>
    <n v="14.2"/>
    <n v="3"/>
    <x v="0"/>
    <n v="36"/>
    <n v="39"/>
    <s v="No"/>
    <s v="No"/>
    <s v="Yes"/>
    <s v="No"/>
    <s v="Yes"/>
    <s v="No"/>
    <m/>
    <x v="0"/>
    <n v="0"/>
  </r>
  <r>
    <n v="1827"/>
    <d v="2024-08-30T00:00:00"/>
    <s v="Basic"/>
    <n v="199"/>
    <n v="6.5"/>
    <n v="5"/>
    <x v="4"/>
    <n v="5"/>
    <n v="30"/>
    <s v="No"/>
    <s v="No"/>
    <s v="Yes"/>
    <s v="Yes"/>
    <s v="Yes"/>
    <s v="Yes"/>
    <m/>
    <x v="0"/>
    <n v="0"/>
  </r>
  <r>
    <n v="1828"/>
    <d v="2023-09-13T00:00:00"/>
    <s v="Standard"/>
    <n v="399"/>
    <n v="19.600000000000001"/>
    <n v="6"/>
    <x v="4"/>
    <n v="3"/>
    <n v="58"/>
    <s v="Yes"/>
    <s v="No"/>
    <s v="Yes"/>
    <s v="Yes"/>
    <s v="Yes"/>
    <s v="Yes"/>
    <m/>
    <x v="0"/>
    <n v="1"/>
  </r>
  <r>
    <n v="1829"/>
    <d v="2024-01-14T00:00:00"/>
    <s v="Standard"/>
    <n v="399"/>
    <n v="2"/>
    <n v="0"/>
    <x v="4"/>
    <n v="25"/>
    <n v="21"/>
    <s v="Yes"/>
    <s v="Yes"/>
    <s v="Yes"/>
    <s v="No"/>
    <s v="Yes"/>
    <s v="No"/>
    <m/>
    <x v="0"/>
    <n v="1"/>
  </r>
  <r>
    <n v="1830"/>
    <d v="2024-02-28T00:00:00"/>
    <s v="Standard"/>
    <n v="399"/>
    <n v="3.2"/>
    <n v="2"/>
    <x v="4"/>
    <n v="19"/>
    <n v="4"/>
    <s v="Yes"/>
    <s v="Yes"/>
    <s v="Yes"/>
    <s v="No"/>
    <s v="No"/>
    <s v="No"/>
    <m/>
    <x v="0"/>
    <n v="1"/>
  </r>
  <r>
    <n v="1831"/>
    <d v="2023-12-02T00:00:00"/>
    <s v="Basic"/>
    <n v="199"/>
    <n v="15"/>
    <n v="3"/>
    <x v="5"/>
    <n v="10"/>
    <n v="5"/>
    <s v="No"/>
    <s v="No"/>
    <s v="Yes"/>
    <s v="No"/>
    <s v="No"/>
    <s v="No"/>
    <m/>
    <x v="0"/>
    <n v="0"/>
  </r>
  <r>
    <n v="1832"/>
    <d v="2024-12-07T00:00:00"/>
    <s v="Premium"/>
    <n v="699"/>
    <n v="19.2"/>
    <n v="4"/>
    <x v="5"/>
    <n v="35"/>
    <n v="33"/>
    <s v="No"/>
    <s v="No"/>
    <s v="Yes"/>
    <s v="No"/>
    <s v="Yes"/>
    <s v="No"/>
    <m/>
    <x v="0"/>
    <n v="0"/>
  </r>
  <r>
    <n v="1833"/>
    <d v="2024-01-05T00:00:00"/>
    <s v="Basic"/>
    <n v="199"/>
    <n v="19.399999999999999"/>
    <n v="1"/>
    <x v="4"/>
    <n v="9"/>
    <n v="45"/>
    <s v="No"/>
    <s v="No"/>
    <s v="Yes"/>
    <s v="No"/>
    <s v="Yes"/>
    <s v="No"/>
    <m/>
    <x v="0"/>
    <n v="0"/>
  </r>
  <r>
    <n v="1834"/>
    <d v="2023-07-23T00:00:00"/>
    <s v="Standard"/>
    <n v="399"/>
    <n v="5"/>
    <n v="7"/>
    <x v="0"/>
    <n v="14"/>
    <n v="29"/>
    <s v="Yes"/>
    <s v="No"/>
    <s v="Yes"/>
    <s v="Yes"/>
    <s v="Yes"/>
    <s v="No"/>
    <m/>
    <x v="0"/>
    <n v="1"/>
  </r>
  <r>
    <n v="1835"/>
    <d v="2024-03-13T00:00:00"/>
    <s v="Premium"/>
    <n v="699"/>
    <n v="6.8"/>
    <n v="0"/>
    <x v="0"/>
    <n v="17"/>
    <n v="7"/>
    <s v="No"/>
    <s v="No"/>
    <s v="Yes"/>
    <s v="No"/>
    <s v="No"/>
    <s v="No"/>
    <m/>
    <x v="0"/>
    <n v="0"/>
  </r>
  <r>
    <n v="1836"/>
    <d v="2024-01-18T00:00:00"/>
    <s v="Standard"/>
    <n v="399"/>
    <n v="20.100000000000001"/>
    <n v="8"/>
    <x v="1"/>
    <n v="32"/>
    <n v="58"/>
    <s v="No"/>
    <s v="No"/>
    <s v="No"/>
    <s v="Yes"/>
    <s v="Yes"/>
    <s v="No"/>
    <m/>
    <x v="1"/>
    <n v="0"/>
  </r>
  <r>
    <n v="1837"/>
    <d v="2023-10-17T00:00:00"/>
    <s v="Basic"/>
    <n v="199"/>
    <n v="24.9"/>
    <n v="8"/>
    <x v="3"/>
    <n v="28"/>
    <n v="50"/>
    <s v="Yes"/>
    <s v="No"/>
    <s v="Yes"/>
    <s v="Yes"/>
    <s v="Yes"/>
    <s v="No"/>
    <m/>
    <x v="0"/>
    <n v="1"/>
  </r>
  <r>
    <n v="1838"/>
    <d v="2023-04-26T00:00:00"/>
    <s v="Premium"/>
    <n v="699"/>
    <n v="16"/>
    <n v="1"/>
    <x v="5"/>
    <n v="22"/>
    <n v="5"/>
    <s v="No"/>
    <s v="No"/>
    <s v="Yes"/>
    <s v="No"/>
    <s v="No"/>
    <s v="No"/>
    <m/>
    <x v="0"/>
    <n v="0"/>
  </r>
  <r>
    <n v="1839"/>
    <d v="2024-10-27T00:00:00"/>
    <s v="Premium"/>
    <n v="699"/>
    <n v="20.100000000000001"/>
    <n v="1"/>
    <x v="5"/>
    <n v="11"/>
    <n v="59"/>
    <s v="Yes"/>
    <s v="No"/>
    <s v="Yes"/>
    <s v="No"/>
    <s v="Yes"/>
    <s v="No"/>
    <m/>
    <x v="0"/>
    <n v="1"/>
  </r>
  <r>
    <n v="1840"/>
    <d v="2023-06-05T00:00:00"/>
    <s v="Basic"/>
    <n v="199"/>
    <n v="19.3"/>
    <n v="6"/>
    <x v="3"/>
    <n v="5"/>
    <n v="29"/>
    <s v="Yes"/>
    <s v="No"/>
    <s v="Yes"/>
    <s v="Yes"/>
    <s v="Yes"/>
    <s v="Yes"/>
    <m/>
    <x v="0"/>
    <n v="1"/>
  </r>
  <r>
    <n v="1841"/>
    <d v="2024-03-18T00:00:00"/>
    <s v="Premium"/>
    <n v="699"/>
    <n v="2.2999999999999998"/>
    <n v="5"/>
    <x v="2"/>
    <n v="22"/>
    <n v="33"/>
    <s v="Yes"/>
    <s v="Yes"/>
    <s v="Yes"/>
    <s v="Yes"/>
    <s v="Yes"/>
    <s v="No"/>
    <m/>
    <x v="0"/>
    <n v="1"/>
  </r>
  <r>
    <n v="1842"/>
    <d v="2023-01-09T00:00:00"/>
    <s v="Basic"/>
    <n v="199"/>
    <n v="14.6"/>
    <n v="0"/>
    <x v="5"/>
    <n v="26"/>
    <n v="53"/>
    <s v="Yes"/>
    <s v="No"/>
    <s v="Yes"/>
    <s v="No"/>
    <s v="Yes"/>
    <s v="No"/>
    <m/>
    <x v="0"/>
    <n v="1"/>
  </r>
  <r>
    <n v="1843"/>
    <d v="2023-12-01T00:00:00"/>
    <s v="Basic"/>
    <n v="199"/>
    <n v="11"/>
    <n v="4"/>
    <x v="0"/>
    <n v="21"/>
    <n v="37"/>
    <s v="No"/>
    <s v="No"/>
    <s v="Yes"/>
    <s v="No"/>
    <s v="Yes"/>
    <s v="No"/>
    <m/>
    <x v="0"/>
    <n v="0"/>
  </r>
  <r>
    <n v="1844"/>
    <d v="2024-08-13T00:00:00"/>
    <s v="Premium"/>
    <n v="699"/>
    <n v="16.5"/>
    <n v="3"/>
    <x v="5"/>
    <n v="30"/>
    <n v="59"/>
    <s v="Yes"/>
    <s v="No"/>
    <s v="Yes"/>
    <s v="No"/>
    <s v="Yes"/>
    <s v="No"/>
    <m/>
    <x v="0"/>
    <n v="1"/>
  </r>
  <r>
    <n v="1845"/>
    <d v="2024-06-30T00:00:00"/>
    <s v="Basic"/>
    <n v="199"/>
    <n v="19.399999999999999"/>
    <n v="3"/>
    <x v="3"/>
    <n v="13"/>
    <n v="11"/>
    <s v="Yes"/>
    <s v="No"/>
    <s v="Yes"/>
    <s v="No"/>
    <s v="No"/>
    <s v="No"/>
    <m/>
    <x v="0"/>
    <n v="1"/>
  </r>
  <r>
    <n v="1846"/>
    <d v="2023-11-19T00:00:00"/>
    <s v="Premium"/>
    <n v="699"/>
    <n v="19.600000000000001"/>
    <n v="8"/>
    <x v="3"/>
    <n v="3"/>
    <n v="4"/>
    <s v="Yes"/>
    <s v="No"/>
    <s v="Yes"/>
    <s v="Yes"/>
    <s v="No"/>
    <s v="Yes"/>
    <m/>
    <x v="0"/>
    <n v="1"/>
  </r>
  <r>
    <n v="1847"/>
    <d v="2023-08-11T00:00:00"/>
    <s v="Basic"/>
    <n v="199"/>
    <n v="5.4"/>
    <n v="2"/>
    <x v="2"/>
    <n v="14"/>
    <n v="17"/>
    <s v="Yes"/>
    <s v="No"/>
    <s v="Yes"/>
    <s v="No"/>
    <s v="Yes"/>
    <s v="No"/>
    <m/>
    <x v="0"/>
    <n v="1"/>
  </r>
  <r>
    <n v="1848"/>
    <d v="2023-01-27T00:00:00"/>
    <s v="Standard"/>
    <n v="399"/>
    <n v="3.9"/>
    <n v="7"/>
    <x v="1"/>
    <n v="2"/>
    <n v="53"/>
    <s v="No"/>
    <s v="Yes"/>
    <s v="No"/>
    <s v="Yes"/>
    <s v="Yes"/>
    <s v="Yes"/>
    <m/>
    <x v="1"/>
    <n v="0"/>
  </r>
  <r>
    <n v="1849"/>
    <d v="2024-01-25T00:00:00"/>
    <s v="Standard"/>
    <n v="399"/>
    <n v="9.8000000000000007"/>
    <n v="7"/>
    <x v="2"/>
    <n v="14"/>
    <n v="25"/>
    <s v="Yes"/>
    <s v="No"/>
    <s v="Yes"/>
    <s v="Yes"/>
    <s v="Yes"/>
    <s v="No"/>
    <m/>
    <x v="0"/>
    <n v="1"/>
  </r>
  <r>
    <n v="1850"/>
    <d v="2024-06-12T00:00:00"/>
    <s v="Premium"/>
    <n v="699"/>
    <n v="2.8"/>
    <n v="2"/>
    <x v="5"/>
    <n v="8"/>
    <n v="58"/>
    <s v="Yes"/>
    <s v="Yes"/>
    <s v="Yes"/>
    <s v="No"/>
    <s v="Yes"/>
    <s v="No"/>
    <m/>
    <x v="0"/>
    <n v="1"/>
  </r>
  <r>
    <n v="1851"/>
    <d v="2023-11-21T00:00:00"/>
    <s v="Basic"/>
    <n v="199"/>
    <n v="19"/>
    <n v="1"/>
    <x v="2"/>
    <n v="11"/>
    <n v="47"/>
    <s v="No"/>
    <s v="No"/>
    <s v="Yes"/>
    <s v="No"/>
    <s v="Yes"/>
    <s v="No"/>
    <m/>
    <x v="0"/>
    <n v="0"/>
  </r>
  <r>
    <n v="1852"/>
    <d v="2024-06-04T00:00:00"/>
    <s v="Standard"/>
    <n v="399"/>
    <n v="5.7"/>
    <n v="1"/>
    <x v="5"/>
    <n v="13"/>
    <n v="23"/>
    <s v="Yes"/>
    <s v="No"/>
    <s v="Yes"/>
    <s v="No"/>
    <s v="Yes"/>
    <s v="No"/>
    <m/>
    <x v="0"/>
    <n v="1"/>
  </r>
  <r>
    <n v="1853"/>
    <d v="2023-04-13T00:00:00"/>
    <s v="Basic"/>
    <n v="199"/>
    <n v="0.9"/>
    <n v="6"/>
    <x v="2"/>
    <n v="30"/>
    <n v="25"/>
    <s v="Yes"/>
    <s v="Yes"/>
    <s v="Yes"/>
    <s v="Yes"/>
    <s v="Yes"/>
    <s v="No"/>
    <m/>
    <x v="0"/>
    <n v="1"/>
  </r>
  <r>
    <n v="1854"/>
    <d v="2023-11-04T00:00:00"/>
    <s v="Standard"/>
    <n v="399"/>
    <n v="23.7"/>
    <n v="1"/>
    <x v="2"/>
    <n v="24"/>
    <n v="60"/>
    <s v="No"/>
    <s v="No"/>
    <s v="Yes"/>
    <s v="No"/>
    <s v="Yes"/>
    <s v="No"/>
    <m/>
    <x v="0"/>
    <n v="0"/>
  </r>
  <r>
    <n v="1855"/>
    <d v="2023-10-09T00:00:00"/>
    <s v="Basic"/>
    <n v="199"/>
    <n v="16.399999999999999"/>
    <n v="6"/>
    <x v="2"/>
    <n v="6"/>
    <n v="1"/>
    <s v="No"/>
    <s v="No"/>
    <s v="Yes"/>
    <s v="Yes"/>
    <s v="No"/>
    <s v="No"/>
    <m/>
    <x v="0"/>
    <n v="0"/>
  </r>
  <r>
    <n v="1856"/>
    <d v="2024-06-15T00:00:00"/>
    <s v="Premium"/>
    <n v="699"/>
    <n v="1.6"/>
    <n v="3"/>
    <x v="0"/>
    <n v="21"/>
    <n v="36"/>
    <s v="Yes"/>
    <s v="Yes"/>
    <s v="Yes"/>
    <s v="No"/>
    <s v="Yes"/>
    <s v="No"/>
    <m/>
    <x v="0"/>
    <n v="1"/>
  </r>
  <r>
    <n v="1857"/>
    <d v="2024-11-07T00:00:00"/>
    <s v="Basic"/>
    <n v="199"/>
    <n v="17.5"/>
    <n v="0"/>
    <x v="1"/>
    <n v="9"/>
    <n v="38"/>
    <s v="No"/>
    <s v="No"/>
    <s v="No"/>
    <s v="No"/>
    <s v="Yes"/>
    <s v="No"/>
    <m/>
    <x v="1"/>
    <n v="0"/>
  </r>
  <r>
    <n v="1858"/>
    <d v="2024-06-15T00:00:00"/>
    <s v="Standard"/>
    <n v="399"/>
    <n v="15.6"/>
    <n v="2"/>
    <x v="2"/>
    <n v="24"/>
    <n v="11"/>
    <s v="Yes"/>
    <s v="No"/>
    <s v="Yes"/>
    <s v="No"/>
    <s v="No"/>
    <s v="No"/>
    <m/>
    <x v="0"/>
    <n v="1"/>
  </r>
  <r>
    <n v="1859"/>
    <d v="2023-11-10T00:00:00"/>
    <s v="Basic"/>
    <n v="199"/>
    <n v="9.4"/>
    <n v="1"/>
    <x v="0"/>
    <n v="12"/>
    <n v="1"/>
    <s v="No"/>
    <s v="No"/>
    <s v="Yes"/>
    <s v="No"/>
    <s v="No"/>
    <s v="No"/>
    <m/>
    <x v="0"/>
    <n v="0"/>
  </r>
  <r>
    <n v="1860"/>
    <d v="2023-01-27T00:00:00"/>
    <s v="Standard"/>
    <n v="399"/>
    <n v="22.8"/>
    <n v="4"/>
    <x v="5"/>
    <n v="24"/>
    <n v="20"/>
    <s v="Yes"/>
    <s v="No"/>
    <s v="Yes"/>
    <s v="No"/>
    <s v="Yes"/>
    <s v="No"/>
    <m/>
    <x v="0"/>
    <n v="1"/>
  </r>
  <r>
    <n v="1861"/>
    <d v="2024-02-22T00:00:00"/>
    <s v="Standard"/>
    <n v="399"/>
    <n v="22.3"/>
    <n v="0"/>
    <x v="4"/>
    <n v="2"/>
    <n v="55"/>
    <s v="Yes"/>
    <s v="No"/>
    <s v="Yes"/>
    <s v="No"/>
    <s v="Yes"/>
    <s v="Yes"/>
    <m/>
    <x v="0"/>
    <n v="1"/>
  </r>
  <r>
    <n v="1862"/>
    <d v="2023-12-24T00:00:00"/>
    <s v="Basic"/>
    <n v="199"/>
    <n v="9.6999999999999993"/>
    <n v="8"/>
    <x v="0"/>
    <n v="35"/>
    <n v="10"/>
    <s v="Yes"/>
    <s v="No"/>
    <s v="Yes"/>
    <s v="Yes"/>
    <s v="No"/>
    <s v="No"/>
    <m/>
    <x v="0"/>
    <n v="1"/>
  </r>
  <r>
    <n v="1863"/>
    <d v="2024-03-01T00:00:00"/>
    <s v="Basic"/>
    <n v="199"/>
    <n v="10.8"/>
    <n v="1"/>
    <x v="1"/>
    <n v="6"/>
    <n v="30"/>
    <s v="No"/>
    <s v="No"/>
    <s v="No"/>
    <s v="No"/>
    <s v="Yes"/>
    <s v="No"/>
    <m/>
    <x v="1"/>
    <n v="0"/>
  </r>
  <r>
    <n v="1864"/>
    <d v="2023-09-21T00:00:00"/>
    <s v="Premium"/>
    <n v="699"/>
    <n v="3.8"/>
    <n v="0"/>
    <x v="3"/>
    <n v="29"/>
    <n v="30"/>
    <s v="Yes"/>
    <s v="Yes"/>
    <s v="Yes"/>
    <s v="No"/>
    <s v="Yes"/>
    <s v="No"/>
    <m/>
    <x v="0"/>
    <n v="1"/>
  </r>
  <r>
    <n v="1865"/>
    <d v="2024-05-04T00:00:00"/>
    <s v="Basic"/>
    <n v="199"/>
    <n v="16.600000000000001"/>
    <n v="5"/>
    <x v="5"/>
    <n v="21"/>
    <n v="42"/>
    <s v="Yes"/>
    <s v="No"/>
    <s v="Yes"/>
    <s v="Yes"/>
    <s v="Yes"/>
    <s v="No"/>
    <m/>
    <x v="0"/>
    <n v="1"/>
  </r>
  <r>
    <n v="1866"/>
    <d v="2023-08-19T00:00:00"/>
    <s v="Standard"/>
    <n v="399"/>
    <n v="3.6"/>
    <n v="8"/>
    <x v="0"/>
    <n v="13"/>
    <n v="51"/>
    <s v="No"/>
    <s v="Yes"/>
    <s v="Yes"/>
    <s v="Yes"/>
    <s v="Yes"/>
    <s v="No"/>
    <m/>
    <x v="0"/>
    <n v="0"/>
  </r>
  <r>
    <n v="1867"/>
    <d v="2023-09-13T00:00:00"/>
    <s v="Premium"/>
    <n v="699"/>
    <n v="18.7"/>
    <n v="6"/>
    <x v="3"/>
    <n v="6"/>
    <n v="56"/>
    <s v="Yes"/>
    <s v="No"/>
    <s v="Yes"/>
    <s v="Yes"/>
    <s v="Yes"/>
    <s v="No"/>
    <m/>
    <x v="0"/>
    <n v="1"/>
  </r>
  <r>
    <n v="1868"/>
    <d v="2024-11-15T00:00:00"/>
    <s v="Basic"/>
    <n v="199"/>
    <n v="5"/>
    <n v="4"/>
    <x v="3"/>
    <n v="17"/>
    <n v="45"/>
    <s v="No"/>
    <s v="No"/>
    <s v="Yes"/>
    <s v="No"/>
    <s v="Yes"/>
    <s v="No"/>
    <m/>
    <x v="0"/>
    <n v="0"/>
  </r>
  <r>
    <n v="1869"/>
    <d v="2024-11-08T00:00:00"/>
    <s v="Premium"/>
    <n v="699"/>
    <n v="13.2"/>
    <n v="4"/>
    <x v="0"/>
    <n v="34"/>
    <n v="20"/>
    <s v="No"/>
    <s v="No"/>
    <s v="Yes"/>
    <s v="No"/>
    <s v="Yes"/>
    <s v="No"/>
    <m/>
    <x v="0"/>
    <n v="0"/>
  </r>
  <r>
    <n v="1870"/>
    <d v="2023-07-06T00:00:00"/>
    <s v="Basic"/>
    <n v="199"/>
    <n v="18.8"/>
    <n v="6"/>
    <x v="4"/>
    <n v="3"/>
    <n v="3"/>
    <s v="No"/>
    <s v="No"/>
    <s v="Yes"/>
    <s v="Yes"/>
    <s v="No"/>
    <s v="Yes"/>
    <m/>
    <x v="0"/>
    <n v="0"/>
  </r>
  <r>
    <n v="1871"/>
    <d v="2024-08-08T00:00:00"/>
    <s v="Basic"/>
    <n v="199"/>
    <n v="16"/>
    <n v="3"/>
    <x v="0"/>
    <n v="10"/>
    <n v="25"/>
    <s v="Yes"/>
    <s v="No"/>
    <s v="Yes"/>
    <s v="No"/>
    <s v="Yes"/>
    <s v="No"/>
    <m/>
    <x v="0"/>
    <n v="1"/>
  </r>
  <r>
    <n v="1872"/>
    <d v="2024-08-14T00:00:00"/>
    <s v="Standard"/>
    <n v="399"/>
    <n v="21.5"/>
    <n v="3"/>
    <x v="4"/>
    <n v="31"/>
    <n v="55"/>
    <s v="No"/>
    <s v="No"/>
    <s v="Yes"/>
    <s v="No"/>
    <s v="Yes"/>
    <s v="No"/>
    <m/>
    <x v="0"/>
    <n v="0"/>
  </r>
  <r>
    <n v="1873"/>
    <d v="2023-05-01T00:00:00"/>
    <s v="Standard"/>
    <n v="399"/>
    <n v="24.8"/>
    <n v="7"/>
    <x v="5"/>
    <n v="29"/>
    <n v="16"/>
    <s v="No"/>
    <s v="No"/>
    <s v="Yes"/>
    <s v="Yes"/>
    <s v="Yes"/>
    <s v="No"/>
    <m/>
    <x v="0"/>
    <n v="0"/>
  </r>
  <r>
    <n v="1874"/>
    <d v="2023-07-10T00:00:00"/>
    <s v="Premium"/>
    <n v="699"/>
    <n v="16.600000000000001"/>
    <n v="8"/>
    <x v="3"/>
    <n v="18"/>
    <n v="21"/>
    <s v="No"/>
    <s v="No"/>
    <s v="Yes"/>
    <s v="Yes"/>
    <s v="Yes"/>
    <s v="No"/>
    <m/>
    <x v="0"/>
    <n v="0"/>
  </r>
  <r>
    <n v="1875"/>
    <d v="2024-11-15T00:00:00"/>
    <s v="Standard"/>
    <n v="399"/>
    <n v="20.3"/>
    <n v="7"/>
    <x v="5"/>
    <n v="22"/>
    <n v="29"/>
    <s v="Yes"/>
    <s v="No"/>
    <s v="Yes"/>
    <s v="Yes"/>
    <s v="Yes"/>
    <s v="No"/>
    <m/>
    <x v="0"/>
    <n v="1"/>
  </r>
  <r>
    <n v="1876"/>
    <d v="2024-07-10T00:00:00"/>
    <s v="Standard"/>
    <n v="399"/>
    <n v="6.9"/>
    <n v="5"/>
    <x v="2"/>
    <n v="34"/>
    <n v="41"/>
    <s v="Yes"/>
    <s v="No"/>
    <s v="Yes"/>
    <s v="Yes"/>
    <s v="Yes"/>
    <s v="No"/>
    <m/>
    <x v="0"/>
    <n v="1"/>
  </r>
  <r>
    <n v="1877"/>
    <d v="2023-10-30T00:00:00"/>
    <s v="Basic"/>
    <n v="199"/>
    <n v="6.1"/>
    <n v="7"/>
    <x v="1"/>
    <n v="7"/>
    <n v="7"/>
    <s v="No"/>
    <s v="No"/>
    <s v="No"/>
    <s v="Yes"/>
    <s v="No"/>
    <s v="No"/>
    <m/>
    <x v="1"/>
    <n v="0"/>
  </r>
  <r>
    <n v="1878"/>
    <d v="2024-05-31T00:00:00"/>
    <s v="Basic"/>
    <n v="199"/>
    <n v="8"/>
    <n v="6"/>
    <x v="5"/>
    <n v="23"/>
    <n v="60"/>
    <s v="Yes"/>
    <s v="No"/>
    <s v="Yes"/>
    <s v="Yes"/>
    <s v="Yes"/>
    <s v="No"/>
    <m/>
    <x v="0"/>
    <n v="1"/>
  </r>
  <r>
    <n v="1879"/>
    <d v="2023-08-16T00:00:00"/>
    <s v="Basic"/>
    <n v="199"/>
    <n v="20.6"/>
    <n v="8"/>
    <x v="0"/>
    <n v="26"/>
    <n v="9"/>
    <s v="No"/>
    <s v="No"/>
    <s v="Yes"/>
    <s v="Yes"/>
    <s v="No"/>
    <s v="No"/>
    <m/>
    <x v="0"/>
    <n v="0"/>
  </r>
  <r>
    <n v="1880"/>
    <d v="2024-07-30T00:00:00"/>
    <s v="Basic"/>
    <n v="199"/>
    <n v="18.5"/>
    <n v="5"/>
    <x v="5"/>
    <n v="13"/>
    <n v="38"/>
    <s v="No"/>
    <s v="No"/>
    <s v="Yes"/>
    <s v="Yes"/>
    <s v="Yes"/>
    <s v="No"/>
    <m/>
    <x v="0"/>
    <n v="0"/>
  </r>
  <r>
    <n v="1881"/>
    <d v="2024-06-27T00:00:00"/>
    <s v="Premium"/>
    <n v="699"/>
    <n v="1.7"/>
    <n v="8"/>
    <x v="3"/>
    <n v="34"/>
    <n v="34"/>
    <s v="Yes"/>
    <s v="Yes"/>
    <s v="Yes"/>
    <s v="Yes"/>
    <s v="Yes"/>
    <s v="No"/>
    <m/>
    <x v="0"/>
    <n v="1"/>
  </r>
  <r>
    <n v="1882"/>
    <d v="2023-08-20T00:00:00"/>
    <s v="Basic"/>
    <n v="199"/>
    <n v="4.4000000000000004"/>
    <n v="2"/>
    <x v="4"/>
    <n v="24"/>
    <n v="40"/>
    <s v="No"/>
    <s v="Yes"/>
    <s v="Yes"/>
    <s v="No"/>
    <s v="Yes"/>
    <s v="No"/>
    <m/>
    <x v="0"/>
    <n v="0"/>
  </r>
  <r>
    <n v="1883"/>
    <d v="2024-02-15T00:00:00"/>
    <s v="Premium"/>
    <n v="699"/>
    <n v="13.8"/>
    <n v="6"/>
    <x v="0"/>
    <n v="10"/>
    <n v="17"/>
    <s v="Yes"/>
    <s v="No"/>
    <s v="Yes"/>
    <s v="Yes"/>
    <s v="Yes"/>
    <s v="No"/>
    <m/>
    <x v="0"/>
    <n v="1"/>
  </r>
  <r>
    <n v="1884"/>
    <d v="2023-11-04T00:00:00"/>
    <s v="Standard"/>
    <n v="399"/>
    <n v="22.6"/>
    <n v="6"/>
    <x v="2"/>
    <n v="25"/>
    <n v="29"/>
    <s v="Yes"/>
    <s v="No"/>
    <s v="Yes"/>
    <s v="Yes"/>
    <s v="Yes"/>
    <s v="No"/>
    <m/>
    <x v="0"/>
    <n v="1"/>
  </r>
  <r>
    <n v="1885"/>
    <d v="2024-09-19T00:00:00"/>
    <s v="Basic"/>
    <n v="199"/>
    <n v="6.7"/>
    <n v="8"/>
    <x v="4"/>
    <n v="5"/>
    <n v="19"/>
    <s v="Yes"/>
    <s v="No"/>
    <s v="Yes"/>
    <s v="Yes"/>
    <s v="Yes"/>
    <s v="Yes"/>
    <m/>
    <x v="0"/>
    <n v="1"/>
  </r>
  <r>
    <n v="1886"/>
    <d v="2023-06-14T00:00:00"/>
    <s v="Premium"/>
    <n v="699"/>
    <n v="2"/>
    <n v="6"/>
    <x v="0"/>
    <n v="5"/>
    <n v="9"/>
    <s v="Yes"/>
    <s v="Yes"/>
    <s v="Yes"/>
    <s v="Yes"/>
    <s v="No"/>
    <s v="Yes"/>
    <m/>
    <x v="0"/>
    <n v="1"/>
  </r>
  <r>
    <n v="1887"/>
    <d v="2023-12-25T00:00:00"/>
    <s v="Basic"/>
    <n v="199"/>
    <n v="19.8"/>
    <n v="6"/>
    <x v="2"/>
    <n v="26"/>
    <n v="37"/>
    <s v="Yes"/>
    <s v="No"/>
    <s v="Yes"/>
    <s v="Yes"/>
    <s v="Yes"/>
    <s v="No"/>
    <m/>
    <x v="0"/>
    <n v="1"/>
  </r>
  <r>
    <n v="1888"/>
    <d v="2024-08-22T00:00:00"/>
    <s v="Basic"/>
    <n v="199"/>
    <n v="24.1"/>
    <n v="4"/>
    <x v="0"/>
    <n v="15"/>
    <n v="57"/>
    <s v="Yes"/>
    <s v="No"/>
    <s v="Yes"/>
    <s v="No"/>
    <s v="Yes"/>
    <s v="No"/>
    <m/>
    <x v="0"/>
    <n v="1"/>
  </r>
  <r>
    <n v="1889"/>
    <d v="2023-01-12T00:00:00"/>
    <s v="Premium"/>
    <n v="699"/>
    <n v="5.5"/>
    <n v="2"/>
    <x v="4"/>
    <n v="10"/>
    <n v="17"/>
    <s v="No"/>
    <s v="No"/>
    <s v="Yes"/>
    <s v="No"/>
    <s v="Yes"/>
    <s v="No"/>
    <m/>
    <x v="0"/>
    <n v="0"/>
  </r>
  <r>
    <n v="1890"/>
    <d v="2024-04-27T00:00:00"/>
    <s v="Premium"/>
    <n v="699"/>
    <n v="13.3"/>
    <n v="8"/>
    <x v="1"/>
    <n v="8"/>
    <n v="49"/>
    <s v="No"/>
    <s v="No"/>
    <s v="No"/>
    <s v="Yes"/>
    <s v="Yes"/>
    <s v="No"/>
    <m/>
    <x v="1"/>
    <n v="0"/>
  </r>
  <r>
    <n v="1891"/>
    <d v="2023-06-07T00:00:00"/>
    <s v="Basic"/>
    <n v="199"/>
    <n v="7.8"/>
    <n v="1"/>
    <x v="5"/>
    <n v="29"/>
    <n v="47"/>
    <s v="No"/>
    <s v="No"/>
    <s v="Yes"/>
    <s v="No"/>
    <s v="Yes"/>
    <s v="No"/>
    <m/>
    <x v="0"/>
    <n v="0"/>
  </r>
  <r>
    <n v="1892"/>
    <d v="2023-04-26T00:00:00"/>
    <s v="Basic"/>
    <n v="199"/>
    <n v="21.9"/>
    <n v="0"/>
    <x v="2"/>
    <n v="22"/>
    <n v="53"/>
    <s v="No"/>
    <s v="No"/>
    <s v="Yes"/>
    <s v="No"/>
    <s v="Yes"/>
    <s v="No"/>
    <m/>
    <x v="0"/>
    <n v="0"/>
  </r>
  <r>
    <n v="1893"/>
    <d v="2024-05-13T00:00:00"/>
    <s v="Premium"/>
    <n v="699"/>
    <n v="10.9"/>
    <n v="2"/>
    <x v="4"/>
    <n v="30"/>
    <n v="44"/>
    <s v="No"/>
    <s v="No"/>
    <s v="Yes"/>
    <s v="No"/>
    <s v="Yes"/>
    <s v="No"/>
    <m/>
    <x v="0"/>
    <n v="0"/>
  </r>
  <r>
    <n v="1894"/>
    <d v="2024-01-07T00:00:00"/>
    <s v="Standard"/>
    <n v="399"/>
    <n v="13.3"/>
    <n v="1"/>
    <x v="4"/>
    <n v="15"/>
    <n v="38"/>
    <s v="No"/>
    <s v="No"/>
    <s v="Yes"/>
    <s v="No"/>
    <s v="Yes"/>
    <s v="No"/>
    <m/>
    <x v="0"/>
    <n v="0"/>
  </r>
  <r>
    <n v="1895"/>
    <d v="2023-10-14T00:00:00"/>
    <s v="Basic"/>
    <n v="199"/>
    <n v="21"/>
    <n v="6"/>
    <x v="2"/>
    <n v="32"/>
    <n v="3"/>
    <s v="No"/>
    <s v="No"/>
    <s v="Yes"/>
    <s v="Yes"/>
    <s v="No"/>
    <s v="No"/>
    <m/>
    <x v="0"/>
    <n v="0"/>
  </r>
  <r>
    <n v="1896"/>
    <d v="2023-09-15T00:00:00"/>
    <s v="Premium"/>
    <n v="699"/>
    <n v="22.7"/>
    <n v="8"/>
    <x v="3"/>
    <n v="18"/>
    <n v="26"/>
    <s v="Yes"/>
    <s v="No"/>
    <s v="Yes"/>
    <s v="Yes"/>
    <s v="Yes"/>
    <s v="No"/>
    <m/>
    <x v="0"/>
    <n v="1"/>
  </r>
  <r>
    <n v="1897"/>
    <d v="2024-08-28T00:00:00"/>
    <s v="Standard"/>
    <n v="399"/>
    <n v="0.8"/>
    <n v="7"/>
    <x v="0"/>
    <n v="6"/>
    <n v="37"/>
    <s v="Yes"/>
    <s v="Yes"/>
    <s v="Yes"/>
    <s v="Yes"/>
    <s v="Yes"/>
    <s v="No"/>
    <m/>
    <x v="0"/>
    <n v="1"/>
  </r>
  <r>
    <n v="1898"/>
    <d v="2024-01-20T00:00:00"/>
    <s v="Standard"/>
    <n v="399"/>
    <n v="3"/>
    <n v="7"/>
    <x v="5"/>
    <n v="18"/>
    <n v="38"/>
    <s v="Yes"/>
    <s v="Yes"/>
    <s v="Yes"/>
    <s v="Yes"/>
    <s v="Yes"/>
    <s v="No"/>
    <m/>
    <x v="0"/>
    <n v="1"/>
  </r>
  <r>
    <n v="1899"/>
    <d v="2024-10-20T00:00:00"/>
    <s v="Premium"/>
    <n v="699"/>
    <n v="21.8"/>
    <n v="6"/>
    <x v="1"/>
    <n v="34"/>
    <n v="38"/>
    <s v="Yes"/>
    <s v="No"/>
    <s v="No"/>
    <s v="Yes"/>
    <s v="Yes"/>
    <s v="No"/>
    <m/>
    <x v="1"/>
    <n v="1"/>
  </r>
  <r>
    <n v="1900"/>
    <d v="2024-09-10T00:00:00"/>
    <s v="Basic"/>
    <n v="199"/>
    <n v="3.4"/>
    <n v="3"/>
    <x v="3"/>
    <n v="7"/>
    <n v="37"/>
    <s v="Yes"/>
    <s v="Yes"/>
    <s v="Yes"/>
    <s v="No"/>
    <s v="Yes"/>
    <s v="No"/>
    <m/>
    <x v="0"/>
    <n v="1"/>
  </r>
  <r>
    <n v="1901"/>
    <d v="2024-04-16T00:00:00"/>
    <s v="Standard"/>
    <n v="399"/>
    <n v="18.100000000000001"/>
    <n v="0"/>
    <x v="3"/>
    <n v="26"/>
    <n v="41"/>
    <s v="No"/>
    <s v="No"/>
    <s v="Yes"/>
    <s v="No"/>
    <s v="Yes"/>
    <s v="No"/>
    <m/>
    <x v="0"/>
    <n v="0"/>
  </r>
  <r>
    <n v="1902"/>
    <d v="2024-11-16T00:00:00"/>
    <s v="Premium"/>
    <n v="699"/>
    <n v="1.4"/>
    <n v="6"/>
    <x v="4"/>
    <n v="34"/>
    <n v="47"/>
    <s v="Yes"/>
    <s v="Yes"/>
    <s v="Yes"/>
    <s v="Yes"/>
    <s v="Yes"/>
    <s v="No"/>
    <m/>
    <x v="0"/>
    <n v="1"/>
  </r>
  <r>
    <n v="1903"/>
    <d v="2023-10-27T00:00:00"/>
    <s v="Basic"/>
    <n v="199"/>
    <n v="14.4"/>
    <n v="0"/>
    <x v="4"/>
    <n v="14"/>
    <n v="60"/>
    <s v="Yes"/>
    <s v="No"/>
    <s v="Yes"/>
    <s v="No"/>
    <s v="Yes"/>
    <s v="No"/>
    <m/>
    <x v="0"/>
    <n v="1"/>
  </r>
  <r>
    <n v="1904"/>
    <d v="2023-12-27T00:00:00"/>
    <s v="Standard"/>
    <n v="399"/>
    <n v="18.399999999999999"/>
    <n v="4"/>
    <x v="3"/>
    <n v="2"/>
    <n v="52"/>
    <s v="Yes"/>
    <s v="No"/>
    <s v="Yes"/>
    <s v="No"/>
    <s v="Yes"/>
    <s v="Yes"/>
    <m/>
    <x v="0"/>
    <n v="1"/>
  </r>
  <r>
    <n v="1905"/>
    <d v="2024-10-12T00:00:00"/>
    <s v="Basic"/>
    <n v="199"/>
    <n v="11.4"/>
    <n v="0"/>
    <x v="3"/>
    <n v="18"/>
    <n v="29"/>
    <s v="No"/>
    <s v="No"/>
    <s v="Yes"/>
    <s v="No"/>
    <s v="Yes"/>
    <s v="No"/>
    <m/>
    <x v="0"/>
    <n v="0"/>
  </r>
  <r>
    <n v="1906"/>
    <d v="2023-12-23T00:00:00"/>
    <s v="Standard"/>
    <n v="399"/>
    <n v="5.6"/>
    <n v="8"/>
    <x v="4"/>
    <n v="11"/>
    <n v="20"/>
    <s v="No"/>
    <s v="No"/>
    <s v="Yes"/>
    <s v="Yes"/>
    <s v="Yes"/>
    <s v="No"/>
    <m/>
    <x v="0"/>
    <n v="0"/>
  </r>
  <r>
    <n v="1907"/>
    <d v="2023-08-22T00:00:00"/>
    <s v="Basic"/>
    <n v="199"/>
    <n v="21.5"/>
    <n v="5"/>
    <x v="3"/>
    <n v="32"/>
    <n v="39"/>
    <s v="Yes"/>
    <s v="No"/>
    <s v="Yes"/>
    <s v="Yes"/>
    <s v="Yes"/>
    <s v="No"/>
    <m/>
    <x v="0"/>
    <n v="1"/>
  </r>
  <r>
    <n v="1908"/>
    <d v="2024-05-24T00:00:00"/>
    <s v="Standard"/>
    <n v="399"/>
    <n v="3"/>
    <n v="1"/>
    <x v="4"/>
    <n v="20"/>
    <n v="25"/>
    <s v="Yes"/>
    <s v="Yes"/>
    <s v="Yes"/>
    <s v="No"/>
    <s v="Yes"/>
    <s v="No"/>
    <m/>
    <x v="0"/>
    <n v="1"/>
  </r>
  <r>
    <n v="1909"/>
    <d v="2023-12-26T00:00:00"/>
    <s v="Premium"/>
    <n v="699"/>
    <n v="19"/>
    <n v="3"/>
    <x v="3"/>
    <n v="12"/>
    <n v="54"/>
    <s v="No"/>
    <s v="No"/>
    <s v="Yes"/>
    <s v="No"/>
    <s v="Yes"/>
    <s v="No"/>
    <m/>
    <x v="0"/>
    <n v="0"/>
  </r>
  <r>
    <n v="1910"/>
    <d v="2023-07-14T00:00:00"/>
    <s v="Standard"/>
    <n v="399"/>
    <n v="22.4"/>
    <n v="2"/>
    <x v="0"/>
    <n v="29"/>
    <n v="20"/>
    <s v="Yes"/>
    <s v="No"/>
    <s v="Yes"/>
    <s v="No"/>
    <s v="Yes"/>
    <s v="No"/>
    <m/>
    <x v="0"/>
    <n v="1"/>
  </r>
  <r>
    <n v="1911"/>
    <d v="2023-07-02T00:00:00"/>
    <s v="Premium"/>
    <n v="699"/>
    <n v="22.8"/>
    <n v="8"/>
    <x v="3"/>
    <n v="20"/>
    <n v="48"/>
    <s v="Yes"/>
    <s v="No"/>
    <s v="Yes"/>
    <s v="Yes"/>
    <s v="Yes"/>
    <s v="No"/>
    <m/>
    <x v="0"/>
    <n v="1"/>
  </r>
  <r>
    <n v="1912"/>
    <d v="2024-11-10T00:00:00"/>
    <s v="Standard"/>
    <n v="399"/>
    <n v="5.4"/>
    <n v="1"/>
    <x v="4"/>
    <n v="5"/>
    <n v="38"/>
    <s v="No"/>
    <s v="No"/>
    <s v="Yes"/>
    <s v="No"/>
    <s v="Yes"/>
    <s v="Yes"/>
    <m/>
    <x v="0"/>
    <n v="0"/>
  </r>
  <r>
    <n v="1913"/>
    <d v="2024-01-30T00:00:00"/>
    <s v="Standard"/>
    <n v="399"/>
    <n v="4.0999999999999996"/>
    <n v="5"/>
    <x v="5"/>
    <n v="17"/>
    <n v="22"/>
    <s v="Yes"/>
    <s v="Yes"/>
    <s v="Yes"/>
    <s v="Yes"/>
    <s v="Yes"/>
    <s v="No"/>
    <m/>
    <x v="0"/>
    <n v="1"/>
  </r>
  <r>
    <n v="1914"/>
    <d v="2023-02-11T00:00:00"/>
    <s v="Basic"/>
    <n v="199"/>
    <n v="15.5"/>
    <n v="1"/>
    <x v="3"/>
    <n v="19"/>
    <n v="14"/>
    <s v="No"/>
    <s v="No"/>
    <s v="Yes"/>
    <s v="No"/>
    <s v="No"/>
    <s v="No"/>
    <m/>
    <x v="0"/>
    <n v="0"/>
  </r>
  <r>
    <n v="1915"/>
    <d v="2024-12-12T00:00:00"/>
    <s v="Basic"/>
    <n v="199"/>
    <n v="4.3"/>
    <n v="4"/>
    <x v="1"/>
    <n v="36"/>
    <n v="31"/>
    <s v="Yes"/>
    <s v="Yes"/>
    <s v="No"/>
    <s v="No"/>
    <s v="Yes"/>
    <s v="No"/>
    <m/>
    <x v="1"/>
    <n v="1"/>
  </r>
  <r>
    <n v="1916"/>
    <d v="2023-01-13T00:00:00"/>
    <s v="Basic"/>
    <n v="199"/>
    <n v="21.9"/>
    <n v="7"/>
    <x v="4"/>
    <n v="16"/>
    <n v="51"/>
    <s v="Yes"/>
    <s v="No"/>
    <s v="Yes"/>
    <s v="Yes"/>
    <s v="Yes"/>
    <s v="No"/>
    <m/>
    <x v="0"/>
    <n v="1"/>
  </r>
  <r>
    <n v="1917"/>
    <d v="2024-08-04T00:00:00"/>
    <s v="Standard"/>
    <n v="399"/>
    <n v="24.1"/>
    <n v="7"/>
    <x v="2"/>
    <n v="16"/>
    <n v="26"/>
    <s v="Yes"/>
    <s v="No"/>
    <s v="Yes"/>
    <s v="Yes"/>
    <s v="Yes"/>
    <s v="No"/>
    <m/>
    <x v="0"/>
    <n v="1"/>
  </r>
  <r>
    <n v="1918"/>
    <d v="2024-02-01T00:00:00"/>
    <s v="Basic"/>
    <n v="199"/>
    <n v="5.0999999999999996"/>
    <n v="8"/>
    <x v="5"/>
    <n v="27"/>
    <n v="25"/>
    <s v="Yes"/>
    <s v="No"/>
    <s v="Yes"/>
    <s v="Yes"/>
    <s v="Yes"/>
    <s v="No"/>
    <m/>
    <x v="0"/>
    <n v="1"/>
  </r>
  <r>
    <n v="1919"/>
    <d v="2023-08-29T00:00:00"/>
    <s v="Premium"/>
    <n v="699"/>
    <n v="17.8"/>
    <n v="5"/>
    <x v="3"/>
    <n v="17"/>
    <n v="27"/>
    <s v="Yes"/>
    <s v="No"/>
    <s v="Yes"/>
    <s v="Yes"/>
    <s v="Yes"/>
    <s v="No"/>
    <m/>
    <x v="0"/>
    <n v="1"/>
  </r>
  <r>
    <n v="1920"/>
    <d v="2024-12-20T00:00:00"/>
    <s v="Standard"/>
    <n v="399"/>
    <n v="9.1999999999999993"/>
    <n v="2"/>
    <x v="3"/>
    <n v="35"/>
    <n v="55"/>
    <s v="No"/>
    <s v="No"/>
    <s v="Yes"/>
    <s v="No"/>
    <s v="Yes"/>
    <s v="No"/>
    <m/>
    <x v="0"/>
    <n v="0"/>
  </r>
  <r>
    <n v="1921"/>
    <d v="2023-11-18T00:00:00"/>
    <s v="Basic"/>
    <n v="199"/>
    <n v="14.7"/>
    <n v="1"/>
    <x v="5"/>
    <n v="35"/>
    <n v="45"/>
    <s v="Yes"/>
    <s v="No"/>
    <s v="Yes"/>
    <s v="No"/>
    <s v="Yes"/>
    <s v="No"/>
    <m/>
    <x v="0"/>
    <n v="1"/>
  </r>
  <r>
    <n v="1922"/>
    <d v="2023-02-24T00:00:00"/>
    <s v="Basic"/>
    <n v="199"/>
    <n v="18.100000000000001"/>
    <n v="8"/>
    <x v="0"/>
    <n v="15"/>
    <n v="29"/>
    <s v="Yes"/>
    <s v="No"/>
    <s v="Yes"/>
    <s v="Yes"/>
    <s v="Yes"/>
    <s v="No"/>
    <m/>
    <x v="0"/>
    <n v="1"/>
  </r>
  <r>
    <n v="1923"/>
    <d v="2024-04-04T00:00:00"/>
    <s v="Standard"/>
    <n v="399"/>
    <n v="12.7"/>
    <n v="6"/>
    <x v="1"/>
    <n v="29"/>
    <n v="10"/>
    <s v="Yes"/>
    <s v="No"/>
    <s v="No"/>
    <s v="Yes"/>
    <s v="No"/>
    <s v="No"/>
    <m/>
    <x v="1"/>
    <n v="1"/>
  </r>
  <r>
    <n v="1924"/>
    <d v="2023-12-29T00:00:00"/>
    <s v="Premium"/>
    <n v="699"/>
    <n v="22.4"/>
    <n v="7"/>
    <x v="4"/>
    <n v="4"/>
    <n v="9"/>
    <s v="Yes"/>
    <s v="No"/>
    <s v="Yes"/>
    <s v="Yes"/>
    <s v="No"/>
    <s v="Yes"/>
    <m/>
    <x v="0"/>
    <n v="1"/>
  </r>
  <r>
    <n v="1925"/>
    <d v="2024-12-22T00:00:00"/>
    <s v="Basic"/>
    <n v="199"/>
    <n v="14.5"/>
    <n v="0"/>
    <x v="4"/>
    <n v="18"/>
    <n v="38"/>
    <s v="Yes"/>
    <s v="No"/>
    <s v="Yes"/>
    <s v="No"/>
    <s v="Yes"/>
    <s v="No"/>
    <m/>
    <x v="0"/>
    <n v="1"/>
  </r>
  <r>
    <n v="1926"/>
    <d v="2023-11-08T00:00:00"/>
    <s v="Basic"/>
    <n v="199"/>
    <n v="5.8"/>
    <n v="7"/>
    <x v="3"/>
    <n v="26"/>
    <n v="34"/>
    <s v="Yes"/>
    <s v="No"/>
    <s v="Yes"/>
    <s v="Yes"/>
    <s v="Yes"/>
    <s v="No"/>
    <m/>
    <x v="0"/>
    <n v="1"/>
  </r>
  <r>
    <n v="1927"/>
    <d v="2024-11-28T00:00:00"/>
    <s v="Standard"/>
    <n v="399"/>
    <n v="14.5"/>
    <n v="8"/>
    <x v="2"/>
    <n v="15"/>
    <n v="9"/>
    <s v="No"/>
    <s v="No"/>
    <s v="Yes"/>
    <s v="Yes"/>
    <s v="No"/>
    <s v="No"/>
    <m/>
    <x v="0"/>
    <n v="0"/>
  </r>
  <r>
    <n v="1928"/>
    <d v="2023-05-03T00:00:00"/>
    <s v="Premium"/>
    <n v="699"/>
    <n v="21.6"/>
    <n v="0"/>
    <x v="4"/>
    <n v="21"/>
    <n v="48"/>
    <s v="Yes"/>
    <s v="No"/>
    <s v="Yes"/>
    <s v="No"/>
    <s v="Yes"/>
    <s v="No"/>
    <m/>
    <x v="0"/>
    <n v="1"/>
  </r>
  <r>
    <n v="1929"/>
    <d v="2024-09-07T00:00:00"/>
    <s v="Basic"/>
    <n v="199"/>
    <n v="13.5"/>
    <n v="2"/>
    <x v="4"/>
    <n v="5"/>
    <n v="12"/>
    <s v="Yes"/>
    <s v="No"/>
    <s v="Yes"/>
    <s v="No"/>
    <s v="No"/>
    <s v="Yes"/>
    <m/>
    <x v="0"/>
    <n v="1"/>
  </r>
  <r>
    <n v="1930"/>
    <d v="2023-04-07T00:00:00"/>
    <s v="Basic"/>
    <n v="199"/>
    <n v="1.2"/>
    <n v="7"/>
    <x v="4"/>
    <n v="12"/>
    <n v="7"/>
    <s v="Yes"/>
    <s v="Yes"/>
    <s v="Yes"/>
    <s v="Yes"/>
    <s v="No"/>
    <s v="No"/>
    <m/>
    <x v="0"/>
    <n v="1"/>
  </r>
  <r>
    <n v="1931"/>
    <d v="2023-12-18T00:00:00"/>
    <s v="Standard"/>
    <n v="399"/>
    <n v="20.2"/>
    <n v="6"/>
    <x v="4"/>
    <n v="25"/>
    <n v="30"/>
    <s v="Yes"/>
    <s v="No"/>
    <s v="Yes"/>
    <s v="Yes"/>
    <s v="Yes"/>
    <s v="No"/>
    <m/>
    <x v="0"/>
    <n v="1"/>
  </r>
  <r>
    <n v="1932"/>
    <d v="2024-05-26T00:00:00"/>
    <s v="Basic"/>
    <n v="199"/>
    <n v="8.1"/>
    <n v="2"/>
    <x v="4"/>
    <n v="7"/>
    <n v="27"/>
    <s v="No"/>
    <s v="No"/>
    <s v="Yes"/>
    <s v="No"/>
    <s v="Yes"/>
    <s v="No"/>
    <m/>
    <x v="0"/>
    <n v="0"/>
  </r>
  <r>
    <n v="1933"/>
    <d v="2024-10-10T00:00:00"/>
    <s v="Basic"/>
    <n v="199"/>
    <n v="6.9"/>
    <n v="3"/>
    <x v="0"/>
    <n v="12"/>
    <n v="22"/>
    <s v="No"/>
    <s v="No"/>
    <s v="Yes"/>
    <s v="No"/>
    <s v="Yes"/>
    <s v="No"/>
    <m/>
    <x v="0"/>
    <n v="0"/>
  </r>
  <r>
    <n v="1934"/>
    <d v="2024-09-12T00:00:00"/>
    <s v="Basic"/>
    <n v="199"/>
    <n v="11.6"/>
    <n v="1"/>
    <x v="5"/>
    <n v="22"/>
    <n v="16"/>
    <s v="Yes"/>
    <s v="No"/>
    <s v="Yes"/>
    <s v="No"/>
    <s v="Yes"/>
    <s v="No"/>
    <m/>
    <x v="0"/>
    <n v="1"/>
  </r>
  <r>
    <n v="1935"/>
    <d v="2024-06-25T00:00:00"/>
    <s v="Basic"/>
    <n v="199"/>
    <n v="1.9"/>
    <n v="5"/>
    <x v="1"/>
    <n v="36"/>
    <n v="10"/>
    <s v="Yes"/>
    <s v="Yes"/>
    <s v="No"/>
    <s v="Yes"/>
    <s v="No"/>
    <s v="No"/>
    <m/>
    <x v="1"/>
    <n v="1"/>
  </r>
  <r>
    <n v="1936"/>
    <d v="2024-07-30T00:00:00"/>
    <s v="Basic"/>
    <n v="199"/>
    <n v="8.5"/>
    <n v="4"/>
    <x v="1"/>
    <n v="1"/>
    <n v="51"/>
    <s v="No"/>
    <s v="No"/>
    <s v="No"/>
    <s v="No"/>
    <s v="Yes"/>
    <s v="Yes"/>
    <m/>
    <x v="1"/>
    <n v="0"/>
  </r>
  <r>
    <n v="1937"/>
    <d v="2024-07-02T00:00:00"/>
    <s v="Standard"/>
    <n v="399"/>
    <n v="23.9"/>
    <n v="3"/>
    <x v="4"/>
    <n v="5"/>
    <n v="39"/>
    <s v="Yes"/>
    <s v="No"/>
    <s v="Yes"/>
    <s v="No"/>
    <s v="Yes"/>
    <s v="Yes"/>
    <m/>
    <x v="0"/>
    <n v="1"/>
  </r>
  <r>
    <n v="1938"/>
    <d v="2024-03-27T00:00:00"/>
    <s v="Basic"/>
    <n v="199"/>
    <n v="2.9"/>
    <n v="2"/>
    <x v="5"/>
    <n v="23"/>
    <n v="23"/>
    <s v="Yes"/>
    <s v="Yes"/>
    <s v="Yes"/>
    <s v="No"/>
    <s v="Yes"/>
    <s v="No"/>
    <m/>
    <x v="0"/>
    <n v="1"/>
  </r>
  <r>
    <n v="1939"/>
    <d v="2024-07-04T00:00:00"/>
    <s v="Premium"/>
    <n v="699"/>
    <n v="12.9"/>
    <n v="7"/>
    <x v="1"/>
    <n v="12"/>
    <n v="39"/>
    <s v="Yes"/>
    <s v="No"/>
    <s v="No"/>
    <s v="Yes"/>
    <s v="Yes"/>
    <s v="No"/>
    <m/>
    <x v="1"/>
    <n v="1"/>
  </r>
  <r>
    <n v="1940"/>
    <d v="2024-06-14T00:00:00"/>
    <s v="Basic"/>
    <n v="199"/>
    <n v="23.4"/>
    <n v="1"/>
    <x v="3"/>
    <n v="20"/>
    <n v="43"/>
    <s v="Yes"/>
    <s v="No"/>
    <s v="Yes"/>
    <s v="No"/>
    <s v="Yes"/>
    <s v="No"/>
    <m/>
    <x v="0"/>
    <n v="1"/>
  </r>
  <r>
    <n v="1941"/>
    <d v="2024-04-10T00:00:00"/>
    <s v="Basic"/>
    <n v="199"/>
    <n v="12.7"/>
    <n v="2"/>
    <x v="5"/>
    <n v="7"/>
    <n v="58"/>
    <s v="Yes"/>
    <s v="No"/>
    <s v="Yes"/>
    <s v="No"/>
    <s v="Yes"/>
    <s v="No"/>
    <m/>
    <x v="0"/>
    <n v="1"/>
  </r>
  <r>
    <n v="1942"/>
    <d v="2023-12-13T00:00:00"/>
    <s v="Premium"/>
    <n v="699"/>
    <n v="20.9"/>
    <n v="7"/>
    <x v="1"/>
    <n v="36"/>
    <n v="42"/>
    <s v="No"/>
    <s v="No"/>
    <s v="No"/>
    <s v="Yes"/>
    <s v="Yes"/>
    <s v="No"/>
    <m/>
    <x v="1"/>
    <n v="0"/>
  </r>
  <r>
    <n v="1943"/>
    <d v="2024-01-02T00:00:00"/>
    <s v="Basic"/>
    <n v="199"/>
    <n v="4"/>
    <n v="7"/>
    <x v="0"/>
    <n v="24"/>
    <n v="50"/>
    <s v="Yes"/>
    <s v="Yes"/>
    <s v="Yes"/>
    <s v="Yes"/>
    <s v="Yes"/>
    <s v="No"/>
    <m/>
    <x v="0"/>
    <n v="1"/>
  </r>
  <r>
    <n v="1944"/>
    <d v="2023-11-25T00:00:00"/>
    <s v="Basic"/>
    <n v="199"/>
    <n v="20.399999999999999"/>
    <n v="1"/>
    <x v="5"/>
    <n v="31"/>
    <n v="5"/>
    <s v="No"/>
    <s v="No"/>
    <s v="Yes"/>
    <s v="No"/>
    <s v="No"/>
    <s v="No"/>
    <m/>
    <x v="0"/>
    <n v="0"/>
  </r>
  <r>
    <n v="1945"/>
    <d v="2023-05-19T00:00:00"/>
    <s v="Premium"/>
    <n v="699"/>
    <n v="13.3"/>
    <n v="8"/>
    <x v="4"/>
    <n v="35"/>
    <n v="12"/>
    <s v="Yes"/>
    <s v="No"/>
    <s v="Yes"/>
    <s v="Yes"/>
    <s v="No"/>
    <s v="No"/>
    <m/>
    <x v="0"/>
    <n v="1"/>
  </r>
  <r>
    <n v="1946"/>
    <d v="2024-05-17T00:00:00"/>
    <s v="Standard"/>
    <n v="399"/>
    <n v="7.7"/>
    <n v="6"/>
    <x v="2"/>
    <n v="13"/>
    <n v="27"/>
    <s v="Yes"/>
    <s v="No"/>
    <s v="Yes"/>
    <s v="Yes"/>
    <s v="Yes"/>
    <s v="No"/>
    <m/>
    <x v="0"/>
    <n v="1"/>
  </r>
  <r>
    <n v="1947"/>
    <d v="2024-05-24T00:00:00"/>
    <s v="Basic"/>
    <n v="199"/>
    <n v="3.1"/>
    <n v="8"/>
    <x v="2"/>
    <n v="32"/>
    <n v="39"/>
    <s v="Yes"/>
    <s v="Yes"/>
    <s v="Yes"/>
    <s v="Yes"/>
    <s v="Yes"/>
    <s v="No"/>
    <m/>
    <x v="0"/>
    <n v="1"/>
  </r>
  <r>
    <n v="1948"/>
    <d v="2024-08-24T00:00:00"/>
    <s v="Standard"/>
    <n v="399"/>
    <n v="13.4"/>
    <n v="0"/>
    <x v="0"/>
    <n v="4"/>
    <n v="60"/>
    <s v="Yes"/>
    <s v="No"/>
    <s v="Yes"/>
    <s v="No"/>
    <s v="Yes"/>
    <s v="Yes"/>
    <m/>
    <x v="0"/>
    <n v="1"/>
  </r>
  <r>
    <n v="1949"/>
    <d v="2023-02-18T00:00:00"/>
    <s v="Premium"/>
    <n v="699"/>
    <n v="4.7"/>
    <n v="5"/>
    <x v="4"/>
    <n v="35"/>
    <n v="3"/>
    <s v="Yes"/>
    <s v="Yes"/>
    <s v="Yes"/>
    <s v="Yes"/>
    <s v="No"/>
    <s v="No"/>
    <m/>
    <x v="0"/>
    <n v="1"/>
  </r>
  <r>
    <n v="1950"/>
    <d v="2024-03-20T00:00:00"/>
    <s v="Standard"/>
    <n v="399"/>
    <n v="5.0999999999999996"/>
    <n v="8"/>
    <x v="1"/>
    <n v="25"/>
    <n v="52"/>
    <s v="No"/>
    <s v="No"/>
    <s v="No"/>
    <s v="Yes"/>
    <s v="Yes"/>
    <s v="No"/>
    <m/>
    <x v="1"/>
    <n v="0"/>
  </r>
  <r>
    <n v="1951"/>
    <d v="2023-02-15T00:00:00"/>
    <s v="Premium"/>
    <n v="699"/>
    <n v="13.3"/>
    <n v="2"/>
    <x v="5"/>
    <n v="33"/>
    <n v="23"/>
    <s v="No"/>
    <s v="No"/>
    <s v="Yes"/>
    <s v="No"/>
    <s v="Yes"/>
    <s v="No"/>
    <m/>
    <x v="0"/>
    <n v="0"/>
  </r>
  <r>
    <n v="1952"/>
    <d v="2023-07-28T00:00:00"/>
    <s v="Basic"/>
    <n v="199"/>
    <n v="11.7"/>
    <n v="2"/>
    <x v="0"/>
    <n v="7"/>
    <n v="45"/>
    <s v="Yes"/>
    <s v="No"/>
    <s v="Yes"/>
    <s v="No"/>
    <s v="Yes"/>
    <s v="No"/>
    <m/>
    <x v="0"/>
    <n v="1"/>
  </r>
  <r>
    <n v="1953"/>
    <d v="2024-12-06T00:00:00"/>
    <s v="Standard"/>
    <n v="399"/>
    <n v="14.5"/>
    <n v="0"/>
    <x v="1"/>
    <n v="14"/>
    <n v="59"/>
    <s v="No"/>
    <s v="No"/>
    <s v="No"/>
    <s v="No"/>
    <s v="Yes"/>
    <s v="No"/>
    <m/>
    <x v="1"/>
    <n v="0"/>
  </r>
  <r>
    <n v="1954"/>
    <d v="2023-12-05T00:00:00"/>
    <s v="Basic"/>
    <n v="199"/>
    <n v="0.6"/>
    <n v="3"/>
    <x v="4"/>
    <n v="19"/>
    <n v="52"/>
    <s v="No"/>
    <s v="Yes"/>
    <s v="Yes"/>
    <s v="No"/>
    <s v="Yes"/>
    <s v="No"/>
    <m/>
    <x v="0"/>
    <n v="0"/>
  </r>
  <r>
    <n v="1955"/>
    <d v="2024-09-05T00:00:00"/>
    <s v="Basic"/>
    <n v="199"/>
    <n v="20.8"/>
    <n v="5"/>
    <x v="2"/>
    <n v="25"/>
    <n v="2"/>
    <s v="Yes"/>
    <s v="No"/>
    <s v="Yes"/>
    <s v="Yes"/>
    <s v="No"/>
    <s v="No"/>
    <m/>
    <x v="0"/>
    <n v="1"/>
  </r>
  <r>
    <n v="1956"/>
    <d v="2024-10-03T00:00:00"/>
    <s v="Basic"/>
    <n v="199"/>
    <n v="22.1"/>
    <n v="6"/>
    <x v="4"/>
    <n v="17"/>
    <n v="36"/>
    <s v="Yes"/>
    <s v="No"/>
    <s v="Yes"/>
    <s v="Yes"/>
    <s v="Yes"/>
    <s v="No"/>
    <m/>
    <x v="0"/>
    <n v="1"/>
  </r>
  <r>
    <n v="1957"/>
    <d v="2024-02-28T00:00:00"/>
    <s v="Standard"/>
    <n v="399"/>
    <n v="23.5"/>
    <n v="4"/>
    <x v="2"/>
    <n v="14"/>
    <n v="44"/>
    <s v="Yes"/>
    <s v="No"/>
    <s v="Yes"/>
    <s v="No"/>
    <s v="Yes"/>
    <s v="No"/>
    <m/>
    <x v="0"/>
    <n v="1"/>
  </r>
  <r>
    <n v="1958"/>
    <d v="2024-10-03T00:00:00"/>
    <s v="Standard"/>
    <n v="399"/>
    <n v="21.1"/>
    <n v="3"/>
    <x v="2"/>
    <n v="18"/>
    <n v="16"/>
    <s v="No"/>
    <s v="No"/>
    <s v="Yes"/>
    <s v="No"/>
    <s v="Yes"/>
    <s v="No"/>
    <m/>
    <x v="0"/>
    <n v="0"/>
  </r>
  <r>
    <n v="1959"/>
    <d v="2023-03-14T00:00:00"/>
    <s v="Premium"/>
    <n v="699"/>
    <n v="1.5"/>
    <n v="7"/>
    <x v="0"/>
    <n v="26"/>
    <n v="42"/>
    <s v="Yes"/>
    <s v="Yes"/>
    <s v="Yes"/>
    <s v="Yes"/>
    <s v="Yes"/>
    <s v="No"/>
    <m/>
    <x v="0"/>
    <n v="1"/>
  </r>
  <r>
    <n v="1960"/>
    <d v="2023-06-21T00:00:00"/>
    <s v="Premium"/>
    <n v="699"/>
    <n v="3.3"/>
    <n v="7"/>
    <x v="1"/>
    <n v="8"/>
    <n v="11"/>
    <s v="No"/>
    <s v="Yes"/>
    <s v="No"/>
    <s v="Yes"/>
    <s v="No"/>
    <s v="No"/>
    <m/>
    <x v="1"/>
    <n v="0"/>
  </r>
  <r>
    <n v="1961"/>
    <d v="2024-08-06T00:00:00"/>
    <s v="Premium"/>
    <n v="699"/>
    <n v="23.9"/>
    <n v="6"/>
    <x v="3"/>
    <n v="17"/>
    <n v="34"/>
    <s v="Yes"/>
    <s v="No"/>
    <s v="Yes"/>
    <s v="Yes"/>
    <s v="Yes"/>
    <s v="No"/>
    <m/>
    <x v="0"/>
    <n v="1"/>
  </r>
  <r>
    <n v="1962"/>
    <d v="2024-05-24T00:00:00"/>
    <s v="Standard"/>
    <n v="399"/>
    <n v="19.100000000000001"/>
    <n v="6"/>
    <x v="0"/>
    <n v="7"/>
    <n v="60"/>
    <s v="Yes"/>
    <s v="No"/>
    <s v="Yes"/>
    <s v="Yes"/>
    <s v="Yes"/>
    <s v="No"/>
    <m/>
    <x v="0"/>
    <n v="1"/>
  </r>
  <r>
    <n v="1963"/>
    <d v="2023-08-23T00:00:00"/>
    <s v="Basic"/>
    <n v="199"/>
    <n v="13.2"/>
    <n v="0"/>
    <x v="2"/>
    <n v="9"/>
    <n v="30"/>
    <s v="Yes"/>
    <s v="No"/>
    <s v="Yes"/>
    <s v="No"/>
    <s v="Yes"/>
    <s v="No"/>
    <m/>
    <x v="0"/>
    <n v="1"/>
  </r>
  <r>
    <n v="1964"/>
    <d v="2024-03-24T00:00:00"/>
    <s v="Basic"/>
    <n v="199"/>
    <n v="5"/>
    <n v="1"/>
    <x v="0"/>
    <n v="25"/>
    <n v="27"/>
    <s v="No"/>
    <s v="No"/>
    <s v="Yes"/>
    <s v="No"/>
    <s v="Yes"/>
    <s v="No"/>
    <m/>
    <x v="0"/>
    <n v="0"/>
  </r>
  <r>
    <n v="1965"/>
    <d v="2023-07-13T00:00:00"/>
    <s v="Premium"/>
    <n v="699"/>
    <n v="11.3"/>
    <n v="0"/>
    <x v="4"/>
    <n v="10"/>
    <n v="59"/>
    <s v="Yes"/>
    <s v="No"/>
    <s v="Yes"/>
    <s v="No"/>
    <s v="Yes"/>
    <s v="No"/>
    <m/>
    <x v="0"/>
    <n v="1"/>
  </r>
  <r>
    <n v="1966"/>
    <d v="2023-09-14T00:00:00"/>
    <s v="Basic"/>
    <n v="199"/>
    <n v="1.6"/>
    <n v="0"/>
    <x v="0"/>
    <n v="21"/>
    <n v="21"/>
    <s v="No"/>
    <s v="Yes"/>
    <s v="Yes"/>
    <s v="No"/>
    <s v="Yes"/>
    <s v="No"/>
    <m/>
    <x v="0"/>
    <n v="0"/>
  </r>
  <r>
    <n v="1967"/>
    <d v="2023-10-26T00:00:00"/>
    <s v="Basic"/>
    <n v="199"/>
    <n v="11.8"/>
    <n v="0"/>
    <x v="2"/>
    <n v="23"/>
    <n v="24"/>
    <s v="Yes"/>
    <s v="No"/>
    <s v="Yes"/>
    <s v="No"/>
    <s v="Yes"/>
    <s v="No"/>
    <m/>
    <x v="0"/>
    <n v="1"/>
  </r>
  <r>
    <n v="1968"/>
    <d v="2023-01-26T00:00:00"/>
    <s v="Premium"/>
    <n v="699"/>
    <n v="6"/>
    <n v="3"/>
    <x v="3"/>
    <n v="5"/>
    <n v="42"/>
    <s v="No"/>
    <s v="No"/>
    <s v="Yes"/>
    <s v="No"/>
    <s v="Yes"/>
    <s v="Yes"/>
    <m/>
    <x v="0"/>
    <n v="0"/>
  </r>
  <r>
    <n v="1969"/>
    <d v="2024-07-14T00:00:00"/>
    <s v="Standard"/>
    <n v="399"/>
    <n v="21.2"/>
    <n v="8"/>
    <x v="3"/>
    <n v="5"/>
    <n v="35"/>
    <s v="Yes"/>
    <s v="No"/>
    <s v="Yes"/>
    <s v="Yes"/>
    <s v="Yes"/>
    <s v="Yes"/>
    <m/>
    <x v="0"/>
    <n v="1"/>
  </r>
  <r>
    <n v="1970"/>
    <d v="2024-09-25T00:00:00"/>
    <s v="Standard"/>
    <n v="399"/>
    <n v="3.2"/>
    <n v="1"/>
    <x v="2"/>
    <n v="4"/>
    <n v="33"/>
    <s v="Yes"/>
    <s v="Yes"/>
    <s v="Yes"/>
    <s v="No"/>
    <s v="Yes"/>
    <s v="Yes"/>
    <m/>
    <x v="0"/>
    <n v="1"/>
  </r>
  <r>
    <n v="1971"/>
    <d v="2023-04-17T00:00:00"/>
    <s v="Premium"/>
    <n v="699"/>
    <n v="18.2"/>
    <n v="5"/>
    <x v="3"/>
    <n v="11"/>
    <n v="2"/>
    <s v="Yes"/>
    <s v="No"/>
    <s v="Yes"/>
    <s v="Yes"/>
    <s v="No"/>
    <s v="No"/>
    <m/>
    <x v="0"/>
    <n v="1"/>
  </r>
  <r>
    <n v="1972"/>
    <d v="2024-08-03T00:00:00"/>
    <s v="Premium"/>
    <n v="699"/>
    <n v="0.6"/>
    <n v="0"/>
    <x v="5"/>
    <n v="15"/>
    <n v="3"/>
    <s v="No"/>
    <s v="Yes"/>
    <s v="Yes"/>
    <s v="No"/>
    <s v="No"/>
    <s v="No"/>
    <m/>
    <x v="0"/>
    <n v="0"/>
  </r>
  <r>
    <n v="1973"/>
    <d v="2024-10-26T00:00:00"/>
    <s v="Basic"/>
    <n v="199"/>
    <n v="19.2"/>
    <n v="0"/>
    <x v="5"/>
    <n v="15"/>
    <n v="34"/>
    <s v="Yes"/>
    <s v="No"/>
    <s v="Yes"/>
    <s v="No"/>
    <s v="Yes"/>
    <s v="No"/>
    <m/>
    <x v="0"/>
    <n v="1"/>
  </r>
  <r>
    <n v="1974"/>
    <d v="2024-11-30T00:00:00"/>
    <s v="Standard"/>
    <n v="399"/>
    <n v="7.4"/>
    <n v="6"/>
    <x v="2"/>
    <n v="25"/>
    <n v="58"/>
    <s v="Yes"/>
    <s v="No"/>
    <s v="Yes"/>
    <s v="Yes"/>
    <s v="Yes"/>
    <s v="No"/>
    <m/>
    <x v="0"/>
    <n v="1"/>
  </r>
  <r>
    <n v="1975"/>
    <d v="2024-04-10T00:00:00"/>
    <s v="Standard"/>
    <n v="399"/>
    <n v="9"/>
    <n v="7"/>
    <x v="2"/>
    <n v="17"/>
    <n v="58"/>
    <s v="No"/>
    <s v="No"/>
    <s v="Yes"/>
    <s v="Yes"/>
    <s v="Yes"/>
    <s v="No"/>
    <m/>
    <x v="0"/>
    <n v="0"/>
  </r>
  <r>
    <n v="1976"/>
    <d v="2024-02-02T00:00:00"/>
    <s v="Premium"/>
    <n v="699"/>
    <n v="6"/>
    <n v="4"/>
    <x v="4"/>
    <n v="24"/>
    <n v="46"/>
    <s v="Yes"/>
    <s v="No"/>
    <s v="Yes"/>
    <s v="No"/>
    <s v="Yes"/>
    <s v="No"/>
    <m/>
    <x v="0"/>
    <n v="1"/>
  </r>
  <r>
    <n v="1977"/>
    <d v="2023-02-13T00:00:00"/>
    <s v="Standard"/>
    <n v="399"/>
    <n v="9.5"/>
    <n v="0"/>
    <x v="2"/>
    <n v="11"/>
    <n v="51"/>
    <s v="Yes"/>
    <s v="No"/>
    <s v="Yes"/>
    <s v="No"/>
    <s v="Yes"/>
    <s v="No"/>
    <m/>
    <x v="0"/>
    <n v="1"/>
  </r>
  <r>
    <n v="1978"/>
    <d v="2024-10-03T00:00:00"/>
    <s v="Standard"/>
    <n v="399"/>
    <n v="17.899999999999999"/>
    <n v="8"/>
    <x v="0"/>
    <n v="27"/>
    <n v="25"/>
    <s v="Yes"/>
    <s v="No"/>
    <s v="Yes"/>
    <s v="Yes"/>
    <s v="Yes"/>
    <s v="No"/>
    <m/>
    <x v="0"/>
    <n v="1"/>
  </r>
  <r>
    <n v="1979"/>
    <d v="2024-03-30T00:00:00"/>
    <s v="Standard"/>
    <n v="399"/>
    <n v="23.6"/>
    <n v="6"/>
    <x v="2"/>
    <n v="14"/>
    <n v="29"/>
    <s v="Yes"/>
    <s v="No"/>
    <s v="Yes"/>
    <s v="Yes"/>
    <s v="Yes"/>
    <s v="No"/>
    <m/>
    <x v="0"/>
    <n v="1"/>
  </r>
  <r>
    <n v="1980"/>
    <d v="2024-06-26T00:00:00"/>
    <s v="Standard"/>
    <n v="399"/>
    <n v="9.4"/>
    <n v="5"/>
    <x v="4"/>
    <n v="30"/>
    <n v="25"/>
    <s v="Yes"/>
    <s v="No"/>
    <s v="Yes"/>
    <s v="Yes"/>
    <s v="Yes"/>
    <s v="No"/>
    <m/>
    <x v="0"/>
    <n v="1"/>
  </r>
  <r>
    <n v="1981"/>
    <d v="2024-11-06T00:00:00"/>
    <s v="Basic"/>
    <n v="199"/>
    <n v="5.8"/>
    <n v="3"/>
    <x v="5"/>
    <n v="16"/>
    <n v="12"/>
    <s v="No"/>
    <s v="No"/>
    <s v="Yes"/>
    <s v="No"/>
    <s v="No"/>
    <s v="No"/>
    <m/>
    <x v="0"/>
    <n v="0"/>
  </r>
  <r>
    <n v="1982"/>
    <d v="2023-08-07T00:00:00"/>
    <s v="Premium"/>
    <n v="699"/>
    <n v="22.6"/>
    <n v="8"/>
    <x v="2"/>
    <n v="24"/>
    <n v="23"/>
    <s v="Yes"/>
    <s v="No"/>
    <s v="Yes"/>
    <s v="Yes"/>
    <s v="Yes"/>
    <s v="No"/>
    <m/>
    <x v="0"/>
    <n v="1"/>
  </r>
  <r>
    <n v="1983"/>
    <d v="2024-09-30T00:00:00"/>
    <s v="Standard"/>
    <n v="399"/>
    <n v="12"/>
    <n v="8"/>
    <x v="4"/>
    <n v="10"/>
    <n v="28"/>
    <s v="Yes"/>
    <s v="No"/>
    <s v="Yes"/>
    <s v="Yes"/>
    <s v="Yes"/>
    <s v="No"/>
    <m/>
    <x v="0"/>
    <n v="1"/>
  </r>
  <r>
    <n v="1984"/>
    <d v="2024-01-29T00:00:00"/>
    <s v="Standard"/>
    <n v="399"/>
    <n v="5.4"/>
    <n v="5"/>
    <x v="5"/>
    <n v="4"/>
    <n v="56"/>
    <s v="Yes"/>
    <s v="No"/>
    <s v="Yes"/>
    <s v="Yes"/>
    <s v="Yes"/>
    <s v="Yes"/>
    <m/>
    <x v="0"/>
    <n v="1"/>
  </r>
  <r>
    <n v="1985"/>
    <d v="2024-08-04T00:00:00"/>
    <s v="Premium"/>
    <n v="699"/>
    <n v="4.9000000000000004"/>
    <n v="7"/>
    <x v="1"/>
    <n v="28"/>
    <n v="44"/>
    <s v="Yes"/>
    <s v="Yes"/>
    <s v="No"/>
    <s v="Yes"/>
    <s v="Yes"/>
    <s v="No"/>
    <m/>
    <x v="1"/>
    <n v="1"/>
  </r>
  <r>
    <n v="1986"/>
    <d v="2023-07-22T00:00:00"/>
    <s v="Premium"/>
    <n v="699"/>
    <n v="7.2"/>
    <n v="2"/>
    <x v="4"/>
    <n v="12"/>
    <n v="25"/>
    <s v="Yes"/>
    <s v="No"/>
    <s v="Yes"/>
    <s v="No"/>
    <s v="Yes"/>
    <s v="No"/>
    <m/>
    <x v="0"/>
    <n v="1"/>
  </r>
  <r>
    <n v="1987"/>
    <d v="2024-05-13T00:00:00"/>
    <s v="Basic"/>
    <n v="199"/>
    <n v="8.3000000000000007"/>
    <n v="3"/>
    <x v="4"/>
    <n v="27"/>
    <n v="8"/>
    <s v="No"/>
    <s v="No"/>
    <s v="Yes"/>
    <s v="No"/>
    <s v="No"/>
    <s v="No"/>
    <m/>
    <x v="0"/>
    <n v="0"/>
  </r>
  <r>
    <n v="1988"/>
    <d v="2023-03-29T00:00:00"/>
    <s v="Standard"/>
    <n v="399"/>
    <n v="18.5"/>
    <n v="0"/>
    <x v="4"/>
    <n v="34"/>
    <n v="6"/>
    <s v="No"/>
    <s v="No"/>
    <s v="Yes"/>
    <s v="No"/>
    <s v="No"/>
    <s v="No"/>
    <m/>
    <x v="0"/>
    <n v="0"/>
  </r>
  <r>
    <n v="1989"/>
    <d v="2024-01-01T00:00:00"/>
    <s v="Basic"/>
    <n v="199"/>
    <n v="23"/>
    <n v="0"/>
    <x v="3"/>
    <n v="1"/>
    <n v="54"/>
    <s v="Yes"/>
    <s v="No"/>
    <s v="Yes"/>
    <s v="No"/>
    <s v="Yes"/>
    <s v="Yes"/>
    <m/>
    <x v="0"/>
    <n v="1"/>
  </r>
  <r>
    <n v="1990"/>
    <d v="2023-11-20T00:00:00"/>
    <s v="Basic"/>
    <n v="199"/>
    <n v="24"/>
    <n v="4"/>
    <x v="1"/>
    <n v="10"/>
    <n v="23"/>
    <s v="No"/>
    <s v="No"/>
    <s v="No"/>
    <s v="No"/>
    <s v="Yes"/>
    <s v="No"/>
    <m/>
    <x v="1"/>
    <n v="0"/>
  </r>
  <r>
    <n v="1991"/>
    <d v="2024-07-29T00:00:00"/>
    <s v="Premium"/>
    <n v="699"/>
    <n v="12.1"/>
    <n v="2"/>
    <x v="3"/>
    <n v="29"/>
    <n v="19"/>
    <s v="Yes"/>
    <s v="No"/>
    <s v="Yes"/>
    <s v="No"/>
    <s v="Yes"/>
    <s v="No"/>
    <m/>
    <x v="0"/>
    <n v="1"/>
  </r>
  <r>
    <n v="1992"/>
    <d v="2023-06-12T00:00:00"/>
    <s v="Basic"/>
    <n v="199"/>
    <n v="4.5"/>
    <n v="1"/>
    <x v="5"/>
    <n v="10"/>
    <n v="58"/>
    <s v="Yes"/>
    <s v="Yes"/>
    <s v="Yes"/>
    <s v="No"/>
    <s v="Yes"/>
    <s v="No"/>
    <m/>
    <x v="0"/>
    <n v="1"/>
  </r>
  <r>
    <n v="1993"/>
    <d v="2023-04-27T00:00:00"/>
    <s v="Premium"/>
    <n v="699"/>
    <n v="15.9"/>
    <n v="4"/>
    <x v="4"/>
    <n v="36"/>
    <n v="54"/>
    <s v="No"/>
    <s v="No"/>
    <s v="Yes"/>
    <s v="No"/>
    <s v="Yes"/>
    <s v="No"/>
    <m/>
    <x v="0"/>
    <n v="0"/>
  </r>
  <r>
    <n v="1994"/>
    <d v="2024-04-29T00:00:00"/>
    <s v="Premium"/>
    <n v="699"/>
    <n v="22.8"/>
    <n v="1"/>
    <x v="1"/>
    <n v="10"/>
    <n v="8"/>
    <s v="No"/>
    <s v="No"/>
    <s v="No"/>
    <s v="No"/>
    <s v="No"/>
    <s v="No"/>
    <m/>
    <x v="1"/>
    <n v="0"/>
  </r>
  <r>
    <n v="1995"/>
    <d v="2024-01-07T00:00:00"/>
    <s v="Standard"/>
    <n v="399"/>
    <n v="4.7"/>
    <n v="0"/>
    <x v="5"/>
    <n v="31"/>
    <n v="44"/>
    <s v="No"/>
    <s v="Yes"/>
    <s v="Yes"/>
    <s v="No"/>
    <s v="Yes"/>
    <s v="No"/>
    <m/>
    <x v="0"/>
    <n v="0"/>
  </r>
  <r>
    <n v="1996"/>
    <d v="2023-12-19T00:00:00"/>
    <s v="Standard"/>
    <n v="399"/>
    <n v="11.5"/>
    <n v="0"/>
    <x v="2"/>
    <n v="12"/>
    <n v="60"/>
    <s v="No"/>
    <s v="No"/>
    <s v="Yes"/>
    <s v="No"/>
    <s v="Yes"/>
    <s v="No"/>
    <m/>
    <x v="0"/>
    <n v="0"/>
  </r>
  <r>
    <n v="1997"/>
    <d v="2024-11-24T00:00:00"/>
    <s v="Standard"/>
    <n v="399"/>
    <n v="22.2"/>
    <n v="1"/>
    <x v="0"/>
    <n v="6"/>
    <n v="8"/>
    <s v="No"/>
    <s v="No"/>
    <s v="Yes"/>
    <s v="No"/>
    <s v="No"/>
    <s v="No"/>
    <m/>
    <x v="0"/>
    <n v="0"/>
  </r>
  <r>
    <n v="1998"/>
    <d v="2023-03-27T00:00:00"/>
    <s v="Standard"/>
    <n v="399"/>
    <n v="3.2"/>
    <n v="3"/>
    <x v="4"/>
    <n v="10"/>
    <n v="20"/>
    <s v="Yes"/>
    <s v="Yes"/>
    <s v="Yes"/>
    <s v="No"/>
    <s v="Yes"/>
    <s v="No"/>
    <m/>
    <x v="0"/>
    <n v="1"/>
  </r>
  <r>
    <n v="1999"/>
    <d v="2023-07-16T00:00:00"/>
    <s v="Standard"/>
    <n v="399"/>
    <n v="0.9"/>
    <n v="6"/>
    <x v="0"/>
    <n v="32"/>
    <n v="23"/>
    <s v="No"/>
    <s v="Yes"/>
    <s v="Yes"/>
    <s v="Yes"/>
    <s v="Yes"/>
    <s v="No"/>
    <m/>
    <x v="0"/>
    <n v="0"/>
  </r>
  <r>
    <n v="2000"/>
    <d v="2023-02-23T00:00:00"/>
    <s v="Premium"/>
    <n v="699"/>
    <n v="24.6"/>
    <n v="0"/>
    <x v="2"/>
    <n v="18"/>
    <n v="20"/>
    <s v="No"/>
    <s v="No"/>
    <s v="Yes"/>
    <s v="No"/>
    <s v="Yes"/>
    <s v="No"/>
    <m/>
    <x v="0"/>
    <n v="0"/>
  </r>
  <r>
    <n v="2001"/>
    <d v="2023-10-07T00:00:00"/>
    <s v="Premium"/>
    <n v="699"/>
    <n v="17.7"/>
    <n v="4"/>
    <x v="2"/>
    <n v="16"/>
    <n v="27"/>
    <s v="Yes"/>
    <s v="No"/>
    <s v="Yes"/>
    <s v="No"/>
    <s v="Yes"/>
    <s v="No"/>
    <m/>
    <x v="0"/>
    <n v="1"/>
  </r>
  <r>
    <n v="2002"/>
    <d v="2024-10-01T00:00:00"/>
    <s v="Premium"/>
    <n v="699"/>
    <n v="16.7"/>
    <n v="5"/>
    <x v="5"/>
    <n v="30"/>
    <n v="2"/>
    <s v="Yes"/>
    <s v="No"/>
    <s v="Yes"/>
    <s v="Yes"/>
    <s v="No"/>
    <s v="No"/>
    <m/>
    <x v="0"/>
    <n v="1"/>
  </r>
  <r>
    <n v="2003"/>
    <d v="2024-12-12T00:00:00"/>
    <s v="Basic"/>
    <n v="199"/>
    <n v="7.9"/>
    <n v="3"/>
    <x v="2"/>
    <n v="2"/>
    <n v="24"/>
    <s v="Yes"/>
    <s v="No"/>
    <s v="Yes"/>
    <s v="No"/>
    <s v="Yes"/>
    <s v="Yes"/>
    <m/>
    <x v="0"/>
    <n v="1"/>
  </r>
  <r>
    <n v="2004"/>
    <d v="2024-03-10T00:00:00"/>
    <s v="Premium"/>
    <n v="699"/>
    <n v="17.600000000000001"/>
    <n v="5"/>
    <x v="3"/>
    <n v="18"/>
    <n v="51"/>
    <s v="Yes"/>
    <s v="No"/>
    <s v="Yes"/>
    <s v="Yes"/>
    <s v="Yes"/>
    <s v="No"/>
    <m/>
    <x v="0"/>
    <n v="1"/>
  </r>
  <r>
    <n v="2005"/>
    <d v="2024-05-15T00:00:00"/>
    <s v="Standard"/>
    <n v="399"/>
    <n v="3.7"/>
    <n v="5"/>
    <x v="4"/>
    <n v="22"/>
    <n v="16"/>
    <s v="Yes"/>
    <s v="Yes"/>
    <s v="Yes"/>
    <s v="Yes"/>
    <s v="Yes"/>
    <s v="No"/>
    <m/>
    <x v="0"/>
    <n v="1"/>
  </r>
  <r>
    <n v="2006"/>
    <d v="2023-11-23T00:00:00"/>
    <s v="Standard"/>
    <n v="399"/>
    <n v="2.5"/>
    <n v="7"/>
    <x v="4"/>
    <n v="18"/>
    <n v="5"/>
    <s v="No"/>
    <s v="Yes"/>
    <s v="Yes"/>
    <s v="Yes"/>
    <s v="No"/>
    <s v="No"/>
    <m/>
    <x v="0"/>
    <n v="0"/>
  </r>
  <r>
    <n v="2007"/>
    <d v="2024-01-18T00:00:00"/>
    <s v="Premium"/>
    <n v="699"/>
    <n v="1.1000000000000001"/>
    <n v="2"/>
    <x v="1"/>
    <n v="8"/>
    <n v="15"/>
    <s v="Yes"/>
    <s v="Yes"/>
    <s v="No"/>
    <s v="No"/>
    <s v="Yes"/>
    <s v="No"/>
    <m/>
    <x v="1"/>
    <n v="1"/>
  </r>
  <r>
    <n v="2008"/>
    <d v="2023-01-14T00:00:00"/>
    <s v="Basic"/>
    <n v="199"/>
    <n v="14.5"/>
    <n v="3"/>
    <x v="1"/>
    <n v="10"/>
    <n v="55"/>
    <s v="Yes"/>
    <s v="No"/>
    <s v="No"/>
    <s v="No"/>
    <s v="Yes"/>
    <s v="No"/>
    <m/>
    <x v="1"/>
    <n v="1"/>
  </r>
  <r>
    <n v="2009"/>
    <d v="2024-04-16T00:00:00"/>
    <s v="Premium"/>
    <n v="699"/>
    <n v="21.8"/>
    <n v="1"/>
    <x v="0"/>
    <n v="22"/>
    <n v="37"/>
    <s v="No"/>
    <s v="No"/>
    <s v="Yes"/>
    <s v="No"/>
    <s v="Yes"/>
    <s v="No"/>
    <m/>
    <x v="0"/>
    <n v="0"/>
  </r>
  <r>
    <n v="2010"/>
    <d v="2023-05-23T00:00:00"/>
    <s v="Premium"/>
    <n v="699"/>
    <n v="19.8"/>
    <n v="1"/>
    <x v="5"/>
    <n v="22"/>
    <n v="7"/>
    <s v="Yes"/>
    <s v="No"/>
    <s v="Yes"/>
    <s v="No"/>
    <s v="No"/>
    <s v="No"/>
    <m/>
    <x v="0"/>
    <n v="1"/>
  </r>
  <r>
    <n v="2011"/>
    <d v="2023-08-27T00:00:00"/>
    <s v="Basic"/>
    <n v="199"/>
    <n v="5"/>
    <n v="1"/>
    <x v="1"/>
    <n v="6"/>
    <n v="27"/>
    <s v="No"/>
    <s v="No"/>
    <s v="No"/>
    <s v="No"/>
    <s v="Yes"/>
    <s v="No"/>
    <m/>
    <x v="1"/>
    <n v="0"/>
  </r>
  <r>
    <n v="2012"/>
    <d v="2024-05-02T00:00:00"/>
    <s v="Basic"/>
    <n v="199"/>
    <n v="18.100000000000001"/>
    <n v="6"/>
    <x v="3"/>
    <n v="4"/>
    <n v="40"/>
    <s v="Yes"/>
    <s v="No"/>
    <s v="Yes"/>
    <s v="Yes"/>
    <s v="Yes"/>
    <s v="Yes"/>
    <m/>
    <x v="0"/>
    <n v="1"/>
  </r>
  <r>
    <n v="2013"/>
    <d v="2024-08-29T00:00:00"/>
    <s v="Basic"/>
    <n v="199"/>
    <n v="15.3"/>
    <n v="2"/>
    <x v="2"/>
    <n v="32"/>
    <n v="18"/>
    <s v="No"/>
    <s v="No"/>
    <s v="Yes"/>
    <s v="No"/>
    <s v="Yes"/>
    <s v="No"/>
    <m/>
    <x v="0"/>
    <n v="0"/>
  </r>
  <r>
    <n v="2014"/>
    <d v="2023-09-27T00:00:00"/>
    <s v="Basic"/>
    <n v="199"/>
    <n v="5"/>
    <n v="0"/>
    <x v="1"/>
    <n v="29"/>
    <n v="11"/>
    <s v="No"/>
    <s v="No"/>
    <s v="No"/>
    <s v="No"/>
    <s v="No"/>
    <s v="No"/>
    <m/>
    <x v="1"/>
    <n v="0"/>
  </r>
  <r>
    <n v="2015"/>
    <d v="2023-03-19T00:00:00"/>
    <s v="Basic"/>
    <n v="199"/>
    <n v="14.6"/>
    <n v="3"/>
    <x v="4"/>
    <n v="35"/>
    <n v="7"/>
    <s v="No"/>
    <s v="No"/>
    <s v="Yes"/>
    <s v="No"/>
    <s v="No"/>
    <s v="No"/>
    <m/>
    <x v="0"/>
    <n v="0"/>
  </r>
  <r>
    <n v="2016"/>
    <d v="2024-08-29T00:00:00"/>
    <s v="Basic"/>
    <n v="199"/>
    <n v="21.3"/>
    <n v="3"/>
    <x v="0"/>
    <n v="12"/>
    <n v="25"/>
    <s v="No"/>
    <s v="No"/>
    <s v="Yes"/>
    <s v="No"/>
    <s v="Yes"/>
    <s v="No"/>
    <m/>
    <x v="0"/>
    <n v="0"/>
  </r>
  <r>
    <n v="2017"/>
    <d v="2023-12-20T00:00:00"/>
    <s v="Standard"/>
    <n v="399"/>
    <n v="12.9"/>
    <n v="4"/>
    <x v="0"/>
    <n v="27"/>
    <n v="27"/>
    <s v="Yes"/>
    <s v="No"/>
    <s v="Yes"/>
    <s v="No"/>
    <s v="Yes"/>
    <s v="No"/>
    <m/>
    <x v="0"/>
    <n v="1"/>
  </r>
  <r>
    <n v="2018"/>
    <d v="2023-03-05T00:00:00"/>
    <s v="Premium"/>
    <n v="699"/>
    <n v="13.5"/>
    <n v="4"/>
    <x v="3"/>
    <n v="16"/>
    <n v="48"/>
    <s v="Yes"/>
    <s v="No"/>
    <s v="Yes"/>
    <s v="No"/>
    <s v="Yes"/>
    <s v="No"/>
    <m/>
    <x v="0"/>
    <n v="1"/>
  </r>
  <r>
    <n v="2019"/>
    <d v="2023-03-23T00:00:00"/>
    <s v="Basic"/>
    <n v="199"/>
    <n v="8.9"/>
    <n v="0"/>
    <x v="5"/>
    <n v="32"/>
    <n v="48"/>
    <s v="No"/>
    <s v="No"/>
    <s v="Yes"/>
    <s v="No"/>
    <s v="Yes"/>
    <s v="No"/>
    <m/>
    <x v="0"/>
    <n v="0"/>
  </r>
  <r>
    <n v="2020"/>
    <d v="2024-01-06T00:00:00"/>
    <s v="Premium"/>
    <n v="699"/>
    <n v="0.8"/>
    <n v="1"/>
    <x v="3"/>
    <n v="29"/>
    <n v="37"/>
    <s v="Yes"/>
    <s v="Yes"/>
    <s v="Yes"/>
    <s v="No"/>
    <s v="Yes"/>
    <s v="No"/>
    <m/>
    <x v="0"/>
    <n v="1"/>
  </r>
  <r>
    <n v="2021"/>
    <d v="2024-05-06T00:00:00"/>
    <s v="Premium"/>
    <n v="699"/>
    <n v="14.4"/>
    <n v="5"/>
    <x v="2"/>
    <n v="5"/>
    <n v="22"/>
    <s v="Yes"/>
    <s v="No"/>
    <s v="Yes"/>
    <s v="Yes"/>
    <s v="Yes"/>
    <s v="Yes"/>
    <m/>
    <x v="0"/>
    <n v="1"/>
  </r>
  <r>
    <n v="2022"/>
    <d v="2023-07-14T00:00:00"/>
    <s v="Standard"/>
    <n v="399"/>
    <n v="7.9"/>
    <n v="7"/>
    <x v="3"/>
    <n v="32"/>
    <n v="34"/>
    <s v="No"/>
    <s v="No"/>
    <s v="Yes"/>
    <s v="Yes"/>
    <s v="Yes"/>
    <s v="No"/>
    <m/>
    <x v="0"/>
    <n v="0"/>
  </r>
  <r>
    <n v="2023"/>
    <d v="2023-11-29T00:00:00"/>
    <s v="Basic"/>
    <n v="199"/>
    <n v="1.5"/>
    <n v="5"/>
    <x v="2"/>
    <n v="11"/>
    <n v="29"/>
    <s v="Yes"/>
    <s v="Yes"/>
    <s v="Yes"/>
    <s v="Yes"/>
    <s v="Yes"/>
    <s v="No"/>
    <m/>
    <x v="0"/>
    <n v="1"/>
  </r>
  <r>
    <n v="2024"/>
    <d v="2024-01-30T00:00:00"/>
    <s v="Standard"/>
    <n v="399"/>
    <n v="21.8"/>
    <n v="7"/>
    <x v="2"/>
    <n v="30"/>
    <n v="9"/>
    <s v="Yes"/>
    <s v="No"/>
    <s v="Yes"/>
    <s v="Yes"/>
    <s v="No"/>
    <s v="No"/>
    <m/>
    <x v="0"/>
    <n v="1"/>
  </r>
  <r>
    <n v="2025"/>
    <d v="2024-02-14T00:00:00"/>
    <s v="Standard"/>
    <n v="399"/>
    <n v="21.9"/>
    <n v="5"/>
    <x v="2"/>
    <n v="2"/>
    <n v="55"/>
    <s v="Yes"/>
    <s v="No"/>
    <s v="Yes"/>
    <s v="Yes"/>
    <s v="Yes"/>
    <s v="Yes"/>
    <m/>
    <x v="0"/>
    <n v="1"/>
  </r>
  <r>
    <n v="2026"/>
    <d v="2023-08-11T00:00:00"/>
    <s v="Standard"/>
    <n v="399"/>
    <n v="11.1"/>
    <n v="2"/>
    <x v="0"/>
    <n v="1"/>
    <n v="37"/>
    <s v="No"/>
    <s v="No"/>
    <s v="Yes"/>
    <s v="No"/>
    <s v="Yes"/>
    <s v="Yes"/>
    <m/>
    <x v="0"/>
    <n v="0"/>
  </r>
  <r>
    <n v="2027"/>
    <d v="2024-05-24T00:00:00"/>
    <s v="Basic"/>
    <n v="199"/>
    <n v="10.1"/>
    <n v="2"/>
    <x v="3"/>
    <n v="2"/>
    <n v="21"/>
    <s v="Yes"/>
    <s v="No"/>
    <s v="Yes"/>
    <s v="No"/>
    <s v="Yes"/>
    <s v="Yes"/>
    <m/>
    <x v="0"/>
    <n v="1"/>
  </r>
  <r>
    <n v="2028"/>
    <d v="2024-09-13T00:00:00"/>
    <s v="Standard"/>
    <n v="399"/>
    <n v="7.9"/>
    <n v="8"/>
    <x v="3"/>
    <n v="11"/>
    <n v="14"/>
    <s v="Yes"/>
    <s v="No"/>
    <s v="Yes"/>
    <s v="Yes"/>
    <s v="No"/>
    <s v="No"/>
    <m/>
    <x v="0"/>
    <n v="1"/>
  </r>
  <r>
    <n v="2029"/>
    <d v="2023-04-19T00:00:00"/>
    <s v="Premium"/>
    <n v="699"/>
    <n v="11.1"/>
    <n v="2"/>
    <x v="2"/>
    <n v="32"/>
    <n v="42"/>
    <s v="Yes"/>
    <s v="No"/>
    <s v="Yes"/>
    <s v="No"/>
    <s v="Yes"/>
    <s v="No"/>
    <m/>
    <x v="0"/>
    <n v="1"/>
  </r>
  <r>
    <n v="2030"/>
    <d v="2024-05-21T00:00:00"/>
    <s v="Basic"/>
    <n v="199"/>
    <n v="17.8"/>
    <n v="4"/>
    <x v="0"/>
    <n v="21"/>
    <n v="15"/>
    <s v="No"/>
    <s v="No"/>
    <s v="Yes"/>
    <s v="No"/>
    <s v="Yes"/>
    <s v="No"/>
    <m/>
    <x v="0"/>
    <n v="0"/>
  </r>
  <r>
    <n v="2031"/>
    <d v="2023-11-15T00:00:00"/>
    <s v="Basic"/>
    <n v="199"/>
    <n v="12.5"/>
    <n v="4"/>
    <x v="4"/>
    <n v="27"/>
    <n v="10"/>
    <s v="Yes"/>
    <s v="No"/>
    <s v="Yes"/>
    <s v="No"/>
    <s v="No"/>
    <s v="No"/>
    <m/>
    <x v="0"/>
    <n v="1"/>
  </r>
  <r>
    <n v="2032"/>
    <d v="2024-01-18T00:00:00"/>
    <s v="Premium"/>
    <n v="699"/>
    <n v="15.5"/>
    <n v="2"/>
    <x v="5"/>
    <n v="28"/>
    <n v="18"/>
    <s v="Yes"/>
    <s v="No"/>
    <s v="Yes"/>
    <s v="No"/>
    <s v="Yes"/>
    <s v="No"/>
    <m/>
    <x v="0"/>
    <n v="1"/>
  </r>
  <r>
    <n v="2033"/>
    <d v="2024-03-03T00:00:00"/>
    <s v="Premium"/>
    <n v="699"/>
    <n v="9.6"/>
    <n v="7"/>
    <x v="1"/>
    <n v="9"/>
    <n v="1"/>
    <s v="No"/>
    <s v="No"/>
    <s v="No"/>
    <s v="Yes"/>
    <s v="No"/>
    <s v="No"/>
    <m/>
    <x v="1"/>
    <n v="0"/>
  </r>
  <r>
    <n v="2034"/>
    <d v="2024-05-02T00:00:00"/>
    <s v="Basic"/>
    <n v="199"/>
    <n v="23.6"/>
    <n v="3"/>
    <x v="3"/>
    <n v="14"/>
    <n v="40"/>
    <s v="No"/>
    <s v="No"/>
    <s v="Yes"/>
    <s v="No"/>
    <s v="Yes"/>
    <s v="No"/>
    <m/>
    <x v="0"/>
    <n v="0"/>
  </r>
  <r>
    <n v="2035"/>
    <d v="2023-11-26T00:00:00"/>
    <s v="Standard"/>
    <n v="399"/>
    <n v="8.8000000000000007"/>
    <n v="5"/>
    <x v="4"/>
    <n v="36"/>
    <n v="12"/>
    <s v="No"/>
    <s v="No"/>
    <s v="Yes"/>
    <s v="Yes"/>
    <s v="No"/>
    <s v="No"/>
    <m/>
    <x v="0"/>
    <n v="0"/>
  </r>
  <r>
    <n v="2036"/>
    <d v="2023-01-20T00:00:00"/>
    <s v="Premium"/>
    <n v="699"/>
    <n v="17.8"/>
    <n v="3"/>
    <x v="0"/>
    <n v="15"/>
    <n v="31"/>
    <s v="No"/>
    <s v="No"/>
    <s v="Yes"/>
    <s v="No"/>
    <s v="Yes"/>
    <s v="No"/>
    <m/>
    <x v="0"/>
    <n v="0"/>
  </r>
  <r>
    <n v="2037"/>
    <d v="2024-06-25T00:00:00"/>
    <s v="Standard"/>
    <n v="399"/>
    <n v="22.1"/>
    <n v="6"/>
    <x v="0"/>
    <n v="33"/>
    <n v="39"/>
    <s v="Yes"/>
    <s v="No"/>
    <s v="Yes"/>
    <s v="Yes"/>
    <s v="Yes"/>
    <s v="No"/>
    <m/>
    <x v="0"/>
    <n v="1"/>
  </r>
  <r>
    <n v="2038"/>
    <d v="2023-07-17T00:00:00"/>
    <s v="Standard"/>
    <n v="399"/>
    <n v="15.3"/>
    <n v="4"/>
    <x v="1"/>
    <n v="30"/>
    <n v="28"/>
    <s v="Yes"/>
    <s v="No"/>
    <s v="No"/>
    <s v="No"/>
    <s v="Yes"/>
    <s v="No"/>
    <m/>
    <x v="1"/>
    <n v="1"/>
  </r>
  <r>
    <n v="2039"/>
    <d v="2023-01-04T00:00:00"/>
    <s v="Standard"/>
    <n v="399"/>
    <n v="9.4"/>
    <n v="0"/>
    <x v="2"/>
    <n v="10"/>
    <n v="15"/>
    <s v="Yes"/>
    <s v="No"/>
    <s v="Yes"/>
    <s v="No"/>
    <s v="Yes"/>
    <s v="No"/>
    <m/>
    <x v="0"/>
    <n v="1"/>
  </r>
  <r>
    <n v="2040"/>
    <d v="2023-11-24T00:00:00"/>
    <s v="Standard"/>
    <n v="399"/>
    <n v="20.7"/>
    <n v="7"/>
    <x v="5"/>
    <n v="23"/>
    <n v="9"/>
    <s v="No"/>
    <s v="No"/>
    <s v="Yes"/>
    <s v="Yes"/>
    <s v="No"/>
    <s v="No"/>
    <m/>
    <x v="0"/>
    <n v="0"/>
  </r>
  <r>
    <n v="2041"/>
    <d v="2023-07-12T00:00:00"/>
    <s v="Standard"/>
    <n v="399"/>
    <n v="15.3"/>
    <n v="8"/>
    <x v="0"/>
    <n v="21"/>
    <n v="52"/>
    <s v="No"/>
    <s v="No"/>
    <s v="Yes"/>
    <s v="Yes"/>
    <s v="Yes"/>
    <s v="No"/>
    <m/>
    <x v="0"/>
    <n v="0"/>
  </r>
  <r>
    <n v="2042"/>
    <d v="2024-05-31T00:00:00"/>
    <s v="Premium"/>
    <n v="699"/>
    <n v="7.7"/>
    <n v="0"/>
    <x v="4"/>
    <n v="8"/>
    <n v="56"/>
    <s v="Yes"/>
    <s v="No"/>
    <s v="Yes"/>
    <s v="No"/>
    <s v="Yes"/>
    <s v="No"/>
    <m/>
    <x v="0"/>
    <n v="1"/>
  </r>
  <r>
    <n v="2043"/>
    <d v="2023-11-02T00:00:00"/>
    <s v="Standard"/>
    <n v="399"/>
    <n v="19.899999999999999"/>
    <n v="6"/>
    <x v="4"/>
    <n v="16"/>
    <n v="52"/>
    <s v="No"/>
    <s v="No"/>
    <s v="Yes"/>
    <s v="Yes"/>
    <s v="Yes"/>
    <s v="No"/>
    <m/>
    <x v="0"/>
    <n v="0"/>
  </r>
  <r>
    <n v="2044"/>
    <d v="2024-03-07T00:00:00"/>
    <s v="Standard"/>
    <n v="399"/>
    <n v="4"/>
    <n v="0"/>
    <x v="1"/>
    <n v="14"/>
    <n v="41"/>
    <s v="No"/>
    <s v="Yes"/>
    <s v="No"/>
    <s v="No"/>
    <s v="Yes"/>
    <s v="No"/>
    <m/>
    <x v="1"/>
    <n v="0"/>
  </r>
  <r>
    <n v="2045"/>
    <d v="2023-06-10T00:00:00"/>
    <s v="Basic"/>
    <n v="199"/>
    <n v="11.9"/>
    <n v="2"/>
    <x v="2"/>
    <n v="24"/>
    <n v="40"/>
    <s v="Yes"/>
    <s v="No"/>
    <s v="Yes"/>
    <s v="No"/>
    <s v="Yes"/>
    <s v="No"/>
    <m/>
    <x v="0"/>
    <n v="1"/>
  </r>
  <r>
    <n v="2046"/>
    <d v="2024-12-24T00:00:00"/>
    <s v="Premium"/>
    <n v="699"/>
    <n v="19.100000000000001"/>
    <n v="1"/>
    <x v="3"/>
    <n v="29"/>
    <n v="29"/>
    <s v="Yes"/>
    <s v="No"/>
    <s v="Yes"/>
    <s v="No"/>
    <s v="Yes"/>
    <s v="No"/>
    <m/>
    <x v="0"/>
    <n v="1"/>
  </r>
  <r>
    <n v="2047"/>
    <d v="2023-12-01T00:00:00"/>
    <s v="Premium"/>
    <n v="699"/>
    <n v="7.5"/>
    <n v="2"/>
    <x v="3"/>
    <n v="30"/>
    <n v="1"/>
    <s v="Yes"/>
    <s v="No"/>
    <s v="Yes"/>
    <s v="No"/>
    <s v="No"/>
    <s v="No"/>
    <m/>
    <x v="0"/>
    <n v="1"/>
  </r>
  <r>
    <n v="2048"/>
    <d v="2024-10-05T00:00:00"/>
    <s v="Premium"/>
    <n v="699"/>
    <n v="9.5"/>
    <n v="5"/>
    <x v="4"/>
    <n v="31"/>
    <n v="24"/>
    <s v="Yes"/>
    <s v="No"/>
    <s v="Yes"/>
    <s v="Yes"/>
    <s v="Yes"/>
    <s v="No"/>
    <m/>
    <x v="0"/>
    <n v="1"/>
  </r>
  <r>
    <n v="2049"/>
    <d v="2024-10-21T00:00:00"/>
    <s v="Standard"/>
    <n v="399"/>
    <n v="10.199999999999999"/>
    <n v="5"/>
    <x v="5"/>
    <n v="21"/>
    <n v="53"/>
    <s v="No"/>
    <s v="No"/>
    <s v="Yes"/>
    <s v="Yes"/>
    <s v="Yes"/>
    <s v="No"/>
    <m/>
    <x v="0"/>
    <n v="0"/>
  </r>
  <r>
    <n v="2050"/>
    <d v="2024-12-31T00:00:00"/>
    <s v="Standard"/>
    <n v="399"/>
    <n v="14.4"/>
    <n v="0"/>
    <x v="5"/>
    <n v="21"/>
    <n v="3"/>
    <s v="No"/>
    <s v="No"/>
    <s v="Yes"/>
    <s v="No"/>
    <s v="No"/>
    <s v="No"/>
    <m/>
    <x v="0"/>
    <n v="0"/>
  </r>
  <r>
    <n v="2051"/>
    <d v="2023-06-17T00:00:00"/>
    <s v="Basic"/>
    <n v="199"/>
    <n v="2.1"/>
    <n v="1"/>
    <x v="0"/>
    <n v="32"/>
    <n v="9"/>
    <s v="Yes"/>
    <s v="Yes"/>
    <s v="Yes"/>
    <s v="No"/>
    <s v="No"/>
    <s v="No"/>
    <m/>
    <x v="0"/>
    <n v="1"/>
  </r>
  <r>
    <n v="2052"/>
    <d v="2023-12-18T00:00:00"/>
    <s v="Premium"/>
    <n v="699"/>
    <n v="2.8"/>
    <n v="5"/>
    <x v="3"/>
    <n v="16"/>
    <n v="21"/>
    <s v="Yes"/>
    <s v="Yes"/>
    <s v="Yes"/>
    <s v="Yes"/>
    <s v="Yes"/>
    <s v="No"/>
    <m/>
    <x v="0"/>
    <n v="1"/>
  </r>
  <r>
    <n v="2053"/>
    <d v="2024-02-10T00:00:00"/>
    <s v="Basic"/>
    <n v="199"/>
    <n v="10.3"/>
    <n v="0"/>
    <x v="5"/>
    <n v="32"/>
    <n v="26"/>
    <s v="No"/>
    <s v="No"/>
    <s v="Yes"/>
    <s v="No"/>
    <s v="Yes"/>
    <s v="No"/>
    <m/>
    <x v="0"/>
    <n v="0"/>
  </r>
  <r>
    <n v="2054"/>
    <d v="2023-09-25T00:00:00"/>
    <s v="Premium"/>
    <n v="699"/>
    <n v="13.9"/>
    <n v="1"/>
    <x v="0"/>
    <n v="10"/>
    <n v="28"/>
    <s v="Yes"/>
    <s v="No"/>
    <s v="Yes"/>
    <s v="No"/>
    <s v="Yes"/>
    <s v="No"/>
    <m/>
    <x v="0"/>
    <n v="1"/>
  </r>
  <r>
    <n v="2055"/>
    <d v="2024-12-15T00:00:00"/>
    <s v="Basic"/>
    <n v="199"/>
    <n v="1.9"/>
    <n v="8"/>
    <x v="1"/>
    <n v="16"/>
    <n v="3"/>
    <s v="No"/>
    <s v="Yes"/>
    <s v="No"/>
    <s v="Yes"/>
    <s v="No"/>
    <s v="No"/>
    <m/>
    <x v="1"/>
    <n v="0"/>
  </r>
  <r>
    <n v="2056"/>
    <d v="2023-05-21T00:00:00"/>
    <s v="Basic"/>
    <n v="199"/>
    <n v="1.5"/>
    <n v="3"/>
    <x v="0"/>
    <n v="31"/>
    <n v="60"/>
    <s v="Yes"/>
    <s v="Yes"/>
    <s v="Yes"/>
    <s v="No"/>
    <s v="Yes"/>
    <s v="No"/>
    <m/>
    <x v="0"/>
    <n v="1"/>
  </r>
  <r>
    <n v="2057"/>
    <d v="2024-05-19T00:00:00"/>
    <s v="Premium"/>
    <n v="699"/>
    <n v="8.4"/>
    <n v="6"/>
    <x v="1"/>
    <n v="21"/>
    <n v="32"/>
    <s v="No"/>
    <s v="No"/>
    <s v="No"/>
    <s v="Yes"/>
    <s v="Yes"/>
    <s v="No"/>
    <m/>
    <x v="1"/>
    <n v="0"/>
  </r>
  <r>
    <n v="2058"/>
    <d v="2023-08-24T00:00:00"/>
    <s v="Basic"/>
    <n v="199"/>
    <n v="14"/>
    <n v="0"/>
    <x v="0"/>
    <n v="27"/>
    <n v="37"/>
    <s v="Yes"/>
    <s v="No"/>
    <s v="Yes"/>
    <s v="No"/>
    <s v="Yes"/>
    <s v="No"/>
    <m/>
    <x v="0"/>
    <n v="1"/>
  </r>
  <r>
    <n v="2059"/>
    <d v="2023-06-18T00:00:00"/>
    <s v="Premium"/>
    <n v="699"/>
    <n v="0.7"/>
    <n v="1"/>
    <x v="5"/>
    <n v="32"/>
    <n v="56"/>
    <s v="Yes"/>
    <s v="Yes"/>
    <s v="Yes"/>
    <s v="No"/>
    <s v="Yes"/>
    <s v="No"/>
    <m/>
    <x v="0"/>
    <n v="1"/>
  </r>
  <r>
    <n v="2060"/>
    <d v="2023-09-30T00:00:00"/>
    <s v="Standard"/>
    <n v="399"/>
    <n v="4.2"/>
    <n v="0"/>
    <x v="4"/>
    <n v="14"/>
    <n v="47"/>
    <s v="Yes"/>
    <s v="Yes"/>
    <s v="Yes"/>
    <s v="No"/>
    <s v="Yes"/>
    <s v="No"/>
    <m/>
    <x v="0"/>
    <n v="1"/>
  </r>
  <r>
    <n v="2061"/>
    <d v="2023-12-09T00:00:00"/>
    <s v="Premium"/>
    <n v="699"/>
    <n v="13"/>
    <n v="2"/>
    <x v="0"/>
    <n v="24"/>
    <n v="48"/>
    <s v="No"/>
    <s v="No"/>
    <s v="Yes"/>
    <s v="No"/>
    <s v="Yes"/>
    <s v="No"/>
    <m/>
    <x v="0"/>
    <n v="0"/>
  </r>
  <r>
    <n v="2062"/>
    <d v="2023-01-30T00:00:00"/>
    <s v="Basic"/>
    <n v="199"/>
    <n v="22.5"/>
    <n v="6"/>
    <x v="1"/>
    <n v="21"/>
    <n v="41"/>
    <s v="Yes"/>
    <s v="No"/>
    <s v="No"/>
    <s v="Yes"/>
    <s v="Yes"/>
    <s v="No"/>
    <m/>
    <x v="1"/>
    <n v="1"/>
  </r>
  <r>
    <n v="2063"/>
    <d v="2023-04-20T00:00:00"/>
    <s v="Standard"/>
    <n v="399"/>
    <n v="19.399999999999999"/>
    <n v="3"/>
    <x v="0"/>
    <n v="33"/>
    <n v="7"/>
    <s v="Yes"/>
    <s v="No"/>
    <s v="Yes"/>
    <s v="No"/>
    <s v="No"/>
    <s v="No"/>
    <m/>
    <x v="0"/>
    <n v="1"/>
  </r>
  <r>
    <n v="2064"/>
    <d v="2024-08-30T00:00:00"/>
    <s v="Premium"/>
    <n v="699"/>
    <n v="5.4"/>
    <n v="4"/>
    <x v="4"/>
    <n v="14"/>
    <n v="43"/>
    <s v="Yes"/>
    <s v="No"/>
    <s v="Yes"/>
    <s v="No"/>
    <s v="Yes"/>
    <s v="No"/>
    <m/>
    <x v="0"/>
    <n v="1"/>
  </r>
  <r>
    <n v="2065"/>
    <d v="2023-09-16T00:00:00"/>
    <s v="Standard"/>
    <n v="399"/>
    <n v="11.9"/>
    <n v="3"/>
    <x v="5"/>
    <n v="24"/>
    <n v="56"/>
    <s v="No"/>
    <s v="No"/>
    <s v="Yes"/>
    <s v="No"/>
    <s v="Yes"/>
    <s v="No"/>
    <m/>
    <x v="0"/>
    <n v="0"/>
  </r>
  <r>
    <n v="2066"/>
    <d v="2023-12-08T00:00:00"/>
    <s v="Basic"/>
    <n v="199"/>
    <n v="1.1000000000000001"/>
    <n v="0"/>
    <x v="0"/>
    <n v="33"/>
    <n v="53"/>
    <s v="Yes"/>
    <s v="Yes"/>
    <s v="Yes"/>
    <s v="No"/>
    <s v="Yes"/>
    <s v="No"/>
    <m/>
    <x v="0"/>
    <n v="1"/>
  </r>
  <r>
    <n v="2067"/>
    <d v="2024-02-05T00:00:00"/>
    <s v="Basic"/>
    <n v="199"/>
    <n v="23.7"/>
    <n v="6"/>
    <x v="4"/>
    <n v="32"/>
    <n v="20"/>
    <s v="Yes"/>
    <s v="No"/>
    <s v="Yes"/>
    <s v="Yes"/>
    <s v="Yes"/>
    <s v="No"/>
    <m/>
    <x v="0"/>
    <n v="1"/>
  </r>
  <r>
    <n v="2068"/>
    <d v="2024-11-14T00:00:00"/>
    <s v="Premium"/>
    <n v="699"/>
    <n v="23.1"/>
    <n v="7"/>
    <x v="5"/>
    <n v="11"/>
    <n v="38"/>
    <s v="Yes"/>
    <s v="No"/>
    <s v="Yes"/>
    <s v="Yes"/>
    <s v="Yes"/>
    <s v="No"/>
    <m/>
    <x v="0"/>
    <n v="1"/>
  </r>
  <r>
    <n v="2069"/>
    <d v="2023-01-12T00:00:00"/>
    <s v="Basic"/>
    <n v="199"/>
    <n v="15.6"/>
    <n v="0"/>
    <x v="1"/>
    <n v="5"/>
    <n v="39"/>
    <s v="Yes"/>
    <s v="No"/>
    <s v="No"/>
    <s v="No"/>
    <s v="Yes"/>
    <s v="Yes"/>
    <m/>
    <x v="1"/>
    <n v="1"/>
  </r>
  <r>
    <n v="2070"/>
    <d v="2023-04-10T00:00:00"/>
    <s v="Standard"/>
    <n v="399"/>
    <n v="7.9"/>
    <n v="6"/>
    <x v="4"/>
    <n v="1"/>
    <n v="36"/>
    <s v="No"/>
    <s v="No"/>
    <s v="Yes"/>
    <s v="Yes"/>
    <s v="Yes"/>
    <s v="Yes"/>
    <m/>
    <x v="0"/>
    <n v="0"/>
  </r>
  <r>
    <n v="2071"/>
    <d v="2023-03-19T00:00:00"/>
    <s v="Basic"/>
    <n v="199"/>
    <n v="5.8"/>
    <n v="3"/>
    <x v="2"/>
    <n v="24"/>
    <n v="47"/>
    <s v="No"/>
    <s v="No"/>
    <s v="Yes"/>
    <s v="No"/>
    <s v="Yes"/>
    <s v="No"/>
    <m/>
    <x v="0"/>
    <n v="0"/>
  </r>
  <r>
    <n v="2072"/>
    <d v="2023-05-26T00:00:00"/>
    <s v="Standard"/>
    <n v="399"/>
    <n v="16.5"/>
    <n v="4"/>
    <x v="1"/>
    <n v="27"/>
    <n v="57"/>
    <s v="Yes"/>
    <s v="No"/>
    <s v="No"/>
    <s v="No"/>
    <s v="Yes"/>
    <s v="No"/>
    <m/>
    <x v="1"/>
    <n v="1"/>
  </r>
  <r>
    <n v="2073"/>
    <d v="2024-11-29T00:00:00"/>
    <s v="Standard"/>
    <n v="399"/>
    <n v="23.3"/>
    <n v="3"/>
    <x v="1"/>
    <n v="30"/>
    <n v="58"/>
    <s v="No"/>
    <s v="No"/>
    <s v="No"/>
    <s v="No"/>
    <s v="Yes"/>
    <s v="No"/>
    <m/>
    <x v="1"/>
    <n v="0"/>
  </r>
  <r>
    <n v="2074"/>
    <d v="2024-08-16T00:00:00"/>
    <s v="Basic"/>
    <n v="199"/>
    <n v="4.8"/>
    <n v="1"/>
    <x v="1"/>
    <n v="31"/>
    <n v="46"/>
    <s v="Yes"/>
    <s v="Yes"/>
    <s v="No"/>
    <s v="No"/>
    <s v="Yes"/>
    <s v="No"/>
    <m/>
    <x v="1"/>
    <n v="1"/>
  </r>
  <r>
    <n v="2075"/>
    <d v="2024-12-09T00:00:00"/>
    <s v="Premium"/>
    <n v="699"/>
    <n v="7.2"/>
    <n v="0"/>
    <x v="4"/>
    <n v="36"/>
    <n v="36"/>
    <s v="Yes"/>
    <s v="No"/>
    <s v="Yes"/>
    <s v="No"/>
    <s v="Yes"/>
    <s v="No"/>
    <m/>
    <x v="0"/>
    <n v="1"/>
  </r>
  <r>
    <n v="2076"/>
    <d v="2024-04-21T00:00:00"/>
    <s v="Basic"/>
    <n v="199"/>
    <n v="2.1"/>
    <n v="6"/>
    <x v="1"/>
    <n v="14"/>
    <n v="2"/>
    <s v="Yes"/>
    <s v="Yes"/>
    <s v="No"/>
    <s v="Yes"/>
    <s v="No"/>
    <s v="No"/>
    <m/>
    <x v="1"/>
    <n v="1"/>
  </r>
  <r>
    <n v="2077"/>
    <d v="2023-10-15T00:00:00"/>
    <s v="Standard"/>
    <n v="399"/>
    <n v="24.3"/>
    <n v="0"/>
    <x v="4"/>
    <n v="12"/>
    <n v="4"/>
    <s v="No"/>
    <s v="No"/>
    <s v="Yes"/>
    <s v="No"/>
    <s v="No"/>
    <s v="No"/>
    <m/>
    <x v="0"/>
    <n v="0"/>
  </r>
  <r>
    <n v="2078"/>
    <d v="2023-07-12T00:00:00"/>
    <s v="Premium"/>
    <n v="699"/>
    <n v="18.100000000000001"/>
    <n v="3"/>
    <x v="3"/>
    <n v="19"/>
    <n v="1"/>
    <s v="No"/>
    <s v="No"/>
    <s v="Yes"/>
    <s v="No"/>
    <s v="No"/>
    <s v="No"/>
    <m/>
    <x v="0"/>
    <n v="0"/>
  </r>
  <r>
    <n v="2079"/>
    <d v="2024-07-26T00:00:00"/>
    <s v="Basic"/>
    <n v="199"/>
    <n v="20.399999999999999"/>
    <n v="0"/>
    <x v="5"/>
    <n v="29"/>
    <n v="53"/>
    <s v="No"/>
    <s v="No"/>
    <s v="Yes"/>
    <s v="No"/>
    <s v="Yes"/>
    <s v="No"/>
    <m/>
    <x v="0"/>
    <n v="0"/>
  </r>
  <r>
    <n v="2080"/>
    <d v="2024-01-12T00:00:00"/>
    <s v="Premium"/>
    <n v="699"/>
    <n v="19.899999999999999"/>
    <n v="0"/>
    <x v="3"/>
    <n v="32"/>
    <n v="23"/>
    <s v="Yes"/>
    <s v="No"/>
    <s v="Yes"/>
    <s v="No"/>
    <s v="Yes"/>
    <s v="No"/>
    <m/>
    <x v="0"/>
    <n v="1"/>
  </r>
  <r>
    <n v="2081"/>
    <d v="2024-07-18T00:00:00"/>
    <s v="Standard"/>
    <n v="399"/>
    <n v="13.8"/>
    <n v="5"/>
    <x v="4"/>
    <n v="31"/>
    <n v="57"/>
    <s v="Yes"/>
    <s v="No"/>
    <s v="Yes"/>
    <s v="Yes"/>
    <s v="Yes"/>
    <s v="No"/>
    <m/>
    <x v="0"/>
    <n v="1"/>
  </r>
  <r>
    <n v="2082"/>
    <d v="2024-01-17T00:00:00"/>
    <s v="Premium"/>
    <n v="699"/>
    <n v="8.4"/>
    <n v="5"/>
    <x v="2"/>
    <n v="10"/>
    <n v="11"/>
    <s v="No"/>
    <s v="No"/>
    <s v="Yes"/>
    <s v="Yes"/>
    <s v="No"/>
    <s v="No"/>
    <m/>
    <x v="0"/>
    <n v="0"/>
  </r>
  <r>
    <n v="2083"/>
    <d v="2024-11-22T00:00:00"/>
    <s v="Standard"/>
    <n v="399"/>
    <n v="19.3"/>
    <n v="2"/>
    <x v="4"/>
    <n v="23"/>
    <n v="48"/>
    <s v="No"/>
    <s v="No"/>
    <s v="Yes"/>
    <s v="No"/>
    <s v="Yes"/>
    <s v="No"/>
    <m/>
    <x v="0"/>
    <n v="0"/>
  </r>
  <r>
    <n v="2084"/>
    <d v="2023-05-21T00:00:00"/>
    <s v="Premium"/>
    <n v="699"/>
    <n v="9.3000000000000007"/>
    <n v="6"/>
    <x v="1"/>
    <n v="27"/>
    <n v="38"/>
    <s v="Yes"/>
    <s v="No"/>
    <s v="No"/>
    <s v="Yes"/>
    <s v="Yes"/>
    <s v="No"/>
    <m/>
    <x v="1"/>
    <n v="1"/>
  </r>
  <r>
    <n v="2085"/>
    <d v="2023-02-13T00:00:00"/>
    <s v="Standard"/>
    <n v="399"/>
    <n v="16.3"/>
    <n v="7"/>
    <x v="5"/>
    <n v="23"/>
    <n v="55"/>
    <s v="Yes"/>
    <s v="No"/>
    <s v="Yes"/>
    <s v="Yes"/>
    <s v="Yes"/>
    <s v="No"/>
    <m/>
    <x v="0"/>
    <n v="1"/>
  </r>
  <r>
    <n v="2086"/>
    <d v="2023-06-13T00:00:00"/>
    <s v="Standard"/>
    <n v="399"/>
    <n v="23"/>
    <n v="2"/>
    <x v="5"/>
    <n v="33"/>
    <n v="21"/>
    <s v="Yes"/>
    <s v="No"/>
    <s v="Yes"/>
    <s v="No"/>
    <s v="Yes"/>
    <s v="No"/>
    <m/>
    <x v="0"/>
    <n v="1"/>
  </r>
  <r>
    <n v="2087"/>
    <d v="2024-03-05T00:00:00"/>
    <s v="Premium"/>
    <n v="699"/>
    <n v="24.4"/>
    <n v="3"/>
    <x v="4"/>
    <n v="9"/>
    <n v="25"/>
    <s v="Yes"/>
    <s v="No"/>
    <s v="Yes"/>
    <s v="No"/>
    <s v="Yes"/>
    <s v="No"/>
    <m/>
    <x v="0"/>
    <n v="1"/>
  </r>
  <r>
    <n v="2088"/>
    <d v="2024-07-17T00:00:00"/>
    <s v="Basic"/>
    <n v="199"/>
    <n v="13.8"/>
    <n v="8"/>
    <x v="1"/>
    <n v="33"/>
    <n v="36"/>
    <s v="Yes"/>
    <s v="No"/>
    <s v="No"/>
    <s v="Yes"/>
    <s v="Yes"/>
    <s v="No"/>
    <m/>
    <x v="1"/>
    <n v="1"/>
  </r>
  <r>
    <n v="2089"/>
    <d v="2024-01-18T00:00:00"/>
    <s v="Premium"/>
    <n v="699"/>
    <n v="18.600000000000001"/>
    <n v="5"/>
    <x v="2"/>
    <n v="11"/>
    <n v="7"/>
    <s v="Yes"/>
    <s v="No"/>
    <s v="Yes"/>
    <s v="Yes"/>
    <s v="No"/>
    <s v="No"/>
    <m/>
    <x v="0"/>
    <n v="1"/>
  </r>
  <r>
    <n v="2090"/>
    <d v="2024-02-22T00:00:00"/>
    <s v="Premium"/>
    <n v="699"/>
    <n v="13.3"/>
    <n v="6"/>
    <x v="0"/>
    <n v="26"/>
    <n v="36"/>
    <s v="Yes"/>
    <s v="No"/>
    <s v="Yes"/>
    <s v="Yes"/>
    <s v="Yes"/>
    <s v="No"/>
    <m/>
    <x v="0"/>
    <n v="1"/>
  </r>
  <r>
    <n v="2091"/>
    <d v="2023-07-12T00:00:00"/>
    <s v="Premium"/>
    <n v="699"/>
    <n v="6"/>
    <n v="7"/>
    <x v="0"/>
    <n v="7"/>
    <n v="53"/>
    <s v="No"/>
    <s v="No"/>
    <s v="Yes"/>
    <s v="Yes"/>
    <s v="Yes"/>
    <s v="No"/>
    <m/>
    <x v="0"/>
    <n v="0"/>
  </r>
  <r>
    <n v="2092"/>
    <d v="2023-03-15T00:00:00"/>
    <s v="Premium"/>
    <n v="699"/>
    <n v="22.4"/>
    <n v="8"/>
    <x v="1"/>
    <n v="1"/>
    <n v="31"/>
    <s v="Yes"/>
    <s v="No"/>
    <s v="No"/>
    <s v="Yes"/>
    <s v="Yes"/>
    <s v="Yes"/>
    <m/>
    <x v="1"/>
    <n v="1"/>
  </r>
  <r>
    <n v="2093"/>
    <d v="2024-10-15T00:00:00"/>
    <s v="Premium"/>
    <n v="699"/>
    <n v="6.4"/>
    <n v="6"/>
    <x v="3"/>
    <n v="20"/>
    <n v="52"/>
    <s v="Yes"/>
    <s v="No"/>
    <s v="Yes"/>
    <s v="Yes"/>
    <s v="Yes"/>
    <s v="No"/>
    <m/>
    <x v="0"/>
    <n v="1"/>
  </r>
  <r>
    <n v="2094"/>
    <d v="2024-11-27T00:00:00"/>
    <s v="Basic"/>
    <n v="199"/>
    <n v="1.1000000000000001"/>
    <n v="0"/>
    <x v="3"/>
    <n v="13"/>
    <n v="7"/>
    <s v="Yes"/>
    <s v="Yes"/>
    <s v="Yes"/>
    <s v="No"/>
    <s v="No"/>
    <s v="No"/>
    <m/>
    <x v="0"/>
    <n v="1"/>
  </r>
  <r>
    <n v="2095"/>
    <d v="2024-02-17T00:00:00"/>
    <s v="Basic"/>
    <n v="199"/>
    <n v="6.7"/>
    <n v="1"/>
    <x v="2"/>
    <n v="5"/>
    <n v="60"/>
    <s v="Yes"/>
    <s v="No"/>
    <s v="Yes"/>
    <s v="No"/>
    <s v="Yes"/>
    <s v="Yes"/>
    <m/>
    <x v="0"/>
    <n v="1"/>
  </r>
  <r>
    <n v="2096"/>
    <d v="2024-08-26T00:00:00"/>
    <s v="Basic"/>
    <n v="199"/>
    <n v="8.9"/>
    <n v="5"/>
    <x v="0"/>
    <n v="20"/>
    <n v="19"/>
    <s v="No"/>
    <s v="No"/>
    <s v="Yes"/>
    <s v="Yes"/>
    <s v="Yes"/>
    <s v="No"/>
    <m/>
    <x v="0"/>
    <n v="0"/>
  </r>
  <r>
    <n v="2097"/>
    <d v="2023-09-19T00:00:00"/>
    <s v="Standard"/>
    <n v="399"/>
    <n v="17.100000000000001"/>
    <n v="0"/>
    <x v="2"/>
    <n v="3"/>
    <n v="20"/>
    <s v="No"/>
    <s v="No"/>
    <s v="Yes"/>
    <s v="No"/>
    <s v="Yes"/>
    <s v="Yes"/>
    <m/>
    <x v="0"/>
    <n v="0"/>
  </r>
  <r>
    <n v="2098"/>
    <d v="2024-12-06T00:00:00"/>
    <s v="Premium"/>
    <n v="699"/>
    <n v="21.6"/>
    <n v="6"/>
    <x v="5"/>
    <n v="31"/>
    <n v="49"/>
    <s v="Yes"/>
    <s v="No"/>
    <s v="Yes"/>
    <s v="Yes"/>
    <s v="Yes"/>
    <s v="No"/>
    <m/>
    <x v="0"/>
    <n v="1"/>
  </r>
  <r>
    <n v="2099"/>
    <d v="2024-05-14T00:00:00"/>
    <s v="Premium"/>
    <n v="699"/>
    <n v="23.8"/>
    <n v="7"/>
    <x v="1"/>
    <n v="23"/>
    <n v="24"/>
    <s v="Yes"/>
    <s v="No"/>
    <s v="No"/>
    <s v="Yes"/>
    <s v="Yes"/>
    <s v="No"/>
    <m/>
    <x v="1"/>
    <n v="1"/>
  </r>
  <r>
    <n v="2100"/>
    <d v="2024-10-08T00:00:00"/>
    <s v="Basic"/>
    <n v="199"/>
    <n v="6.7"/>
    <n v="1"/>
    <x v="1"/>
    <n v="31"/>
    <n v="15"/>
    <s v="No"/>
    <s v="No"/>
    <s v="No"/>
    <s v="No"/>
    <s v="Yes"/>
    <s v="No"/>
    <m/>
    <x v="1"/>
    <n v="0"/>
  </r>
  <r>
    <n v="2101"/>
    <d v="2023-02-05T00:00:00"/>
    <s v="Basic"/>
    <n v="199"/>
    <n v="9.8000000000000007"/>
    <n v="5"/>
    <x v="0"/>
    <n v="30"/>
    <n v="38"/>
    <s v="No"/>
    <s v="No"/>
    <s v="Yes"/>
    <s v="Yes"/>
    <s v="Yes"/>
    <s v="No"/>
    <m/>
    <x v="0"/>
    <n v="0"/>
  </r>
  <r>
    <n v="2102"/>
    <d v="2023-01-11T00:00:00"/>
    <s v="Standard"/>
    <n v="399"/>
    <n v="14"/>
    <n v="7"/>
    <x v="0"/>
    <n v="20"/>
    <n v="39"/>
    <s v="Yes"/>
    <s v="No"/>
    <s v="Yes"/>
    <s v="Yes"/>
    <s v="Yes"/>
    <s v="No"/>
    <m/>
    <x v="0"/>
    <n v="1"/>
  </r>
  <r>
    <n v="2103"/>
    <d v="2023-07-05T00:00:00"/>
    <s v="Premium"/>
    <n v="699"/>
    <n v="15"/>
    <n v="0"/>
    <x v="5"/>
    <n v="9"/>
    <n v="28"/>
    <s v="Yes"/>
    <s v="No"/>
    <s v="Yes"/>
    <s v="No"/>
    <s v="Yes"/>
    <s v="No"/>
    <m/>
    <x v="0"/>
    <n v="1"/>
  </r>
  <r>
    <n v="2104"/>
    <d v="2023-09-17T00:00:00"/>
    <s v="Standard"/>
    <n v="399"/>
    <n v="17.600000000000001"/>
    <n v="6"/>
    <x v="5"/>
    <n v="18"/>
    <n v="41"/>
    <s v="Yes"/>
    <s v="No"/>
    <s v="Yes"/>
    <s v="Yes"/>
    <s v="Yes"/>
    <s v="No"/>
    <m/>
    <x v="0"/>
    <n v="1"/>
  </r>
  <r>
    <n v="2105"/>
    <d v="2023-06-16T00:00:00"/>
    <s v="Premium"/>
    <n v="699"/>
    <n v="17.600000000000001"/>
    <n v="7"/>
    <x v="0"/>
    <n v="8"/>
    <n v="57"/>
    <s v="Yes"/>
    <s v="No"/>
    <s v="Yes"/>
    <s v="Yes"/>
    <s v="Yes"/>
    <s v="No"/>
    <m/>
    <x v="0"/>
    <n v="1"/>
  </r>
  <r>
    <n v="2106"/>
    <d v="2023-03-20T00:00:00"/>
    <s v="Basic"/>
    <n v="199"/>
    <n v="15.2"/>
    <n v="6"/>
    <x v="1"/>
    <n v="19"/>
    <n v="43"/>
    <s v="Yes"/>
    <s v="No"/>
    <s v="No"/>
    <s v="Yes"/>
    <s v="Yes"/>
    <s v="No"/>
    <m/>
    <x v="1"/>
    <n v="1"/>
  </r>
  <r>
    <n v="2107"/>
    <d v="2024-10-31T00:00:00"/>
    <s v="Basic"/>
    <n v="199"/>
    <n v="12.4"/>
    <n v="0"/>
    <x v="2"/>
    <n v="31"/>
    <n v="49"/>
    <s v="No"/>
    <s v="No"/>
    <s v="Yes"/>
    <s v="No"/>
    <s v="Yes"/>
    <s v="No"/>
    <m/>
    <x v="0"/>
    <n v="0"/>
  </r>
  <r>
    <n v="2108"/>
    <d v="2024-08-20T00:00:00"/>
    <s v="Basic"/>
    <n v="199"/>
    <n v="1.6"/>
    <n v="2"/>
    <x v="0"/>
    <n v="25"/>
    <n v="21"/>
    <s v="No"/>
    <s v="Yes"/>
    <s v="Yes"/>
    <s v="No"/>
    <s v="Yes"/>
    <s v="No"/>
    <m/>
    <x v="0"/>
    <n v="0"/>
  </r>
  <r>
    <n v="2109"/>
    <d v="2024-09-11T00:00:00"/>
    <s v="Standard"/>
    <n v="399"/>
    <n v="18"/>
    <n v="1"/>
    <x v="1"/>
    <n v="15"/>
    <n v="10"/>
    <s v="No"/>
    <s v="No"/>
    <s v="No"/>
    <s v="No"/>
    <s v="No"/>
    <s v="No"/>
    <m/>
    <x v="1"/>
    <n v="0"/>
  </r>
  <r>
    <n v="2110"/>
    <d v="2024-06-21T00:00:00"/>
    <s v="Premium"/>
    <n v="699"/>
    <n v="11.2"/>
    <n v="5"/>
    <x v="4"/>
    <n v="2"/>
    <n v="27"/>
    <s v="Yes"/>
    <s v="No"/>
    <s v="Yes"/>
    <s v="Yes"/>
    <s v="Yes"/>
    <s v="Yes"/>
    <m/>
    <x v="0"/>
    <n v="1"/>
  </r>
  <r>
    <n v="2111"/>
    <d v="2024-03-22T00:00:00"/>
    <s v="Premium"/>
    <n v="699"/>
    <n v="16.100000000000001"/>
    <n v="1"/>
    <x v="2"/>
    <n v="24"/>
    <n v="30"/>
    <s v="Yes"/>
    <s v="No"/>
    <s v="Yes"/>
    <s v="No"/>
    <s v="Yes"/>
    <s v="No"/>
    <m/>
    <x v="0"/>
    <n v="1"/>
  </r>
  <r>
    <n v="2112"/>
    <d v="2024-01-02T00:00:00"/>
    <s v="Premium"/>
    <n v="699"/>
    <n v="2.1"/>
    <n v="1"/>
    <x v="3"/>
    <n v="28"/>
    <n v="56"/>
    <s v="No"/>
    <s v="Yes"/>
    <s v="Yes"/>
    <s v="No"/>
    <s v="Yes"/>
    <s v="No"/>
    <m/>
    <x v="0"/>
    <n v="0"/>
  </r>
  <r>
    <n v="2113"/>
    <d v="2023-03-30T00:00:00"/>
    <s v="Standard"/>
    <n v="399"/>
    <n v="12.9"/>
    <n v="3"/>
    <x v="0"/>
    <n v="26"/>
    <n v="7"/>
    <s v="Yes"/>
    <s v="No"/>
    <s v="Yes"/>
    <s v="No"/>
    <s v="No"/>
    <s v="No"/>
    <m/>
    <x v="0"/>
    <n v="1"/>
  </r>
  <r>
    <n v="2114"/>
    <d v="2023-09-27T00:00:00"/>
    <s v="Premium"/>
    <n v="699"/>
    <n v="16.8"/>
    <n v="7"/>
    <x v="4"/>
    <n v="12"/>
    <n v="34"/>
    <s v="Yes"/>
    <s v="No"/>
    <s v="Yes"/>
    <s v="Yes"/>
    <s v="Yes"/>
    <s v="No"/>
    <m/>
    <x v="0"/>
    <n v="1"/>
  </r>
  <r>
    <n v="2115"/>
    <d v="2023-02-10T00:00:00"/>
    <s v="Standard"/>
    <n v="399"/>
    <n v="24.3"/>
    <n v="2"/>
    <x v="5"/>
    <n v="5"/>
    <n v="26"/>
    <s v="Yes"/>
    <s v="No"/>
    <s v="Yes"/>
    <s v="No"/>
    <s v="Yes"/>
    <s v="Yes"/>
    <m/>
    <x v="0"/>
    <n v="1"/>
  </r>
  <r>
    <n v="2116"/>
    <d v="2024-01-16T00:00:00"/>
    <s v="Basic"/>
    <n v="199"/>
    <n v="4.0999999999999996"/>
    <n v="2"/>
    <x v="4"/>
    <n v="13"/>
    <n v="44"/>
    <s v="Yes"/>
    <s v="Yes"/>
    <s v="Yes"/>
    <s v="No"/>
    <s v="Yes"/>
    <s v="No"/>
    <m/>
    <x v="0"/>
    <n v="1"/>
  </r>
  <r>
    <n v="2117"/>
    <d v="2024-06-27T00:00:00"/>
    <s v="Basic"/>
    <n v="199"/>
    <n v="19.8"/>
    <n v="1"/>
    <x v="5"/>
    <n v="33"/>
    <n v="42"/>
    <s v="Yes"/>
    <s v="No"/>
    <s v="Yes"/>
    <s v="No"/>
    <s v="Yes"/>
    <s v="No"/>
    <m/>
    <x v="0"/>
    <n v="1"/>
  </r>
  <r>
    <n v="2118"/>
    <d v="2024-05-06T00:00:00"/>
    <s v="Basic"/>
    <n v="199"/>
    <n v="22.1"/>
    <n v="2"/>
    <x v="3"/>
    <n v="20"/>
    <n v="58"/>
    <s v="Yes"/>
    <s v="No"/>
    <s v="Yes"/>
    <s v="No"/>
    <s v="Yes"/>
    <s v="No"/>
    <m/>
    <x v="0"/>
    <n v="1"/>
  </r>
  <r>
    <n v="2119"/>
    <d v="2024-02-02T00:00:00"/>
    <s v="Basic"/>
    <n v="199"/>
    <n v="16.8"/>
    <n v="7"/>
    <x v="2"/>
    <n v="13"/>
    <n v="13"/>
    <s v="Yes"/>
    <s v="No"/>
    <s v="Yes"/>
    <s v="Yes"/>
    <s v="No"/>
    <s v="No"/>
    <m/>
    <x v="0"/>
    <n v="1"/>
  </r>
  <r>
    <n v="2120"/>
    <d v="2024-06-06T00:00:00"/>
    <s v="Premium"/>
    <n v="699"/>
    <n v="21.5"/>
    <n v="1"/>
    <x v="0"/>
    <n v="35"/>
    <n v="42"/>
    <s v="Yes"/>
    <s v="No"/>
    <s v="Yes"/>
    <s v="No"/>
    <s v="Yes"/>
    <s v="No"/>
    <m/>
    <x v="0"/>
    <n v="1"/>
  </r>
  <r>
    <n v="2121"/>
    <d v="2024-02-28T00:00:00"/>
    <s v="Basic"/>
    <n v="199"/>
    <n v="12.2"/>
    <n v="1"/>
    <x v="5"/>
    <n v="5"/>
    <n v="10"/>
    <s v="Yes"/>
    <s v="No"/>
    <s v="Yes"/>
    <s v="No"/>
    <s v="No"/>
    <s v="Yes"/>
    <m/>
    <x v="0"/>
    <n v="1"/>
  </r>
  <r>
    <n v="2122"/>
    <d v="2023-02-13T00:00:00"/>
    <s v="Premium"/>
    <n v="699"/>
    <n v="23.5"/>
    <n v="4"/>
    <x v="2"/>
    <n v="24"/>
    <n v="3"/>
    <s v="No"/>
    <s v="No"/>
    <s v="Yes"/>
    <s v="No"/>
    <s v="No"/>
    <s v="No"/>
    <m/>
    <x v="0"/>
    <n v="0"/>
  </r>
  <r>
    <n v="2123"/>
    <d v="2023-08-19T00:00:00"/>
    <s v="Standard"/>
    <n v="399"/>
    <n v="1.2"/>
    <n v="5"/>
    <x v="2"/>
    <n v="26"/>
    <n v="28"/>
    <s v="Yes"/>
    <s v="Yes"/>
    <s v="Yes"/>
    <s v="Yes"/>
    <s v="Yes"/>
    <s v="No"/>
    <m/>
    <x v="0"/>
    <n v="1"/>
  </r>
  <r>
    <n v="2124"/>
    <d v="2024-10-12T00:00:00"/>
    <s v="Premium"/>
    <n v="699"/>
    <n v="12.2"/>
    <n v="8"/>
    <x v="2"/>
    <n v="9"/>
    <n v="41"/>
    <s v="No"/>
    <s v="No"/>
    <s v="Yes"/>
    <s v="Yes"/>
    <s v="Yes"/>
    <s v="No"/>
    <m/>
    <x v="0"/>
    <n v="0"/>
  </r>
  <r>
    <n v="2125"/>
    <d v="2024-09-06T00:00:00"/>
    <s v="Basic"/>
    <n v="199"/>
    <n v="15.2"/>
    <n v="4"/>
    <x v="2"/>
    <n v="16"/>
    <n v="49"/>
    <s v="Yes"/>
    <s v="No"/>
    <s v="Yes"/>
    <s v="No"/>
    <s v="Yes"/>
    <s v="No"/>
    <m/>
    <x v="0"/>
    <n v="1"/>
  </r>
  <r>
    <n v="2126"/>
    <d v="2024-10-18T00:00:00"/>
    <s v="Basic"/>
    <n v="199"/>
    <n v="2.1"/>
    <n v="1"/>
    <x v="4"/>
    <n v="27"/>
    <n v="57"/>
    <s v="Yes"/>
    <s v="Yes"/>
    <s v="Yes"/>
    <s v="No"/>
    <s v="Yes"/>
    <s v="No"/>
    <m/>
    <x v="0"/>
    <n v="1"/>
  </r>
  <r>
    <n v="2127"/>
    <d v="2023-12-16T00:00:00"/>
    <s v="Basic"/>
    <n v="199"/>
    <n v="7.3"/>
    <n v="4"/>
    <x v="2"/>
    <n v="24"/>
    <n v="41"/>
    <s v="No"/>
    <s v="No"/>
    <s v="Yes"/>
    <s v="No"/>
    <s v="Yes"/>
    <s v="No"/>
    <m/>
    <x v="0"/>
    <n v="0"/>
  </r>
  <r>
    <n v="2128"/>
    <d v="2024-12-05T00:00:00"/>
    <s v="Standard"/>
    <n v="399"/>
    <n v="15.3"/>
    <n v="4"/>
    <x v="2"/>
    <n v="35"/>
    <n v="32"/>
    <s v="Yes"/>
    <s v="No"/>
    <s v="Yes"/>
    <s v="No"/>
    <s v="Yes"/>
    <s v="No"/>
    <m/>
    <x v="0"/>
    <n v="1"/>
  </r>
  <r>
    <n v="2129"/>
    <d v="2024-05-16T00:00:00"/>
    <s v="Premium"/>
    <n v="699"/>
    <n v="23.1"/>
    <n v="2"/>
    <x v="2"/>
    <n v="36"/>
    <n v="21"/>
    <s v="Yes"/>
    <s v="No"/>
    <s v="Yes"/>
    <s v="No"/>
    <s v="Yes"/>
    <s v="No"/>
    <m/>
    <x v="0"/>
    <n v="1"/>
  </r>
  <r>
    <n v="2130"/>
    <d v="2023-10-05T00:00:00"/>
    <s v="Standard"/>
    <n v="399"/>
    <n v="13.2"/>
    <n v="1"/>
    <x v="3"/>
    <n v="35"/>
    <n v="40"/>
    <s v="Yes"/>
    <s v="No"/>
    <s v="Yes"/>
    <s v="No"/>
    <s v="Yes"/>
    <s v="No"/>
    <m/>
    <x v="0"/>
    <n v="1"/>
  </r>
  <r>
    <n v="2131"/>
    <d v="2023-11-10T00:00:00"/>
    <s v="Standard"/>
    <n v="399"/>
    <n v="6.1"/>
    <n v="5"/>
    <x v="0"/>
    <n v="33"/>
    <n v="36"/>
    <s v="Yes"/>
    <s v="No"/>
    <s v="Yes"/>
    <s v="Yes"/>
    <s v="Yes"/>
    <s v="No"/>
    <m/>
    <x v="0"/>
    <n v="1"/>
  </r>
  <r>
    <n v="2132"/>
    <d v="2024-11-16T00:00:00"/>
    <s v="Basic"/>
    <n v="199"/>
    <n v="13.2"/>
    <n v="6"/>
    <x v="3"/>
    <n v="22"/>
    <n v="16"/>
    <s v="No"/>
    <s v="No"/>
    <s v="Yes"/>
    <s v="Yes"/>
    <s v="Yes"/>
    <s v="No"/>
    <m/>
    <x v="0"/>
    <n v="0"/>
  </r>
  <r>
    <n v="2133"/>
    <d v="2024-12-03T00:00:00"/>
    <s v="Premium"/>
    <n v="699"/>
    <n v="19.3"/>
    <n v="2"/>
    <x v="4"/>
    <n v="13"/>
    <n v="18"/>
    <s v="Yes"/>
    <s v="No"/>
    <s v="Yes"/>
    <s v="No"/>
    <s v="Yes"/>
    <s v="No"/>
    <m/>
    <x v="0"/>
    <n v="1"/>
  </r>
  <r>
    <n v="2134"/>
    <d v="2023-05-01T00:00:00"/>
    <s v="Standard"/>
    <n v="399"/>
    <n v="14"/>
    <n v="3"/>
    <x v="2"/>
    <n v="35"/>
    <n v="37"/>
    <s v="Yes"/>
    <s v="No"/>
    <s v="Yes"/>
    <s v="No"/>
    <s v="Yes"/>
    <s v="No"/>
    <m/>
    <x v="0"/>
    <n v="1"/>
  </r>
  <r>
    <n v="2135"/>
    <d v="2023-12-12T00:00:00"/>
    <s v="Premium"/>
    <n v="699"/>
    <n v="16.100000000000001"/>
    <n v="3"/>
    <x v="5"/>
    <n v="19"/>
    <n v="50"/>
    <s v="No"/>
    <s v="No"/>
    <s v="Yes"/>
    <s v="No"/>
    <s v="Yes"/>
    <s v="No"/>
    <m/>
    <x v="0"/>
    <n v="0"/>
  </r>
  <r>
    <n v="2136"/>
    <d v="2024-08-04T00:00:00"/>
    <s v="Basic"/>
    <n v="199"/>
    <n v="9.6999999999999993"/>
    <n v="6"/>
    <x v="2"/>
    <n v="32"/>
    <n v="45"/>
    <s v="Yes"/>
    <s v="No"/>
    <s v="Yes"/>
    <s v="Yes"/>
    <s v="Yes"/>
    <s v="No"/>
    <m/>
    <x v="0"/>
    <n v="1"/>
  </r>
  <r>
    <n v="2137"/>
    <d v="2024-01-21T00:00:00"/>
    <s v="Standard"/>
    <n v="399"/>
    <n v="8.9"/>
    <n v="4"/>
    <x v="5"/>
    <n v="35"/>
    <n v="4"/>
    <s v="Yes"/>
    <s v="No"/>
    <s v="Yes"/>
    <s v="No"/>
    <s v="No"/>
    <s v="No"/>
    <m/>
    <x v="0"/>
    <n v="1"/>
  </r>
  <r>
    <n v="2138"/>
    <d v="2024-07-17T00:00:00"/>
    <s v="Premium"/>
    <n v="699"/>
    <n v="0.6"/>
    <n v="3"/>
    <x v="3"/>
    <n v="26"/>
    <n v="59"/>
    <s v="Yes"/>
    <s v="Yes"/>
    <s v="Yes"/>
    <s v="No"/>
    <s v="Yes"/>
    <s v="No"/>
    <m/>
    <x v="0"/>
    <n v="1"/>
  </r>
  <r>
    <n v="2139"/>
    <d v="2024-03-13T00:00:00"/>
    <s v="Premium"/>
    <n v="699"/>
    <n v="13"/>
    <n v="6"/>
    <x v="0"/>
    <n v="18"/>
    <n v="17"/>
    <s v="Yes"/>
    <s v="No"/>
    <s v="Yes"/>
    <s v="Yes"/>
    <s v="Yes"/>
    <s v="No"/>
    <m/>
    <x v="0"/>
    <n v="1"/>
  </r>
  <r>
    <n v="2140"/>
    <d v="2023-05-24T00:00:00"/>
    <s v="Premium"/>
    <n v="699"/>
    <n v="15.1"/>
    <n v="7"/>
    <x v="2"/>
    <n v="32"/>
    <n v="24"/>
    <s v="Yes"/>
    <s v="No"/>
    <s v="Yes"/>
    <s v="Yes"/>
    <s v="Yes"/>
    <s v="No"/>
    <m/>
    <x v="0"/>
    <n v="1"/>
  </r>
  <r>
    <n v="2141"/>
    <d v="2023-04-21T00:00:00"/>
    <s v="Basic"/>
    <n v="199"/>
    <n v="9.4"/>
    <n v="0"/>
    <x v="1"/>
    <n v="8"/>
    <n v="54"/>
    <s v="Yes"/>
    <s v="No"/>
    <s v="No"/>
    <s v="No"/>
    <s v="Yes"/>
    <s v="No"/>
    <m/>
    <x v="1"/>
    <n v="1"/>
  </r>
  <r>
    <n v="2142"/>
    <d v="2023-02-10T00:00:00"/>
    <s v="Premium"/>
    <n v="699"/>
    <n v="7.1"/>
    <n v="1"/>
    <x v="4"/>
    <n v="35"/>
    <n v="43"/>
    <s v="Yes"/>
    <s v="No"/>
    <s v="Yes"/>
    <s v="No"/>
    <s v="Yes"/>
    <s v="No"/>
    <m/>
    <x v="0"/>
    <n v="1"/>
  </r>
  <r>
    <n v="2143"/>
    <d v="2024-03-16T00:00:00"/>
    <s v="Premium"/>
    <n v="699"/>
    <n v="0.7"/>
    <n v="5"/>
    <x v="5"/>
    <n v="4"/>
    <n v="46"/>
    <s v="Yes"/>
    <s v="Yes"/>
    <s v="Yes"/>
    <s v="Yes"/>
    <s v="Yes"/>
    <s v="Yes"/>
    <m/>
    <x v="0"/>
    <n v="1"/>
  </r>
  <r>
    <n v="2144"/>
    <d v="2023-06-05T00:00:00"/>
    <s v="Basic"/>
    <n v="199"/>
    <n v="5.9"/>
    <n v="4"/>
    <x v="5"/>
    <n v="15"/>
    <n v="22"/>
    <s v="No"/>
    <s v="No"/>
    <s v="Yes"/>
    <s v="No"/>
    <s v="Yes"/>
    <s v="No"/>
    <m/>
    <x v="0"/>
    <n v="0"/>
  </r>
  <r>
    <n v="2145"/>
    <d v="2024-01-28T00:00:00"/>
    <s v="Basic"/>
    <n v="199"/>
    <n v="14.8"/>
    <n v="3"/>
    <x v="0"/>
    <n v="36"/>
    <n v="51"/>
    <s v="No"/>
    <s v="No"/>
    <s v="Yes"/>
    <s v="No"/>
    <s v="Yes"/>
    <s v="No"/>
    <m/>
    <x v="0"/>
    <n v="0"/>
  </r>
  <r>
    <n v="2146"/>
    <d v="2023-10-04T00:00:00"/>
    <s v="Basic"/>
    <n v="199"/>
    <n v="15.6"/>
    <n v="2"/>
    <x v="1"/>
    <n v="35"/>
    <n v="36"/>
    <s v="No"/>
    <s v="No"/>
    <s v="No"/>
    <s v="No"/>
    <s v="Yes"/>
    <s v="No"/>
    <m/>
    <x v="1"/>
    <n v="0"/>
  </r>
  <r>
    <n v="2147"/>
    <d v="2023-06-19T00:00:00"/>
    <s v="Standard"/>
    <n v="399"/>
    <n v="2.8"/>
    <n v="6"/>
    <x v="0"/>
    <n v="8"/>
    <n v="15"/>
    <s v="Yes"/>
    <s v="Yes"/>
    <s v="Yes"/>
    <s v="Yes"/>
    <s v="Yes"/>
    <s v="No"/>
    <m/>
    <x v="0"/>
    <n v="1"/>
  </r>
  <r>
    <n v="2148"/>
    <d v="2024-08-16T00:00:00"/>
    <s v="Basic"/>
    <n v="199"/>
    <n v="7.3"/>
    <n v="0"/>
    <x v="0"/>
    <n v="15"/>
    <n v="42"/>
    <s v="Yes"/>
    <s v="No"/>
    <s v="Yes"/>
    <s v="No"/>
    <s v="Yes"/>
    <s v="No"/>
    <m/>
    <x v="0"/>
    <n v="1"/>
  </r>
  <r>
    <n v="2149"/>
    <d v="2024-12-30T00:00:00"/>
    <s v="Premium"/>
    <n v="699"/>
    <n v="11.4"/>
    <n v="3"/>
    <x v="1"/>
    <n v="25"/>
    <n v="54"/>
    <s v="Yes"/>
    <s v="No"/>
    <s v="No"/>
    <s v="No"/>
    <s v="Yes"/>
    <s v="No"/>
    <m/>
    <x v="1"/>
    <n v="1"/>
  </r>
  <r>
    <n v="2150"/>
    <d v="2024-07-08T00:00:00"/>
    <s v="Standard"/>
    <n v="399"/>
    <n v="4.2"/>
    <n v="6"/>
    <x v="5"/>
    <n v="29"/>
    <n v="48"/>
    <s v="Yes"/>
    <s v="Yes"/>
    <s v="Yes"/>
    <s v="Yes"/>
    <s v="Yes"/>
    <s v="No"/>
    <m/>
    <x v="0"/>
    <n v="1"/>
  </r>
  <r>
    <n v="2151"/>
    <d v="2023-12-17T00:00:00"/>
    <s v="Standard"/>
    <n v="399"/>
    <n v="22.1"/>
    <n v="7"/>
    <x v="2"/>
    <n v="14"/>
    <n v="50"/>
    <s v="No"/>
    <s v="No"/>
    <s v="Yes"/>
    <s v="Yes"/>
    <s v="Yes"/>
    <s v="No"/>
    <m/>
    <x v="0"/>
    <n v="0"/>
  </r>
  <r>
    <n v="2152"/>
    <d v="2023-05-28T00:00:00"/>
    <s v="Standard"/>
    <n v="399"/>
    <n v="12.7"/>
    <n v="6"/>
    <x v="2"/>
    <n v="2"/>
    <n v="38"/>
    <s v="Yes"/>
    <s v="No"/>
    <s v="Yes"/>
    <s v="Yes"/>
    <s v="Yes"/>
    <s v="Yes"/>
    <m/>
    <x v="0"/>
    <n v="1"/>
  </r>
  <r>
    <n v="2153"/>
    <d v="2023-08-12T00:00:00"/>
    <s v="Premium"/>
    <n v="699"/>
    <n v="15.2"/>
    <n v="6"/>
    <x v="0"/>
    <n v="5"/>
    <n v="50"/>
    <s v="Yes"/>
    <s v="No"/>
    <s v="Yes"/>
    <s v="Yes"/>
    <s v="Yes"/>
    <s v="Yes"/>
    <m/>
    <x v="0"/>
    <n v="1"/>
  </r>
  <r>
    <n v="2154"/>
    <d v="2024-01-24T00:00:00"/>
    <s v="Standard"/>
    <n v="399"/>
    <n v="10.4"/>
    <n v="3"/>
    <x v="4"/>
    <n v="23"/>
    <n v="18"/>
    <s v="No"/>
    <s v="No"/>
    <s v="Yes"/>
    <s v="No"/>
    <s v="Yes"/>
    <s v="No"/>
    <m/>
    <x v="0"/>
    <n v="0"/>
  </r>
  <r>
    <n v="2155"/>
    <d v="2024-12-31T00:00:00"/>
    <s v="Premium"/>
    <n v="699"/>
    <n v="24"/>
    <n v="3"/>
    <x v="4"/>
    <n v="31"/>
    <n v="44"/>
    <s v="Yes"/>
    <s v="No"/>
    <s v="Yes"/>
    <s v="No"/>
    <s v="Yes"/>
    <s v="No"/>
    <m/>
    <x v="0"/>
    <n v="1"/>
  </r>
  <r>
    <n v="2156"/>
    <d v="2024-04-01T00:00:00"/>
    <s v="Basic"/>
    <n v="199"/>
    <n v="14.5"/>
    <n v="5"/>
    <x v="2"/>
    <n v="25"/>
    <n v="1"/>
    <s v="Yes"/>
    <s v="No"/>
    <s v="Yes"/>
    <s v="Yes"/>
    <s v="No"/>
    <s v="No"/>
    <m/>
    <x v="0"/>
    <n v="1"/>
  </r>
  <r>
    <n v="2157"/>
    <d v="2023-09-24T00:00:00"/>
    <s v="Standard"/>
    <n v="399"/>
    <n v="11.2"/>
    <n v="5"/>
    <x v="0"/>
    <n v="6"/>
    <n v="17"/>
    <s v="No"/>
    <s v="No"/>
    <s v="Yes"/>
    <s v="Yes"/>
    <s v="Yes"/>
    <s v="No"/>
    <m/>
    <x v="0"/>
    <n v="0"/>
  </r>
  <r>
    <n v="2158"/>
    <d v="2023-02-07T00:00:00"/>
    <s v="Standard"/>
    <n v="399"/>
    <n v="4.5999999999999996"/>
    <n v="8"/>
    <x v="5"/>
    <n v="11"/>
    <n v="33"/>
    <s v="Yes"/>
    <s v="Yes"/>
    <s v="Yes"/>
    <s v="Yes"/>
    <s v="Yes"/>
    <s v="No"/>
    <m/>
    <x v="0"/>
    <n v="1"/>
  </r>
  <r>
    <n v="2159"/>
    <d v="2023-04-05T00:00:00"/>
    <s v="Standard"/>
    <n v="399"/>
    <n v="1.7"/>
    <n v="3"/>
    <x v="1"/>
    <n v="24"/>
    <n v="45"/>
    <s v="No"/>
    <s v="Yes"/>
    <s v="No"/>
    <s v="No"/>
    <s v="Yes"/>
    <s v="No"/>
    <m/>
    <x v="1"/>
    <n v="0"/>
  </r>
  <r>
    <n v="2160"/>
    <d v="2023-06-02T00:00:00"/>
    <s v="Premium"/>
    <n v="699"/>
    <n v="1.7"/>
    <n v="1"/>
    <x v="5"/>
    <n v="36"/>
    <n v="59"/>
    <s v="Yes"/>
    <s v="Yes"/>
    <s v="Yes"/>
    <s v="No"/>
    <s v="Yes"/>
    <s v="No"/>
    <m/>
    <x v="0"/>
    <n v="1"/>
  </r>
  <r>
    <n v="2161"/>
    <d v="2023-06-20T00:00:00"/>
    <s v="Standard"/>
    <n v="399"/>
    <n v="21.5"/>
    <n v="4"/>
    <x v="0"/>
    <n v="10"/>
    <n v="14"/>
    <s v="No"/>
    <s v="No"/>
    <s v="Yes"/>
    <s v="No"/>
    <s v="No"/>
    <s v="No"/>
    <m/>
    <x v="0"/>
    <n v="0"/>
  </r>
  <r>
    <n v="2162"/>
    <d v="2023-06-30T00:00:00"/>
    <s v="Premium"/>
    <n v="699"/>
    <n v="6.2"/>
    <n v="1"/>
    <x v="5"/>
    <n v="5"/>
    <n v="3"/>
    <s v="No"/>
    <s v="No"/>
    <s v="Yes"/>
    <s v="No"/>
    <s v="No"/>
    <s v="Yes"/>
    <m/>
    <x v="0"/>
    <n v="0"/>
  </r>
  <r>
    <n v="2163"/>
    <d v="2023-07-20T00:00:00"/>
    <s v="Standard"/>
    <n v="399"/>
    <n v="12"/>
    <n v="6"/>
    <x v="0"/>
    <n v="36"/>
    <n v="15"/>
    <s v="Yes"/>
    <s v="No"/>
    <s v="Yes"/>
    <s v="Yes"/>
    <s v="Yes"/>
    <s v="No"/>
    <m/>
    <x v="0"/>
    <n v="1"/>
  </r>
  <r>
    <n v="2164"/>
    <d v="2024-06-30T00:00:00"/>
    <s v="Premium"/>
    <n v="699"/>
    <n v="2.2000000000000002"/>
    <n v="1"/>
    <x v="3"/>
    <n v="5"/>
    <n v="52"/>
    <s v="Yes"/>
    <s v="Yes"/>
    <s v="Yes"/>
    <s v="No"/>
    <s v="Yes"/>
    <s v="Yes"/>
    <m/>
    <x v="0"/>
    <n v="1"/>
  </r>
  <r>
    <n v="2165"/>
    <d v="2023-07-11T00:00:00"/>
    <s v="Basic"/>
    <n v="199"/>
    <n v="14.1"/>
    <n v="5"/>
    <x v="4"/>
    <n v="30"/>
    <n v="11"/>
    <s v="Yes"/>
    <s v="No"/>
    <s v="Yes"/>
    <s v="Yes"/>
    <s v="No"/>
    <s v="No"/>
    <m/>
    <x v="0"/>
    <n v="1"/>
  </r>
  <r>
    <n v="2166"/>
    <d v="2024-05-27T00:00:00"/>
    <s v="Basic"/>
    <n v="199"/>
    <n v="8.5"/>
    <n v="2"/>
    <x v="3"/>
    <n v="1"/>
    <n v="32"/>
    <s v="No"/>
    <s v="No"/>
    <s v="Yes"/>
    <s v="No"/>
    <s v="Yes"/>
    <s v="Yes"/>
    <m/>
    <x v="0"/>
    <n v="0"/>
  </r>
  <r>
    <n v="2167"/>
    <d v="2023-05-16T00:00:00"/>
    <s v="Premium"/>
    <n v="699"/>
    <n v="10.1"/>
    <n v="2"/>
    <x v="1"/>
    <n v="4"/>
    <n v="30"/>
    <s v="Yes"/>
    <s v="No"/>
    <s v="No"/>
    <s v="No"/>
    <s v="Yes"/>
    <s v="Yes"/>
    <m/>
    <x v="1"/>
    <n v="1"/>
  </r>
  <r>
    <n v="2168"/>
    <d v="2024-12-28T00:00:00"/>
    <s v="Basic"/>
    <n v="199"/>
    <n v="14.6"/>
    <n v="4"/>
    <x v="2"/>
    <n v="24"/>
    <n v="15"/>
    <s v="Yes"/>
    <s v="No"/>
    <s v="Yes"/>
    <s v="No"/>
    <s v="Yes"/>
    <s v="No"/>
    <m/>
    <x v="0"/>
    <n v="1"/>
  </r>
  <r>
    <n v="2169"/>
    <d v="2023-10-22T00:00:00"/>
    <s v="Basic"/>
    <n v="199"/>
    <n v="4.5"/>
    <n v="0"/>
    <x v="1"/>
    <n v="16"/>
    <n v="24"/>
    <s v="Yes"/>
    <s v="Yes"/>
    <s v="No"/>
    <s v="No"/>
    <s v="Yes"/>
    <s v="No"/>
    <m/>
    <x v="1"/>
    <n v="1"/>
  </r>
  <r>
    <n v="2170"/>
    <d v="2024-06-21T00:00:00"/>
    <s v="Standard"/>
    <n v="399"/>
    <n v="20.100000000000001"/>
    <n v="6"/>
    <x v="5"/>
    <n v="34"/>
    <n v="34"/>
    <s v="Yes"/>
    <s v="No"/>
    <s v="Yes"/>
    <s v="Yes"/>
    <s v="Yes"/>
    <s v="No"/>
    <m/>
    <x v="0"/>
    <n v="1"/>
  </r>
  <r>
    <n v="2171"/>
    <d v="2023-06-20T00:00:00"/>
    <s v="Standard"/>
    <n v="399"/>
    <n v="9.1999999999999993"/>
    <n v="6"/>
    <x v="3"/>
    <n v="34"/>
    <n v="33"/>
    <s v="No"/>
    <s v="No"/>
    <s v="Yes"/>
    <s v="Yes"/>
    <s v="Yes"/>
    <s v="No"/>
    <m/>
    <x v="0"/>
    <n v="0"/>
  </r>
  <r>
    <n v="2172"/>
    <d v="2024-01-12T00:00:00"/>
    <s v="Premium"/>
    <n v="699"/>
    <n v="3.6"/>
    <n v="0"/>
    <x v="0"/>
    <n v="32"/>
    <n v="4"/>
    <s v="No"/>
    <s v="Yes"/>
    <s v="Yes"/>
    <s v="No"/>
    <s v="No"/>
    <s v="No"/>
    <m/>
    <x v="0"/>
    <n v="0"/>
  </r>
  <r>
    <n v="2173"/>
    <d v="2023-01-25T00:00:00"/>
    <s v="Standard"/>
    <n v="399"/>
    <n v="15.3"/>
    <n v="6"/>
    <x v="2"/>
    <n v="8"/>
    <n v="24"/>
    <s v="Yes"/>
    <s v="No"/>
    <s v="Yes"/>
    <s v="Yes"/>
    <s v="Yes"/>
    <s v="No"/>
    <m/>
    <x v="0"/>
    <n v="1"/>
  </r>
  <r>
    <n v="2174"/>
    <d v="2023-05-31T00:00:00"/>
    <s v="Standard"/>
    <n v="399"/>
    <n v="5.4"/>
    <n v="0"/>
    <x v="0"/>
    <n v="32"/>
    <n v="27"/>
    <s v="No"/>
    <s v="No"/>
    <s v="Yes"/>
    <s v="No"/>
    <s v="Yes"/>
    <s v="No"/>
    <m/>
    <x v="0"/>
    <n v="0"/>
  </r>
  <r>
    <n v="2175"/>
    <d v="2023-08-21T00:00:00"/>
    <s v="Standard"/>
    <n v="399"/>
    <n v="16.399999999999999"/>
    <n v="4"/>
    <x v="2"/>
    <n v="9"/>
    <n v="15"/>
    <s v="Yes"/>
    <s v="No"/>
    <s v="Yes"/>
    <s v="No"/>
    <s v="Yes"/>
    <s v="No"/>
    <m/>
    <x v="0"/>
    <n v="1"/>
  </r>
  <r>
    <n v="2176"/>
    <d v="2023-07-29T00:00:00"/>
    <s v="Standard"/>
    <n v="399"/>
    <n v="12.4"/>
    <n v="7"/>
    <x v="4"/>
    <n v="17"/>
    <n v="29"/>
    <s v="Yes"/>
    <s v="No"/>
    <s v="Yes"/>
    <s v="Yes"/>
    <s v="Yes"/>
    <s v="No"/>
    <m/>
    <x v="0"/>
    <n v="1"/>
  </r>
  <r>
    <n v="2177"/>
    <d v="2024-10-17T00:00:00"/>
    <s v="Standard"/>
    <n v="399"/>
    <n v="10.7"/>
    <n v="0"/>
    <x v="0"/>
    <n v="9"/>
    <n v="60"/>
    <s v="Yes"/>
    <s v="No"/>
    <s v="Yes"/>
    <s v="No"/>
    <s v="Yes"/>
    <s v="No"/>
    <m/>
    <x v="0"/>
    <n v="1"/>
  </r>
  <r>
    <n v="2178"/>
    <d v="2024-10-31T00:00:00"/>
    <s v="Basic"/>
    <n v="199"/>
    <n v="9.6999999999999993"/>
    <n v="5"/>
    <x v="2"/>
    <n v="19"/>
    <n v="58"/>
    <s v="Yes"/>
    <s v="No"/>
    <s v="Yes"/>
    <s v="Yes"/>
    <s v="Yes"/>
    <s v="No"/>
    <m/>
    <x v="0"/>
    <n v="1"/>
  </r>
  <r>
    <n v="2179"/>
    <d v="2024-05-05T00:00:00"/>
    <s v="Standard"/>
    <n v="399"/>
    <n v="15.2"/>
    <n v="5"/>
    <x v="5"/>
    <n v="5"/>
    <n v="35"/>
    <s v="Yes"/>
    <s v="No"/>
    <s v="Yes"/>
    <s v="Yes"/>
    <s v="Yes"/>
    <s v="Yes"/>
    <m/>
    <x v="0"/>
    <n v="1"/>
  </r>
  <r>
    <n v="2180"/>
    <d v="2023-04-14T00:00:00"/>
    <s v="Basic"/>
    <n v="199"/>
    <n v="8.6"/>
    <n v="4"/>
    <x v="5"/>
    <n v="23"/>
    <n v="10"/>
    <s v="Yes"/>
    <s v="No"/>
    <s v="Yes"/>
    <s v="No"/>
    <s v="No"/>
    <s v="No"/>
    <m/>
    <x v="0"/>
    <n v="1"/>
  </r>
  <r>
    <n v="2181"/>
    <d v="2024-01-16T00:00:00"/>
    <s v="Basic"/>
    <n v="199"/>
    <n v="7.1"/>
    <n v="0"/>
    <x v="5"/>
    <n v="36"/>
    <n v="13"/>
    <s v="No"/>
    <s v="No"/>
    <s v="Yes"/>
    <s v="No"/>
    <s v="No"/>
    <s v="No"/>
    <m/>
    <x v="0"/>
    <n v="0"/>
  </r>
  <r>
    <n v="2182"/>
    <d v="2024-01-12T00:00:00"/>
    <s v="Basic"/>
    <n v="199"/>
    <n v="10.4"/>
    <n v="7"/>
    <x v="3"/>
    <n v="29"/>
    <n v="39"/>
    <s v="Yes"/>
    <s v="No"/>
    <s v="Yes"/>
    <s v="Yes"/>
    <s v="Yes"/>
    <s v="No"/>
    <m/>
    <x v="0"/>
    <n v="1"/>
  </r>
  <r>
    <n v="2183"/>
    <d v="2023-02-07T00:00:00"/>
    <s v="Basic"/>
    <n v="199"/>
    <n v="14.8"/>
    <n v="7"/>
    <x v="2"/>
    <n v="34"/>
    <n v="27"/>
    <s v="No"/>
    <s v="No"/>
    <s v="Yes"/>
    <s v="Yes"/>
    <s v="Yes"/>
    <s v="No"/>
    <m/>
    <x v="0"/>
    <n v="0"/>
  </r>
  <r>
    <n v="2184"/>
    <d v="2024-01-22T00:00:00"/>
    <s v="Premium"/>
    <n v="699"/>
    <n v="18.399999999999999"/>
    <n v="8"/>
    <x v="1"/>
    <n v="36"/>
    <n v="9"/>
    <s v="No"/>
    <s v="No"/>
    <s v="No"/>
    <s v="Yes"/>
    <s v="No"/>
    <s v="No"/>
    <m/>
    <x v="1"/>
    <n v="0"/>
  </r>
  <r>
    <n v="2185"/>
    <d v="2023-07-21T00:00:00"/>
    <s v="Standard"/>
    <n v="399"/>
    <n v="18.399999999999999"/>
    <n v="4"/>
    <x v="0"/>
    <n v="29"/>
    <n v="9"/>
    <s v="No"/>
    <s v="No"/>
    <s v="Yes"/>
    <s v="No"/>
    <s v="No"/>
    <s v="No"/>
    <m/>
    <x v="0"/>
    <n v="0"/>
  </r>
  <r>
    <n v="2186"/>
    <d v="2023-05-17T00:00:00"/>
    <s v="Basic"/>
    <n v="199"/>
    <n v="7.3"/>
    <n v="3"/>
    <x v="1"/>
    <n v="25"/>
    <n v="2"/>
    <s v="No"/>
    <s v="No"/>
    <s v="No"/>
    <s v="No"/>
    <s v="No"/>
    <s v="No"/>
    <m/>
    <x v="1"/>
    <n v="0"/>
  </r>
  <r>
    <n v="2187"/>
    <d v="2023-09-19T00:00:00"/>
    <s v="Basic"/>
    <n v="199"/>
    <n v="14.4"/>
    <n v="6"/>
    <x v="0"/>
    <n v="27"/>
    <n v="27"/>
    <s v="No"/>
    <s v="No"/>
    <s v="Yes"/>
    <s v="Yes"/>
    <s v="Yes"/>
    <s v="No"/>
    <m/>
    <x v="0"/>
    <n v="0"/>
  </r>
  <r>
    <n v="2188"/>
    <d v="2023-03-09T00:00:00"/>
    <s v="Basic"/>
    <n v="199"/>
    <n v="24.8"/>
    <n v="2"/>
    <x v="1"/>
    <n v="1"/>
    <n v="16"/>
    <s v="No"/>
    <s v="No"/>
    <s v="No"/>
    <s v="No"/>
    <s v="Yes"/>
    <s v="Yes"/>
    <m/>
    <x v="1"/>
    <n v="0"/>
  </r>
  <r>
    <n v="2189"/>
    <d v="2024-11-16T00:00:00"/>
    <s v="Basic"/>
    <n v="199"/>
    <n v="22.9"/>
    <n v="2"/>
    <x v="4"/>
    <n v="30"/>
    <n v="31"/>
    <s v="Yes"/>
    <s v="No"/>
    <s v="Yes"/>
    <s v="No"/>
    <s v="Yes"/>
    <s v="No"/>
    <m/>
    <x v="0"/>
    <n v="1"/>
  </r>
  <r>
    <n v="2190"/>
    <d v="2024-07-15T00:00:00"/>
    <s v="Standard"/>
    <n v="399"/>
    <n v="15.6"/>
    <n v="5"/>
    <x v="2"/>
    <n v="22"/>
    <n v="16"/>
    <s v="No"/>
    <s v="No"/>
    <s v="Yes"/>
    <s v="Yes"/>
    <s v="Yes"/>
    <s v="No"/>
    <m/>
    <x v="0"/>
    <n v="0"/>
  </r>
  <r>
    <n v="2191"/>
    <d v="2024-08-26T00:00:00"/>
    <s v="Premium"/>
    <n v="699"/>
    <n v="16"/>
    <n v="5"/>
    <x v="5"/>
    <n v="22"/>
    <n v="9"/>
    <s v="No"/>
    <s v="No"/>
    <s v="Yes"/>
    <s v="Yes"/>
    <s v="No"/>
    <s v="No"/>
    <m/>
    <x v="0"/>
    <n v="0"/>
  </r>
  <r>
    <n v="2192"/>
    <d v="2024-05-09T00:00:00"/>
    <s v="Premium"/>
    <n v="699"/>
    <n v="20.3"/>
    <n v="3"/>
    <x v="0"/>
    <n v="18"/>
    <n v="52"/>
    <s v="Yes"/>
    <s v="No"/>
    <s v="Yes"/>
    <s v="No"/>
    <s v="Yes"/>
    <s v="No"/>
    <m/>
    <x v="0"/>
    <n v="1"/>
  </r>
  <r>
    <n v="2193"/>
    <d v="2023-02-22T00:00:00"/>
    <s v="Standard"/>
    <n v="399"/>
    <n v="23.5"/>
    <n v="4"/>
    <x v="2"/>
    <n v="22"/>
    <n v="46"/>
    <s v="No"/>
    <s v="No"/>
    <s v="Yes"/>
    <s v="No"/>
    <s v="Yes"/>
    <s v="No"/>
    <m/>
    <x v="0"/>
    <n v="0"/>
  </r>
  <r>
    <n v="2194"/>
    <d v="2023-08-17T00:00:00"/>
    <s v="Premium"/>
    <n v="699"/>
    <n v="20.100000000000001"/>
    <n v="4"/>
    <x v="1"/>
    <n v="20"/>
    <n v="52"/>
    <s v="Yes"/>
    <s v="No"/>
    <s v="No"/>
    <s v="No"/>
    <s v="Yes"/>
    <s v="No"/>
    <m/>
    <x v="1"/>
    <n v="1"/>
  </r>
  <r>
    <n v="2195"/>
    <d v="2024-01-07T00:00:00"/>
    <s v="Basic"/>
    <n v="199"/>
    <n v="11.9"/>
    <n v="2"/>
    <x v="1"/>
    <n v="16"/>
    <n v="44"/>
    <s v="No"/>
    <s v="No"/>
    <s v="No"/>
    <s v="No"/>
    <s v="Yes"/>
    <s v="No"/>
    <m/>
    <x v="1"/>
    <n v="0"/>
  </r>
  <r>
    <n v="2196"/>
    <d v="2024-09-30T00:00:00"/>
    <s v="Standard"/>
    <n v="399"/>
    <n v="10.8"/>
    <n v="5"/>
    <x v="3"/>
    <n v="26"/>
    <n v="5"/>
    <s v="Yes"/>
    <s v="No"/>
    <s v="Yes"/>
    <s v="Yes"/>
    <s v="No"/>
    <s v="No"/>
    <m/>
    <x v="0"/>
    <n v="1"/>
  </r>
  <r>
    <n v="2197"/>
    <d v="2023-06-07T00:00:00"/>
    <s v="Standard"/>
    <n v="399"/>
    <n v="19.5"/>
    <n v="0"/>
    <x v="2"/>
    <n v="5"/>
    <n v="25"/>
    <s v="No"/>
    <s v="No"/>
    <s v="Yes"/>
    <s v="No"/>
    <s v="Yes"/>
    <s v="Yes"/>
    <m/>
    <x v="0"/>
    <n v="0"/>
  </r>
  <r>
    <n v="2198"/>
    <d v="2024-05-13T00:00:00"/>
    <s v="Standard"/>
    <n v="399"/>
    <n v="24.5"/>
    <n v="5"/>
    <x v="3"/>
    <n v="31"/>
    <n v="7"/>
    <s v="Yes"/>
    <s v="No"/>
    <s v="Yes"/>
    <s v="Yes"/>
    <s v="No"/>
    <s v="No"/>
    <m/>
    <x v="0"/>
    <n v="1"/>
  </r>
  <r>
    <n v="2199"/>
    <d v="2023-09-07T00:00:00"/>
    <s v="Standard"/>
    <n v="399"/>
    <n v="14.9"/>
    <n v="6"/>
    <x v="2"/>
    <n v="26"/>
    <n v="54"/>
    <s v="Yes"/>
    <s v="No"/>
    <s v="Yes"/>
    <s v="Yes"/>
    <s v="Yes"/>
    <s v="No"/>
    <m/>
    <x v="0"/>
    <n v="1"/>
  </r>
  <r>
    <n v="2200"/>
    <d v="2023-04-14T00:00:00"/>
    <s v="Premium"/>
    <n v="699"/>
    <n v="8.6999999999999993"/>
    <n v="5"/>
    <x v="5"/>
    <n v="11"/>
    <n v="24"/>
    <s v="No"/>
    <s v="No"/>
    <s v="Yes"/>
    <s v="Yes"/>
    <s v="Yes"/>
    <s v="No"/>
    <m/>
    <x v="0"/>
    <n v="0"/>
  </r>
  <r>
    <n v="2201"/>
    <d v="2023-04-05T00:00:00"/>
    <s v="Basic"/>
    <n v="199"/>
    <n v="20"/>
    <n v="0"/>
    <x v="0"/>
    <n v="6"/>
    <n v="34"/>
    <s v="No"/>
    <s v="No"/>
    <s v="Yes"/>
    <s v="No"/>
    <s v="Yes"/>
    <s v="No"/>
    <m/>
    <x v="0"/>
    <n v="0"/>
  </r>
  <r>
    <n v="2202"/>
    <d v="2023-10-26T00:00:00"/>
    <s v="Premium"/>
    <n v="699"/>
    <n v="24.8"/>
    <n v="0"/>
    <x v="2"/>
    <n v="10"/>
    <n v="11"/>
    <s v="Yes"/>
    <s v="No"/>
    <s v="Yes"/>
    <s v="No"/>
    <s v="No"/>
    <s v="No"/>
    <m/>
    <x v="0"/>
    <n v="1"/>
  </r>
  <r>
    <n v="2203"/>
    <d v="2023-12-05T00:00:00"/>
    <s v="Standard"/>
    <n v="399"/>
    <n v="16.8"/>
    <n v="1"/>
    <x v="1"/>
    <n v="23"/>
    <n v="10"/>
    <s v="No"/>
    <s v="No"/>
    <s v="No"/>
    <s v="No"/>
    <s v="No"/>
    <s v="No"/>
    <m/>
    <x v="1"/>
    <n v="0"/>
  </r>
  <r>
    <n v="2204"/>
    <d v="2023-07-16T00:00:00"/>
    <s v="Basic"/>
    <n v="199"/>
    <n v="24.9"/>
    <n v="1"/>
    <x v="1"/>
    <n v="3"/>
    <n v="39"/>
    <s v="Yes"/>
    <s v="No"/>
    <s v="No"/>
    <s v="No"/>
    <s v="Yes"/>
    <s v="Yes"/>
    <m/>
    <x v="1"/>
    <n v="1"/>
  </r>
  <r>
    <n v="2205"/>
    <d v="2024-09-22T00:00:00"/>
    <s v="Basic"/>
    <n v="199"/>
    <n v="20.7"/>
    <n v="7"/>
    <x v="1"/>
    <n v="26"/>
    <n v="17"/>
    <s v="No"/>
    <s v="No"/>
    <s v="No"/>
    <s v="Yes"/>
    <s v="Yes"/>
    <s v="No"/>
    <m/>
    <x v="1"/>
    <n v="0"/>
  </r>
  <r>
    <n v="2206"/>
    <d v="2023-09-24T00:00:00"/>
    <s v="Premium"/>
    <n v="699"/>
    <n v="20.9"/>
    <n v="4"/>
    <x v="0"/>
    <n v="5"/>
    <n v="4"/>
    <s v="No"/>
    <s v="No"/>
    <s v="Yes"/>
    <s v="No"/>
    <s v="No"/>
    <s v="Yes"/>
    <m/>
    <x v="0"/>
    <n v="0"/>
  </r>
  <r>
    <n v="2207"/>
    <d v="2023-12-13T00:00:00"/>
    <s v="Basic"/>
    <n v="199"/>
    <n v="2.9"/>
    <n v="3"/>
    <x v="4"/>
    <n v="33"/>
    <n v="18"/>
    <s v="Yes"/>
    <s v="Yes"/>
    <s v="Yes"/>
    <s v="No"/>
    <s v="Yes"/>
    <s v="No"/>
    <m/>
    <x v="0"/>
    <n v="1"/>
  </r>
  <r>
    <n v="2208"/>
    <d v="2023-10-28T00:00:00"/>
    <s v="Premium"/>
    <n v="699"/>
    <n v="17.5"/>
    <n v="7"/>
    <x v="3"/>
    <n v="11"/>
    <n v="60"/>
    <s v="Yes"/>
    <s v="No"/>
    <s v="Yes"/>
    <s v="Yes"/>
    <s v="Yes"/>
    <s v="No"/>
    <m/>
    <x v="0"/>
    <n v="1"/>
  </r>
  <r>
    <n v="2209"/>
    <d v="2023-09-04T00:00:00"/>
    <s v="Premium"/>
    <n v="699"/>
    <n v="10.7"/>
    <n v="3"/>
    <x v="3"/>
    <n v="26"/>
    <n v="42"/>
    <s v="Yes"/>
    <s v="No"/>
    <s v="Yes"/>
    <s v="No"/>
    <s v="Yes"/>
    <s v="No"/>
    <m/>
    <x v="0"/>
    <n v="1"/>
  </r>
  <r>
    <n v="2210"/>
    <d v="2023-05-01T00:00:00"/>
    <s v="Standard"/>
    <n v="399"/>
    <n v="17.7"/>
    <n v="0"/>
    <x v="1"/>
    <n v="10"/>
    <n v="3"/>
    <s v="No"/>
    <s v="No"/>
    <s v="No"/>
    <s v="No"/>
    <s v="No"/>
    <s v="No"/>
    <m/>
    <x v="1"/>
    <n v="0"/>
  </r>
  <r>
    <n v="2211"/>
    <d v="2023-12-07T00:00:00"/>
    <s v="Basic"/>
    <n v="199"/>
    <n v="25"/>
    <n v="2"/>
    <x v="0"/>
    <n v="7"/>
    <n v="46"/>
    <s v="Yes"/>
    <s v="No"/>
    <s v="Yes"/>
    <s v="No"/>
    <s v="Yes"/>
    <s v="No"/>
    <m/>
    <x v="0"/>
    <n v="1"/>
  </r>
  <r>
    <n v="2212"/>
    <d v="2024-10-21T00:00:00"/>
    <s v="Premium"/>
    <n v="699"/>
    <n v="14.7"/>
    <n v="7"/>
    <x v="2"/>
    <n v="21"/>
    <n v="26"/>
    <s v="Yes"/>
    <s v="No"/>
    <s v="Yes"/>
    <s v="Yes"/>
    <s v="Yes"/>
    <s v="No"/>
    <m/>
    <x v="0"/>
    <n v="1"/>
  </r>
  <r>
    <n v="2213"/>
    <d v="2024-11-02T00:00:00"/>
    <s v="Premium"/>
    <n v="699"/>
    <n v="18.399999999999999"/>
    <n v="4"/>
    <x v="4"/>
    <n v="36"/>
    <n v="13"/>
    <s v="No"/>
    <s v="No"/>
    <s v="Yes"/>
    <s v="No"/>
    <s v="No"/>
    <s v="No"/>
    <m/>
    <x v="0"/>
    <n v="0"/>
  </r>
  <r>
    <n v="2214"/>
    <d v="2023-09-16T00:00:00"/>
    <s v="Basic"/>
    <n v="199"/>
    <n v="4.3"/>
    <n v="3"/>
    <x v="3"/>
    <n v="24"/>
    <n v="4"/>
    <s v="Yes"/>
    <s v="Yes"/>
    <s v="Yes"/>
    <s v="No"/>
    <s v="No"/>
    <s v="No"/>
    <m/>
    <x v="0"/>
    <n v="1"/>
  </r>
  <r>
    <n v="2215"/>
    <d v="2023-11-28T00:00:00"/>
    <s v="Standard"/>
    <n v="399"/>
    <n v="20.399999999999999"/>
    <n v="7"/>
    <x v="4"/>
    <n v="12"/>
    <n v="25"/>
    <s v="No"/>
    <s v="No"/>
    <s v="Yes"/>
    <s v="Yes"/>
    <s v="Yes"/>
    <s v="No"/>
    <m/>
    <x v="0"/>
    <n v="0"/>
  </r>
  <r>
    <n v="2216"/>
    <d v="2024-08-03T00:00:00"/>
    <s v="Standard"/>
    <n v="399"/>
    <n v="20.5"/>
    <n v="6"/>
    <x v="4"/>
    <n v="9"/>
    <n v="20"/>
    <s v="No"/>
    <s v="No"/>
    <s v="Yes"/>
    <s v="Yes"/>
    <s v="Yes"/>
    <s v="No"/>
    <m/>
    <x v="0"/>
    <n v="0"/>
  </r>
  <r>
    <n v="2217"/>
    <d v="2023-12-09T00:00:00"/>
    <s v="Premium"/>
    <n v="699"/>
    <n v="0.7"/>
    <n v="2"/>
    <x v="3"/>
    <n v="12"/>
    <n v="26"/>
    <s v="Yes"/>
    <s v="Yes"/>
    <s v="Yes"/>
    <s v="No"/>
    <s v="Yes"/>
    <s v="No"/>
    <m/>
    <x v="0"/>
    <n v="1"/>
  </r>
  <r>
    <n v="2218"/>
    <d v="2023-10-12T00:00:00"/>
    <s v="Basic"/>
    <n v="199"/>
    <n v="22.2"/>
    <n v="3"/>
    <x v="5"/>
    <n v="3"/>
    <n v="38"/>
    <s v="Yes"/>
    <s v="No"/>
    <s v="Yes"/>
    <s v="No"/>
    <s v="Yes"/>
    <s v="Yes"/>
    <m/>
    <x v="0"/>
    <n v="1"/>
  </r>
  <r>
    <n v="2219"/>
    <d v="2024-09-21T00:00:00"/>
    <s v="Basic"/>
    <n v="199"/>
    <n v="10.7"/>
    <n v="0"/>
    <x v="4"/>
    <n v="12"/>
    <n v="23"/>
    <s v="No"/>
    <s v="No"/>
    <s v="Yes"/>
    <s v="No"/>
    <s v="Yes"/>
    <s v="No"/>
    <m/>
    <x v="0"/>
    <n v="0"/>
  </r>
  <r>
    <n v="2220"/>
    <d v="2023-12-07T00:00:00"/>
    <s v="Standard"/>
    <n v="399"/>
    <n v="0.6"/>
    <n v="7"/>
    <x v="5"/>
    <n v="22"/>
    <n v="12"/>
    <s v="Yes"/>
    <s v="Yes"/>
    <s v="Yes"/>
    <s v="Yes"/>
    <s v="No"/>
    <s v="No"/>
    <m/>
    <x v="0"/>
    <n v="1"/>
  </r>
  <r>
    <n v="2221"/>
    <d v="2024-09-18T00:00:00"/>
    <s v="Premium"/>
    <n v="699"/>
    <n v="7.2"/>
    <n v="6"/>
    <x v="5"/>
    <n v="33"/>
    <n v="37"/>
    <s v="Yes"/>
    <s v="No"/>
    <s v="Yes"/>
    <s v="Yes"/>
    <s v="Yes"/>
    <s v="No"/>
    <m/>
    <x v="0"/>
    <n v="1"/>
  </r>
  <r>
    <n v="2222"/>
    <d v="2023-10-25T00:00:00"/>
    <s v="Basic"/>
    <n v="199"/>
    <n v="19.399999999999999"/>
    <n v="0"/>
    <x v="2"/>
    <n v="28"/>
    <n v="46"/>
    <s v="Yes"/>
    <s v="No"/>
    <s v="Yes"/>
    <s v="No"/>
    <s v="Yes"/>
    <s v="No"/>
    <m/>
    <x v="0"/>
    <n v="1"/>
  </r>
  <r>
    <n v="2223"/>
    <d v="2023-03-06T00:00:00"/>
    <s v="Premium"/>
    <n v="699"/>
    <n v="1.6"/>
    <n v="5"/>
    <x v="1"/>
    <n v="30"/>
    <n v="26"/>
    <s v="Yes"/>
    <s v="Yes"/>
    <s v="No"/>
    <s v="Yes"/>
    <s v="Yes"/>
    <s v="No"/>
    <m/>
    <x v="1"/>
    <n v="1"/>
  </r>
  <r>
    <n v="2224"/>
    <d v="2024-04-05T00:00:00"/>
    <s v="Standard"/>
    <n v="399"/>
    <n v="23.3"/>
    <n v="3"/>
    <x v="3"/>
    <n v="27"/>
    <n v="53"/>
    <s v="Yes"/>
    <s v="No"/>
    <s v="Yes"/>
    <s v="No"/>
    <s v="Yes"/>
    <s v="No"/>
    <m/>
    <x v="0"/>
    <n v="1"/>
  </r>
  <r>
    <n v="2225"/>
    <d v="2023-09-18T00:00:00"/>
    <s v="Standard"/>
    <n v="399"/>
    <n v="22.3"/>
    <n v="0"/>
    <x v="0"/>
    <n v="20"/>
    <n v="42"/>
    <s v="No"/>
    <s v="No"/>
    <s v="Yes"/>
    <s v="No"/>
    <s v="Yes"/>
    <s v="No"/>
    <m/>
    <x v="0"/>
    <n v="0"/>
  </r>
  <r>
    <n v="2226"/>
    <d v="2024-04-05T00:00:00"/>
    <s v="Standard"/>
    <n v="399"/>
    <n v="0.6"/>
    <n v="3"/>
    <x v="1"/>
    <n v="17"/>
    <n v="14"/>
    <s v="No"/>
    <s v="Yes"/>
    <s v="No"/>
    <s v="No"/>
    <s v="No"/>
    <s v="No"/>
    <m/>
    <x v="1"/>
    <n v="0"/>
  </r>
  <r>
    <n v="2227"/>
    <d v="2024-07-02T00:00:00"/>
    <s v="Basic"/>
    <n v="199"/>
    <n v="0.6"/>
    <n v="0"/>
    <x v="1"/>
    <n v="26"/>
    <n v="51"/>
    <s v="No"/>
    <s v="Yes"/>
    <s v="No"/>
    <s v="No"/>
    <s v="Yes"/>
    <s v="No"/>
    <m/>
    <x v="1"/>
    <n v="0"/>
  </r>
  <r>
    <n v="2228"/>
    <d v="2024-08-17T00:00:00"/>
    <s v="Premium"/>
    <n v="699"/>
    <n v="0.9"/>
    <n v="4"/>
    <x v="5"/>
    <n v="27"/>
    <n v="42"/>
    <s v="Yes"/>
    <s v="Yes"/>
    <s v="Yes"/>
    <s v="No"/>
    <s v="Yes"/>
    <s v="No"/>
    <m/>
    <x v="0"/>
    <n v="1"/>
  </r>
  <r>
    <n v="2229"/>
    <d v="2024-02-03T00:00:00"/>
    <s v="Basic"/>
    <n v="199"/>
    <n v="16.7"/>
    <n v="4"/>
    <x v="1"/>
    <n v="35"/>
    <n v="54"/>
    <s v="Yes"/>
    <s v="No"/>
    <s v="No"/>
    <s v="No"/>
    <s v="Yes"/>
    <s v="No"/>
    <m/>
    <x v="1"/>
    <n v="1"/>
  </r>
  <r>
    <n v="2230"/>
    <d v="2023-12-03T00:00:00"/>
    <s v="Premium"/>
    <n v="699"/>
    <n v="4.8"/>
    <n v="3"/>
    <x v="1"/>
    <n v="22"/>
    <n v="43"/>
    <s v="Yes"/>
    <s v="Yes"/>
    <s v="No"/>
    <s v="No"/>
    <s v="Yes"/>
    <s v="No"/>
    <m/>
    <x v="1"/>
    <n v="1"/>
  </r>
  <r>
    <n v="2231"/>
    <d v="2023-09-22T00:00:00"/>
    <s v="Premium"/>
    <n v="699"/>
    <n v="23.7"/>
    <n v="0"/>
    <x v="1"/>
    <n v="16"/>
    <n v="8"/>
    <s v="No"/>
    <s v="No"/>
    <s v="No"/>
    <s v="No"/>
    <s v="No"/>
    <s v="No"/>
    <m/>
    <x v="1"/>
    <n v="0"/>
  </r>
  <r>
    <n v="2232"/>
    <d v="2023-06-17T00:00:00"/>
    <s v="Basic"/>
    <n v="199"/>
    <n v="17"/>
    <n v="6"/>
    <x v="0"/>
    <n v="19"/>
    <n v="57"/>
    <s v="Yes"/>
    <s v="No"/>
    <s v="Yes"/>
    <s v="Yes"/>
    <s v="Yes"/>
    <s v="No"/>
    <m/>
    <x v="0"/>
    <n v="1"/>
  </r>
  <r>
    <n v="2233"/>
    <d v="2024-10-16T00:00:00"/>
    <s v="Standard"/>
    <n v="399"/>
    <n v="19.2"/>
    <n v="4"/>
    <x v="3"/>
    <n v="7"/>
    <n v="34"/>
    <s v="Yes"/>
    <s v="No"/>
    <s v="Yes"/>
    <s v="No"/>
    <s v="Yes"/>
    <s v="No"/>
    <m/>
    <x v="0"/>
    <n v="1"/>
  </r>
  <r>
    <n v="2234"/>
    <d v="2023-10-04T00:00:00"/>
    <s v="Basic"/>
    <n v="199"/>
    <n v="24.6"/>
    <n v="1"/>
    <x v="1"/>
    <n v="5"/>
    <n v="15"/>
    <s v="Yes"/>
    <s v="No"/>
    <s v="No"/>
    <s v="No"/>
    <s v="Yes"/>
    <s v="Yes"/>
    <m/>
    <x v="1"/>
    <n v="1"/>
  </r>
  <r>
    <n v="2235"/>
    <d v="2024-07-01T00:00:00"/>
    <s v="Basic"/>
    <n v="199"/>
    <n v="19.2"/>
    <n v="5"/>
    <x v="1"/>
    <n v="8"/>
    <n v="32"/>
    <s v="No"/>
    <s v="No"/>
    <s v="No"/>
    <s v="Yes"/>
    <s v="Yes"/>
    <s v="No"/>
    <m/>
    <x v="1"/>
    <n v="0"/>
  </r>
  <r>
    <n v="2236"/>
    <d v="2023-12-28T00:00:00"/>
    <s v="Standard"/>
    <n v="399"/>
    <n v="3.5"/>
    <n v="4"/>
    <x v="1"/>
    <n v="33"/>
    <n v="22"/>
    <s v="No"/>
    <s v="Yes"/>
    <s v="No"/>
    <s v="No"/>
    <s v="Yes"/>
    <s v="No"/>
    <m/>
    <x v="1"/>
    <n v="0"/>
  </r>
  <r>
    <n v="2237"/>
    <d v="2024-09-27T00:00:00"/>
    <s v="Basic"/>
    <n v="199"/>
    <n v="20.3"/>
    <n v="8"/>
    <x v="3"/>
    <n v="25"/>
    <n v="46"/>
    <s v="Yes"/>
    <s v="No"/>
    <s v="Yes"/>
    <s v="Yes"/>
    <s v="Yes"/>
    <s v="No"/>
    <m/>
    <x v="0"/>
    <n v="1"/>
  </r>
  <r>
    <n v="2238"/>
    <d v="2024-07-01T00:00:00"/>
    <s v="Basic"/>
    <n v="199"/>
    <n v="4.5"/>
    <n v="5"/>
    <x v="0"/>
    <n v="5"/>
    <n v="33"/>
    <s v="No"/>
    <s v="Yes"/>
    <s v="Yes"/>
    <s v="Yes"/>
    <s v="Yes"/>
    <s v="Yes"/>
    <m/>
    <x v="0"/>
    <n v="0"/>
  </r>
  <r>
    <n v="2239"/>
    <d v="2024-03-18T00:00:00"/>
    <s v="Basic"/>
    <n v="199"/>
    <n v="24.8"/>
    <n v="5"/>
    <x v="1"/>
    <n v="31"/>
    <n v="21"/>
    <s v="No"/>
    <s v="No"/>
    <s v="No"/>
    <s v="Yes"/>
    <s v="Yes"/>
    <s v="No"/>
    <m/>
    <x v="1"/>
    <n v="0"/>
  </r>
  <r>
    <n v="2240"/>
    <d v="2024-10-14T00:00:00"/>
    <s v="Basic"/>
    <n v="199"/>
    <n v="19.5"/>
    <n v="6"/>
    <x v="0"/>
    <n v="33"/>
    <n v="10"/>
    <s v="Yes"/>
    <s v="No"/>
    <s v="Yes"/>
    <s v="Yes"/>
    <s v="No"/>
    <s v="No"/>
    <m/>
    <x v="0"/>
    <n v="1"/>
  </r>
  <r>
    <n v="2241"/>
    <d v="2024-05-21T00:00:00"/>
    <s v="Standard"/>
    <n v="399"/>
    <n v="24.4"/>
    <n v="3"/>
    <x v="4"/>
    <n v="5"/>
    <n v="59"/>
    <s v="No"/>
    <s v="No"/>
    <s v="Yes"/>
    <s v="No"/>
    <s v="Yes"/>
    <s v="Yes"/>
    <m/>
    <x v="0"/>
    <n v="0"/>
  </r>
  <r>
    <n v="2242"/>
    <d v="2024-04-08T00:00:00"/>
    <s v="Premium"/>
    <n v="699"/>
    <n v="10"/>
    <n v="5"/>
    <x v="0"/>
    <n v="30"/>
    <n v="57"/>
    <s v="Yes"/>
    <s v="No"/>
    <s v="Yes"/>
    <s v="Yes"/>
    <s v="Yes"/>
    <s v="No"/>
    <m/>
    <x v="0"/>
    <n v="1"/>
  </r>
  <r>
    <n v="2243"/>
    <d v="2023-12-13T00:00:00"/>
    <s v="Basic"/>
    <n v="199"/>
    <n v="14.5"/>
    <n v="0"/>
    <x v="4"/>
    <n v="1"/>
    <n v="59"/>
    <s v="Yes"/>
    <s v="No"/>
    <s v="Yes"/>
    <s v="No"/>
    <s v="Yes"/>
    <s v="Yes"/>
    <m/>
    <x v="0"/>
    <n v="1"/>
  </r>
  <r>
    <n v="2244"/>
    <d v="2024-08-31T00:00:00"/>
    <s v="Standard"/>
    <n v="399"/>
    <n v="24.3"/>
    <n v="7"/>
    <x v="1"/>
    <n v="1"/>
    <n v="8"/>
    <s v="No"/>
    <s v="No"/>
    <s v="No"/>
    <s v="Yes"/>
    <s v="No"/>
    <s v="Yes"/>
    <m/>
    <x v="1"/>
    <n v="0"/>
  </r>
  <r>
    <n v="2245"/>
    <d v="2024-07-18T00:00:00"/>
    <s v="Premium"/>
    <n v="699"/>
    <n v="19.3"/>
    <n v="2"/>
    <x v="2"/>
    <n v="36"/>
    <n v="31"/>
    <s v="Yes"/>
    <s v="No"/>
    <s v="Yes"/>
    <s v="No"/>
    <s v="Yes"/>
    <s v="No"/>
    <m/>
    <x v="0"/>
    <n v="1"/>
  </r>
  <r>
    <n v="2246"/>
    <d v="2024-07-03T00:00:00"/>
    <s v="Premium"/>
    <n v="699"/>
    <n v="3.4"/>
    <n v="0"/>
    <x v="4"/>
    <n v="22"/>
    <n v="20"/>
    <s v="Yes"/>
    <s v="Yes"/>
    <s v="Yes"/>
    <s v="No"/>
    <s v="Yes"/>
    <s v="No"/>
    <m/>
    <x v="0"/>
    <n v="1"/>
  </r>
  <r>
    <n v="2247"/>
    <d v="2023-05-21T00:00:00"/>
    <s v="Standard"/>
    <n v="399"/>
    <n v="1.5"/>
    <n v="1"/>
    <x v="1"/>
    <n v="19"/>
    <n v="60"/>
    <s v="Yes"/>
    <s v="Yes"/>
    <s v="No"/>
    <s v="No"/>
    <s v="Yes"/>
    <s v="No"/>
    <m/>
    <x v="1"/>
    <n v="1"/>
  </r>
  <r>
    <n v="2248"/>
    <d v="2023-03-18T00:00:00"/>
    <s v="Premium"/>
    <n v="699"/>
    <n v="20.5"/>
    <n v="2"/>
    <x v="3"/>
    <n v="17"/>
    <n v="21"/>
    <s v="No"/>
    <s v="No"/>
    <s v="Yes"/>
    <s v="No"/>
    <s v="Yes"/>
    <s v="No"/>
    <m/>
    <x v="0"/>
    <n v="0"/>
  </r>
  <r>
    <n v="2249"/>
    <d v="2023-01-27T00:00:00"/>
    <s v="Premium"/>
    <n v="699"/>
    <n v="2.2999999999999998"/>
    <n v="4"/>
    <x v="4"/>
    <n v="24"/>
    <n v="19"/>
    <s v="Yes"/>
    <s v="Yes"/>
    <s v="Yes"/>
    <s v="No"/>
    <s v="Yes"/>
    <s v="No"/>
    <m/>
    <x v="0"/>
    <n v="1"/>
  </r>
  <r>
    <n v="2250"/>
    <d v="2024-09-05T00:00:00"/>
    <s v="Standard"/>
    <n v="399"/>
    <n v="5"/>
    <n v="1"/>
    <x v="0"/>
    <n v="21"/>
    <n v="59"/>
    <s v="No"/>
    <s v="No"/>
    <s v="Yes"/>
    <s v="No"/>
    <s v="Yes"/>
    <s v="No"/>
    <m/>
    <x v="0"/>
    <n v="0"/>
  </r>
  <r>
    <n v="2251"/>
    <d v="2023-07-07T00:00:00"/>
    <s v="Basic"/>
    <n v="199"/>
    <n v="3.3"/>
    <n v="4"/>
    <x v="3"/>
    <n v="24"/>
    <n v="20"/>
    <s v="No"/>
    <s v="Yes"/>
    <s v="Yes"/>
    <s v="No"/>
    <s v="Yes"/>
    <s v="No"/>
    <m/>
    <x v="0"/>
    <n v="0"/>
  </r>
  <r>
    <n v="2252"/>
    <d v="2024-07-17T00:00:00"/>
    <s v="Premium"/>
    <n v="699"/>
    <n v="14.8"/>
    <n v="1"/>
    <x v="0"/>
    <n v="14"/>
    <n v="3"/>
    <s v="No"/>
    <s v="No"/>
    <s v="Yes"/>
    <s v="No"/>
    <s v="No"/>
    <s v="No"/>
    <m/>
    <x v="0"/>
    <n v="0"/>
  </r>
  <r>
    <n v="2253"/>
    <d v="2023-11-01T00:00:00"/>
    <s v="Premium"/>
    <n v="699"/>
    <n v="20.399999999999999"/>
    <n v="8"/>
    <x v="5"/>
    <n v="6"/>
    <n v="55"/>
    <s v="Yes"/>
    <s v="No"/>
    <s v="Yes"/>
    <s v="Yes"/>
    <s v="Yes"/>
    <s v="No"/>
    <m/>
    <x v="0"/>
    <n v="1"/>
  </r>
  <r>
    <n v="2254"/>
    <d v="2024-03-06T00:00:00"/>
    <s v="Premium"/>
    <n v="699"/>
    <n v="3"/>
    <n v="6"/>
    <x v="1"/>
    <n v="20"/>
    <n v="19"/>
    <s v="No"/>
    <s v="Yes"/>
    <s v="No"/>
    <s v="Yes"/>
    <s v="Yes"/>
    <s v="No"/>
    <m/>
    <x v="1"/>
    <n v="0"/>
  </r>
  <r>
    <n v="2255"/>
    <d v="2024-08-25T00:00:00"/>
    <s v="Basic"/>
    <n v="199"/>
    <n v="7.1"/>
    <n v="0"/>
    <x v="0"/>
    <n v="22"/>
    <n v="4"/>
    <s v="Yes"/>
    <s v="No"/>
    <s v="Yes"/>
    <s v="No"/>
    <s v="No"/>
    <s v="No"/>
    <m/>
    <x v="0"/>
    <n v="1"/>
  </r>
  <r>
    <n v="2256"/>
    <d v="2024-07-08T00:00:00"/>
    <s v="Basic"/>
    <n v="199"/>
    <n v="22.3"/>
    <n v="0"/>
    <x v="2"/>
    <n v="7"/>
    <n v="51"/>
    <s v="Yes"/>
    <s v="No"/>
    <s v="Yes"/>
    <s v="No"/>
    <s v="Yes"/>
    <s v="No"/>
    <m/>
    <x v="0"/>
    <n v="1"/>
  </r>
  <r>
    <n v="2257"/>
    <d v="2023-07-09T00:00:00"/>
    <s v="Basic"/>
    <n v="199"/>
    <n v="4.4000000000000004"/>
    <n v="8"/>
    <x v="0"/>
    <n v="17"/>
    <n v="5"/>
    <s v="Yes"/>
    <s v="Yes"/>
    <s v="Yes"/>
    <s v="Yes"/>
    <s v="No"/>
    <s v="No"/>
    <m/>
    <x v="0"/>
    <n v="1"/>
  </r>
  <r>
    <n v="2258"/>
    <d v="2023-05-10T00:00:00"/>
    <s v="Premium"/>
    <n v="699"/>
    <n v="16"/>
    <n v="0"/>
    <x v="2"/>
    <n v="7"/>
    <n v="13"/>
    <s v="No"/>
    <s v="No"/>
    <s v="Yes"/>
    <s v="No"/>
    <s v="No"/>
    <s v="No"/>
    <m/>
    <x v="0"/>
    <n v="0"/>
  </r>
  <r>
    <n v="2259"/>
    <d v="2023-10-07T00:00:00"/>
    <s v="Basic"/>
    <n v="199"/>
    <n v="6.3"/>
    <n v="6"/>
    <x v="1"/>
    <n v="33"/>
    <n v="43"/>
    <s v="No"/>
    <s v="No"/>
    <s v="No"/>
    <s v="Yes"/>
    <s v="Yes"/>
    <s v="No"/>
    <m/>
    <x v="1"/>
    <n v="0"/>
  </r>
  <r>
    <n v="2260"/>
    <d v="2024-11-13T00:00:00"/>
    <s v="Premium"/>
    <n v="699"/>
    <n v="12.6"/>
    <n v="3"/>
    <x v="1"/>
    <n v="13"/>
    <n v="27"/>
    <s v="Yes"/>
    <s v="No"/>
    <s v="No"/>
    <s v="No"/>
    <s v="Yes"/>
    <s v="No"/>
    <m/>
    <x v="1"/>
    <n v="1"/>
  </r>
  <r>
    <n v="2261"/>
    <d v="2024-08-27T00:00:00"/>
    <s v="Standard"/>
    <n v="399"/>
    <n v="20.7"/>
    <n v="4"/>
    <x v="3"/>
    <n v="13"/>
    <n v="8"/>
    <s v="Yes"/>
    <s v="No"/>
    <s v="Yes"/>
    <s v="No"/>
    <s v="No"/>
    <s v="No"/>
    <m/>
    <x v="0"/>
    <n v="1"/>
  </r>
  <r>
    <n v="2262"/>
    <d v="2024-09-11T00:00:00"/>
    <s v="Standard"/>
    <n v="399"/>
    <n v="7.1"/>
    <n v="1"/>
    <x v="4"/>
    <n v="19"/>
    <n v="26"/>
    <s v="Yes"/>
    <s v="No"/>
    <s v="Yes"/>
    <s v="No"/>
    <s v="Yes"/>
    <s v="No"/>
    <m/>
    <x v="0"/>
    <n v="1"/>
  </r>
  <r>
    <n v="2263"/>
    <d v="2024-12-08T00:00:00"/>
    <s v="Standard"/>
    <n v="399"/>
    <n v="24.5"/>
    <n v="6"/>
    <x v="5"/>
    <n v="1"/>
    <n v="12"/>
    <s v="No"/>
    <s v="No"/>
    <s v="Yes"/>
    <s v="Yes"/>
    <s v="No"/>
    <s v="Yes"/>
    <m/>
    <x v="0"/>
    <n v="0"/>
  </r>
  <r>
    <n v="2264"/>
    <d v="2023-02-11T00:00:00"/>
    <s v="Basic"/>
    <n v="199"/>
    <n v="20.5"/>
    <n v="1"/>
    <x v="4"/>
    <n v="12"/>
    <n v="15"/>
    <s v="Yes"/>
    <s v="No"/>
    <s v="Yes"/>
    <s v="No"/>
    <s v="Yes"/>
    <s v="No"/>
    <m/>
    <x v="0"/>
    <n v="1"/>
  </r>
  <r>
    <n v="2265"/>
    <d v="2023-08-12T00:00:00"/>
    <s v="Basic"/>
    <n v="199"/>
    <n v="18.7"/>
    <n v="1"/>
    <x v="4"/>
    <n v="16"/>
    <n v="25"/>
    <s v="Yes"/>
    <s v="No"/>
    <s v="Yes"/>
    <s v="No"/>
    <s v="Yes"/>
    <s v="No"/>
    <m/>
    <x v="0"/>
    <n v="1"/>
  </r>
  <r>
    <n v="2266"/>
    <d v="2023-01-15T00:00:00"/>
    <s v="Standard"/>
    <n v="399"/>
    <n v="14.6"/>
    <n v="3"/>
    <x v="4"/>
    <n v="8"/>
    <n v="7"/>
    <s v="No"/>
    <s v="No"/>
    <s v="Yes"/>
    <s v="No"/>
    <s v="No"/>
    <s v="No"/>
    <m/>
    <x v="0"/>
    <n v="0"/>
  </r>
  <r>
    <n v="2267"/>
    <d v="2023-05-07T00:00:00"/>
    <s v="Standard"/>
    <n v="399"/>
    <n v="8.9"/>
    <n v="7"/>
    <x v="0"/>
    <n v="7"/>
    <n v="9"/>
    <s v="No"/>
    <s v="No"/>
    <s v="Yes"/>
    <s v="Yes"/>
    <s v="No"/>
    <s v="No"/>
    <m/>
    <x v="0"/>
    <n v="0"/>
  </r>
  <r>
    <n v="2268"/>
    <d v="2024-03-30T00:00:00"/>
    <s v="Standard"/>
    <n v="399"/>
    <n v="24.4"/>
    <n v="6"/>
    <x v="4"/>
    <n v="21"/>
    <n v="33"/>
    <s v="Yes"/>
    <s v="No"/>
    <s v="Yes"/>
    <s v="Yes"/>
    <s v="Yes"/>
    <s v="No"/>
    <m/>
    <x v="0"/>
    <n v="1"/>
  </r>
  <r>
    <n v="2269"/>
    <d v="2024-11-12T00:00:00"/>
    <s v="Premium"/>
    <n v="699"/>
    <n v="21.5"/>
    <n v="2"/>
    <x v="0"/>
    <n v="13"/>
    <n v="24"/>
    <s v="No"/>
    <s v="No"/>
    <s v="Yes"/>
    <s v="No"/>
    <s v="Yes"/>
    <s v="No"/>
    <m/>
    <x v="0"/>
    <n v="0"/>
  </r>
  <r>
    <n v="2270"/>
    <d v="2024-03-19T00:00:00"/>
    <s v="Premium"/>
    <n v="699"/>
    <n v="12.5"/>
    <n v="4"/>
    <x v="2"/>
    <n v="16"/>
    <n v="3"/>
    <s v="Yes"/>
    <s v="No"/>
    <s v="Yes"/>
    <s v="No"/>
    <s v="No"/>
    <s v="No"/>
    <m/>
    <x v="0"/>
    <n v="1"/>
  </r>
  <r>
    <n v="2271"/>
    <d v="2023-07-28T00:00:00"/>
    <s v="Standard"/>
    <n v="399"/>
    <n v="2"/>
    <n v="0"/>
    <x v="4"/>
    <n v="11"/>
    <n v="29"/>
    <s v="Yes"/>
    <s v="Yes"/>
    <s v="Yes"/>
    <s v="No"/>
    <s v="Yes"/>
    <s v="No"/>
    <m/>
    <x v="0"/>
    <n v="1"/>
  </r>
  <r>
    <n v="2272"/>
    <d v="2023-01-15T00:00:00"/>
    <s v="Standard"/>
    <n v="399"/>
    <n v="22.1"/>
    <n v="2"/>
    <x v="3"/>
    <n v="8"/>
    <n v="17"/>
    <s v="Yes"/>
    <s v="No"/>
    <s v="Yes"/>
    <s v="No"/>
    <s v="Yes"/>
    <s v="No"/>
    <m/>
    <x v="0"/>
    <n v="1"/>
  </r>
  <r>
    <n v="2273"/>
    <d v="2024-04-05T00:00:00"/>
    <s v="Standard"/>
    <n v="399"/>
    <n v="2.1"/>
    <n v="7"/>
    <x v="3"/>
    <n v="34"/>
    <n v="19"/>
    <s v="Yes"/>
    <s v="Yes"/>
    <s v="Yes"/>
    <s v="Yes"/>
    <s v="Yes"/>
    <s v="No"/>
    <m/>
    <x v="0"/>
    <n v="1"/>
  </r>
  <r>
    <n v="2274"/>
    <d v="2024-03-24T00:00:00"/>
    <s v="Basic"/>
    <n v="199"/>
    <n v="21.1"/>
    <n v="6"/>
    <x v="3"/>
    <n v="18"/>
    <n v="10"/>
    <s v="Yes"/>
    <s v="No"/>
    <s v="Yes"/>
    <s v="Yes"/>
    <s v="No"/>
    <s v="No"/>
    <m/>
    <x v="0"/>
    <n v="1"/>
  </r>
  <r>
    <n v="2275"/>
    <d v="2024-07-18T00:00:00"/>
    <s v="Basic"/>
    <n v="199"/>
    <n v="19.600000000000001"/>
    <n v="7"/>
    <x v="2"/>
    <n v="2"/>
    <n v="14"/>
    <s v="No"/>
    <s v="No"/>
    <s v="Yes"/>
    <s v="Yes"/>
    <s v="No"/>
    <s v="Yes"/>
    <m/>
    <x v="0"/>
    <n v="0"/>
  </r>
  <r>
    <n v="2276"/>
    <d v="2023-10-06T00:00:00"/>
    <s v="Premium"/>
    <n v="699"/>
    <n v="3.2"/>
    <n v="5"/>
    <x v="5"/>
    <n v="10"/>
    <n v="16"/>
    <s v="Yes"/>
    <s v="Yes"/>
    <s v="Yes"/>
    <s v="Yes"/>
    <s v="Yes"/>
    <s v="No"/>
    <m/>
    <x v="0"/>
    <n v="1"/>
  </r>
  <r>
    <n v="2277"/>
    <d v="2023-04-20T00:00:00"/>
    <s v="Premium"/>
    <n v="699"/>
    <n v="20.100000000000001"/>
    <n v="6"/>
    <x v="1"/>
    <n v="34"/>
    <n v="4"/>
    <s v="No"/>
    <s v="No"/>
    <s v="No"/>
    <s v="Yes"/>
    <s v="No"/>
    <s v="No"/>
    <m/>
    <x v="1"/>
    <n v="0"/>
  </r>
  <r>
    <n v="2278"/>
    <d v="2024-09-20T00:00:00"/>
    <s v="Basic"/>
    <n v="199"/>
    <n v="6.7"/>
    <n v="3"/>
    <x v="4"/>
    <n v="19"/>
    <n v="59"/>
    <s v="Yes"/>
    <s v="No"/>
    <s v="Yes"/>
    <s v="No"/>
    <s v="Yes"/>
    <s v="No"/>
    <m/>
    <x v="0"/>
    <n v="1"/>
  </r>
  <r>
    <n v="2279"/>
    <d v="2023-01-21T00:00:00"/>
    <s v="Premium"/>
    <n v="699"/>
    <n v="23.1"/>
    <n v="7"/>
    <x v="5"/>
    <n v="34"/>
    <n v="0"/>
    <s v="Yes"/>
    <s v="No"/>
    <s v="Yes"/>
    <s v="Yes"/>
    <s v="No"/>
    <s v="No"/>
    <m/>
    <x v="0"/>
    <n v="1"/>
  </r>
  <r>
    <n v="2280"/>
    <d v="2023-04-22T00:00:00"/>
    <s v="Standard"/>
    <n v="399"/>
    <n v="10.8"/>
    <n v="5"/>
    <x v="1"/>
    <n v="36"/>
    <n v="30"/>
    <s v="Yes"/>
    <s v="No"/>
    <s v="No"/>
    <s v="Yes"/>
    <s v="Yes"/>
    <s v="No"/>
    <m/>
    <x v="1"/>
    <n v="1"/>
  </r>
  <r>
    <n v="2281"/>
    <d v="2024-08-23T00:00:00"/>
    <s v="Premium"/>
    <n v="699"/>
    <n v="18.2"/>
    <n v="6"/>
    <x v="3"/>
    <n v="20"/>
    <n v="44"/>
    <s v="No"/>
    <s v="No"/>
    <s v="Yes"/>
    <s v="Yes"/>
    <s v="Yes"/>
    <s v="No"/>
    <m/>
    <x v="0"/>
    <n v="0"/>
  </r>
  <r>
    <n v="2282"/>
    <d v="2023-07-20T00:00:00"/>
    <s v="Basic"/>
    <n v="199"/>
    <n v="16.899999999999999"/>
    <n v="5"/>
    <x v="1"/>
    <n v="26"/>
    <n v="24"/>
    <s v="Yes"/>
    <s v="No"/>
    <s v="No"/>
    <s v="Yes"/>
    <s v="Yes"/>
    <s v="No"/>
    <m/>
    <x v="1"/>
    <n v="1"/>
  </r>
  <r>
    <n v="2283"/>
    <d v="2024-06-29T00:00:00"/>
    <s v="Basic"/>
    <n v="199"/>
    <n v="1.6"/>
    <n v="5"/>
    <x v="3"/>
    <n v="21"/>
    <n v="30"/>
    <s v="Yes"/>
    <s v="Yes"/>
    <s v="Yes"/>
    <s v="Yes"/>
    <s v="Yes"/>
    <s v="No"/>
    <m/>
    <x v="0"/>
    <n v="1"/>
  </r>
  <r>
    <n v="2284"/>
    <d v="2024-08-01T00:00:00"/>
    <s v="Standard"/>
    <n v="399"/>
    <n v="6.1"/>
    <n v="8"/>
    <x v="1"/>
    <n v="32"/>
    <n v="44"/>
    <s v="Yes"/>
    <s v="No"/>
    <s v="No"/>
    <s v="Yes"/>
    <s v="Yes"/>
    <s v="No"/>
    <m/>
    <x v="1"/>
    <n v="1"/>
  </r>
  <r>
    <n v="2285"/>
    <d v="2023-03-16T00:00:00"/>
    <s v="Basic"/>
    <n v="199"/>
    <n v="10.6"/>
    <n v="0"/>
    <x v="0"/>
    <n v="15"/>
    <n v="29"/>
    <s v="No"/>
    <s v="No"/>
    <s v="Yes"/>
    <s v="No"/>
    <s v="Yes"/>
    <s v="No"/>
    <m/>
    <x v="0"/>
    <n v="0"/>
  </r>
  <r>
    <n v="2286"/>
    <d v="2024-01-15T00:00:00"/>
    <s v="Basic"/>
    <n v="199"/>
    <n v="11.3"/>
    <n v="2"/>
    <x v="0"/>
    <n v="36"/>
    <n v="47"/>
    <s v="Yes"/>
    <s v="No"/>
    <s v="Yes"/>
    <s v="No"/>
    <s v="Yes"/>
    <s v="No"/>
    <m/>
    <x v="0"/>
    <n v="1"/>
  </r>
  <r>
    <n v="2287"/>
    <d v="2024-04-05T00:00:00"/>
    <s v="Basic"/>
    <n v="199"/>
    <n v="6.8"/>
    <n v="6"/>
    <x v="1"/>
    <n v="3"/>
    <n v="17"/>
    <s v="No"/>
    <s v="No"/>
    <s v="No"/>
    <s v="Yes"/>
    <s v="Yes"/>
    <s v="Yes"/>
    <m/>
    <x v="1"/>
    <n v="0"/>
  </r>
  <r>
    <n v="2288"/>
    <d v="2023-09-14T00:00:00"/>
    <s v="Basic"/>
    <n v="199"/>
    <n v="8.8000000000000007"/>
    <n v="3"/>
    <x v="5"/>
    <n v="6"/>
    <n v="7"/>
    <s v="Yes"/>
    <s v="No"/>
    <s v="Yes"/>
    <s v="No"/>
    <s v="No"/>
    <s v="No"/>
    <m/>
    <x v="0"/>
    <n v="1"/>
  </r>
  <r>
    <n v="2289"/>
    <d v="2024-07-08T00:00:00"/>
    <s v="Premium"/>
    <n v="699"/>
    <n v="18.8"/>
    <n v="3"/>
    <x v="1"/>
    <n v="35"/>
    <n v="30"/>
    <s v="No"/>
    <s v="No"/>
    <s v="No"/>
    <s v="No"/>
    <s v="Yes"/>
    <s v="No"/>
    <m/>
    <x v="1"/>
    <n v="0"/>
  </r>
  <r>
    <n v="2290"/>
    <d v="2023-12-05T00:00:00"/>
    <s v="Basic"/>
    <n v="199"/>
    <n v="23.2"/>
    <n v="7"/>
    <x v="0"/>
    <n v="1"/>
    <n v="50"/>
    <s v="Yes"/>
    <s v="No"/>
    <s v="Yes"/>
    <s v="Yes"/>
    <s v="Yes"/>
    <s v="Yes"/>
    <m/>
    <x v="0"/>
    <n v="1"/>
  </r>
  <r>
    <n v="2291"/>
    <d v="2024-12-14T00:00:00"/>
    <s v="Basic"/>
    <n v="199"/>
    <n v="12.8"/>
    <n v="3"/>
    <x v="5"/>
    <n v="6"/>
    <n v="17"/>
    <s v="Yes"/>
    <s v="No"/>
    <s v="Yes"/>
    <s v="No"/>
    <s v="Yes"/>
    <s v="No"/>
    <m/>
    <x v="0"/>
    <n v="1"/>
  </r>
  <r>
    <n v="2292"/>
    <d v="2023-04-10T00:00:00"/>
    <s v="Standard"/>
    <n v="399"/>
    <n v="19"/>
    <n v="8"/>
    <x v="4"/>
    <n v="23"/>
    <n v="10"/>
    <s v="Yes"/>
    <s v="No"/>
    <s v="Yes"/>
    <s v="Yes"/>
    <s v="No"/>
    <s v="No"/>
    <m/>
    <x v="0"/>
    <n v="1"/>
  </r>
  <r>
    <n v="2293"/>
    <d v="2023-02-16T00:00:00"/>
    <s v="Premium"/>
    <n v="699"/>
    <n v="16.8"/>
    <n v="3"/>
    <x v="0"/>
    <n v="2"/>
    <n v="52"/>
    <s v="Yes"/>
    <s v="No"/>
    <s v="Yes"/>
    <s v="No"/>
    <s v="Yes"/>
    <s v="Yes"/>
    <m/>
    <x v="0"/>
    <n v="1"/>
  </r>
  <r>
    <n v="2294"/>
    <d v="2023-03-04T00:00:00"/>
    <s v="Premium"/>
    <n v="699"/>
    <n v="5.3"/>
    <n v="3"/>
    <x v="0"/>
    <n v="12"/>
    <n v="8"/>
    <s v="No"/>
    <s v="No"/>
    <s v="Yes"/>
    <s v="No"/>
    <s v="No"/>
    <s v="No"/>
    <m/>
    <x v="0"/>
    <n v="0"/>
  </r>
  <r>
    <n v="2295"/>
    <d v="2023-07-29T00:00:00"/>
    <s v="Premium"/>
    <n v="699"/>
    <n v="6"/>
    <n v="2"/>
    <x v="1"/>
    <n v="29"/>
    <n v="7"/>
    <s v="No"/>
    <s v="No"/>
    <s v="No"/>
    <s v="No"/>
    <s v="No"/>
    <s v="No"/>
    <m/>
    <x v="1"/>
    <n v="0"/>
  </r>
  <r>
    <n v="2296"/>
    <d v="2023-06-12T00:00:00"/>
    <s v="Standard"/>
    <n v="399"/>
    <n v="21"/>
    <n v="6"/>
    <x v="0"/>
    <n v="20"/>
    <n v="44"/>
    <s v="Yes"/>
    <s v="No"/>
    <s v="Yes"/>
    <s v="Yes"/>
    <s v="Yes"/>
    <s v="No"/>
    <m/>
    <x v="0"/>
    <n v="1"/>
  </r>
  <r>
    <n v="2297"/>
    <d v="2024-03-06T00:00:00"/>
    <s v="Standard"/>
    <n v="399"/>
    <n v="0.7"/>
    <n v="5"/>
    <x v="1"/>
    <n v="25"/>
    <n v="34"/>
    <s v="Yes"/>
    <s v="Yes"/>
    <s v="No"/>
    <s v="Yes"/>
    <s v="Yes"/>
    <s v="No"/>
    <m/>
    <x v="1"/>
    <n v="1"/>
  </r>
  <r>
    <n v="2298"/>
    <d v="2024-03-21T00:00:00"/>
    <s v="Basic"/>
    <n v="199"/>
    <n v="19.2"/>
    <n v="3"/>
    <x v="1"/>
    <n v="6"/>
    <n v="9"/>
    <s v="No"/>
    <s v="No"/>
    <s v="No"/>
    <s v="No"/>
    <s v="No"/>
    <s v="No"/>
    <m/>
    <x v="1"/>
    <n v="0"/>
  </r>
  <r>
    <n v="2299"/>
    <d v="2024-06-27T00:00:00"/>
    <s v="Basic"/>
    <n v="199"/>
    <n v="7"/>
    <n v="8"/>
    <x v="4"/>
    <n v="11"/>
    <n v="35"/>
    <s v="No"/>
    <s v="No"/>
    <s v="Yes"/>
    <s v="Yes"/>
    <s v="Yes"/>
    <s v="No"/>
    <m/>
    <x v="0"/>
    <n v="0"/>
  </r>
  <r>
    <n v="2300"/>
    <d v="2023-08-09T00:00:00"/>
    <s v="Premium"/>
    <n v="699"/>
    <n v="22.2"/>
    <n v="2"/>
    <x v="5"/>
    <n v="22"/>
    <n v="34"/>
    <s v="No"/>
    <s v="No"/>
    <s v="Yes"/>
    <s v="No"/>
    <s v="Yes"/>
    <s v="No"/>
    <m/>
    <x v="0"/>
    <n v="0"/>
  </r>
  <r>
    <n v="2301"/>
    <d v="2023-08-08T00:00:00"/>
    <s v="Standard"/>
    <n v="399"/>
    <n v="4.7"/>
    <n v="7"/>
    <x v="3"/>
    <n v="28"/>
    <n v="20"/>
    <s v="Yes"/>
    <s v="Yes"/>
    <s v="Yes"/>
    <s v="Yes"/>
    <s v="Yes"/>
    <s v="No"/>
    <m/>
    <x v="0"/>
    <n v="1"/>
  </r>
  <r>
    <n v="2302"/>
    <d v="2023-04-04T00:00:00"/>
    <s v="Premium"/>
    <n v="699"/>
    <n v="5.3"/>
    <n v="4"/>
    <x v="2"/>
    <n v="2"/>
    <n v="49"/>
    <s v="Yes"/>
    <s v="No"/>
    <s v="Yes"/>
    <s v="No"/>
    <s v="Yes"/>
    <s v="Yes"/>
    <m/>
    <x v="0"/>
    <n v="1"/>
  </r>
  <r>
    <n v="2303"/>
    <d v="2024-06-30T00:00:00"/>
    <s v="Premium"/>
    <n v="699"/>
    <n v="20"/>
    <n v="2"/>
    <x v="1"/>
    <n v="8"/>
    <n v="14"/>
    <s v="No"/>
    <s v="No"/>
    <s v="No"/>
    <s v="No"/>
    <s v="No"/>
    <s v="No"/>
    <m/>
    <x v="1"/>
    <n v="0"/>
  </r>
  <r>
    <n v="2304"/>
    <d v="2023-08-26T00:00:00"/>
    <s v="Basic"/>
    <n v="199"/>
    <n v="12.2"/>
    <n v="2"/>
    <x v="1"/>
    <n v="36"/>
    <n v="33"/>
    <s v="Yes"/>
    <s v="No"/>
    <s v="No"/>
    <s v="No"/>
    <s v="Yes"/>
    <s v="No"/>
    <m/>
    <x v="1"/>
    <n v="1"/>
  </r>
  <r>
    <n v="2305"/>
    <d v="2023-09-05T00:00:00"/>
    <s v="Basic"/>
    <n v="199"/>
    <n v="22.7"/>
    <n v="8"/>
    <x v="5"/>
    <n v="16"/>
    <n v="34"/>
    <s v="No"/>
    <s v="No"/>
    <s v="Yes"/>
    <s v="Yes"/>
    <s v="Yes"/>
    <s v="No"/>
    <m/>
    <x v="0"/>
    <n v="0"/>
  </r>
  <r>
    <n v="2306"/>
    <d v="2023-12-07T00:00:00"/>
    <s v="Premium"/>
    <n v="699"/>
    <n v="2.5"/>
    <n v="8"/>
    <x v="5"/>
    <n v="36"/>
    <n v="5"/>
    <s v="Yes"/>
    <s v="Yes"/>
    <s v="Yes"/>
    <s v="Yes"/>
    <s v="No"/>
    <s v="No"/>
    <m/>
    <x v="0"/>
    <n v="1"/>
  </r>
  <r>
    <n v="2307"/>
    <d v="2023-07-30T00:00:00"/>
    <s v="Premium"/>
    <n v="699"/>
    <n v="20.8"/>
    <n v="0"/>
    <x v="2"/>
    <n v="9"/>
    <n v="31"/>
    <s v="No"/>
    <s v="No"/>
    <s v="Yes"/>
    <s v="No"/>
    <s v="Yes"/>
    <s v="No"/>
    <m/>
    <x v="0"/>
    <n v="0"/>
  </r>
  <r>
    <n v="2308"/>
    <d v="2023-03-15T00:00:00"/>
    <s v="Basic"/>
    <n v="199"/>
    <n v="17.600000000000001"/>
    <n v="1"/>
    <x v="5"/>
    <n v="15"/>
    <n v="9"/>
    <s v="No"/>
    <s v="No"/>
    <s v="Yes"/>
    <s v="No"/>
    <s v="No"/>
    <s v="No"/>
    <m/>
    <x v="0"/>
    <n v="0"/>
  </r>
  <r>
    <n v="2309"/>
    <d v="2023-12-12T00:00:00"/>
    <s v="Standard"/>
    <n v="399"/>
    <n v="2.5"/>
    <n v="5"/>
    <x v="2"/>
    <n v="35"/>
    <n v="10"/>
    <s v="Yes"/>
    <s v="Yes"/>
    <s v="Yes"/>
    <s v="Yes"/>
    <s v="No"/>
    <s v="No"/>
    <m/>
    <x v="0"/>
    <n v="1"/>
  </r>
  <r>
    <n v="2310"/>
    <d v="2023-02-01T00:00:00"/>
    <s v="Basic"/>
    <n v="199"/>
    <n v="19.3"/>
    <n v="0"/>
    <x v="4"/>
    <n v="3"/>
    <n v="44"/>
    <s v="Yes"/>
    <s v="No"/>
    <s v="Yes"/>
    <s v="No"/>
    <s v="Yes"/>
    <s v="Yes"/>
    <m/>
    <x v="0"/>
    <n v="1"/>
  </r>
  <r>
    <n v="2311"/>
    <d v="2023-04-11T00:00:00"/>
    <s v="Basic"/>
    <n v="199"/>
    <n v="4.5"/>
    <n v="1"/>
    <x v="1"/>
    <n v="21"/>
    <n v="44"/>
    <s v="Yes"/>
    <s v="Yes"/>
    <s v="No"/>
    <s v="No"/>
    <s v="Yes"/>
    <s v="No"/>
    <m/>
    <x v="1"/>
    <n v="1"/>
  </r>
  <r>
    <n v="2312"/>
    <d v="2023-01-27T00:00:00"/>
    <s v="Standard"/>
    <n v="399"/>
    <n v="16.399999999999999"/>
    <n v="0"/>
    <x v="4"/>
    <n v="35"/>
    <n v="47"/>
    <s v="No"/>
    <s v="No"/>
    <s v="Yes"/>
    <s v="No"/>
    <s v="Yes"/>
    <s v="No"/>
    <m/>
    <x v="0"/>
    <n v="0"/>
  </r>
  <r>
    <n v="2313"/>
    <d v="2024-05-31T00:00:00"/>
    <s v="Premium"/>
    <n v="699"/>
    <n v="24.7"/>
    <n v="5"/>
    <x v="2"/>
    <n v="10"/>
    <n v="43"/>
    <s v="Yes"/>
    <s v="No"/>
    <s v="Yes"/>
    <s v="Yes"/>
    <s v="Yes"/>
    <s v="No"/>
    <m/>
    <x v="0"/>
    <n v="1"/>
  </r>
  <r>
    <n v="2314"/>
    <d v="2023-06-01T00:00:00"/>
    <s v="Premium"/>
    <n v="699"/>
    <n v="18.899999999999999"/>
    <n v="4"/>
    <x v="0"/>
    <n v="19"/>
    <n v="5"/>
    <s v="No"/>
    <s v="No"/>
    <s v="Yes"/>
    <s v="No"/>
    <s v="No"/>
    <s v="No"/>
    <m/>
    <x v="0"/>
    <n v="0"/>
  </r>
  <r>
    <n v="2315"/>
    <d v="2023-06-04T00:00:00"/>
    <s v="Premium"/>
    <n v="699"/>
    <n v="12.2"/>
    <n v="7"/>
    <x v="5"/>
    <n v="35"/>
    <n v="58"/>
    <s v="No"/>
    <s v="No"/>
    <s v="Yes"/>
    <s v="Yes"/>
    <s v="Yes"/>
    <s v="No"/>
    <m/>
    <x v="0"/>
    <n v="0"/>
  </r>
  <r>
    <n v="2316"/>
    <d v="2024-06-03T00:00:00"/>
    <s v="Basic"/>
    <n v="199"/>
    <n v="12.8"/>
    <n v="0"/>
    <x v="3"/>
    <n v="19"/>
    <n v="24"/>
    <s v="Yes"/>
    <s v="No"/>
    <s v="Yes"/>
    <s v="No"/>
    <s v="Yes"/>
    <s v="No"/>
    <m/>
    <x v="0"/>
    <n v="1"/>
  </r>
  <r>
    <n v="2317"/>
    <d v="2023-09-09T00:00:00"/>
    <s v="Standard"/>
    <n v="399"/>
    <n v="1.1000000000000001"/>
    <n v="0"/>
    <x v="1"/>
    <n v="30"/>
    <n v="42"/>
    <s v="Yes"/>
    <s v="Yes"/>
    <s v="No"/>
    <s v="No"/>
    <s v="Yes"/>
    <s v="No"/>
    <m/>
    <x v="1"/>
    <n v="1"/>
  </r>
  <r>
    <n v="2318"/>
    <d v="2024-06-26T00:00:00"/>
    <s v="Standard"/>
    <n v="399"/>
    <n v="16.100000000000001"/>
    <n v="1"/>
    <x v="3"/>
    <n v="23"/>
    <n v="46"/>
    <s v="Yes"/>
    <s v="No"/>
    <s v="Yes"/>
    <s v="No"/>
    <s v="Yes"/>
    <s v="No"/>
    <m/>
    <x v="0"/>
    <n v="1"/>
  </r>
  <r>
    <n v="2319"/>
    <d v="2023-10-03T00:00:00"/>
    <s v="Basic"/>
    <n v="199"/>
    <n v="9.8000000000000007"/>
    <n v="1"/>
    <x v="0"/>
    <n v="26"/>
    <n v="26"/>
    <s v="Yes"/>
    <s v="No"/>
    <s v="Yes"/>
    <s v="No"/>
    <s v="Yes"/>
    <s v="No"/>
    <m/>
    <x v="0"/>
    <n v="1"/>
  </r>
  <r>
    <n v="2320"/>
    <d v="2023-06-24T00:00:00"/>
    <s v="Premium"/>
    <n v="699"/>
    <n v="24.8"/>
    <n v="5"/>
    <x v="4"/>
    <n v="15"/>
    <n v="3"/>
    <s v="Yes"/>
    <s v="No"/>
    <s v="Yes"/>
    <s v="Yes"/>
    <s v="No"/>
    <s v="No"/>
    <m/>
    <x v="0"/>
    <n v="1"/>
  </r>
  <r>
    <n v="2321"/>
    <d v="2023-02-24T00:00:00"/>
    <s v="Premium"/>
    <n v="699"/>
    <n v="18.399999999999999"/>
    <n v="8"/>
    <x v="4"/>
    <n v="25"/>
    <n v="2"/>
    <s v="No"/>
    <s v="No"/>
    <s v="Yes"/>
    <s v="Yes"/>
    <s v="No"/>
    <s v="No"/>
    <m/>
    <x v="0"/>
    <n v="0"/>
  </r>
  <r>
    <n v="2322"/>
    <d v="2023-01-18T00:00:00"/>
    <s v="Standard"/>
    <n v="399"/>
    <n v="6.4"/>
    <n v="8"/>
    <x v="2"/>
    <n v="14"/>
    <n v="39"/>
    <s v="Yes"/>
    <s v="No"/>
    <s v="Yes"/>
    <s v="Yes"/>
    <s v="Yes"/>
    <s v="No"/>
    <m/>
    <x v="0"/>
    <n v="1"/>
  </r>
  <r>
    <n v="2323"/>
    <d v="2023-05-06T00:00:00"/>
    <s v="Premium"/>
    <n v="699"/>
    <n v="5"/>
    <n v="1"/>
    <x v="1"/>
    <n v="34"/>
    <n v="17"/>
    <s v="No"/>
    <s v="No"/>
    <s v="No"/>
    <s v="No"/>
    <s v="Yes"/>
    <s v="No"/>
    <m/>
    <x v="1"/>
    <n v="0"/>
  </r>
  <r>
    <n v="2324"/>
    <d v="2023-01-06T00:00:00"/>
    <s v="Standard"/>
    <n v="399"/>
    <n v="21"/>
    <n v="1"/>
    <x v="5"/>
    <n v="17"/>
    <n v="58"/>
    <s v="Yes"/>
    <s v="No"/>
    <s v="Yes"/>
    <s v="No"/>
    <s v="Yes"/>
    <s v="No"/>
    <m/>
    <x v="0"/>
    <n v="1"/>
  </r>
  <r>
    <n v="2325"/>
    <d v="2023-09-12T00:00:00"/>
    <s v="Standard"/>
    <n v="399"/>
    <n v="24.1"/>
    <n v="2"/>
    <x v="5"/>
    <n v="17"/>
    <n v="60"/>
    <s v="Yes"/>
    <s v="No"/>
    <s v="Yes"/>
    <s v="No"/>
    <s v="Yes"/>
    <s v="No"/>
    <m/>
    <x v="0"/>
    <n v="1"/>
  </r>
  <r>
    <n v="2326"/>
    <d v="2023-10-02T00:00:00"/>
    <s v="Premium"/>
    <n v="699"/>
    <n v="9.8000000000000007"/>
    <n v="3"/>
    <x v="5"/>
    <n v="13"/>
    <n v="41"/>
    <s v="Yes"/>
    <s v="No"/>
    <s v="Yes"/>
    <s v="No"/>
    <s v="Yes"/>
    <s v="No"/>
    <m/>
    <x v="0"/>
    <n v="1"/>
  </r>
  <r>
    <n v="2327"/>
    <d v="2023-10-30T00:00:00"/>
    <s v="Basic"/>
    <n v="199"/>
    <n v="17"/>
    <n v="2"/>
    <x v="4"/>
    <n v="10"/>
    <n v="25"/>
    <s v="No"/>
    <s v="No"/>
    <s v="Yes"/>
    <s v="No"/>
    <s v="Yes"/>
    <s v="No"/>
    <m/>
    <x v="0"/>
    <n v="0"/>
  </r>
  <r>
    <n v="2328"/>
    <d v="2023-09-06T00:00:00"/>
    <s v="Premium"/>
    <n v="699"/>
    <n v="13.3"/>
    <n v="4"/>
    <x v="2"/>
    <n v="11"/>
    <n v="19"/>
    <s v="Yes"/>
    <s v="No"/>
    <s v="Yes"/>
    <s v="No"/>
    <s v="Yes"/>
    <s v="No"/>
    <m/>
    <x v="0"/>
    <n v="1"/>
  </r>
  <r>
    <n v="2329"/>
    <d v="2023-09-15T00:00:00"/>
    <s v="Standard"/>
    <n v="399"/>
    <n v="9.5"/>
    <n v="8"/>
    <x v="2"/>
    <n v="9"/>
    <n v="13"/>
    <s v="Yes"/>
    <s v="No"/>
    <s v="Yes"/>
    <s v="Yes"/>
    <s v="No"/>
    <s v="No"/>
    <m/>
    <x v="0"/>
    <n v="1"/>
  </r>
  <r>
    <n v="2330"/>
    <d v="2024-02-04T00:00:00"/>
    <s v="Basic"/>
    <n v="199"/>
    <n v="21.9"/>
    <n v="6"/>
    <x v="3"/>
    <n v="30"/>
    <n v="60"/>
    <s v="No"/>
    <s v="No"/>
    <s v="Yes"/>
    <s v="Yes"/>
    <s v="Yes"/>
    <s v="No"/>
    <m/>
    <x v="0"/>
    <n v="0"/>
  </r>
  <r>
    <n v="2331"/>
    <d v="2023-07-11T00:00:00"/>
    <s v="Basic"/>
    <n v="199"/>
    <n v="23.7"/>
    <n v="5"/>
    <x v="3"/>
    <n v="23"/>
    <n v="55"/>
    <s v="No"/>
    <s v="No"/>
    <s v="Yes"/>
    <s v="Yes"/>
    <s v="Yes"/>
    <s v="No"/>
    <m/>
    <x v="0"/>
    <n v="0"/>
  </r>
  <r>
    <n v="2332"/>
    <d v="2023-10-28T00:00:00"/>
    <s v="Standard"/>
    <n v="399"/>
    <n v="18.2"/>
    <n v="5"/>
    <x v="3"/>
    <n v="15"/>
    <n v="34"/>
    <s v="Yes"/>
    <s v="No"/>
    <s v="Yes"/>
    <s v="Yes"/>
    <s v="Yes"/>
    <s v="No"/>
    <m/>
    <x v="0"/>
    <n v="1"/>
  </r>
  <r>
    <n v="2333"/>
    <d v="2023-10-14T00:00:00"/>
    <s v="Basic"/>
    <n v="199"/>
    <n v="16.899999999999999"/>
    <n v="7"/>
    <x v="2"/>
    <n v="2"/>
    <n v="19"/>
    <s v="Yes"/>
    <s v="No"/>
    <s v="Yes"/>
    <s v="Yes"/>
    <s v="Yes"/>
    <s v="Yes"/>
    <m/>
    <x v="0"/>
    <n v="1"/>
  </r>
  <r>
    <n v="2334"/>
    <d v="2023-08-20T00:00:00"/>
    <s v="Standard"/>
    <n v="399"/>
    <n v="14.6"/>
    <n v="8"/>
    <x v="5"/>
    <n v="33"/>
    <n v="58"/>
    <s v="No"/>
    <s v="No"/>
    <s v="Yes"/>
    <s v="Yes"/>
    <s v="Yes"/>
    <s v="No"/>
    <m/>
    <x v="0"/>
    <n v="0"/>
  </r>
  <r>
    <n v="2335"/>
    <d v="2023-10-10T00:00:00"/>
    <s v="Premium"/>
    <n v="699"/>
    <n v="9.5"/>
    <n v="8"/>
    <x v="4"/>
    <n v="7"/>
    <n v="32"/>
    <s v="Yes"/>
    <s v="No"/>
    <s v="Yes"/>
    <s v="Yes"/>
    <s v="Yes"/>
    <s v="No"/>
    <m/>
    <x v="0"/>
    <n v="1"/>
  </r>
  <r>
    <n v="2336"/>
    <d v="2023-10-24T00:00:00"/>
    <s v="Standard"/>
    <n v="399"/>
    <n v="11.9"/>
    <n v="0"/>
    <x v="4"/>
    <n v="9"/>
    <n v="44"/>
    <s v="Yes"/>
    <s v="No"/>
    <s v="Yes"/>
    <s v="No"/>
    <s v="Yes"/>
    <s v="No"/>
    <m/>
    <x v="0"/>
    <n v="1"/>
  </r>
  <r>
    <n v="2337"/>
    <d v="2023-08-02T00:00:00"/>
    <s v="Premium"/>
    <n v="699"/>
    <n v="24.8"/>
    <n v="4"/>
    <x v="0"/>
    <n v="4"/>
    <n v="13"/>
    <s v="No"/>
    <s v="No"/>
    <s v="Yes"/>
    <s v="No"/>
    <s v="No"/>
    <s v="Yes"/>
    <m/>
    <x v="0"/>
    <n v="0"/>
  </r>
  <r>
    <n v="2338"/>
    <d v="2023-05-06T00:00:00"/>
    <s v="Standard"/>
    <n v="399"/>
    <n v="20.8"/>
    <n v="4"/>
    <x v="5"/>
    <n v="13"/>
    <n v="20"/>
    <s v="No"/>
    <s v="No"/>
    <s v="Yes"/>
    <s v="No"/>
    <s v="Yes"/>
    <s v="No"/>
    <m/>
    <x v="0"/>
    <n v="0"/>
  </r>
  <r>
    <n v="2339"/>
    <d v="2024-04-10T00:00:00"/>
    <s v="Standard"/>
    <n v="399"/>
    <n v="20.3"/>
    <n v="1"/>
    <x v="1"/>
    <n v="15"/>
    <n v="6"/>
    <s v="No"/>
    <s v="No"/>
    <s v="No"/>
    <s v="No"/>
    <s v="No"/>
    <s v="No"/>
    <m/>
    <x v="1"/>
    <n v="0"/>
  </r>
  <r>
    <n v="2340"/>
    <d v="2023-07-23T00:00:00"/>
    <s v="Premium"/>
    <n v="699"/>
    <n v="18.2"/>
    <n v="1"/>
    <x v="5"/>
    <n v="30"/>
    <n v="3"/>
    <s v="No"/>
    <s v="No"/>
    <s v="Yes"/>
    <s v="No"/>
    <s v="No"/>
    <s v="No"/>
    <m/>
    <x v="0"/>
    <n v="0"/>
  </r>
  <r>
    <n v="2341"/>
    <d v="2024-10-21T00:00:00"/>
    <s v="Basic"/>
    <n v="199"/>
    <n v="16"/>
    <n v="3"/>
    <x v="2"/>
    <n v="6"/>
    <n v="13"/>
    <s v="Yes"/>
    <s v="No"/>
    <s v="Yes"/>
    <s v="No"/>
    <s v="No"/>
    <s v="No"/>
    <m/>
    <x v="0"/>
    <n v="1"/>
  </r>
  <r>
    <n v="2342"/>
    <d v="2023-03-27T00:00:00"/>
    <s v="Standard"/>
    <n v="399"/>
    <n v="1.5"/>
    <n v="6"/>
    <x v="1"/>
    <n v="15"/>
    <n v="46"/>
    <s v="Yes"/>
    <s v="Yes"/>
    <s v="No"/>
    <s v="Yes"/>
    <s v="Yes"/>
    <s v="No"/>
    <m/>
    <x v="1"/>
    <n v="1"/>
  </r>
  <r>
    <n v="2343"/>
    <d v="2024-05-27T00:00:00"/>
    <s v="Premium"/>
    <n v="699"/>
    <n v="12.7"/>
    <n v="5"/>
    <x v="2"/>
    <n v="33"/>
    <n v="6"/>
    <s v="Yes"/>
    <s v="No"/>
    <s v="Yes"/>
    <s v="Yes"/>
    <s v="No"/>
    <s v="No"/>
    <m/>
    <x v="0"/>
    <n v="1"/>
  </r>
  <r>
    <n v="2344"/>
    <d v="2023-08-02T00:00:00"/>
    <s v="Standard"/>
    <n v="399"/>
    <n v="18.100000000000001"/>
    <n v="8"/>
    <x v="1"/>
    <n v="36"/>
    <n v="0"/>
    <s v="No"/>
    <s v="No"/>
    <s v="No"/>
    <s v="Yes"/>
    <s v="No"/>
    <s v="No"/>
    <m/>
    <x v="1"/>
    <n v="0"/>
  </r>
  <r>
    <n v="2345"/>
    <d v="2024-09-03T00:00:00"/>
    <s v="Basic"/>
    <n v="199"/>
    <n v="14.9"/>
    <n v="5"/>
    <x v="2"/>
    <n v="2"/>
    <n v="7"/>
    <s v="No"/>
    <s v="No"/>
    <s v="Yes"/>
    <s v="Yes"/>
    <s v="No"/>
    <s v="Yes"/>
    <m/>
    <x v="0"/>
    <n v="0"/>
  </r>
  <r>
    <n v="2346"/>
    <d v="2024-05-24T00:00:00"/>
    <s v="Premium"/>
    <n v="699"/>
    <n v="6.5"/>
    <n v="6"/>
    <x v="3"/>
    <n v="1"/>
    <n v="30"/>
    <s v="Yes"/>
    <s v="No"/>
    <s v="Yes"/>
    <s v="Yes"/>
    <s v="Yes"/>
    <s v="Yes"/>
    <m/>
    <x v="0"/>
    <n v="1"/>
  </r>
  <r>
    <n v="2347"/>
    <d v="2023-01-04T00:00:00"/>
    <s v="Standard"/>
    <n v="399"/>
    <n v="20.7"/>
    <n v="1"/>
    <x v="4"/>
    <n v="19"/>
    <n v="58"/>
    <s v="Yes"/>
    <s v="No"/>
    <s v="Yes"/>
    <s v="No"/>
    <s v="Yes"/>
    <s v="No"/>
    <m/>
    <x v="0"/>
    <n v="1"/>
  </r>
  <r>
    <n v="2348"/>
    <d v="2023-11-15T00:00:00"/>
    <s v="Premium"/>
    <n v="699"/>
    <n v="10.1"/>
    <n v="5"/>
    <x v="0"/>
    <n v="14"/>
    <n v="56"/>
    <s v="Yes"/>
    <s v="No"/>
    <s v="Yes"/>
    <s v="Yes"/>
    <s v="Yes"/>
    <s v="No"/>
    <m/>
    <x v="0"/>
    <n v="1"/>
  </r>
  <r>
    <n v="2349"/>
    <d v="2023-04-22T00:00:00"/>
    <s v="Premium"/>
    <n v="699"/>
    <n v="20.3"/>
    <n v="8"/>
    <x v="4"/>
    <n v="5"/>
    <n v="49"/>
    <s v="Yes"/>
    <s v="No"/>
    <s v="Yes"/>
    <s v="Yes"/>
    <s v="Yes"/>
    <s v="Yes"/>
    <m/>
    <x v="0"/>
    <n v="1"/>
  </r>
  <r>
    <n v="2350"/>
    <d v="2023-01-28T00:00:00"/>
    <s v="Premium"/>
    <n v="699"/>
    <n v="6"/>
    <n v="6"/>
    <x v="5"/>
    <n v="19"/>
    <n v="30"/>
    <s v="Yes"/>
    <s v="No"/>
    <s v="Yes"/>
    <s v="Yes"/>
    <s v="Yes"/>
    <s v="No"/>
    <m/>
    <x v="0"/>
    <n v="1"/>
  </r>
  <r>
    <n v="2351"/>
    <d v="2023-06-11T00:00:00"/>
    <s v="Premium"/>
    <n v="699"/>
    <n v="19"/>
    <n v="6"/>
    <x v="0"/>
    <n v="9"/>
    <n v="10"/>
    <s v="No"/>
    <s v="No"/>
    <s v="Yes"/>
    <s v="Yes"/>
    <s v="No"/>
    <s v="No"/>
    <m/>
    <x v="0"/>
    <n v="0"/>
  </r>
  <r>
    <n v="2352"/>
    <d v="2024-03-04T00:00:00"/>
    <s v="Basic"/>
    <n v="199"/>
    <n v="4.0999999999999996"/>
    <n v="3"/>
    <x v="2"/>
    <n v="33"/>
    <n v="17"/>
    <s v="Yes"/>
    <s v="Yes"/>
    <s v="Yes"/>
    <s v="No"/>
    <s v="Yes"/>
    <s v="No"/>
    <m/>
    <x v="0"/>
    <n v="1"/>
  </r>
  <r>
    <n v="2353"/>
    <d v="2023-10-29T00:00:00"/>
    <s v="Basic"/>
    <n v="199"/>
    <n v="6.8"/>
    <n v="0"/>
    <x v="4"/>
    <n v="6"/>
    <n v="47"/>
    <s v="No"/>
    <s v="No"/>
    <s v="Yes"/>
    <s v="No"/>
    <s v="Yes"/>
    <s v="No"/>
    <m/>
    <x v="0"/>
    <n v="0"/>
  </r>
  <r>
    <n v="2354"/>
    <d v="2023-12-12T00:00:00"/>
    <s v="Basic"/>
    <n v="199"/>
    <n v="13.6"/>
    <n v="0"/>
    <x v="3"/>
    <n v="34"/>
    <n v="40"/>
    <s v="Yes"/>
    <s v="No"/>
    <s v="Yes"/>
    <s v="No"/>
    <s v="Yes"/>
    <s v="No"/>
    <m/>
    <x v="0"/>
    <n v="1"/>
  </r>
  <r>
    <n v="2355"/>
    <d v="2024-06-15T00:00:00"/>
    <s v="Basic"/>
    <n v="199"/>
    <n v="23.4"/>
    <n v="6"/>
    <x v="2"/>
    <n v="32"/>
    <n v="50"/>
    <s v="Yes"/>
    <s v="No"/>
    <s v="Yes"/>
    <s v="Yes"/>
    <s v="Yes"/>
    <s v="No"/>
    <m/>
    <x v="0"/>
    <n v="1"/>
  </r>
  <r>
    <n v="2356"/>
    <d v="2023-02-13T00:00:00"/>
    <s v="Premium"/>
    <n v="699"/>
    <n v="3.4"/>
    <n v="2"/>
    <x v="2"/>
    <n v="7"/>
    <n v="49"/>
    <s v="Yes"/>
    <s v="Yes"/>
    <s v="Yes"/>
    <s v="No"/>
    <s v="Yes"/>
    <s v="No"/>
    <m/>
    <x v="0"/>
    <n v="1"/>
  </r>
  <r>
    <n v="2357"/>
    <d v="2024-09-14T00:00:00"/>
    <s v="Basic"/>
    <n v="199"/>
    <n v="13.2"/>
    <n v="3"/>
    <x v="3"/>
    <n v="4"/>
    <n v="24"/>
    <s v="Yes"/>
    <s v="No"/>
    <s v="Yes"/>
    <s v="No"/>
    <s v="Yes"/>
    <s v="Yes"/>
    <m/>
    <x v="0"/>
    <n v="1"/>
  </r>
  <r>
    <n v="2358"/>
    <d v="2023-08-06T00:00:00"/>
    <s v="Basic"/>
    <n v="199"/>
    <n v="10"/>
    <n v="7"/>
    <x v="1"/>
    <n v="2"/>
    <n v="20"/>
    <s v="No"/>
    <s v="No"/>
    <s v="No"/>
    <s v="Yes"/>
    <s v="Yes"/>
    <s v="Yes"/>
    <m/>
    <x v="1"/>
    <n v="0"/>
  </r>
  <r>
    <n v="2359"/>
    <d v="2024-03-16T00:00:00"/>
    <s v="Basic"/>
    <n v="199"/>
    <n v="19.3"/>
    <n v="4"/>
    <x v="3"/>
    <n v="12"/>
    <n v="22"/>
    <s v="Yes"/>
    <s v="No"/>
    <s v="Yes"/>
    <s v="No"/>
    <s v="Yes"/>
    <s v="No"/>
    <m/>
    <x v="0"/>
    <n v="1"/>
  </r>
  <r>
    <n v="2360"/>
    <d v="2024-03-10T00:00:00"/>
    <s v="Premium"/>
    <n v="699"/>
    <n v="5"/>
    <n v="1"/>
    <x v="2"/>
    <n v="36"/>
    <n v="40"/>
    <s v="No"/>
    <s v="No"/>
    <s v="Yes"/>
    <s v="No"/>
    <s v="Yes"/>
    <s v="No"/>
    <m/>
    <x v="0"/>
    <n v="0"/>
  </r>
  <r>
    <n v="2361"/>
    <d v="2023-02-11T00:00:00"/>
    <s v="Premium"/>
    <n v="699"/>
    <n v="15.7"/>
    <n v="8"/>
    <x v="3"/>
    <n v="10"/>
    <n v="18"/>
    <s v="No"/>
    <s v="No"/>
    <s v="Yes"/>
    <s v="Yes"/>
    <s v="Yes"/>
    <s v="No"/>
    <m/>
    <x v="0"/>
    <n v="0"/>
  </r>
  <r>
    <n v="2362"/>
    <d v="2024-04-03T00:00:00"/>
    <s v="Basic"/>
    <n v="199"/>
    <n v="7.9"/>
    <n v="8"/>
    <x v="1"/>
    <n v="16"/>
    <n v="50"/>
    <s v="No"/>
    <s v="No"/>
    <s v="No"/>
    <s v="Yes"/>
    <s v="Yes"/>
    <s v="No"/>
    <m/>
    <x v="1"/>
    <n v="0"/>
  </r>
  <r>
    <n v="2363"/>
    <d v="2024-06-25T00:00:00"/>
    <s v="Basic"/>
    <n v="199"/>
    <n v="7.8"/>
    <n v="7"/>
    <x v="4"/>
    <n v="22"/>
    <n v="58"/>
    <s v="Yes"/>
    <s v="No"/>
    <s v="Yes"/>
    <s v="Yes"/>
    <s v="Yes"/>
    <s v="No"/>
    <m/>
    <x v="0"/>
    <n v="1"/>
  </r>
  <r>
    <n v="2364"/>
    <d v="2023-05-08T00:00:00"/>
    <s v="Basic"/>
    <n v="199"/>
    <n v="1.6"/>
    <n v="3"/>
    <x v="4"/>
    <n v="27"/>
    <n v="23"/>
    <s v="Yes"/>
    <s v="Yes"/>
    <s v="Yes"/>
    <s v="No"/>
    <s v="Yes"/>
    <s v="No"/>
    <m/>
    <x v="0"/>
    <n v="1"/>
  </r>
  <r>
    <n v="2365"/>
    <d v="2023-02-18T00:00:00"/>
    <s v="Basic"/>
    <n v="199"/>
    <n v="16.8"/>
    <n v="7"/>
    <x v="4"/>
    <n v="7"/>
    <n v="44"/>
    <s v="Yes"/>
    <s v="No"/>
    <s v="Yes"/>
    <s v="Yes"/>
    <s v="Yes"/>
    <s v="No"/>
    <m/>
    <x v="0"/>
    <n v="1"/>
  </r>
  <r>
    <n v="2366"/>
    <d v="2023-01-17T00:00:00"/>
    <s v="Premium"/>
    <n v="699"/>
    <n v="24.8"/>
    <n v="1"/>
    <x v="3"/>
    <n v="24"/>
    <n v="18"/>
    <s v="No"/>
    <s v="No"/>
    <s v="Yes"/>
    <s v="No"/>
    <s v="Yes"/>
    <s v="No"/>
    <m/>
    <x v="0"/>
    <n v="0"/>
  </r>
  <r>
    <n v="2367"/>
    <d v="2024-08-09T00:00:00"/>
    <s v="Premium"/>
    <n v="699"/>
    <n v="24.8"/>
    <n v="2"/>
    <x v="2"/>
    <n v="29"/>
    <n v="48"/>
    <s v="Yes"/>
    <s v="No"/>
    <s v="Yes"/>
    <s v="No"/>
    <s v="Yes"/>
    <s v="No"/>
    <m/>
    <x v="0"/>
    <n v="1"/>
  </r>
  <r>
    <n v="2368"/>
    <d v="2024-10-19T00:00:00"/>
    <s v="Premium"/>
    <n v="699"/>
    <n v="19.3"/>
    <n v="6"/>
    <x v="4"/>
    <n v="27"/>
    <n v="18"/>
    <s v="No"/>
    <s v="No"/>
    <s v="Yes"/>
    <s v="Yes"/>
    <s v="Yes"/>
    <s v="No"/>
    <m/>
    <x v="0"/>
    <n v="0"/>
  </r>
  <r>
    <n v="2369"/>
    <d v="2024-01-10T00:00:00"/>
    <s v="Premium"/>
    <n v="699"/>
    <n v="2.7"/>
    <n v="8"/>
    <x v="3"/>
    <n v="30"/>
    <n v="9"/>
    <s v="Yes"/>
    <s v="Yes"/>
    <s v="Yes"/>
    <s v="Yes"/>
    <s v="No"/>
    <s v="No"/>
    <m/>
    <x v="0"/>
    <n v="1"/>
  </r>
  <r>
    <n v="2370"/>
    <d v="2023-10-29T00:00:00"/>
    <s v="Premium"/>
    <n v="699"/>
    <n v="16.100000000000001"/>
    <n v="3"/>
    <x v="0"/>
    <n v="25"/>
    <n v="21"/>
    <s v="No"/>
    <s v="No"/>
    <s v="Yes"/>
    <s v="No"/>
    <s v="Yes"/>
    <s v="No"/>
    <m/>
    <x v="0"/>
    <n v="0"/>
  </r>
  <r>
    <n v="2371"/>
    <d v="2023-07-09T00:00:00"/>
    <s v="Basic"/>
    <n v="199"/>
    <n v="22.2"/>
    <n v="3"/>
    <x v="0"/>
    <n v="33"/>
    <n v="56"/>
    <s v="Yes"/>
    <s v="No"/>
    <s v="Yes"/>
    <s v="No"/>
    <s v="Yes"/>
    <s v="No"/>
    <m/>
    <x v="0"/>
    <n v="1"/>
  </r>
  <r>
    <n v="2372"/>
    <d v="2023-02-26T00:00:00"/>
    <s v="Basic"/>
    <n v="199"/>
    <n v="19.600000000000001"/>
    <n v="6"/>
    <x v="2"/>
    <n v="19"/>
    <n v="36"/>
    <s v="Yes"/>
    <s v="No"/>
    <s v="Yes"/>
    <s v="Yes"/>
    <s v="Yes"/>
    <s v="No"/>
    <m/>
    <x v="0"/>
    <n v="1"/>
  </r>
  <r>
    <n v="2373"/>
    <d v="2024-04-13T00:00:00"/>
    <s v="Standard"/>
    <n v="399"/>
    <n v="24.8"/>
    <n v="7"/>
    <x v="0"/>
    <n v="2"/>
    <n v="25"/>
    <s v="No"/>
    <s v="No"/>
    <s v="Yes"/>
    <s v="Yes"/>
    <s v="Yes"/>
    <s v="Yes"/>
    <m/>
    <x v="0"/>
    <n v="0"/>
  </r>
  <r>
    <n v="2374"/>
    <d v="2023-08-22T00:00:00"/>
    <s v="Standard"/>
    <n v="399"/>
    <n v="16.2"/>
    <n v="2"/>
    <x v="4"/>
    <n v="2"/>
    <n v="13"/>
    <s v="Yes"/>
    <s v="No"/>
    <s v="Yes"/>
    <s v="No"/>
    <s v="No"/>
    <s v="Yes"/>
    <m/>
    <x v="0"/>
    <n v="1"/>
  </r>
  <r>
    <n v="2375"/>
    <d v="2024-06-16T00:00:00"/>
    <s v="Premium"/>
    <n v="699"/>
    <n v="8.5"/>
    <n v="5"/>
    <x v="4"/>
    <n v="15"/>
    <n v="15"/>
    <s v="No"/>
    <s v="No"/>
    <s v="Yes"/>
    <s v="Yes"/>
    <s v="Yes"/>
    <s v="No"/>
    <m/>
    <x v="0"/>
    <n v="0"/>
  </r>
  <r>
    <n v="2376"/>
    <d v="2024-02-22T00:00:00"/>
    <s v="Basic"/>
    <n v="199"/>
    <n v="19"/>
    <n v="4"/>
    <x v="1"/>
    <n v="36"/>
    <n v="57"/>
    <s v="Yes"/>
    <s v="No"/>
    <s v="No"/>
    <s v="No"/>
    <s v="Yes"/>
    <s v="No"/>
    <m/>
    <x v="1"/>
    <n v="1"/>
  </r>
  <r>
    <n v="2377"/>
    <d v="2023-05-31T00:00:00"/>
    <s v="Premium"/>
    <n v="699"/>
    <n v="24.5"/>
    <n v="6"/>
    <x v="3"/>
    <n v="8"/>
    <n v="1"/>
    <s v="No"/>
    <s v="No"/>
    <s v="Yes"/>
    <s v="Yes"/>
    <s v="No"/>
    <s v="No"/>
    <m/>
    <x v="0"/>
    <n v="0"/>
  </r>
  <r>
    <n v="2378"/>
    <d v="2024-07-17T00:00:00"/>
    <s v="Standard"/>
    <n v="399"/>
    <n v="13.8"/>
    <n v="2"/>
    <x v="2"/>
    <n v="23"/>
    <n v="42"/>
    <s v="Yes"/>
    <s v="No"/>
    <s v="Yes"/>
    <s v="No"/>
    <s v="Yes"/>
    <s v="No"/>
    <m/>
    <x v="0"/>
    <n v="1"/>
  </r>
  <r>
    <n v="2379"/>
    <d v="2024-03-12T00:00:00"/>
    <s v="Standard"/>
    <n v="399"/>
    <n v="8.9"/>
    <n v="1"/>
    <x v="0"/>
    <n v="25"/>
    <n v="0"/>
    <s v="No"/>
    <s v="No"/>
    <s v="Yes"/>
    <s v="No"/>
    <s v="No"/>
    <s v="No"/>
    <m/>
    <x v="0"/>
    <n v="0"/>
  </r>
  <r>
    <n v="2380"/>
    <d v="2023-05-04T00:00:00"/>
    <s v="Basic"/>
    <n v="199"/>
    <n v="19.3"/>
    <n v="8"/>
    <x v="3"/>
    <n v="10"/>
    <n v="36"/>
    <s v="Yes"/>
    <s v="No"/>
    <s v="Yes"/>
    <s v="Yes"/>
    <s v="Yes"/>
    <s v="No"/>
    <m/>
    <x v="0"/>
    <n v="1"/>
  </r>
  <r>
    <n v="2381"/>
    <d v="2023-11-15T00:00:00"/>
    <s v="Standard"/>
    <n v="399"/>
    <n v="19.5"/>
    <n v="6"/>
    <x v="5"/>
    <n v="13"/>
    <n v="9"/>
    <s v="Yes"/>
    <s v="No"/>
    <s v="Yes"/>
    <s v="Yes"/>
    <s v="No"/>
    <s v="No"/>
    <m/>
    <x v="0"/>
    <n v="1"/>
  </r>
  <r>
    <n v="2382"/>
    <d v="2024-05-04T00:00:00"/>
    <s v="Premium"/>
    <n v="699"/>
    <n v="15.8"/>
    <n v="0"/>
    <x v="1"/>
    <n v="18"/>
    <n v="53"/>
    <s v="No"/>
    <s v="No"/>
    <s v="No"/>
    <s v="No"/>
    <s v="Yes"/>
    <s v="No"/>
    <m/>
    <x v="1"/>
    <n v="0"/>
  </r>
  <r>
    <n v="2383"/>
    <d v="2024-02-03T00:00:00"/>
    <s v="Basic"/>
    <n v="199"/>
    <n v="0.7"/>
    <n v="8"/>
    <x v="2"/>
    <n v="1"/>
    <n v="38"/>
    <s v="Yes"/>
    <s v="Yes"/>
    <s v="Yes"/>
    <s v="Yes"/>
    <s v="Yes"/>
    <s v="Yes"/>
    <m/>
    <x v="0"/>
    <n v="1"/>
  </r>
  <r>
    <n v="2384"/>
    <d v="2024-11-15T00:00:00"/>
    <s v="Basic"/>
    <n v="199"/>
    <n v="3.4"/>
    <n v="6"/>
    <x v="5"/>
    <n v="4"/>
    <n v="12"/>
    <s v="Yes"/>
    <s v="Yes"/>
    <s v="Yes"/>
    <s v="Yes"/>
    <s v="No"/>
    <s v="Yes"/>
    <m/>
    <x v="0"/>
    <n v="1"/>
  </r>
  <r>
    <n v="2385"/>
    <d v="2024-06-24T00:00:00"/>
    <s v="Basic"/>
    <n v="199"/>
    <n v="20.7"/>
    <n v="0"/>
    <x v="1"/>
    <n v="22"/>
    <n v="60"/>
    <s v="Yes"/>
    <s v="No"/>
    <s v="No"/>
    <s v="No"/>
    <s v="Yes"/>
    <s v="No"/>
    <m/>
    <x v="1"/>
    <n v="1"/>
  </r>
  <r>
    <n v="2386"/>
    <d v="2024-02-22T00:00:00"/>
    <s v="Basic"/>
    <n v="199"/>
    <n v="2.5"/>
    <n v="1"/>
    <x v="4"/>
    <n v="18"/>
    <n v="20"/>
    <s v="Yes"/>
    <s v="Yes"/>
    <s v="Yes"/>
    <s v="No"/>
    <s v="Yes"/>
    <s v="No"/>
    <m/>
    <x v="0"/>
    <n v="1"/>
  </r>
  <r>
    <n v="2387"/>
    <d v="2023-02-21T00:00:00"/>
    <s v="Basic"/>
    <n v="199"/>
    <n v="5.3"/>
    <n v="7"/>
    <x v="4"/>
    <n v="34"/>
    <n v="26"/>
    <s v="Yes"/>
    <s v="No"/>
    <s v="Yes"/>
    <s v="Yes"/>
    <s v="Yes"/>
    <s v="No"/>
    <m/>
    <x v="0"/>
    <n v="1"/>
  </r>
  <r>
    <n v="2388"/>
    <d v="2024-03-27T00:00:00"/>
    <s v="Premium"/>
    <n v="699"/>
    <n v="5.9"/>
    <n v="4"/>
    <x v="3"/>
    <n v="24"/>
    <n v="1"/>
    <s v="No"/>
    <s v="No"/>
    <s v="Yes"/>
    <s v="No"/>
    <s v="No"/>
    <s v="No"/>
    <m/>
    <x v="0"/>
    <n v="0"/>
  </r>
  <r>
    <n v="2389"/>
    <d v="2023-05-24T00:00:00"/>
    <s v="Standard"/>
    <n v="399"/>
    <n v="10.1"/>
    <n v="0"/>
    <x v="4"/>
    <n v="19"/>
    <n v="60"/>
    <s v="Yes"/>
    <s v="No"/>
    <s v="Yes"/>
    <s v="No"/>
    <s v="Yes"/>
    <s v="No"/>
    <m/>
    <x v="0"/>
    <n v="1"/>
  </r>
  <r>
    <n v="2390"/>
    <d v="2023-12-19T00:00:00"/>
    <s v="Premium"/>
    <n v="699"/>
    <n v="19.2"/>
    <n v="6"/>
    <x v="4"/>
    <n v="26"/>
    <n v="8"/>
    <s v="No"/>
    <s v="No"/>
    <s v="Yes"/>
    <s v="Yes"/>
    <s v="No"/>
    <s v="No"/>
    <m/>
    <x v="0"/>
    <n v="0"/>
  </r>
  <r>
    <n v="2391"/>
    <d v="2024-01-29T00:00:00"/>
    <s v="Basic"/>
    <n v="199"/>
    <n v="20.100000000000001"/>
    <n v="7"/>
    <x v="4"/>
    <n v="36"/>
    <n v="40"/>
    <s v="No"/>
    <s v="No"/>
    <s v="Yes"/>
    <s v="Yes"/>
    <s v="Yes"/>
    <s v="No"/>
    <m/>
    <x v="0"/>
    <n v="0"/>
  </r>
  <r>
    <n v="2392"/>
    <d v="2024-06-20T00:00:00"/>
    <s v="Basic"/>
    <n v="199"/>
    <n v="14.4"/>
    <n v="1"/>
    <x v="3"/>
    <n v="11"/>
    <n v="1"/>
    <s v="No"/>
    <s v="No"/>
    <s v="Yes"/>
    <s v="No"/>
    <s v="No"/>
    <s v="No"/>
    <m/>
    <x v="0"/>
    <n v="0"/>
  </r>
  <r>
    <n v="2393"/>
    <d v="2023-04-02T00:00:00"/>
    <s v="Premium"/>
    <n v="699"/>
    <n v="6.9"/>
    <n v="3"/>
    <x v="0"/>
    <n v="35"/>
    <n v="12"/>
    <s v="No"/>
    <s v="No"/>
    <s v="Yes"/>
    <s v="No"/>
    <s v="No"/>
    <s v="No"/>
    <m/>
    <x v="0"/>
    <n v="0"/>
  </r>
  <r>
    <n v="2394"/>
    <d v="2024-02-15T00:00:00"/>
    <s v="Basic"/>
    <n v="199"/>
    <n v="9.3000000000000007"/>
    <n v="2"/>
    <x v="0"/>
    <n v="21"/>
    <n v="22"/>
    <s v="No"/>
    <s v="No"/>
    <s v="Yes"/>
    <s v="No"/>
    <s v="Yes"/>
    <s v="No"/>
    <m/>
    <x v="0"/>
    <n v="0"/>
  </r>
  <r>
    <n v="2395"/>
    <d v="2023-06-18T00:00:00"/>
    <s v="Basic"/>
    <n v="199"/>
    <n v="13.8"/>
    <n v="1"/>
    <x v="2"/>
    <n v="30"/>
    <n v="0"/>
    <s v="Yes"/>
    <s v="No"/>
    <s v="Yes"/>
    <s v="No"/>
    <s v="No"/>
    <s v="No"/>
    <m/>
    <x v="0"/>
    <n v="1"/>
  </r>
  <r>
    <n v="2396"/>
    <d v="2024-03-08T00:00:00"/>
    <s v="Premium"/>
    <n v="699"/>
    <n v="2.4"/>
    <n v="2"/>
    <x v="1"/>
    <n v="7"/>
    <n v="24"/>
    <s v="Yes"/>
    <s v="Yes"/>
    <s v="No"/>
    <s v="No"/>
    <s v="Yes"/>
    <s v="No"/>
    <m/>
    <x v="1"/>
    <n v="1"/>
  </r>
  <r>
    <n v="2397"/>
    <d v="2024-08-10T00:00:00"/>
    <s v="Basic"/>
    <n v="199"/>
    <n v="24.5"/>
    <n v="5"/>
    <x v="0"/>
    <n v="33"/>
    <n v="29"/>
    <s v="Yes"/>
    <s v="No"/>
    <s v="Yes"/>
    <s v="Yes"/>
    <s v="Yes"/>
    <s v="No"/>
    <m/>
    <x v="0"/>
    <n v="1"/>
  </r>
  <r>
    <n v="2398"/>
    <d v="2024-07-12T00:00:00"/>
    <s v="Standard"/>
    <n v="399"/>
    <n v="3.5"/>
    <n v="3"/>
    <x v="2"/>
    <n v="25"/>
    <n v="4"/>
    <s v="No"/>
    <s v="Yes"/>
    <s v="Yes"/>
    <s v="No"/>
    <s v="No"/>
    <s v="No"/>
    <m/>
    <x v="0"/>
    <n v="0"/>
  </r>
  <r>
    <n v="2399"/>
    <d v="2023-11-27T00:00:00"/>
    <s v="Standard"/>
    <n v="399"/>
    <n v="7"/>
    <n v="0"/>
    <x v="4"/>
    <n v="20"/>
    <n v="10"/>
    <s v="No"/>
    <s v="No"/>
    <s v="Yes"/>
    <s v="No"/>
    <s v="No"/>
    <s v="No"/>
    <m/>
    <x v="0"/>
    <n v="0"/>
  </r>
  <r>
    <n v="2400"/>
    <d v="2023-04-07T00:00:00"/>
    <s v="Basic"/>
    <n v="199"/>
    <n v="21.7"/>
    <n v="4"/>
    <x v="5"/>
    <n v="10"/>
    <n v="2"/>
    <s v="No"/>
    <s v="No"/>
    <s v="Yes"/>
    <s v="No"/>
    <s v="No"/>
    <s v="No"/>
    <m/>
    <x v="0"/>
    <n v="0"/>
  </r>
  <r>
    <n v="2401"/>
    <d v="2023-09-14T00:00:00"/>
    <s v="Standard"/>
    <n v="399"/>
    <n v="7.5"/>
    <n v="0"/>
    <x v="0"/>
    <n v="18"/>
    <n v="28"/>
    <s v="Yes"/>
    <s v="No"/>
    <s v="Yes"/>
    <s v="No"/>
    <s v="Yes"/>
    <s v="No"/>
    <m/>
    <x v="0"/>
    <n v="1"/>
  </r>
  <r>
    <n v="2402"/>
    <d v="2024-05-26T00:00:00"/>
    <s v="Basic"/>
    <n v="199"/>
    <n v="12"/>
    <n v="1"/>
    <x v="0"/>
    <n v="26"/>
    <n v="57"/>
    <s v="No"/>
    <s v="No"/>
    <s v="Yes"/>
    <s v="No"/>
    <s v="Yes"/>
    <s v="No"/>
    <m/>
    <x v="0"/>
    <n v="0"/>
  </r>
  <r>
    <n v="2403"/>
    <d v="2024-10-16T00:00:00"/>
    <s v="Premium"/>
    <n v="699"/>
    <n v="4.7"/>
    <n v="2"/>
    <x v="1"/>
    <n v="33"/>
    <n v="0"/>
    <s v="No"/>
    <s v="Yes"/>
    <s v="No"/>
    <s v="No"/>
    <s v="No"/>
    <s v="No"/>
    <m/>
    <x v="1"/>
    <n v="0"/>
  </r>
  <r>
    <n v="2404"/>
    <d v="2023-09-25T00:00:00"/>
    <s v="Basic"/>
    <n v="199"/>
    <n v="22.4"/>
    <n v="8"/>
    <x v="0"/>
    <n v="32"/>
    <n v="6"/>
    <s v="No"/>
    <s v="No"/>
    <s v="Yes"/>
    <s v="Yes"/>
    <s v="No"/>
    <s v="No"/>
    <m/>
    <x v="0"/>
    <n v="0"/>
  </r>
  <r>
    <n v="2405"/>
    <d v="2024-12-04T00:00:00"/>
    <s v="Premium"/>
    <n v="699"/>
    <n v="4.7"/>
    <n v="8"/>
    <x v="3"/>
    <n v="27"/>
    <n v="47"/>
    <s v="Yes"/>
    <s v="Yes"/>
    <s v="Yes"/>
    <s v="Yes"/>
    <s v="Yes"/>
    <s v="No"/>
    <m/>
    <x v="0"/>
    <n v="1"/>
  </r>
  <r>
    <n v="2406"/>
    <d v="2023-09-06T00:00:00"/>
    <s v="Premium"/>
    <n v="699"/>
    <n v="6.2"/>
    <n v="6"/>
    <x v="0"/>
    <n v="29"/>
    <n v="55"/>
    <s v="No"/>
    <s v="No"/>
    <s v="Yes"/>
    <s v="Yes"/>
    <s v="Yes"/>
    <s v="No"/>
    <m/>
    <x v="0"/>
    <n v="0"/>
  </r>
  <r>
    <n v="2407"/>
    <d v="2024-08-09T00:00:00"/>
    <s v="Basic"/>
    <n v="199"/>
    <n v="4.8"/>
    <n v="5"/>
    <x v="2"/>
    <n v="33"/>
    <n v="1"/>
    <s v="Yes"/>
    <s v="Yes"/>
    <s v="Yes"/>
    <s v="Yes"/>
    <s v="No"/>
    <s v="No"/>
    <m/>
    <x v="0"/>
    <n v="1"/>
  </r>
  <r>
    <n v="2408"/>
    <d v="2024-11-28T00:00:00"/>
    <s v="Standard"/>
    <n v="399"/>
    <n v="12.6"/>
    <n v="8"/>
    <x v="4"/>
    <n v="2"/>
    <n v="40"/>
    <s v="Yes"/>
    <s v="No"/>
    <s v="Yes"/>
    <s v="Yes"/>
    <s v="Yes"/>
    <s v="Yes"/>
    <m/>
    <x v="0"/>
    <n v="1"/>
  </r>
  <r>
    <n v="2409"/>
    <d v="2023-08-30T00:00:00"/>
    <s v="Basic"/>
    <n v="199"/>
    <n v="12.2"/>
    <n v="0"/>
    <x v="2"/>
    <n v="30"/>
    <n v="55"/>
    <s v="No"/>
    <s v="No"/>
    <s v="Yes"/>
    <s v="No"/>
    <s v="Yes"/>
    <s v="No"/>
    <m/>
    <x v="0"/>
    <n v="0"/>
  </r>
  <r>
    <n v="2410"/>
    <d v="2024-01-21T00:00:00"/>
    <s v="Standard"/>
    <n v="399"/>
    <n v="19.600000000000001"/>
    <n v="2"/>
    <x v="1"/>
    <n v="34"/>
    <n v="23"/>
    <s v="No"/>
    <s v="No"/>
    <s v="No"/>
    <s v="No"/>
    <s v="Yes"/>
    <s v="No"/>
    <m/>
    <x v="1"/>
    <n v="0"/>
  </r>
  <r>
    <n v="2411"/>
    <d v="2023-12-02T00:00:00"/>
    <s v="Premium"/>
    <n v="699"/>
    <n v="2.6"/>
    <n v="2"/>
    <x v="0"/>
    <n v="10"/>
    <n v="14"/>
    <s v="No"/>
    <s v="Yes"/>
    <s v="Yes"/>
    <s v="No"/>
    <s v="No"/>
    <s v="No"/>
    <m/>
    <x v="0"/>
    <n v="0"/>
  </r>
  <r>
    <n v="2412"/>
    <d v="2023-01-16T00:00:00"/>
    <s v="Premium"/>
    <n v="699"/>
    <n v="2.6"/>
    <n v="6"/>
    <x v="4"/>
    <n v="11"/>
    <n v="55"/>
    <s v="Yes"/>
    <s v="Yes"/>
    <s v="Yes"/>
    <s v="Yes"/>
    <s v="Yes"/>
    <s v="No"/>
    <m/>
    <x v="0"/>
    <n v="1"/>
  </r>
  <r>
    <n v="2413"/>
    <d v="2023-06-03T00:00:00"/>
    <s v="Standard"/>
    <n v="399"/>
    <n v="24.7"/>
    <n v="1"/>
    <x v="4"/>
    <n v="35"/>
    <n v="16"/>
    <s v="No"/>
    <s v="No"/>
    <s v="Yes"/>
    <s v="No"/>
    <s v="Yes"/>
    <s v="No"/>
    <m/>
    <x v="0"/>
    <n v="0"/>
  </r>
  <r>
    <n v="2414"/>
    <d v="2024-08-04T00:00:00"/>
    <s v="Premium"/>
    <n v="699"/>
    <n v="13.3"/>
    <n v="2"/>
    <x v="1"/>
    <n v="5"/>
    <n v="36"/>
    <s v="Yes"/>
    <s v="No"/>
    <s v="No"/>
    <s v="No"/>
    <s v="Yes"/>
    <s v="Yes"/>
    <m/>
    <x v="1"/>
    <n v="1"/>
  </r>
  <r>
    <n v="2415"/>
    <d v="2024-11-29T00:00:00"/>
    <s v="Standard"/>
    <n v="399"/>
    <n v="19"/>
    <n v="0"/>
    <x v="5"/>
    <n v="30"/>
    <n v="37"/>
    <s v="Yes"/>
    <s v="No"/>
    <s v="Yes"/>
    <s v="No"/>
    <s v="Yes"/>
    <s v="No"/>
    <m/>
    <x v="0"/>
    <n v="1"/>
  </r>
  <r>
    <n v="2416"/>
    <d v="2023-01-17T00:00:00"/>
    <s v="Standard"/>
    <n v="399"/>
    <n v="11"/>
    <n v="8"/>
    <x v="3"/>
    <n v="16"/>
    <n v="50"/>
    <s v="Yes"/>
    <s v="No"/>
    <s v="Yes"/>
    <s v="Yes"/>
    <s v="Yes"/>
    <s v="No"/>
    <m/>
    <x v="0"/>
    <n v="1"/>
  </r>
  <r>
    <n v="2417"/>
    <d v="2024-09-11T00:00:00"/>
    <s v="Basic"/>
    <n v="199"/>
    <n v="22.4"/>
    <n v="0"/>
    <x v="3"/>
    <n v="9"/>
    <n v="51"/>
    <s v="Yes"/>
    <s v="No"/>
    <s v="Yes"/>
    <s v="No"/>
    <s v="Yes"/>
    <s v="No"/>
    <m/>
    <x v="0"/>
    <n v="1"/>
  </r>
  <r>
    <n v="2418"/>
    <d v="2024-12-09T00:00:00"/>
    <s v="Premium"/>
    <n v="699"/>
    <n v="16.7"/>
    <n v="8"/>
    <x v="2"/>
    <n v="15"/>
    <n v="46"/>
    <s v="Yes"/>
    <s v="No"/>
    <s v="Yes"/>
    <s v="Yes"/>
    <s v="Yes"/>
    <s v="No"/>
    <m/>
    <x v="0"/>
    <n v="1"/>
  </r>
  <r>
    <n v="2419"/>
    <d v="2024-09-16T00:00:00"/>
    <s v="Standard"/>
    <n v="399"/>
    <n v="24.2"/>
    <n v="2"/>
    <x v="3"/>
    <n v="33"/>
    <n v="56"/>
    <s v="No"/>
    <s v="No"/>
    <s v="Yes"/>
    <s v="No"/>
    <s v="Yes"/>
    <s v="No"/>
    <m/>
    <x v="0"/>
    <n v="0"/>
  </r>
  <r>
    <n v="2420"/>
    <d v="2024-07-12T00:00:00"/>
    <s v="Premium"/>
    <n v="699"/>
    <n v="15.9"/>
    <n v="1"/>
    <x v="3"/>
    <n v="36"/>
    <n v="22"/>
    <s v="Yes"/>
    <s v="No"/>
    <s v="Yes"/>
    <s v="No"/>
    <s v="Yes"/>
    <s v="No"/>
    <m/>
    <x v="0"/>
    <n v="1"/>
  </r>
  <r>
    <n v="2421"/>
    <d v="2024-01-01T00:00:00"/>
    <s v="Premium"/>
    <n v="699"/>
    <n v="24.1"/>
    <n v="0"/>
    <x v="4"/>
    <n v="30"/>
    <n v="41"/>
    <s v="Yes"/>
    <s v="No"/>
    <s v="Yes"/>
    <s v="No"/>
    <s v="Yes"/>
    <s v="No"/>
    <m/>
    <x v="0"/>
    <n v="1"/>
  </r>
  <r>
    <n v="2422"/>
    <d v="2024-07-06T00:00:00"/>
    <s v="Basic"/>
    <n v="199"/>
    <n v="22.4"/>
    <n v="6"/>
    <x v="2"/>
    <n v="16"/>
    <n v="24"/>
    <s v="Yes"/>
    <s v="No"/>
    <s v="Yes"/>
    <s v="Yes"/>
    <s v="Yes"/>
    <s v="No"/>
    <m/>
    <x v="0"/>
    <n v="1"/>
  </r>
  <r>
    <n v="2423"/>
    <d v="2024-09-20T00:00:00"/>
    <s v="Premium"/>
    <n v="699"/>
    <n v="1.1000000000000001"/>
    <n v="7"/>
    <x v="3"/>
    <n v="12"/>
    <n v="24"/>
    <s v="Yes"/>
    <s v="Yes"/>
    <s v="Yes"/>
    <s v="Yes"/>
    <s v="Yes"/>
    <s v="No"/>
    <m/>
    <x v="0"/>
    <n v="1"/>
  </r>
  <r>
    <n v="2424"/>
    <d v="2024-09-30T00:00:00"/>
    <s v="Basic"/>
    <n v="199"/>
    <n v="12.6"/>
    <n v="8"/>
    <x v="2"/>
    <n v="30"/>
    <n v="24"/>
    <s v="Yes"/>
    <s v="No"/>
    <s v="Yes"/>
    <s v="Yes"/>
    <s v="Yes"/>
    <s v="No"/>
    <m/>
    <x v="0"/>
    <n v="1"/>
  </r>
  <r>
    <n v="2425"/>
    <d v="2023-07-20T00:00:00"/>
    <s v="Premium"/>
    <n v="699"/>
    <n v="12.9"/>
    <n v="2"/>
    <x v="0"/>
    <n v="28"/>
    <n v="20"/>
    <s v="No"/>
    <s v="No"/>
    <s v="Yes"/>
    <s v="No"/>
    <s v="Yes"/>
    <s v="No"/>
    <m/>
    <x v="0"/>
    <n v="0"/>
  </r>
  <r>
    <n v="2426"/>
    <d v="2024-02-13T00:00:00"/>
    <s v="Standard"/>
    <n v="399"/>
    <n v="19.899999999999999"/>
    <n v="8"/>
    <x v="3"/>
    <n v="3"/>
    <n v="43"/>
    <s v="Yes"/>
    <s v="No"/>
    <s v="Yes"/>
    <s v="Yes"/>
    <s v="Yes"/>
    <s v="Yes"/>
    <m/>
    <x v="0"/>
    <n v="1"/>
  </r>
  <r>
    <n v="2427"/>
    <d v="2023-01-31T00:00:00"/>
    <s v="Premium"/>
    <n v="699"/>
    <n v="17.2"/>
    <n v="3"/>
    <x v="3"/>
    <n v="12"/>
    <n v="3"/>
    <s v="No"/>
    <s v="No"/>
    <s v="Yes"/>
    <s v="No"/>
    <s v="No"/>
    <s v="No"/>
    <m/>
    <x v="0"/>
    <n v="0"/>
  </r>
  <r>
    <n v="2428"/>
    <d v="2024-12-03T00:00:00"/>
    <s v="Premium"/>
    <n v="699"/>
    <n v="19"/>
    <n v="6"/>
    <x v="2"/>
    <n v="24"/>
    <n v="46"/>
    <s v="Yes"/>
    <s v="No"/>
    <s v="Yes"/>
    <s v="Yes"/>
    <s v="Yes"/>
    <s v="No"/>
    <m/>
    <x v="0"/>
    <n v="1"/>
  </r>
  <r>
    <n v="2429"/>
    <d v="2023-06-30T00:00:00"/>
    <s v="Standard"/>
    <n v="399"/>
    <n v="1.3"/>
    <n v="1"/>
    <x v="0"/>
    <n v="3"/>
    <n v="17"/>
    <s v="No"/>
    <s v="Yes"/>
    <s v="Yes"/>
    <s v="No"/>
    <s v="Yes"/>
    <s v="Yes"/>
    <m/>
    <x v="0"/>
    <n v="0"/>
  </r>
  <r>
    <n v="2430"/>
    <d v="2024-02-07T00:00:00"/>
    <s v="Premium"/>
    <n v="699"/>
    <n v="21.4"/>
    <n v="4"/>
    <x v="3"/>
    <n v="22"/>
    <n v="11"/>
    <s v="No"/>
    <s v="No"/>
    <s v="Yes"/>
    <s v="No"/>
    <s v="No"/>
    <s v="No"/>
    <m/>
    <x v="0"/>
    <n v="0"/>
  </r>
  <r>
    <n v="2431"/>
    <d v="2023-09-10T00:00:00"/>
    <s v="Standard"/>
    <n v="399"/>
    <n v="5.3"/>
    <n v="5"/>
    <x v="5"/>
    <n v="26"/>
    <n v="18"/>
    <s v="Yes"/>
    <s v="No"/>
    <s v="Yes"/>
    <s v="Yes"/>
    <s v="Yes"/>
    <s v="No"/>
    <m/>
    <x v="0"/>
    <n v="1"/>
  </r>
  <r>
    <n v="2432"/>
    <d v="2023-07-19T00:00:00"/>
    <s v="Premium"/>
    <n v="699"/>
    <n v="17.2"/>
    <n v="4"/>
    <x v="2"/>
    <n v="9"/>
    <n v="53"/>
    <s v="No"/>
    <s v="No"/>
    <s v="Yes"/>
    <s v="No"/>
    <s v="Yes"/>
    <s v="No"/>
    <m/>
    <x v="0"/>
    <n v="0"/>
  </r>
  <r>
    <n v="2433"/>
    <d v="2023-12-02T00:00:00"/>
    <s v="Premium"/>
    <n v="699"/>
    <n v="8.8000000000000007"/>
    <n v="2"/>
    <x v="3"/>
    <n v="7"/>
    <n v="5"/>
    <s v="No"/>
    <s v="No"/>
    <s v="Yes"/>
    <s v="No"/>
    <s v="No"/>
    <s v="No"/>
    <m/>
    <x v="0"/>
    <n v="0"/>
  </r>
  <r>
    <n v="2434"/>
    <d v="2024-02-03T00:00:00"/>
    <s v="Basic"/>
    <n v="199"/>
    <n v="19.2"/>
    <n v="7"/>
    <x v="0"/>
    <n v="35"/>
    <n v="58"/>
    <s v="No"/>
    <s v="No"/>
    <s v="Yes"/>
    <s v="Yes"/>
    <s v="Yes"/>
    <s v="No"/>
    <m/>
    <x v="0"/>
    <n v="0"/>
  </r>
  <r>
    <n v="2435"/>
    <d v="2024-09-14T00:00:00"/>
    <s v="Basic"/>
    <n v="199"/>
    <n v="10.4"/>
    <n v="3"/>
    <x v="4"/>
    <n v="11"/>
    <n v="14"/>
    <s v="Yes"/>
    <s v="No"/>
    <s v="Yes"/>
    <s v="No"/>
    <s v="No"/>
    <s v="No"/>
    <m/>
    <x v="0"/>
    <n v="1"/>
  </r>
  <r>
    <n v="2436"/>
    <d v="2024-01-14T00:00:00"/>
    <s v="Premium"/>
    <n v="699"/>
    <n v="3"/>
    <n v="8"/>
    <x v="1"/>
    <n v="24"/>
    <n v="35"/>
    <s v="Yes"/>
    <s v="Yes"/>
    <s v="No"/>
    <s v="Yes"/>
    <s v="Yes"/>
    <s v="No"/>
    <m/>
    <x v="1"/>
    <n v="1"/>
  </r>
  <r>
    <n v="2437"/>
    <d v="2024-07-26T00:00:00"/>
    <s v="Standard"/>
    <n v="399"/>
    <n v="23.8"/>
    <n v="7"/>
    <x v="5"/>
    <n v="2"/>
    <n v="16"/>
    <s v="No"/>
    <s v="No"/>
    <s v="Yes"/>
    <s v="Yes"/>
    <s v="Yes"/>
    <s v="Yes"/>
    <m/>
    <x v="0"/>
    <n v="0"/>
  </r>
  <r>
    <n v="2438"/>
    <d v="2023-08-18T00:00:00"/>
    <s v="Standard"/>
    <n v="399"/>
    <n v="15.4"/>
    <n v="7"/>
    <x v="4"/>
    <n v="2"/>
    <n v="18"/>
    <s v="No"/>
    <s v="No"/>
    <s v="Yes"/>
    <s v="Yes"/>
    <s v="Yes"/>
    <s v="Yes"/>
    <m/>
    <x v="0"/>
    <n v="0"/>
  </r>
  <r>
    <n v="2439"/>
    <d v="2024-08-13T00:00:00"/>
    <s v="Basic"/>
    <n v="199"/>
    <n v="8"/>
    <n v="1"/>
    <x v="4"/>
    <n v="13"/>
    <n v="57"/>
    <s v="Yes"/>
    <s v="No"/>
    <s v="Yes"/>
    <s v="No"/>
    <s v="Yes"/>
    <s v="No"/>
    <m/>
    <x v="0"/>
    <n v="1"/>
  </r>
  <r>
    <n v="2440"/>
    <d v="2024-12-22T00:00:00"/>
    <s v="Basic"/>
    <n v="199"/>
    <n v="22.9"/>
    <n v="7"/>
    <x v="0"/>
    <n v="8"/>
    <n v="3"/>
    <s v="Yes"/>
    <s v="No"/>
    <s v="Yes"/>
    <s v="Yes"/>
    <s v="No"/>
    <s v="No"/>
    <m/>
    <x v="0"/>
    <n v="1"/>
  </r>
  <r>
    <n v="2441"/>
    <d v="2024-02-08T00:00:00"/>
    <s v="Standard"/>
    <n v="399"/>
    <n v="7.1"/>
    <n v="0"/>
    <x v="1"/>
    <n v="16"/>
    <n v="53"/>
    <s v="No"/>
    <s v="No"/>
    <s v="No"/>
    <s v="No"/>
    <s v="Yes"/>
    <s v="No"/>
    <m/>
    <x v="1"/>
    <n v="0"/>
  </r>
  <r>
    <n v="2442"/>
    <d v="2023-07-27T00:00:00"/>
    <s v="Standard"/>
    <n v="399"/>
    <n v="8.5"/>
    <n v="7"/>
    <x v="1"/>
    <n v="6"/>
    <n v="20"/>
    <s v="No"/>
    <s v="No"/>
    <s v="No"/>
    <s v="Yes"/>
    <s v="Yes"/>
    <s v="No"/>
    <m/>
    <x v="1"/>
    <n v="0"/>
  </r>
  <r>
    <n v="2443"/>
    <d v="2024-03-05T00:00:00"/>
    <s v="Basic"/>
    <n v="199"/>
    <n v="18.399999999999999"/>
    <n v="5"/>
    <x v="5"/>
    <n v="14"/>
    <n v="56"/>
    <s v="Yes"/>
    <s v="No"/>
    <s v="Yes"/>
    <s v="Yes"/>
    <s v="Yes"/>
    <s v="No"/>
    <m/>
    <x v="0"/>
    <n v="1"/>
  </r>
  <r>
    <n v="2444"/>
    <d v="2023-01-17T00:00:00"/>
    <s v="Standard"/>
    <n v="399"/>
    <n v="2.9"/>
    <n v="6"/>
    <x v="2"/>
    <n v="34"/>
    <n v="54"/>
    <s v="Yes"/>
    <s v="Yes"/>
    <s v="Yes"/>
    <s v="Yes"/>
    <s v="Yes"/>
    <s v="No"/>
    <m/>
    <x v="0"/>
    <n v="1"/>
  </r>
  <r>
    <n v="2445"/>
    <d v="2023-04-22T00:00:00"/>
    <s v="Premium"/>
    <n v="699"/>
    <n v="23.8"/>
    <n v="2"/>
    <x v="4"/>
    <n v="18"/>
    <n v="55"/>
    <s v="No"/>
    <s v="No"/>
    <s v="Yes"/>
    <s v="No"/>
    <s v="Yes"/>
    <s v="No"/>
    <m/>
    <x v="0"/>
    <n v="0"/>
  </r>
  <r>
    <n v="2446"/>
    <d v="2024-06-25T00:00:00"/>
    <s v="Standard"/>
    <n v="399"/>
    <n v="1.4"/>
    <n v="5"/>
    <x v="0"/>
    <n v="6"/>
    <n v="29"/>
    <s v="Yes"/>
    <s v="Yes"/>
    <s v="Yes"/>
    <s v="Yes"/>
    <s v="Yes"/>
    <s v="No"/>
    <m/>
    <x v="0"/>
    <n v="1"/>
  </r>
  <r>
    <n v="2447"/>
    <d v="2024-05-04T00:00:00"/>
    <s v="Basic"/>
    <n v="199"/>
    <n v="12.1"/>
    <n v="0"/>
    <x v="5"/>
    <n v="34"/>
    <n v="46"/>
    <s v="No"/>
    <s v="No"/>
    <s v="Yes"/>
    <s v="No"/>
    <s v="Yes"/>
    <s v="No"/>
    <m/>
    <x v="0"/>
    <n v="0"/>
  </r>
  <r>
    <n v="2448"/>
    <d v="2023-12-23T00:00:00"/>
    <s v="Basic"/>
    <n v="199"/>
    <n v="9.3000000000000007"/>
    <n v="3"/>
    <x v="5"/>
    <n v="18"/>
    <n v="33"/>
    <s v="Yes"/>
    <s v="No"/>
    <s v="Yes"/>
    <s v="No"/>
    <s v="Yes"/>
    <s v="No"/>
    <m/>
    <x v="0"/>
    <n v="1"/>
  </r>
  <r>
    <n v="2449"/>
    <d v="2024-03-14T00:00:00"/>
    <s v="Standard"/>
    <n v="399"/>
    <n v="22.3"/>
    <n v="5"/>
    <x v="5"/>
    <n v="11"/>
    <n v="51"/>
    <s v="No"/>
    <s v="No"/>
    <s v="Yes"/>
    <s v="Yes"/>
    <s v="Yes"/>
    <s v="No"/>
    <m/>
    <x v="0"/>
    <n v="0"/>
  </r>
  <r>
    <n v="2450"/>
    <d v="2024-07-05T00:00:00"/>
    <s v="Standard"/>
    <n v="399"/>
    <n v="23.9"/>
    <n v="8"/>
    <x v="2"/>
    <n v="4"/>
    <n v="50"/>
    <s v="No"/>
    <s v="No"/>
    <s v="Yes"/>
    <s v="Yes"/>
    <s v="Yes"/>
    <s v="Yes"/>
    <m/>
    <x v="0"/>
    <n v="0"/>
  </r>
  <r>
    <n v="2451"/>
    <d v="2024-06-06T00:00:00"/>
    <s v="Standard"/>
    <n v="399"/>
    <n v="7.8"/>
    <n v="2"/>
    <x v="0"/>
    <n v="18"/>
    <n v="31"/>
    <s v="No"/>
    <s v="No"/>
    <s v="Yes"/>
    <s v="No"/>
    <s v="Yes"/>
    <s v="No"/>
    <m/>
    <x v="0"/>
    <n v="0"/>
  </r>
  <r>
    <n v="2452"/>
    <d v="2024-01-08T00:00:00"/>
    <s v="Standard"/>
    <n v="399"/>
    <n v="13.8"/>
    <n v="5"/>
    <x v="4"/>
    <n v="18"/>
    <n v="37"/>
    <s v="Yes"/>
    <s v="No"/>
    <s v="Yes"/>
    <s v="Yes"/>
    <s v="Yes"/>
    <s v="No"/>
    <m/>
    <x v="0"/>
    <n v="1"/>
  </r>
  <r>
    <n v="2453"/>
    <d v="2023-03-26T00:00:00"/>
    <s v="Standard"/>
    <n v="399"/>
    <n v="4.9000000000000004"/>
    <n v="2"/>
    <x v="3"/>
    <n v="19"/>
    <n v="39"/>
    <s v="No"/>
    <s v="Yes"/>
    <s v="Yes"/>
    <s v="No"/>
    <s v="Yes"/>
    <s v="No"/>
    <m/>
    <x v="0"/>
    <n v="0"/>
  </r>
  <r>
    <n v="2454"/>
    <d v="2023-02-10T00:00:00"/>
    <s v="Premium"/>
    <n v="699"/>
    <n v="24.6"/>
    <n v="0"/>
    <x v="0"/>
    <n v="28"/>
    <n v="59"/>
    <s v="No"/>
    <s v="No"/>
    <s v="Yes"/>
    <s v="No"/>
    <s v="Yes"/>
    <s v="No"/>
    <m/>
    <x v="0"/>
    <n v="0"/>
  </r>
  <r>
    <n v="2455"/>
    <d v="2023-08-26T00:00:00"/>
    <s v="Basic"/>
    <n v="199"/>
    <n v="20.100000000000001"/>
    <n v="5"/>
    <x v="4"/>
    <n v="10"/>
    <n v="14"/>
    <s v="No"/>
    <s v="No"/>
    <s v="Yes"/>
    <s v="Yes"/>
    <s v="No"/>
    <s v="No"/>
    <m/>
    <x v="0"/>
    <n v="0"/>
  </r>
  <r>
    <n v="2456"/>
    <d v="2023-08-02T00:00:00"/>
    <s v="Basic"/>
    <n v="199"/>
    <n v="3.7"/>
    <n v="1"/>
    <x v="3"/>
    <n v="16"/>
    <n v="55"/>
    <s v="Yes"/>
    <s v="Yes"/>
    <s v="Yes"/>
    <s v="No"/>
    <s v="Yes"/>
    <s v="No"/>
    <m/>
    <x v="0"/>
    <n v="1"/>
  </r>
  <r>
    <n v="2457"/>
    <d v="2024-03-11T00:00:00"/>
    <s v="Basic"/>
    <n v="199"/>
    <n v="8.8000000000000007"/>
    <n v="0"/>
    <x v="5"/>
    <n v="21"/>
    <n v="13"/>
    <s v="No"/>
    <s v="No"/>
    <s v="Yes"/>
    <s v="No"/>
    <s v="No"/>
    <s v="No"/>
    <m/>
    <x v="0"/>
    <n v="0"/>
  </r>
  <r>
    <n v="2458"/>
    <d v="2024-06-21T00:00:00"/>
    <s v="Premium"/>
    <n v="699"/>
    <n v="17.2"/>
    <n v="4"/>
    <x v="3"/>
    <n v="12"/>
    <n v="18"/>
    <s v="No"/>
    <s v="No"/>
    <s v="Yes"/>
    <s v="No"/>
    <s v="Yes"/>
    <s v="No"/>
    <m/>
    <x v="0"/>
    <n v="0"/>
  </r>
  <r>
    <n v="2459"/>
    <d v="2024-12-07T00:00:00"/>
    <s v="Premium"/>
    <n v="699"/>
    <n v="10"/>
    <n v="7"/>
    <x v="0"/>
    <n v="25"/>
    <n v="31"/>
    <s v="No"/>
    <s v="No"/>
    <s v="Yes"/>
    <s v="Yes"/>
    <s v="Yes"/>
    <s v="No"/>
    <m/>
    <x v="0"/>
    <n v="0"/>
  </r>
  <r>
    <n v="2460"/>
    <d v="2024-02-28T00:00:00"/>
    <s v="Basic"/>
    <n v="199"/>
    <n v="11.5"/>
    <n v="7"/>
    <x v="4"/>
    <n v="28"/>
    <n v="60"/>
    <s v="Yes"/>
    <s v="No"/>
    <s v="Yes"/>
    <s v="Yes"/>
    <s v="Yes"/>
    <s v="No"/>
    <m/>
    <x v="0"/>
    <n v="1"/>
  </r>
  <r>
    <n v="2461"/>
    <d v="2024-01-13T00:00:00"/>
    <s v="Basic"/>
    <n v="199"/>
    <n v="3.7"/>
    <n v="8"/>
    <x v="4"/>
    <n v="1"/>
    <n v="45"/>
    <s v="Yes"/>
    <s v="Yes"/>
    <s v="Yes"/>
    <s v="Yes"/>
    <s v="Yes"/>
    <s v="Yes"/>
    <m/>
    <x v="0"/>
    <n v="1"/>
  </r>
  <r>
    <n v="2462"/>
    <d v="2023-06-27T00:00:00"/>
    <s v="Standard"/>
    <n v="399"/>
    <n v="23.8"/>
    <n v="1"/>
    <x v="5"/>
    <n v="14"/>
    <n v="13"/>
    <s v="No"/>
    <s v="No"/>
    <s v="Yes"/>
    <s v="No"/>
    <s v="No"/>
    <s v="No"/>
    <m/>
    <x v="0"/>
    <n v="0"/>
  </r>
  <r>
    <n v="2463"/>
    <d v="2023-03-06T00:00:00"/>
    <s v="Premium"/>
    <n v="699"/>
    <n v="20.3"/>
    <n v="1"/>
    <x v="4"/>
    <n v="35"/>
    <n v="8"/>
    <s v="Yes"/>
    <s v="No"/>
    <s v="Yes"/>
    <s v="No"/>
    <s v="No"/>
    <s v="No"/>
    <m/>
    <x v="0"/>
    <n v="1"/>
  </r>
  <r>
    <n v="2464"/>
    <d v="2023-03-02T00:00:00"/>
    <s v="Basic"/>
    <n v="199"/>
    <n v="15.4"/>
    <n v="0"/>
    <x v="4"/>
    <n v="13"/>
    <n v="19"/>
    <s v="No"/>
    <s v="No"/>
    <s v="Yes"/>
    <s v="No"/>
    <s v="Yes"/>
    <s v="No"/>
    <m/>
    <x v="0"/>
    <n v="0"/>
  </r>
  <r>
    <n v="2465"/>
    <d v="2023-06-13T00:00:00"/>
    <s v="Standard"/>
    <n v="399"/>
    <n v="22.2"/>
    <n v="8"/>
    <x v="0"/>
    <n v="1"/>
    <n v="26"/>
    <s v="Yes"/>
    <s v="No"/>
    <s v="Yes"/>
    <s v="Yes"/>
    <s v="Yes"/>
    <s v="Yes"/>
    <m/>
    <x v="0"/>
    <n v="1"/>
  </r>
  <r>
    <n v="2466"/>
    <d v="2024-02-18T00:00:00"/>
    <s v="Basic"/>
    <n v="199"/>
    <n v="11.8"/>
    <n v="0"/>
    <x v="5"/>
    <n v="36"/>
    <n v="10"/>
    <s v="No"/>
    <s v="No"/>
    <s v="Yes"/>
    <s v="No"/>
    <s v="No"/>
    <s v="No"/>
    <m/>
    <x v="0"/>
    <n v="0"/>
  </r>
  <r>
    <n v="2467"/>
    <d v="2024-04-20T00:00:00"/>
    <s v="Premium"/>
    <n v="699"/>
    <n v="16.8"/>
    <n v="2"/>
    <x v="0"/>
    <n v="6"/>
    <n v="57"/>
    <s v="No"/>
    <s v="No"/>
    <s v="Yes"/>
    <s v="No"/>
    <s v="Yes"/>
    <s v="No"/>
    <m/>
    <x v="0"/>
    <n v="0"/>
  </r>
  <r>
    <n v="2468"/>
    <d v="2023-05-19T00:00:00"/>
    <s v="Standard"/>
    <n v="399"/>
    <n v="18.8"/>
    <n v="5"/>
    <x v="5"/>
    <n v="17"/>
    <n v="40"/>
    <s v="Yes"/>
    <s v="No"/>
    <s v="Yes"/>
    <s v="Yes"/>
    <s v="Yes"/>
    <s v="No"/>
    <m/>
    <x v="0"/>
    <n v="1"/>
  </r>
  <r>
    <n v="2469"/>
    <d v="2024-06-07T00:00:00"/>
    <s v="Standard"/>
    <n v="399"/>
    <n v="21.6"/>
    <n v="0"/>
    <x v="3"/>
    <n v="10"/>
    <n v="9"/>
    <s v="No"/>
    <s v="No"/>
    <s v="Yes"/>
    <s v="No"/>
    <s v="No"/>
    <s v="No"/>
    <m/>
    <x v="0"/>
    <n v="0"/>
  </r>
  <r>
    <n v="2470"/>
    <d v="2023-02-24T00:00:00"/>
    <s v="Premium"/>
    <n v="699"/>
    <n v="9.9"/>
    <n v="8"/>
    <x v="0"/>
    <n v="30"/>
    <n v="46"/>
    <s v="Yes"/>
    <s v="No"/>
    <s v="Yes"/>
    <s v="Yes"/>
    <s v="Yes"/>
    <s v="No"/>
    <m/>
    <x v="0"/>
    <n v="1"/>
  </r>
  <r>
    <n v="2471"/>
    <d v="2024-04-13T00:00:00"/>
    <s v="Premium"/>
    <n v="699"/>
    <n v="18.100000000000001"/>
    <n v="1"/>
    <x v="4"/>
    <n v="12"/>
    <n v="30"/>
    <s v="Yes"/>
    <s v="No"/>
    <s v="Yes"/>
    <s v="No"/>
    <s v="Yes"/>
    <s v="No"/>
    <m/>
    <x v="0"/>
    <n v="1"/>
  </r>
  <r>
    <n v="2472"/>
    <d v="2023-07-10T00:00:00"/>
    <s v="Premium"/>
    <n v="699"/>
    <n v="5.4"/>
    <n v="3"/>
    <x v="5"/>
    <n v="14"/>
    <n v="41"/>
    <s v="Yes"/>
    <s v="No"/>
    <s v="Yes"/>
    <s v="No"/>
    <s v="Yes"/>
    <s v="No"/>
    <m/>
    <x v="0"/>
    <n v="1"/>
  </r>
  <r>
    <n v="2473"/>
    <d v="2023-08-08T00:00:00"/>
    <s v="Basic"/>
    <n v="199"/>
    <n v="5"/>
    <n v="2"/>
    <x v="5"/>
    <n v="21"/>
    <n v="36"/>
    <s v="No"/>
    <s v="No"/>
    <s v="Yes"/>
    <s v="No"/>
    <s v="Yes"/>
    <s v="No"/>
    <m/>
    <x v="0"/>
    <n v="0"/>
  </r>
  <r>
    <n v="2474"/>
    <d v="2024-11-04T00:00:00"/>
    <s v="Premium"/>
    <n v="699"/>
    <n v="22.1"/>
    <n v="1"/>
    <x v="4"/>
    <n v="27"/>
    <n v="27"/>
    <s v="No"/>
    <s v="No"/>
    <s v="Yes"/>
    <s v="No"/>
    <s v="Yes"/>
    <s v="No"/>
    <m/>
    <x v="0"/>
    <n v="0"/>
  </r>
  <r>
    <n v="2475"/>
    <d v="2023-06-20T00:00:00"/>
    <s v="Premium"/>
    <n v="699"/>
    <n v="16.2"/>
    <n v="3"/>
    <x v="5"/>
    <n v="5"/>
    <n v="35"/>
    <s v="Yes"/>
    <s v="No"/>
    <s v="Yes"/>
    <s v="No"/>
    <s v="Yes"/>
    <s v="Yes"/>
    <m/>
    <x v="0"/>
    <n v="1"/>
  </r>
  <r>
    <n v="2476"/>
    <d v="2023-07-28T00:00:00"/>
    <s v="Standard"/>
    <n v="399"/>
    <n v="17.7"/>
    <n v="3"/>
    <x v="5"/>
    <n v="24"/>
    <n v="54"/>
    <s v="No"/>
    <s v="No"/>
    <s v="Yes"/>
    <s v="No"/>
    <s v="Yes"/>
    <s v="No"/>
    <m/>
    <x v="0"/>
    <n v="0"/>
  </r>
  <r>
    <n v="2477"/>
    <d v="2024-10-22T00:00:00"/>
    <s v="Standard"/>
    <n v="399"/>
    <n v="23.5"/>
    <n v="4"/>
    <x v="2"/>
    <n v="36"/>
    <n v="7"/>
    <s v="Yes"/>
    <s v="No"/>
    <s v="Yes"/>
    <s v="No"/>
    <s v="No"/>
    <s v="No"/>
    <m/>
    <x v="0"/>
    <n v="1"/>
  </r>
  <r>
    <n v="2478"/>
    <d v="2024-08-07T00:00:00"/>
    <s v="Standard"/>
    <n v="399"/>
    <n v="5.9"/>
    <n v="6"/>
    <x v="3"/>
    <n v="32"/>
    <n v="15"/>
    <s v="No"/>
    <s v="No"/>
    <s v="Yes"/>
    <s v="Yes"/>
    <s v="Yes"/>
    <s v="No"/>
    <m/>
    <x v="0"/>
    <n v="0"/>
  </r>
  <r>
    <n v="2479"/>
    <d v="2023-07-04T00:00:00"/>
    <s v="Standard"/>
    <n v="399"/>
    <n v="21.7"/>
    <n v="7"/>
    <x v="5"/>
    <n v="17"/>
    <n v="45"/>
    <s v="Yes"/>
    <s v="No"/>
    <s v="Yes"/>
    <s v="Yes"/>
    <s v="Yes"/>
    <s v="No"/>
    <m/>
    <x v="0"/>
    <n v="1"/>
  </r>
  <r>
    <n v="2480"/>
    <d v="2023-12-06T00:00:00"/>
    <s v="Standard"/>
    <n v="399"/>
    <n v="0.6"/>
    <n v="2"/>
    <x v="2"/>
    <n v="29"/>
    <n v="4"/>
    <s v="Yes"/>
    <s v="Yes"/>
    <s v="Yes"/>
    <s v="No"/>
    <s v="No"/>
    <s v="No"/>
    <m/>
    <x v="0"/>
    <n v="1"/>
  </r>
  <r>
    <n v="2481"/>
    <d v="2024-12-25T00:00:00"/>
    <s v="Basic"/>
    <n v="199"/>
    <n v="19.100000000000001"/>
    <n v="7"/>
    <x v="4"/>
    <n v="30"/>
    <n v="7"/>
    <s v="Yes"/>
    <s v="No"/>
    <s v="Yes"/>
    <s v="Yes"/>
    <s v="No"/>
    <s v="No"/>
    <m/>
    <x v="0"/>
    <n v="1"/>
  </r>
  <r>
    <n v="2482"/>
    <d v="2023-01-29T00:00:00"/>
    <s v="Standard"/>
    <n v="399"/>
    <n v="14.7"/>
    <n v="8"/>
    <x v="5"/>
    <n v="9"/>
    <n v="15"/>
    <s v="Yes"/>
    <s v="No"/>
    <s v="Yes"/>
    <s v="Yes"/>
    <s v="Yes"/>
    <s v="No"/>
    <m/>
    <x v="0"/>
    <n v="1"/>
  </r>
  <r>
    <n v="2483"/>
    <d v="2023-02-25T00:00:00"/>
    <s v="Premium"/>
    <n v="699"/>
    <n v="3.8"/>
    <n v="5"/>
    <x v="2"/>
    <n v="7"/>
    <n v="46"/>
    <s v="Yes"/>
    <s v="Yes"/>
    <s v="Yes"/>
    <s v="Yes"/>
    <s v="Yes"/>
    <s v="No"/>
    <m/>
    <x v="0"/>
    <n v="1"/>
  </r>
  <r>
    <n v="2484"/>
    <d v="2024-09-13T00:00:00"/>
    <s v="Premium"/>
    <n v="699"/>
    <n v="4.7"/>
    <n v="0"/>
    <x v="3"/>
    <n v="13"/>
    <n v="48"/>
    <s v="Yes"/>
    <s v="Yes"/>
    <s v="Yes"/>
    <s v="No"/>
    <s v="Yes"/>
    <s v="No"/>
    <m/>
    <x v="0"/>
    <n v="1"/>
  </r>
  <r>
    <n v="2485"/>
    <d v="2023-08-04T00:00:00"/>
    <s v="Premium"/>
    <n v="699"/>
    <n v="13.2"/>
    <n v="8"/>
    <x v="5"/>
    <n v="30"/>
    <n v="28"/>
    <s v="Yes"/>
    <s v="No"/>
    <s v="Yes"/>
    <s v="Yes"/>
    <s v="Yes"/>
    <s v="No"/>
    <m/>
    <x v="0"/>
    <n v="1"/>
  </r>
  <r>
    <n v="2486"/>
    <d v="2024-02-08T00:00:00"/>
    <s v="Premium"/>
    <n v="699"/>
    <n v="16.899999999999999"/>
    <n v="5"/>
    <x v="0"/>
    <n v="24"/>
    <n v="15"/>
    <s v="No"/>
    <s v="No"/>
    <s v="Yes"/>
    <s v="Yes"/>
    <s v="Yes"/>
    <s v="No"/>
    <m/>
    <x v="0"/>
    <n v="0"/>
  </r>
  <r>
    <n v="2487"/>
    <d v="2024-10-22T00:00:00"/>
    <s v="Basic"/>
    <n v="199"/>
    <n v="5.4"/>
    <n v="4"/>
    <x v="3"/>
    <n v="3"/>
    <n v="15"/>
    <s v="No"/>
    <s v="No"/>
    <s v="Yes"/>
    <s v="No"/>
    <s v="Yes"/>
    <s v="Yes"/>
    <m/>
    <x v="0"/>
    <n v="0"/>
  </r>
  <r>
    <n v="2488"/>
    <d v="2023-08-04T00:00:00"/>
    <s v="Basic"/>
    <n v="199"/>
    <n v="3.2"/>
    <n v="1"/>
    <x v="3"/>
    <n v="21"/>
    <n v="53"/>
    <s v="No"/>
    <s v="Yes"/>
    <s v="Yes"/>
    <s v="No"/>
    <s v="Yes"/>
    <s v="No"/>
    <m/>
    <x v="0"/>
    <n v="0"/>
  </r>
  <r>
    <n v="2489"/>
    <d v="2024-08-23T00:00:00"/>
    <s v="Premium"/>
    <n v="699"/>
    <n v="1.1000000000000001"/>
    <n v="2"/>
    <x v="4"/>
    <n v="6"/>
    <n v="36"/>
    <s v="Yes"/>
    <s v="Yes"/>
    <s v="Yes"/>
    <s v="No"/>
    <s v="Yes"/>
    <s v="No"/>
    <m/>
    <x v="0"/>
    <n v="1"/>
  </r>
  <r>
    <n v="2490"/>
    <d v="2024-10-31T00:00:00"/>
    <s v="Premium"/>
    <n v="699"/>
    <n v="16.8"/>
    <n v="1"/>
    <x v="3"/>
    <n v="23"/>
    <n v="12"/>
    <s v="No"/>
    <s v="No"/>
    <s v="Yes"/>
    <s v="No"/>
    <s v="No"/>
    <s v="No"/>
    <m/>
    <x v="0"/>
    <n v="0"/>
  </r>
  <r>
    <n v="2491"/>
    <d v="2024-04-26T00:00:00"/>
    <s v="Premium"/>
    <n v="699"/>
    <n v="5.2"/>
    <n v="3"/>
    <x v="1"/>
    <n v="33"/>
    <n v="36"/>
    <s v="No"/>
    <s v="No"/>
    <s v="No"/>
    <s v="No"/>
    <s v="Yes"/>
    <s v="No"/>
    <m/>
    <x v="1"/>
    <n v="0"/>
  </r>
  <r>
    <n v="2492"/>
    <d v="2023-05-29T00:00:00"/>
    <s v="Basic"/>
    <n v="199"/>
    <n v="17.3"/>
    <n v="7"/>
    <x v="1"/>
    <n v="14"/>
    <n v="38"/>
    <s v="No"/>
    <s v="No"/>
    <s v="No"/>
    <s v="Yes"/>
    <s v="Yes"/>
    <s v="No"/>
    <m/>
    <x v="1"/>
    <n v="0"/>
  </r>
  <r>
    <n v="2493"/>
    <d v="2024-12-04T00:00:00"/>
    <s v="Standard"/>
    <n v="399"/>
    <n v="16"/>
    <n v="2"/>
    <x v="1"/>
    <n v="4"/>
    <n v="13"/>
    <s v="No"/>
    <s v="No"/>
    <s v="No"/>
    <s v="No"/>
    <s v="No"/>
    <s v="Yes"/>
    <m/>
    <x v="1"/>
    <n v="0"/>
  </r>
  <r>
    <n v="2494"/>
    <d v="2024-11-20T00:00:00"/>
    <s v="Premium"/>
    <n v="699"/>
    <n v="10.5"/>
    <n v="2"/>
    <x v="1"/>
    <n v="30"/>
    <n v="7"/>
    <s v="No"/>
    <s v="No"/>
    <s v="No"/>
    <s v="No"/>
    <s v="No"/>
    <s v="No"/>
    <m/>
    <x v="1"/>
    <n v="0"/>
  </r>
  <r>
    <n v="2495"/>
    <d v="2023-02-12T00:00:00"/>
    <s v="Basic"/>
    <n v="199"/>
    <n v="3.3"/>
    <n v="6"/>
    <x v="1"/>
    <n v="8"/>
    <n v="8"/>
    <s v="No"/>
    <s v="Yes"/>
    <s v="No"/>
    <s v="Yes"/>
    <s v="No"/>
    <s v="No"/>
    <m/>
    <x v="1"/>
    <n v="0"/>
  </r>
  <r>
    <n v="2496"/>
    <d v="2024-03-24T00:00:00"/>
    <s v="Basic"/>
    <n v="199"/>
    <n v="11.4"/>
    <n v="5"/>
    <x v="4"/>
    <n v="3"/>
    <n v="47"/>
    <s v="No"/>
    <s v="No"/>
    <s v="Yes"/>
    <s v="Yes"/>
    <s v="Yes"/>
    <s v="Yes"/>
    <m/>
    <x v="0"/>
    <n v="0"/>
  </r>
  <r>
    <n v="2497"/>
    <d v="2024-03-17T00:00:00"/>
    <s v="Basic"/>
    <n v="199"/>
    <n v="23.2"/>
    <n v="3"/>
    <x v="1"/>
    <n v="13"/>
    <n v="18"/>
    <s v="No"/>
    <s v="No"/>
    <s v="No"/>
    <s v="No"/>
    <s v="Yes"/>
    <s v="No"/>
    <m/>
    <x v="1"/>
    <n v="0"/>
  </r>
  <r>
    <n v="2498"/>
    <d v="2024-11-12T00:00:00"/>
    <s v="Standard"/>
    <n v="399"/>
    <n v="5.6"/>
    <n v="0"/>
    <x v="4"/>
    <n v="22"/>
    <n v="11"/>
    <s v="No"/>
    <s v="No"/>
    <s v="Yes"/>
    <s v="No"/>
    <s v="No"/>
    <s v="No"/>
    <m/>
    <x v="0"/>
    <n v="0"/>
  </r>
  <r>
    <n v="2499"/>
    <d v="2023-01-24T00:00:00"/>
    <s v="Standard"/>
    <n v="399"/>
    <n v="3"/>
    <n v="4"/>
    <x v="0"/>
    <n v="34"/>
    <n v="6"/>
    <s v="Yes"/>
    <s v="Yes"/>
    <s v="Yes"/>
    <s v="No"/>
    <s v="No"/>
    <s v="No"/>
    <m/>
    <x v="0"/>
    <n v="1"/>
  </r>
  <r>
    <n v="2500"/>
    <d v="2024-11-11T00:00:00"/>
    <s v="Premium"/>
    <n v="699"/>
    <n v="15.8"/>
    <n v="2"/>
    <x v="3"/>
    <n v="26"/>
    <n v="55"/>
    <s v="Yes"/>
    <s v="No"/>
    <s v="Yes"/>
    <s v="No"/>
    <s v="Yes"/>
    <s v="No"/>
    <m/>
    <x v="0"/>
    <n v="1"/>
  </r>
  <r>
    <n v="2501"/>
    <d v="2024-08-28T00:00:00"/>
    <s v="Standard"/>
    <n v="399"/>
    <n v="4.2"/>
    <n v="4"/>
    <x v="2"/>
    <n v="9"/>
    <n v="8"/>
    <s v="Yes"/>
    <s v="Yes"/>
    <s v="Yes"/>
    <s v="No"/>
    <s v="No"/>
    <s v="No"/>
    <m/>
    <x v="0"/>
    <n v="1"/>
  </r>
  <r>
    <n v="2502"/>
    <d v="2023-03-09T00:00:00"/>
    <s v="Basic"/>
    <n v="199"/>
    <n v="24.9"/>
    <n v="5"/>
    <x v="4"/>
    <n v="24"/>
    <n v="24"/>
    <s v="No"/>
    <s v="No"/>
    <s v="Yes"/>
    <s v="Yes"/>
    <s v="Yes"/>
    <s v="No"/>
    <m/>
    <x v="0"/>
    <n v="0"/>
  </r>
  <r>
    <n v="2503"/>
    <d v="2023-12-20T00:00:00"/>
    <s v="Premium"/>
    <n v="699"/>
    <n v="20.2"/>
    <n v="3"/>
    <x v="4"/>
    <n v="1"/>
    <n v="42"/>
    <s v="Yes"/>
    <s v="No"/>
    <s v="Yes"/>
    <s v="No"/>
    <s v="Yes"/>
    <s v="Yes"/>
    <m/>
    <x v="0"/>
    <n v="1"/>
  </r>
  <r>
    <n v="2504"/>
    <d v="2023-10-10T00:00:00"/>
    <s v="Basic"/>
    <n v="199"/>
    <n v="20.7"/>
    <n v="1"/>
    <x v="0"/>
    <n v="32"/>
    <n v="29"/>
    <s v="Yes"/>
    <s v="No"/>
    <s v="Yes"/>
    <s v="No"/>
    <s v="Yes"/>
    <s v="No"/>
    <m/>
    <x v="0"/>
    <n v="1"/>
  </r>
  <r>
    <n v="2505"/>
    <d v="2023-11-11T00:00:00"/>
    <s v="Basic"/>
    <n v="199"/>
    <n v="23.4"/>
    <n v="8"/>
    <x v="3"/>
    <n v="28"/>
    <n v="34"/>
    <s v="Yes"/>
    <s v="No"/>
    <s v="Yes"/>
    <s v="Yes"/>
    <s v="Yes"/>
    <s v="No"/>
    <m/>
    <x v="0"/>
    <n v="1"/>
  </r>
  <r>
    <n v="2506"/>
    <d v="2023-06-09T00:00:00"/>
    <s v="Basic"/>
    <n v="199"/>
    <n v="21.2"/>
    <n v="4"/>
    <x v="1"/>
    <n v="14"/>
    <n v="56"/>
    <s v="No"/>
    <s v="No"/>
    <s v="No"/>
    <s v="No"/>
    <s v="Yes"/>
    <s v="No"/>
    <m/>
    <x v="1"/>
    <n v="0"/>
  </r>
  <r>
    <n v="2507"/>
    <d v="2023-06-15T00:00:00"/>
    <s v="Basic"/>
    <n v="199"/>
    <n v="24.8"/>
    <n v="0"/>
    <x v="2"/>
    <n v="10"/>
    <n v="7"/>
    <s v="No"/>
    <s v="No"/>
    <s v="Yes"/>
    <s v="No"/>
    <s v="No"/>
    <s v="No"/>
    <m/>
    <x v="0"/>
    <n v="0"/>
  </r>
  <r>
    <n v="2508"/>
    <d v="2023-03-04T00:00:00"/>
    <s v="Standard"/>
    <n v="399"/>
    <n v="14.2"/>
    <n v="4"/>
    <x v="1"/>
    <n v="15"/>
    <n v="10"/>
    <s v="No"/>
    <s v="No"/>
    <s v="No"/>
    <s v="No"/>
    <s v="No"/>
    <s v="No"/>
    <m/>
    <x v="1"/>
    <n v="0"/>
  </r>
  <r>
    <n v="2509"/>
    <d v="2023-10-16T00:00:00"/>
    <s v="Standard"/>
    <n v="399"/>
    <n v="11.1"/>
    <n v="0"/>
    <x v="2"/>
    <n v="6"/>
    <n v="14"/>
    <s v="Yes"/>
    <s v="No"/>
    <s v="Yes"/>
    <s v="No"/>
    <s v="No"/>
    <s v="No"/>
    <m/>
    <x v="0"/>
    <n v="1"/>
  </r>
  <r>
    <n v="2510"/>
    <d v="2024-10-08T00:00:00"/>
    <s v="Premium"/>
    <n v="699"/>
    <n v="8.9"/>
    <n v="4"/>
    <x v="0"/>
    <n v="7"/>
    <n v="52"/>
    <s v="No"/>
    <s v="No"/>
    <s v="Yes"/>
    <s v="No"/>
    <s v="Yes"/>
    <s v="No"/>
    <m/>
    <x v="0"/>
    <n v="0"/>
  </r>
  <r>
    <n v="2511"/>
    <d v="2023-01-18T00:00:00"/>
    <s v="Premium"/>
    <n v="699"/>
    <n v="5.9"/>
    <n v="4"/>
    <x v="1"/>
    <n v="1"/>
    <n v="15"/>
    <s v="Yes"/>
    <s v="No"/>
    <s v="No"/>
    <s v="No"/>
    <s v="Yes"/>
    <s v="Yes"/>
    <m/>
    <x v="1"/>
    <n v="1"/>
  </r>
  <r>
    <n v="2512"/>
    <d v="2024-10-17T00:00:00"/>
    <s v="Premium"/>
    <n v="699"/>
    <n v="22.7"/>
    <n v="6"/>
    <x v="2"/>
    <n v="24"/>
    <n v="36"/>
    <s v="No"/>
    <s v="No"/>
    <s v="Yes"/>
    <s v="Yes"/>
    <s v="Yes"/>
    <s v="No"/>
    <m/>
    <x v="0"/>
    <n v="0"/>
  </r>
  <r>
    <n v="2513"/>
    <d v="2024-08-27T00:00:00"/>
    <s v="Standard"/>
    <n v="399"/>
    <n v="10.9"/>
    <n v="4"/>
    <x v="5"/>
    <n v="24"/>
    <n v="4"/>
    <s v="Yes"/>
    <s v="No"/>
    <s v="Yes"/>
    <s v="No"/>
    <s v="No"/>
    <s v="No"/>
    <m/>
    <x v="0"/>
    <n v="1"/>
  </r>
  <r>
    <n v="2514"/>
    <d v="2024-05-06T00:00:00"/>
    <s v="Premium"/>
    <n v="699"/>
    <n v="9.6"/>
    <n v="6"/>
    <x v="0"/>
    <n v="23"/>
    <n v="60"/>
    <s v="Yes"/>
    <s v="No"/>
    <s v="Yes"/>
    <s v="Yes"/>
    <s v="Yes"/>
    <s v="No"/>
    <m/>
    <x v="0"/>
    <n v="1"/>
  </r>
  <r>
    <n v="2515"/>
    <d v="2023-02-15T00:00:00"/>
    <s v="Basic"/>
    <n v="199"/>
    <n v="21"/>
    <n v="4"/>
    <x v="2"/>
    <n v="9"/>
    <n v="27"/>
    <s v="Yes"/>
    <s v="No"/>
    <s v="Yes"/>
    <s v="No"/>
    <s v="Yes"/>
    <s v="No"/>
    <m/>
    <x v="0"/>
    <n v="1"/>
  </r>
  <r>
    <n v="2516"/>
    <d v="2024-02-27T00:00:00"/>
    <s v="Premium"/>
    <n v="699"/>
    <n v="19.3"/>
    <n v="8"/>
    <x v="1"/>
    <n v="4"/>
    <n v="2"/>
    <s v="Yes"/>
    <s v="No"/>
    <s v="No"/>
    <s v="Yes"/>
    <s v="No"/>
    <s v="Yes"/>
    <m/>
    <x v="1"/>
    <n v="1"/>
  </r>
  <r>
    <n v="2517"/>
    <d v="2024-05-15T00:00:00"/>
    <s v="Premium"/>
    <n v="699"/>
    <n v="3"/>
    <n v="6"/>
    <x v="3"/>
    <n v="15"/>
    <n v="48"/>
    <s v="Yes"/>
    <s v="Yes"/>
    <s v="Yes"/>
    <s v="Yes"/>
    <s v="Yes"/>
    <s v="No"/>
    <m/>
    <x v="0"/>
    <n v="1"/>
  </r>
  <r>
    <n v="2518"/>
    <d v="2024-11-17T00:00:00"/>
    <s v="Basic"/>
    <n v="199"/>
    <n v="13.1"/>
    <n v="8"/>
    <x v="1"/>
    <n v="28"/>
    <n v="33"/>
    <s v="Yes"/>
    <s v="No"/>
    <s v="No"/>
    <s v="Yes"/>
    <s v="Yes"/>
    <s v="No"/>
    <m/>
    <x v="1"/>
    <n v="1"/>
  </r>
  <r>
    <n v="2519"/>
    <d v="2024-12-22T00:00:00"/>
    <s v="Standard"/>
    <n v="399"/>
    <n v="3.1"/>
    <n v="0"/>
    <x v="4"/>
    <n v="29"/>
    <n v="6"/>
    <s v="No"/>
    <s v="Yes"/>
    <s v="Yes"/>
    <s v="No"/>
    <s v="No"/>
    <s v="No"/>
    <m/>
    <x v="0"/>
    <n v="0"/>
  </r>
  <r>
    <n v="2520"/>
    <d v="2023-09-10T00:00:00"/>
    <s v="Basic"/>
    <n v="199"/>
    <n v="2.6"/>
    <n v="8"/>
    <x v="1"/>
    <n v="30"/>
    <n v="26"/>
    <s v="Yes"/>
    <s v="Yes"/>
    <s v="No"/>
    <s v="Yes"/>
    <s v="Yes"/>
    <s v="No"/>
    <m/>
    <x v="1"/>
    <n v="1"/>
  </r>
  <r>
    <n v="2521"/>
    <d v="2023-10-22T00:00:00"/>
    <s v="Basic"/>
    <n v="199"/>
    <n v="18"/>
    <n v="5"/>
    <x v="1"/>
    <n v="30"/>
    <n v="3"/>
    <s v="No"/>
    <s v="No"/>
    <s v="No"/>
    <s v="Yes"/>
    <s v="No"/>
    <s v="No"/>
    <m/>
    <x v="1"/>
    <n v="0"/>
  </r>
  <r>
    <n v="2522"/>
    <d v="2023-06-29T00:00:00"/>
    <s v="Standard"/>
    <n v="399"/>
    <n v="23.9"/>
    <n v="7"/>
    <x v="3"/>
    <n v="34"/>
    <n v="12"/>
    <s v="No"/>
    <s v="No"/>
    <s v="Yes"/>
    <s v="Yes"/>
    <s v="No"/>
    <s v="No"/>
    <m/>
    <x v="0"/>
    <n v="0"/>
  </r>
  <r>
    <n v="2523"/>
    <d v="2024-06-24T00:00:00"/>
    <s v="Basic"/>
    <n v="199"/>
    <n v="1.1000000000000001"/>
    <n v="6"/>
    <x v="0"/>
    <n v="13"/>
    <n v="22"/>
    <s v="Yes"/>
    <s v="Yes"/>
    <s v="Yes"/>
    <s v="Yes"/>
    <s v="Yes"/>
    <s v="No"/>
    <m/>
    <x v="0"/>
    <n v="1"/>
  </r>
  <r>
    <n v="2524"/>
    <d v="2023-07-29T00:00:00"/>
    <s v="Premium"/>
    <n v="699"/>
    <n v="11.4"/>
    <n v="6"/>
    <x v="5"/>
    <n v="23"/>
    <n v="16"/>
    <s v="Yes"/>
    <s v="No"/>
    <s v="Yes"/>
    <s v="Yes"/>
    <s v="Yes"/>
    <s v="No"/>
    <m/>
    <x v="0"/>
    <n v="1"/>
  </r>
  <r>
    <n v="2525"/>
    <d v="2023-07-25T00:00:00"/>
    <s v="Basic"/>
    <n v="199"/>
    <n v="0.6"/>
    <n v="3"/>
    <x v="4"/>
    <n v="36"/>
    <n v="51"/>
    <s v="No"/>
    <s v="Yes"/>
    <s v="Yes"/>
    <s v="No"/>
    <s v="Yes"/>
    <s v="No"/>
    <m/>
    <x v="0"/>
    <n v="0"/>
  </r>
  <r>
    <n v="2526"/>
    <d v="2024-02-08T00:00:00"/>
    <s v="Premium"/>
    <n v="699"/>
    <n v="4.3"/>
    <n v="7"/>
    <x v="3"/>
    <n v="26"/>
    <n v="53"/>
    <s v="Yes"/>
    <s v="Yes"/>
    <s v="Yes"/>
    <s v="Yes"/>
    <s v="Yes"/>
    <s v="No"/>
    <m/>
    <x v="0"/>
    <n v="1"/>
  </r>
  <r>
    <n v="2527"/>
    <d v="2024-12-17T00:00:00"/>
    <s v="Standard"/>
    <n v="399"/>
    <n v="2.4"/>
    <n v="1"/>
    <x v="5"/>
    <n v="10"/>
    <n v="15"/>
    <s v="No"/>
    <s v="Yes"/>
    <s v="Yes"/>
    <s v="No"/>
    <s v="Yes"/>
    <s v="No"/>
    <m/>
    <x v="0"/>
    <n v="0"/>
  </r>
  <r>
    <n v="2528"/>
    <d v="2023-11-15T00:00:00"/>
    <s v="Standard"/>
    <n v="399"/>
    <n v="1.3"/>
    <n v="4"/>
    <x v="2"/>
    <n v="2"/>
    <n v="26"/>
    <s v="Yes"/>
    <s v="Yes"/>
    <s v="Yes"/>
    <s v="No"/>
    <s v="Yes"/>
    <s v="Yes"/>
    <m/>
    <x v="0"/>
    <n v="1"/>
  </r>
  <r>
    <n v="2529"/>
    <d v="2024-11-13T00:00:00"/>
    <s v="Standard"/>
    <n v="399"/>
    <n v="19"/>
    <n v="1"/>
    <x v="1"/>
    <n v="2"/>
    <n v="28"/>
    <s v="No"/>
    <s v="No"/>
    <s v="No"/>
    <s v="No"/>
    <s v="Yes"/>
    <s v="Yes"/>
    <m/>
    <x v="1"/>
    <n v="0"/>
  </r>
  <r>
    <n v="2530"/>
    <d v="2024-08-22T00:00:00"/>
    <s v="Standard"/>
    <n v="399"/>
    <n v="22.9"/>
    <n v="0"/>
    <x v="1"/>
    <n v="8"/>
    <n v="47"/>
    <s v="No"/>
    <s v="No"/>
    <s v="No"/>
    <s v="No"/>
    <s v="Yes"/>
    <s v="No"/>
    <m/>
    <x v="1"/>
    <n v="0"/>
  </r>
  <r>
    <n v="2531"/>
    <d v="2024-12-17T00:00:00"/>
    <s v="Basic"/>
    <n v="199"/>
    <n v="19.3"/>
    <n v="8"/>
    <x v="1"/>
    <n v="35"/>
    <n v="52"/>
    <s v="No"/>
    <s v="No"/>
    <s v="No"/>
    <s v="Yes"/>
    <s v="Yes"/>
    <s v="No"/>
    <m/>
    <x v="1"/>
    <n v="0"/>
  </r>
  <r>
    <n v="2532"/>
    <d v="2023-03-09T00:00:00"/>
    <s v="Premium"/>
    <n v="699"/>
    <n v="14.6"/>
    <n v="5"/>
    <x v="0"/>
    <n v="18"/>
    <n v="42"/>
    <s v="No"/>
    <s v="No"/>
    <s v="Yes"/>
    <s v="Yes"/>
    <s v="Yes"/>
    <s v="No"/>
    <m/>
    <x v="0"/>
    <n v="0"/>
  </r>
  <r>
    <n v="2533"/>
    <d v="2024-10-24T00:00:00"/>
    <s v="Standard"/>
    <n v="399"/>
    <n v="1.5"/>
    <n v="8"/>
    <x v="1"/>
    <n v="12"/>
    <n v="51"/>
    <s v="Yes"/>
    <s v="Yes"/>
    <s v="No"/>
    <s v="Yes"/>
    <s v="Yes"/>
    <s v="No"/>
    <m/>
    <x v="1"/>
    <n v="1"/>
  </r>
  <r>
    <n v="2534"/>
    <d v="2024-10-16T00:00:00"/>
    <s v="Premium"/>
    <n v="699"/>
    <n v="23.3"/>
    <n v="6"/>
    <x v="5"/>
    <n v="32"/>
    <n v="33"/>
    <s v="No"/>
    <s v="No"/>
    <s v="Yes"/>
    <s v="Yes"/>
    <s v="Yes"/>
    <s v="No"/>
    <m/>
    <x v="0"/>
    <n v="0"/>
  </r>
  <r>
    <n v="2535"/>
    <d v="2024-01-27T00:00:00"/>
    <s v="Basic"/>
    <n v="199"/>
    <n v="5.4"/>
    <n v="7"/>
    <x v="4"/>
    <n v="5"/>
    <n v="7"/>
    <s v="No"/>
    <s v="No"/>
    <s v="Yes"/>
    <s v="Yes"/>
    <s v="No"/>
    <s v="Yes"/>
    <m/>
    <x v="0"/>
    <n v="0"/>
  </r>
  <r>
    <n v="2536"/>
    <d v="2023-04-12T00:00:00"/>
    <s v="Premium"/>
    <n v="699"/>
    <n v="18.899999999999999"/>
    <n v="1"/>
    <x v="2"/>
    <n v="36"/>
    <n v="58"/>
    <s v="Yes"/>
    <s v="No"/>
    <s v="Yes"/>
    <s v="No"/>
    <s v="Yes"/>
    <s v="No"/>
    <m/>
    <x v="0"/>
    <n v="1"/>
  </r>
  <r>
    <n v="2537"/>
    <d v="2023-09-12T00:00:00"/>
    <s v="Basic"/>
    <n v="199"/>
    <n v="12.4"/>
    <n v="0"/>
    <x v="2"/>
    <n v="14"/>
    <n v="30"/>
    <s v="Yes"/>
    <s v="No"/>
    <s v="Yes"/>
    <s v="No"/>
    <s v="Yes"/>
    <s v="No"/>
    <m/>
    <x v="0"/>
    <n v="1"/>
  </r>
  <r>
    <n v="2538"/>
    <d v="2024-06-11T00:00:00"/>
    <s v="Basic"/>
    <n v="199"/>
    <n v="19.2"/>
    <n v="6"/>
    <x v="0"/>
    <n v="12"/>
    <n v="13"/>
    <s v="No"/>
    <s v="No"/>
    <s v="Yes"/>
    <s v="Yes"/>
    <s v="No"/>
    <s v="No"/>
    <m/>
    <x v="0"/>
    <n v="0"/>
  </r>
  <r>
    <n v="2539"/>
    <d v="2023-03-10T00:00:00"/>
    <s v="Premium"/>
    <n v="699"/>
    <n v="14.8"/>
    <n v="1"/>
    <x v="5"/>
    <n v="19"/>
    <n v="28"/>
    <s v="No"/>
    <s v="No"/>
    <s v="Yes"/>
    <s v="No"/>
    <s v="Yes"/>
    <s v="No"/>
    <m/>
    <x v="0"/>
    <n v="0"/>
  </r>
  <r>
    <n v="2540"/>
    <d v="2024-04-23T00:00:00"/>
    <s v="Premium"/>
    <n v="699"/>
    <n v="4.5"/>
    <n v="6"/>
    <x v="4"/>
    <n v="17"/>
    <n v="8"/>
    <s v="Yes"/>
    <s v="Yes"/>
    <s v="Yes"/>
    <s v="Yes"/>
    <s v="No"/>
    <s v="No"/>
    <m/>
    <x v="0"/>
    <n v="1"/>
  </r>
  <r>
    <n v="2541"/>
    <d v="2023-02-26T00:00:00"/>
    <s v="Basic"/>
    <n v="199"/>
    <n v="11.8"/>
    <n v="8"/>
    <x v="0"/>
    <n v="33"/>
    <n v="6"/>
    <s v="Yes"/>
    <s v="No"/>
    <s v="Yes"/>
    <s v="Yes"/>
    <s v="No"/>
    <s v="No"/>
    <m/>
    <x v="0"/>
    <n v="1"/>
  </r>
  <r>
    <n v="2542"/>
    <d v="2024-07-12T00:00:00"/>
    <s v="Basic"/>
    <n v="199"/>
    <n v="16"/>
    <n v="4"/>
    <x v="1"/>
    <n v="2"/>
    <n v="54"/>
    <s v="No"/>
    <s v="No"/>
    <s v="No"/>
    <s v="No"/>
    <s v="Yes"/>
    <s v="Yes"/>
    <m/>
    <x v="1"/>
    <n v="0"/>
  </r>
  <r>
    <n v="2543"/>
    <d v="2024-08-21T00:00:00"/>
    <s v="Basic"/>
    <n v="199"/>
    <n v="9.5"/>
    <n v="8"/>
    <x v="5"/>
    <n v="16"/>
    <n v="32"/>
    <s v="No"/>
    <s v="No"/>
    <s v="Yes"/>
    <s v="Yes"/>
    <s v="Yes"/>
    <s v="No"/>
    <m/>
    <x v="0"/>
    <n v="0"/>
  </r>
  <r>
    <n v="2544"/>
    <d v="2024-07-04T00:00:00"/>
    <s v="Standard"/>
    <n v="399"/>
    <n v="22.5"/>
    <n v="1"/>
    <x v="2"/>
    <n v="10"/>
    <n v="1"/>
    <s v="No"/>
    <s v="No"/>
    <s v="Yes"/>
    <s v="No"/>
    <s v="No"/>
    <s v="No"/>
    <m/>
    <x v="0"/>
    <n v="0"/>
  </r>
  <r>
    <n v="2545"/>
    <d v="2023-03-14T00:00:00"/>
    <s v="Premium"/>
    <n v="699"/>
    <n v="23.2"/>
    <n v="8"/>
    <x v="1"/>
    <n v="19"/>
    <n v="52"/>
    <s v="No"/>
    <s v="No"/>
    <s v="No"/>
    <s v="Yes"/>
    <s v="Yes"/>
    <s v="No"/>
    <m/>
    <x v="1"/>
    <n v="0"/>
  </r>
  <r>
    <n v="2546"/>
    <d v="2023-05-04T00:00:00"/>
    <s v="Premium"/>
    <n v="699"/>
    <n v="22.4"/>
    <n v="4"/>
    <x v="5"/>
    <n v="26"/>
    <n v="8"/>
    <s v="Yes"/>
    <s v="No"/>
    <s v="Yes"/>
    <s v="No"/>
    <s v="No"/>
    <s v="No"/>
    <m/>
    <x v="0"/>
    <n v="1"/>
  </r>
  <r>
    <n v="2547"/>
    <d v="2024-01-18T00:00:00"/>
    <s v="Standard"/>
    <n v="399"/>
    <n v="13.3"/>
    <n v="3"/>
    <x v="5"/>
    <n v="23"/>
    <n v="28"/>
    <s v="No"/>
    <s v="No"/>
    <s v="Yes"/>
    <s v="No"/>
    <s v="Yes"/>
    <s v="No"/>
    <m/>
    <x v="0"/>
    <n v="0"/>
  </r>
  <r>
    <n v="2548"/>
    <d v="2024-03-04T00:00:00"/>
    <s v="Standard"/>
    <n v="399"/>
    <n v="13.7"/>
    <n v="0"/>
    <x v="1"/>
    <n v="1"/>
    <n v="16"/>
    <s v="No"/>
    <s v="No"/>
    <s v="No"/>
    <s v="No"/>
    <s v="Yes"/>
    <s v="Yes"/>
    <m/>
    <x v="1"/>
    <n v="0"/>
  </r>
  <r>
    <n v="2549"/>
    <d v="2024-07-30T00:00:00"/>
    <s v="Standard"/>
    <n v="399"/>
    <n v="12.1"/>
    <n v="1"/>
    <x v="0"/>
    <n v="21"/>
    <n v="53"/>
    <s v="Yes"/>
    <s v="No"/>
    <s v="Yes"/>
    <s v="No"/>
    <s v="Yes"/>
    <s v="No"/>
    <m/>
    <x v="0"/>
    <n v="1"/>
  </r>
  <r>
    <n v="2550"/>
    <d v="2023-06-11T00:00:00"/>
    <s v="Basic"/>
    <n v="199"/>
    <n v="15.1"/>
    <n v="1"/>
    <x v="4"/>
    <n v="20"/>
    <n v="42"/>
    <s v="Yes"/>
    <s v="No"/>
    <s v="Yes"/>
    <s v="No"/>
    <s v="Yes"/>
    <s v="No"/>
    <m/>
    <x v="0"/>
    <n v="1"/>
  </r>
  <r>
    <n v="2551"/>
    <d v="2024-07-27T00:00:00"/>
    <s v="Premium"/>
    <n v="699"/>
    <n v="17"/>
    <n v="4"/>
    <x v="0"/>
    <n v="32"/>
    <n v="38"/>
    <s v="No"/>
    <s v="No"/>
    <s v="Yes"/>
    <s v="No"/>
    <s v="Yes"/>
    <s v="No"/>
    <m/>
    <x v="0"/>
    <n v="0"/>
  </r>
  <r>
    <n v="2552"/>
    <d v="2024-05-03T00:00:00"/>
    <s v="Premium"/>
    <n v="699"/>
    <n v="11.9"/>
    <n v="6"/>
    <x v="5"/>
    <n v="10"/>
    <n v="60"/>
    <s v="No"/>
    <s v="No"/>
    <s v="Yes"/>
    <s v="Yes"/>
    <s v="Yes"/>
    <s v="No"/>
    <m/>
    <x v="0"/>
    <n v="0"/>
  </r>
  <r>
    <n v="2553"/>
    <d v="2023-04-01T00:00:00"/>
    <s v="Premium"/>
    <n v="699"/>
    <n v="7"/>
    <n v="5"/>
    <x v="0"/>
    <n v="4"/>
    <n v="45"/>
    <s v="Yes"/>
    <s v="No"/>
    <s v="Yes"/>
    <s v="Yes"/>
    <s v="Yes"/>
    <s v="Yes"/>
    <m/>
    <x v="0"/>
    <n v="1"/>
  </r>
  <r>
    <n v="2554"/>
    <d v="2024-10-19T00:00:00"/>
    <s v="Premium"/>
    <n v="699"/>
    <n v="3.3"/>
    <n v="6"/>
    <x v="1"/>
    <n v="28"/>
    <n v="31"/>
    <s v="No"/>
    <s v="Yes"/>
    <s v="No"/>
    <s v="Yes"/>
    <s v="Yes"/>
    <s v="No"/>
    <m/>
    <x v="1"/>
    <n v="0"/>
  </r>
  <r>
    <n v="2555"/>
    <d v="2024-01-22T00:00:00"/>
    <s v="Basic"/>
    <n v="199"/>
    <n v="12.4"/>
    <n v="8"/>
    <x v="5"/>
    <n v="12"/>
    <n v="14"/>
    <s v="Yes"/>
    <s v="No"/>
    <s v="Yes"/>
    <s v="Yes"/>
    <s v="No"/>
    <s v="No"/>
    <m/>
    <x v="0"/>
    <n v="1"/>
  </r>
  <r>
    <n v="2556"/>
    <d v="2024-11-05T00:00:00"/>
    <s v="Standard"/>
    <n v="399"/>
    <n v="19.600000000000001"/>
    <n v="7"/>
    <x v="5"/>
    <n v="7"/>
    <n v="51"/>
    <s v="No"/>
    <s v="No"/>
    <s v="Yes"/>
    <s v="Yes"/>
    <s v="Yes"/>
    <s v="No"/>
    <m/>
    <x v="0"/>
    <n v="0"/>
  </r>
  <r>
    <n v="2557"/>
    <d v="2024-10-17T00:00:00"/>
    <s v="Premium"/>
    <n v="699"/>
    <n v="5"/>
    <n v="0"/>
    <x v="5"/>
    <n v="26"/>
    <n v="59"/>
    <s v="Yes"/>
    <s v="No"/>
    <s v="Yes"/>
    <s v="No"/>
    <s v="Yes"/>
    <s v="No"/>
    <m/>
    <x v="0"/>
    <n v="1"/>
  </r>
  <r>
    <n v="2558"/>
    <d v="2024-03-15T00:00:00"/>
    <s v="Standard"/>
    <n v="399"/>
    <n v="9.9"/>
    <n v="3"/>
    <x v="4"/>
    <n v="25"/>
    <n v="16"/>
    <s v="No"/>
    <s v="No"/>
    <s v="Yes"/>
    <s v="No"/>
    <s v="Yes"/>
    <s v="No"/>
    <m/>
    <x v="0"/>
    <n v="0"/>
  </r>
  <r>
    <n v="2559"/>
    <d v="2023-06-06T00:00:00"/>
    <s v="Basic"/>
    <n v="199"/>
    <n v="11.6"/>
    <n v="4"/>
    <x v="0"/>
    <n v="18"/>
    <n v="4"/>
    <s v="No"/>
    <s v="No"/>
    <s v="Yes"/>
    <s v="No"/>
    <s v="No"/>
    <s v="No"/>
    <m/>
    <x v="0"/>
    <n v="0"/>
  </r>
  <r>
    <n v="2560"/>
    <d v="2023-09-06T00:00:00"/>
    <s v="Premium"/>
    <n v="699"/>
    <n v="3"/>
    <n v="2"/>
    <x v="0"/>
    <n v="22"/>
    <n v="59"/>
    <s v="Yes"/>
    <s v="Yes"/>
    <s v="Yes"/>
    <s v="No"/>
    <s v="Yes"/>
    <s v="No"/>
    <m/>
    <x v="0"/>
    <n v="1"/>
  </r>
  <r>
    <n v="2561"/>
    <d v="2024-08-10T00:00:00"/>
    <s v="Premium"/>
    <n v="699"/>
    <n v="7.2"/>
    <n v="8"/>
    <x v="0"/>
    <n v="27"/>
    <n v="0"/>
    <s v="No"/>
    <s v="No"/>
    <s v="Yes"/>
    <s v="Yes"/>
    <s v="No"/>
    <s v="No"/>
    <m/>
    <x v="0"/>
    <n v="0"/>
  </r>
  <r>
    <n v="2562"/>
    <d v="2023-02-12T00:00:00"/>
    <s v="Basic"/>
    <n v="199"/>
    <n v="13.6"/>
    <n v="8"/>
    <x v="4"/>
    <n v="18"/>
    <n v="32"/>
    <s v="Yes"/>
    <s v="No"/>
    <s v="Yes"/>
    <s v="Yes"/>
    <s v="Yes"/>
    <s v="No"/>
    <m/>
    <x v="0"/>
    <n v="1"/>
  </r>
  <r>
    <n v="2563"/>
    <d v="2024-06-23T00:00:00"/>
    <s v="Standard"/>
    <n v="399"/>
    <n v="24.6"/>
    <n v="6"/>
    <x v="2"/>
    <n v="9"/>
    <n v="9"/>
    <s v="No"/>
    <s v="No"/>
    <s v="Yes"/>
    <s v="Yes"/>
    <s v="No"/>
    <s v="No"/>
    <m/>
    <x v="0"/>
    <n v="0"/>
  </r>
  <r>
    <n v="2564"/>
    <d v="2023-04-26T00:00:00"/>
    <s v="Standard"/>
    <n v="399"/>
    <n v="10.9"/>
    <n v="1"/>
    <x v="1"/>
    <n v="5"/>
    <n v="19"/>
    <s v="Yes"/>
    <s v="No"/>
    <s v="No"/>
    <s v="No"/>
    <s v="Yes"/>
    <s v="Yes"/>
    <m/>
    <x v="1"/>
    <n v="1"/>
  </r>
  <r>
    <n v="2565"/>
    <d v="2023-08-27T00:00:00"/>
    <s v="Premium"/>
    <n v="699"/>
    <n v="9.3000000000000007"/>
    <n v="2"/>
    <x v="0"/>
    <n v="16"/>
    <n v="45"/>
    <s v="No"/>
    <s v="No"/>
    <s v="Yes"/>
    <s v="No"/>
    <s v="Yes"/>
    <s v="No"/>
    <m/>
    <x v="0"/>
    <n v="0"/>
  </r>
  <r>
    <n v="2566"/>
    <d v="2023-02-14T00:00:00"/>
    <s v="Basic"/>
    <n v="199"/>
    <n v="18.100000000000001"/>
    <n v="0"/>
    <x v="3"/>
    <n v="31"/>
    <n v="11"/>
    <s v="No"/>
    <s v="No"/>
    <s v="Yes"/>
    <s v="No"/>
    <s v="No"/>
    <s v="No"/>
    <m/>
    <x v="0"/>
    <n v="0"/>
  </r>
  <r>
    <n v="2567"/>
    <d v="2024-12-18T00:00:00"/>
    <s v="Standard"/>
    <n v="399"/>
    <n v="14.1"/>
    <n v="1"/>
    <x v="2"/>
    <n v="21"/>
    <n v="21"/>
    <s v="No"/>
    <s v="No"/>
    <s v="Yes"/>
    <s v="No"/>
    <s v="Yes"/>
    <s v="No"/>
    <m/>
    <x v="0"/>
    <n v="0"/>
  </r>
  <r>
    <n v="2568"/>
    <d v="2023-05-08T00:00:00"/>
    <s v="Basic"/>
    <n v="199"/>
    <n v="9.3000000000000007"/>
    <n v="4"/>
    <x v="3"/>
    <n v="11"/>
    <n v="31"/>
    <s v="Yes"/>
    <s v="No"/>
    <s v="Yes"/>
    <s v="No"/>
    <s v="Yes"/>
    <s v="No"/>
    <m/>
    <x v="0"/>
    <n v="1"/>
  </r>
  <r>
    <n v="2569"/>
    <d v="2023-01-29T00:00:00"/>
    <s v="Premium"/>
    <n v="699"/>
    <n v="11"/>
    <n v="0"/>
    <x v="0"/>
    <n v="7"/>
    <n v="44"/>
    <s v="Yes"/>
    <s v="No"/>
    <s v="Yes"/>
    <s v="No"/>
    <s v="Yes"/>
    <s v="No"/>
    <m/>
    <x v="0"/>
    <n v="1"/>
  </r>
  <r>
    <n v="2570"/>
    <d v="2023-03-08T00:00:00"/>
    <s v="Premium"/>
    <n v="699"/>
    <n v="10.4"/>
    <n v="1"/>
    <x v="2"/>
    <n v="27"/>
    <n v="48"/>
    <s v="No"/>
    <s v="No"/>
    <s v="Yes"/>
    <s v="No"/>
    <s v="Yes"/>
    <s v="No"/>
    <m/>
    <x v="0"/>
    <n v="0"/>
  </r>
  <r>
    <n v="2571"/>
    <d v="2023-02-12T00:00:00"/>
    <s v="Premium"/>
    <n v="699"/>
    <n v="17.7"/>
    <n v="8"/>
    <x v="5"/>
    <n v="9"/>
    <n v="48"/>
    <s v="Yes"/>
    <s v="No"/>
    <s v="Yes"/>
    <s v="Yes"/>
    <s v="Yes"/>
    <s v="No"/>
    <m/>
    <x v="0"/>
    <n v="1"/>
  </r>
  <r>
    <n v="2572"/>
    <d v="2023-05-29T00:00:00"/>
    <s v="Premium"/>
    <n v="699"/>
    <n v="23.9"/>
    <n v="0"/>
    <x v="2"/>
    <n v="35"/>
    <n v="29"/>
    <s v="No"/>
    <s v="No"/>
    <s v="Yes"/>
    <s v="No"/>
    <s v="Yes"/>
    <s v="No"/>
    <m/>
    <x v="0"/>
    <n v="0"/>
  </r>
  <r>
    <n v="2573"/>
    <d v="2023-04-18T00:00:00"/>
    <s v="Basic"/>
    <n v="199"/>
    <n v="2.5"/>
    <n v="4"/>
    <x v="2"/>
    <n v="18"/>
    <n v="33"/>
    <s v="Yes"/>
    <s v="Yes"/>
    <s v="Yes"/>
    <s v="No"/>
    <s v="Yes"/>
    <s v="No"/>
    <m/>
    <x v="0"/>
    <n v="1"/>
  </r>
  <r>
    <n v="2574"/>
    <d v="2024-07-13T00:00:00"/>
    <s v="Basic"/>
    <n v="199"/>
    <n v="15.8"/>
    <n v="6"/>
    <x v="4"/>
    <n v="21"/>
    <n v="24"/>
    <s v="No"/>
    <s v="No"/>
    <s v="Yes"/>
    <s v="Yes"/>
    <s v="Yes"/>
    <s v="No"/>
    <m/>
    <x v="0"/>
    <n v="0"/>
  </r>
  <r>
    <n v="2575"/>
    <d v="2024-09-25T00:00:00"/>
    <s v="Standard"/>
    <n v="399"/>
    <n v="15.6"/>
    <n v="3"/>
    <x v="4"/>
    <n v="35"/>
    <n v="37"/>
    <s v="Yes"/>
    <s v="No"/>
    <s v="Yes"/>
    <s v="No"/>
    <s v="Yes"/>
    <s v="No"/>
    <m/>
    <x v="0"/>
    <n v="1"/>
  </r>
  <r>
    <n v="2576"/>
    <d v="2023-04-03T00:00:00"/>
    <s v="Premium"/>
    <n v="699"/>
    <n v="8.1"/>
    <n v="8"/>
    <x v="2"/>
    <n v="29"/>
    <n v="36"/>
    <s v="Yes"/>
    <s v="No"/>
    <s v="Yes"/>
    <s v="Yes"/>
    <s v="Yes"/>
    <s v="No"/>
    <m/>
    <x v="0"/>
    <n v="1"/>
  </r>
  <r>
    <n v="2577"/>
    <d v="2024-09-20T00:00:00"/>
    <s v="Standard"/>
    <n v="399"/>
    <n v="14.9"/>
    <n v="5"/>
    <x v="4"/>
    <n v="22"/>
    <n v="3"/>
    <s v="Yes"/>
    <s v="No"/>
    <s v="Yes"/>
    <s v="Yes"/>
    <s v="No"/>
    <s v="No"/>
    <m/>
    <x v="0"/>
    <n v="1"/>
  </r>
  <r>
    <n v="2578"/>
    <d v="2024-01-26T00:00:00"/>
    <s v="Basic"/>
    <n v="199"/>
    <n v="1.9"/>
    <n v="7"/>
    <x v="3"/>
    <n v="12"/>
    <n v="15"/>
    <s v="Yes"/>
    <s v="Yes"/>
    <s v="Yes"/>
    <s v="Yes"/>
    <s v="Yes"/>
    <s v="No"/>
    <m/>
    <x v="0"/>
    <n v="1"/>
  </r>
  <r>
    <n v="2579"/>
    <d v="2023-03-05T00:00:00"/>
    <s v="Premium"/>
    <n v="699"/>
    <n v="9.1"/>
    <n v="1"/>
    <x v="2"/>
    <n v="3"/>
    <n v="5"/>
    <s v="No"/>
    <s v="No"/>
    <s v="Yes"/>
    <s v="No"/>
    <s v="No"/>
    <s v="Yes"/>
    <m/>
    <x v="0"/>
    <n v="0"/>
  </r>
  <r>
    <n v="2580"/>
    <d v="2023-09-12T00:00:00"/>
    <s v="Basic"/>
    <n v="199"/>
    <n v="18.899999999999999"/>
    <n v="8"/>
    <x v="2"/>
    <n v="35"/>
    <n v="13"/>
    <s v="Yes"/>
    <s v="No"/>
    <s v="Yes"/>
    <s v="Yes"/>
    <s v="No"/>
    <s v="No"/>
    <m/>
    <x v="0"/>
    <n v="1"/>
  </r>
  <r>
    <n v="2581"/>
    <d v="2024-01-24T00:00:00"/>
    <s v="Standard"/>
    <n v="399"/>
    <n v="3"/>
    <n v="4"/>
    <x v="3"/>
    <n v="9"/>
    <n v="23"/>
    <s v="Yes"/>
    <s v="Yes"/>
    <s v="Yes"/>
    <s v="No"/>
    <s v="Yes"/>
    <s v="No"/>
    <m/>
    <x v="0"/>
    <n v="1"/>
  </r>
  <r>
    <n v="2582"/>
    <d v="2024-08-17T00:00:00"/>
    <s v="Standard"/>
    <n v="399"/>
    <n v="1.7"/>
    <n v="4"/>
    <x v="0"/>
    <n v="1"/>
    <n v="19"/>
    <s v="No"/>
    <s v="Yes"/>
    <s v="Yes"/>
    <s v="No"/>
    <s v="Yes"/>
    <s v="Yes"/>
    <m/>
    <x v="0"/>
    <n v="0"/>
  </r>
  <r>
    <n v="2583"/>
    <d v="2024-07-24T00:00:00"/>
    <s v="Standard"/>
    <n v="399"/>
    <n v="1.7"/>
    <n v="6"/>
    <x v="2"/>
    <n v="12"/>
    <n v="43"/>
    <s v="Yes"/>
    <s v="Yes"/>
    <s v="Yes"/>
    <s v="Yes"/>
    <s v="Yes"/>
    <s v="No"/>
    <m/>
    <x v="0"/>
    <n v="1"/>
  </r>
  <r>
    <n v="2584"/>
    <d v="2023-09-26T00:00:00"/>
    <s v="Premium"/>
    <n v="699"/>
    <n v="11.1"/>
    <n v="6"/>
    <x v="1"/>
    <n v="28"/>
    <n v="20"/>
    <s v="No"/>
    <s v="No"/>
    <s v="No"/>
    <s v="Yes"/>
    <s v="Yes"/>
    <s v="No"/>
    <m/>
    <x v="1"/>
    <n v="0"/>
  </r>
  <r>
    <n v="2585"/>
    <d v="2024-05-16T00:00:00"/>
    <s v="Basic"/>
    <n v="199"/>
    <n v="20.6"/>
    <n v="4"/>
    <x v="3"/>
    <n v="1"/>
    <n v="27"/>
    <s v="No"/>
    <s v="No"/>
    <s v="Yes"/>
    <s v="No"/>
    <s v="Yes"/>
    <s v="Yes"/>
    <m/>
    <x v="0"/>
    <n v="0"/>
  </r>
  <r>
    <n v="2586"/>
    <d v="2023-11-12T00:00:00"/>
    <s v="Standard"/>
    <n v="399"/>
    <n v="13.7"/>
    <n v="0"/>
    <x v="5"/>
    <n v="22"/>
    <n v="28"/>
    <s v="No"/>
    <s v="No"/>
    <s v="Yes"/>
    <s v="No"/>
    <s v="Yes"/>
    <s v="No"/>
    <m/>
    <x v="0"/>
    <n v="0"/>
  </r>
  <r>
    <n v="2587"/>
    <d v="2023-09-06T00:00:00"/>
    <s v="Standard"/>
    <n v="399"/>
    <n v="5.2"/>
    <n v="8"/>
    <x v="5"/>
    <n v="15"/>
    <n v="1"/>
    <s v="Yes"/>
    <s v="No"/>
    <s v="Yes"/>
    <s v="Yes"/>
    <s v="No"/>
    <s v="No"/>
    <m/>
    <x v="0"/>
    <n v="1"/>
  </r>
  <r>
    <n v="2588"/>
    <d v="2024-03-04T00:00:00"/>
    <s v="Standard"/>
    <n v="399"/>
    <n v="20.100000000000001"/>
    <n v="6"/>
    <x v="0"/>
    <n v="17"/>
    <n v="54"/>
    <s v="No"/>
    <s v="No"/>
    <s v="Yes"/>
    <s v="Yes"/>
    <s v="Yes"/>
    <s v="No"/>
    <m/>
    <x v="0"/>
    <n v="0"/>
  </r>
  <r>
    <n v="2589"/>
    <d v="2023-12-22T00:00:00"/>
    <s v="Standard"/>
    <n v="399"/>
    <n v="1.8"/>
    <n v="6"/>
    <x v="4"/>
    <n v="19"/>
    <n v="21"/>
    <s v="Yes"/>
    <s v="Yes"/>
    <s v="Yes"/>
    <s v="Yes"/>
    <s v="Yes"/>
    <s v="No"/>
    <m/>
    <x v="0"/>
    <n v="1"/>
  </r>
  <r>
    <n v="2590"/>
    <d v="2023-06-29T00:00:00"/>
    <s v="Basic"/>
    <n v="199"/>
    <n v="0.7"/>
    <n v="6"/>
    <x v="0"/>
    <n v="4"/>
    <n v="54"/>
    <s v="Yes"/>
    <s v="Yes"/>
    <s v="Yes"/>
    <s v="Yes"/>
    <s v="Yes"/>
    <s v="Yes"/>
    <m/>
    <x v="0"/>
    <n v="1"/>
  </r>
  <r>
    <n v="2591"/>
    <d v="2024-11-03T00:00:00"/>
    <s v="Basic"/>
    <n v="199"/>
    <n v="4.9000000000000004"/>
    <n v="7"/>
    <x v="2"/>
    <n v="19"/>
    <n v="56"/>
    <s v="Yes"/>
    <s v="Yes"/>
    <s v="Yes"/>
    <s v="Yes"/>
    <s v="Yes"/>
    <s v="No"/>
    <m/>
    <x v="0"/>
    <n v="1"/>
  </r>
  <r>
    <n v="2592"/>
    <d v="2023-04-17T00:00:00"/>
    <s v="Standard"/>
    <n v="399"/>
    <n v="10.3"/>
    <n v="5"/>
    <x v="5"/>
    <n v="20"/>
    <n v="4"/>
    <s v="Yes"/>
    <s v="No"/>
    <s v="Yes"/>
    <s v="Yes"/>
    <s v="No"/>
    <s v="No"/>
    <m/>
    <x v="0"/>
    <n v="1"/>
  </r>
  <r>
    <n v="2593"/>
    <d v="2024-05-30T00:00:00"/>
    <s v="Basic"/>
    <n v="199"/>
    <n v="7.4"/>
    <n v="1"/>
    <x v="1"/>
    <n v="12"/>
    <n v="23"/>
    <s v="No"/>
    <s v="No"/>
    <s v="No"/>
    <s v="No"/>
    <s v="Yes"/>
    <s v="No"/>
    <m/>
    <x v="1"/>
    <n v="0"/>
  </r>
  <r>
    <n v="2594"/>
    <d v="2024-07-03T00:00:00"/>
    <s v="Standard"/>
    <n v="399"/>
    <n v="20"/>
    <n v="6"/>
    <x v="1"/>
    <n v="35"/>
    <n v="0"/>
    <s v="No"/>
    <s v="No"/>
    <s v="No"/>
    <s v="Yes"/>
    <s v="No"/>
    <s v="No"/>
    <m/>
    <x v="1"/>
    <n v="0"/>
  </r>
  <r>
    <n v="2595"/>
    <d v="2024-07-26T00:00:00"/>
    <s v="Basic"/>
    <n v="199"/>
    <n v="12.1"/>
    <n v="8"/>
    <x v="2"/>
    <n v="7"/>
    <n v="30"/>
    <s v="Yes"/>
    <s v="No"/>
    <s v="Yes"/>
    <s v="Yes"/>
    <s v="Yes"/>
    <s v="No"/>
    <m/>
    <x v="0"/>
    <n v="1"/>
  </r>
  <r>
    <n v="2596"/>
    <d v="2024-01-02T00:00:00"/>
    <s v="Basic"/>
    <n v="199"/>
    <n v="21.9"/>
    <n v="2"/>
    <x v="5"/>
    <n v="13"/>
    <n v="38"/>
    <s v="No"/>
    <s v="No"/>
    <s v="Yes"/>
    <s v="No"/>
    <s v="Yes"/>
    <s v="No"/>
    <m/>
    <x v="0"/>
    <n v="0"/>
  </r>
  <r>
    <n v="2597"/>
    <d v="2024-02-23T00:00:00"/>
    <s v="Standard"/>
    <n v="399"/>
    <n v="23.3"/>
    <n v="4"/>
    <x v="2"/>
    <n v="1"/>
    <n v="8"/>
    <s v="No"/>
    <s v="No"/>
    <s v="Yes"/>
    <s v="No"/>
    <s v="No"/>
    <s v="Yes"/>
    <m/>
    <x v="0"/>
    <n v="0"/>
  </r>
  <r>
    <n v="2598"/>
    <d v="2023-06-18T00:00:00"/>
    <s v="Standard"/>
    <n v="399"/>
    <n v="16.100000000000001"/>
    <n v="6"/>
    <x v="1"/>
    <n v="11"/>
    <n v="9"/>
    <s v="No"/>
    <s v="No"/>
    <s v="No"/>
    <s v="Yes"/>
    <s v="No"/>
    <s v="No"/>
    <m/>
    <x v="1"/>
    <n v="0"/>
  </r>
  <r>
    <n v="2599"/>
    <d v="2023-12-17T00:00:00"/>
    <s v="Basic"/>
    <n v="199"/>
    <n v="13.5"/>
    <n v="3"/>
    <x v="4"/>
    <n v="14"/>
    <n v="48"/>
    <s v="No"/>
    <s v="No"/>
    <s v="Yes"/>
    <s v="No"/>
    <s v="Yes"/>
    <s v="No"/>
    <m/>
    <x v="0"/>
    <n v="0"/>
  </r>
  <r>
    <n v="2600"/>
    <d v="2023-12-25T00:00:00"/>
    <s v="Basic"/>
    <n v="199"/>
    <n v="9"/>
    <n v="6"/>
    <x v="5"/>
    <n v="28"/>
    <n v="3"/>
    <s v="Yes"/>
    <s v="No"/>
    <s v="Yes"/>
    <s v="Yes"/>
    <s v="No"/>
    <s v="No"/>
    <m/>
    <x v="0"/>
    <n v="1"/>
  </r>
  <r>
    <n v="2601"/>
    <d v="2023-05-07T00:00:00"/>
    <s v="Premium"/>
    <n v="699"/>
    <n v="9.5"/>
    <n v="4"/>
    <x v="5"/>
    <n v="11"/>
    <n v="11"/>
    <s v="Yes"/>
    <s v="No"/>
    <s v="Yes"/>
    <s v="No"/>
    <s v="No"/>
    <s v="No"/>
    <m/>
    <x v="0"/>
    <n v="1"/>
  </r>
  <r>
    <n v="2602"/>
    <d v="2024-01-06T00:00:00"/>
    <s v="Premium"/>
    <n v="699"/>
    <n v="17.5"/>
    <n v="3"/>
    <x v="5"/>
    <n v="36"/>
    <n v="20"/>
    <s v="No"/>
    <s v="No"/>
    <s v="Yes"/>
    <s v="No"/>
    <s v="Yes"/>
    <s v="No"/>
    <m/>
    <x v="0"/>
    <n v="0"/>
  </r>
  <r>
    <n v="2603"/>
    <d v="2023-10-20T00:00:00"/>
    <s v="Standard"/>
    <n v="399"/>
    <n v="1.3"/>
    <n v="6"/>
    <x v="3"/>
    <n v="4"/>
    <n v="19"/>
    <s v="Yes"/>
    <s v="Yes"/>
    <s v="Yes"/>
    <s v="Yes"/>
    <s v="Yes"/>
    <s v="Yes"/>
    <m/>
    <x v="0"/>
    <n v="1"/>
  </r>
  <r>
    <n v="2604"/>
    <d v="2023-04-25T00:00:00"/>
    <s v="Premium"/>
    <n v="699"/>
    <n v="8.8000000000000007"/>
    <n v="2"/>
    <x v="0"/>
    <n v="30"/>
    <n v="54"/>
    <s v="No"/>
    <s v="No"/>
    <s v="Yes"/>
    <s v="No"/>
    <s v="Yes"/>
    <s v="No"/>
    <m/>
    <x v="0"/>
    <n v="0"/>
  </r>
  <r>
    <n v="2605"/>
    <d v="2024-05-18T00:00:00"/>
    <s v="Basic"/>
    <n v="199"/>
    <n v="4.3"/>
    <n v="7"/>
    <x v="3"/>
    <n v="13"/>
    <n v="49"/>
    <s v="Yes"/>
    <s v="Yes"/>
    <s v="Yes"/>
    <s v="Yes"/>
    <s v="Yes"/>
    <s v="No"/>
    <m/>
    <x v="0"/>
    <n v="1"/>
  </r>
  <r>
    <n v="2606"/>
    <d v="2024-10-22T00:00:00"/>
    <s v="Premium"/>
    <n v="699"/>
    <n v="11.5"/>
    <n v="6"/>
    <x v="0"/>
    <n v="6"/>
    <n v="15"/>
    <s v="No"/>
    <s v="No"/>
    <s v="Yes"/>
    <s v="Yes"/>
    <s v="Yes"/>
    <s v="No"/>
    <m/>
    <x v="0"/>
    <n v="0"/>
  </r>
  <r>
    <n v="2607"/>
    <d v="2024-07-05T00:00:00"/>
    <s v="Premium"/>
    <n v="699"/>
    <n v="12.5"/>
    <n v="0"/>
    <x v="0"/>
    <n v="11"/>
    <n v="55"/>
    <s v="No"/>
    <s v="No"/>
    <s v="Yes"/>
    <s v="No"/>
    <s v="Yes"/>
    <s v="No"/>
    <m/>
    <x v="0"/>
    <n v="0"/>
  </r>
  <r>
    <n v="2608"/>
    <d v="2024-07-09T00:00:00"/>
    <s v="Standard"/>
    <n v="399"/>
    <n v="20.6"/>
    <n v="7"/>
    <x v="3"/>
    <n v="11"/>
    <n v="45"/>
    <s v="Yes"/>
    <s v="No"/>
    <s v="Yes"/>
    <s v="Yes"/>
    <s v="Yes"/>
    <s v="No"/>
    <m/>
    <x v="0"/>
    <n v="1"/>
  </r>
  <r>
    <n v="2609"/>
    <d v="2023-12-03T00:00:00"/>
    <s v="Basic"/>
    <n v="199"/>
    <n v="15.4"/>
    <n v="6"/>
    <x v="0"/>
    <n v="5"/>
    <n v="52"/>
    <s v="Yes"/>
    <s v="No"/>
    <s v="Yes"/>
    <s v="Yes"/>
    <s v="Yes"/>
    <s v="Yes"/>
    <m/>
    <x v="0"/>
    <n v="1"/>
  </r>
  <r>
    <n v="2610"/>
    <d v="2023-05-29T00:00:00"/>
    <s v="Premium"/>
    <n v="699"/>
    <n v="1.3"/>
    <n v="3"/>
    <x v="3"/>
    <n v="13"/>
    <n v="46"/>
    <s v="Yes"/>
    <s v="Yes"/>
    <s v="Yes"/>
    <s v="No"/>
    <s v="Yes"/>
    <s v="No"/>
    <m/>
    <x v="0"/>
    <n v="1"/>
  </r>
  <r>
    <n v="2611"/>
    <d v="2024-12-17T00:00:00"/>
    <s v="Standard"/>
    <n v="399"/>
    <n v="8.6"/>
    <n v="3"/>
    <x v="3"/>
    <n v="15"/>
    <n v="0"/>
    <s v="Yes"/>
    <s v="No"/>
    <s v="Yes"/>
    <s v="No"/>
    <s v="No"/>
    <s v="No"/>
    <m/>
    <x v="0"/>
    <n v="1"/>
  </r>
  <r>
    <n v="2612"/>
    <d v="2024-06-10T00:00:00"/>
    <s v="Premium"/>
    <n v="699"/>
    <n v="13.1"/>
    <n v="6"/>
    <x v="2"/>
    <n v="7"/>
    <n v="30"/>
    <s v="Yes"/>
    <s v="No"/>
    <s v="Yes"/>
    <s v="Yes"/>
    <s v="Yes"/>
    <s v="No"/>
    <m/>
    <x v="0"/>
    <n v="1"/>
  </r>
  <r>
    <n v="2613"/>
    <d v="2024-11-17T00:00:00"/>
    <s v="Basic"/>
    <n v="199"/>
    <n v="9"/>
    <n v="2"/>
    <x v="3"/>
    <n v="28"/>
    <n v="16"/>
    <s v="Yes"/>
    <s v="No"/>
    <s v="Yes"/>
    <s v="No"/>
    <s v="Yes"/>
    <s v="No"/>
    <m/>
    <x v="0"/>
    <n v="1"/>
  </r>
  <r>
    <n v="2614"/>
    <d v="2024-01-06T00:00:00"/>
    <s v="Standard"/>
    <n v="399"/>
    <n v="6.9"/>
    <n v="0"/>
    <x v="5"/>
    <n v="17"/>
    <n v="13"/>
    <s v="No"/>
    <s v="No"/>
    <s v="Yes"/>
    <s v="No"/>
    <s v="No"/>
    <s v="No"/>
    <m/>
    <x v="0"/>
    <n v="0"/>
  </r>
  <r>
    <n v="2615"/>
    <d v="2023-04-20T00:00:00"/>
    <s v="Premium"/>
    <n v="699"/>
    <n v="12.1"/>
    <n v="3"/>
    <x v="2"/>
    <n v="5"/>
    <n v="45"/>
    <s v="No"/>
    <s v="No"/>
    <s v="Yes"/>
    <s v="No"/>
    <s v="Yes"/>
    <s v="Yes"/>
    <m/>
    <x v="0"/>
    <n v="0"/>
  </r>
  <r>
    <n v="2616"/>
    <d v="2024-05-29T00:00:00"/>
    <s v="Basic"/>
    <n v="199"/>
    <n v="6.4"/>
    <n v="1"/>
    <x v="0"/>
    <n v="21"/>
    <n v="34"/>
    <s v="No"/>
    <s v="No"/>
    <s v="Yes"/>
    <s v="No"/>
    <s v="Yes"/>
    <s v="No"/>
    <m/>
    <x v="0"/>
    <n v="0"/>
  </r>
  <r>
    <n v="2617"/>
    <d v="2024-08-23T00:00:00"/>
    <s v="Premium"/>
    <n v="699"/>
    <n v="21.9"/>
    <n v="6"/>
    <x v="5"/>
    <n v="17"/>
    <n v="36"/>
    <s v="Yes"/>
    <s v="No"/>
    <s v="Yes"/>
    <s v="Yes"/>
    <s v="Yes"/>
    <s v="No"/>
    <m/>
    <x v="0"/>
    <n v="1"/>
  </r>
  <r>
    <n v="2618"/>
    <d v="2024-12-20T00:00:00"/>
    <s v="Premium"/>
    <n v="699"/>
    <n v="19.5"/>
    <n v="0"/>
    <x v="3"/>
    <n v="33"/>
    <n v="20"/>
    <s v="No"/>
    <s v="No"/>
    <s v="Yes"/>
    <s v="No"/>
    <s v="Yes"/>
    <s v="No"/>
    <m/>
    <x v="0"/>
    <n v="0"/>
  </r>
  <r>
    <n v="2619"/>
    <d v="2023-08-27T00:00:00"/>
    <s v="Basic"/>
    <n v="199"/>
    <n v="3.1"/>
    <n v="7"/>
    <x v="4"/>
    <n v="31"/>
    <n v="8"/>
    <s v="Yes"/>
    <s v="Yes"/>
    <s v="Yes"/>
    <s v="Yes"/>
    <s v="No"/>
    <s v="No"/>
    <m/>
    <x v="0"/>
    <n v="1"/>
  </r>
  <r>
    <n v="2620"/>
    <d v="2023-06-29T00:00:00"/>
    <s v="Basic"/>
    <n v="199"/>
    <n v="21.6"/>
    <n v="8"/>
    <x v="4"/>
    <n v="6"/>
    <n v="24"/>
    <s v="Yes"/>
    <s v="No"/>
    <s v="Yes"/>
    <s v="Yes"/>
    <s v="Yes"/>
    <s v="No"/>
    <m/>
    <x v="0"/>
    <n v="1"/>
  </r>
  <r>
    <n v="2621"/>
    <d v="2023-06-16T00:00:00"/>
    <s v="Standard"/>
    <n v="399"/>
    <n v="22.7"/>
    <n v="8"/>
    <x v="4"/>
    <n v="9"/>
    <n v="14"/>
    <s v="No"/>
    <s v="No"/>
    <s v="Yes"/>
    <s v="Yes"/>
    <s v="No"/>
    <s v="No"/>
    <m/>
    <x v="0"/>
    <n v="0"/>
  </r>
  <r>
    <n v="2622"/>
    <d v="2024-11-06T00:00:00"/>
    <s v="Premium"/>
    <n v="699"/>
    <n v="6.3"/>
    <n v="1"/>
    <x v="0"/>
    <n v="16"/>
    <n v="7"/>
    <s v="No"/>
    <s v="No"/>
    <s v="Yes"/>
    <s v="No"/>
    <s v="No"/>
    <s v="No"/>
    <m/>
    <x v="0"/>
    <n v="0"/>
  </r>
  <r>
    <n v="2623"/>
    <d v="2024-06-13T00:00:00"/>
    <s v="Premium"/>
    <n v="699"/>
    <n v="1.2"/>
    <n v="2"/>
    <x v="5"/>
    <n v="32"/>
    <n v="13"/>
    <s v="No"/>
    <s v="Yes"/>
    <s v="Yes"/>
    <s v="No"/>
    <s v="No"/>
    <s v="No"/>
    <m/>
    <x v="0"/>
    <n v="0"/>
  </r>
  <r>
    <n v="2624"/>
    <d v="2023-02-15T00:00:00"/>
    <s v="Premium"/>
    <n v="699"/>
    <n v="17.899999999999999"/>
    <n v="8"/>
    <x v="0"/>
    <n v="4"/>
    <n v="10"/>
    <s v="Yes"/>
    <s v="No"/>
    <s v="Yes"/>
    <s v="Yes"/>
    <s v="No"/>
    <s v="Yes"/>
    <m/>
    <x v="0"/>
    <n v="1"/>
  </r>
  <r>
    <n v="2625"/>
    <d v="2024-06-18T00:00:00"/>
    <s v="Basic"/>
    <n v="199"/>
    <n v="5"/>
    <n v="2"/>
    <x v="1"/>
    <n v="1"/>
    <n v="1"/>
    <s v="Yes"/>
    <s v="No"/>
    <s v="No"/>
    <s v="No"/>
    <s v="No"/>
    <s v="Yes"/>
    <m/>
    <x v="1"/>
    <n v="1"/>
  </r>
  <r>
    <n v="2626"/>
    <d v="2024-10-08T00:00:00"/>
    <s v="Standard"/>
    <n v="399"/>
    <n v="11.1"/>
    <n v="1"/>
    <x v="1"/>
    <n v="30"/>
    <n v="58"/>
    <s v="Yes"/>
    <s v="No"/>
    <s v="No"/>
    <s v="No"/>
    <s v="Yes"/>
    <s v="No"/>
    <m/>
    <x v="1"/>
    <n v="1"/>
  </r>
  <r>
    <n v="2627"/>
    <d v="2024-07-14T00:00:00"/>
    <s v="Premium"/>
    <n v="699"/>
    <n v="23"/>
    <n v="7"/>
    <x v="4"/>
    <n v="36"/>
    <n v="24"/>
    <s v="Yes"/>
    <s v="No"/>
    <s v="Yes"/>
    <s v="Yes"/>
    <s v="Yes"/>
    <s v="No"/>
    <m/>
    <x v="0"/>
    <n v="1"/>
  </r>
  <r>
    <n v="2628"/>
    <d v="2023-08-29T00:00:00"/>
    <s v="Basic"/>
    <n v="199"/>
    <n v="5.0999999999999996"/>
    <n v="6"/>
    <x v="1"/>
    <n v="19"/>
    <n v="18"/>
    <s v="Yes"/>
    <s v="No"/>
    <s v="No"/>
    <s v="Yes"/>
    <s v="Yes"/>
    <s v="No"/>
    <m/>
    <x v="1"/>
    <n v="1"/>
  </r>
  <r>
    <n v="2629"/>
    <d v="2024-06-06T00:00:00"/>
    <s v="Premium"/>
    <n v="699"/>
    <n v="23.2"/>
    <n v="3"/>
    <x v="4"/>
    <n v="19"/>
    <n v="60"/>
    <s v="Yes"/>
    <s v="No"/>
    <s v="Yes"/>
    <s v="No"/>
    <s v="Yes"/>
    <s v="No"/>
    <m/>
    <x v="0"/>
    <n v="1"/>
  </r>
  <r>
    <n v="2630"/>
    <d v="2023-11-13T00:00:00"/>
    <s v="Basic"/>
    <n v="199"/>
    <n v="7.3"/>
    <n v="8"/>
    <x v="4"/>
    <n v="31"/>
    <n v="8"/>
    <s v="Yes"/>
    <s v="No"/>
    <s v="Yes"/>
    <s v="Yes"/>
    <s v="No"/>
    <s v="No"/>
    <m/>
    <x v="0"/>
    <n v="1"/>
  </r>
  <r>
    <n v="2631"/>
    <d v="2023-01-18T00:00:00"/>
    <s v="Standard"/>
    <n v="399"/>
    <n v="20.9"/>
    <n v="1"/>
    <x v="1"/>
    <n v="21"/>
    <n v="0"/>
    <s v="No"/>
    <s v="No"/>
    <s v="No"/>
    <s v="No"/>
    <s v="No"/>
    <s v="No"/>
    <m/>
    <x v="1"/>
    <n v="0"/>
  </r>
  <r>
    <n v="2632"/>
    <d v="2023-12-04T00:00:00"/>
    <s v="Standard"/>
    <n v="399"/>
    <n v="22.9"/>
    <n v="0"/>
    <x v="3"/>
    <n v="26"/>
    <n v="52"/>
    <s v="No"/>
    <s v="No"/>
    <s v="Yes"/>
    <s v="No"/>
    <s v="Yes"/>
    <s v="No"/>
    <m/>
    <x v="0"/>
    <n v="0"/>
  </r>
  <r>
    <n v="2633"/>
    <d v="2023-02-17T00:00:00"/>
    <s v="Premium"/>
    <n v="699"/>
    <n v="11.2"/>
    <n v="1"/>
    <x v="3"/>
    <n v="25"/>
    <n v="1"/>
    <s v="No"/>
    <s v="No"/>
    <s v="Yes"/>
    <s v="No"/>
    <s v="No"/>
    <s v="No"/>
    <m/>
    <x v="0"/>
    <n v="0"/>
  </r>
  <r>
    <n v="2634"/>
    <d v="2023-01-14T00:00:00"/>
    <s v="Standard"/>
    <n v="399"/>
    <n v="24.3"/>
    <n v="6"/>
    <x v="2"/>
    <n v="28"/>
    <n v="17"/>
    <s v="Yes"/>
    <s v="No"/>
    <s v="Yes"/>
    <s v="Yes"/>
    <s v="Yes"/>
    <s v="No"/>
    <m/>
    <x v="0"/>
    <n v="1"/>
  </r>
  <r>
    <n v="2635"/>
    <d v="2023-08-19T00:00:00"/>
    <s v="Premium"/>
    <n v="699"/>
    <n v="22.9"/>
    <n v="4"/>
    <x v="1"/>
    <n v="26"/>
    <n v="45"/>
    <s v="Yes"/>
    <s v="No"/>
    <s v="No"/>
    <s v="No"/>
    <s v="Yes"/>
    <s v="No"/>
    <m/>
    <x v="1"/>
    <n v="1"/>
  </r>
  <r>
    <n v="2636"/>
    <d v="2024-08-28T00:00:00"/>
    <s v="Standard"/>
    <n v="399"/>
    <n v="20.3"/>
    <n v="8"/>
    <x v="3"/>
    <n v="1"/>
    <n v="6"/>
    <s v="Yes"/>
    <s v="No"/>
    <s v="Yes"/>
    <s v="Yes"/>
    <s v="No"/>
    <s v="Yes"/>
    <m/>
    <x v="0"/>
    <n v="1"/>
  </r>
  <r>
    <n v="2637"/>
    <d v="2023-07-19T00:00:00"/>
    <s v="Standard"/>
    <n v="399"/>
    <n v="1.5"/>
    <n v="0"/>
    <x v="3"/>
    <n v="31"/>
    <n v="49"/>
    <s v="Yes"/>
    <s v="Yes"/>
    <s v="Yes"/>
    <s v="No"/>
    <s v="Yes"/>
    <s v="No"/>
    <m/>
    <x v="0"/>
    <n v="1"/>
  </r>
  <r>
    <n v="2638"/>
    <d v="2024-08-04T00:00:00"/>
    <s v="Standard"/>
    <n v="399"/>
    <n v="13.9"/>
    <n v="4"/>
    <x v="5"/>
    <n v="27"/>
    <n v="9"/>
    <s v="Yes"/>
    <s v="No"/>
    <s v="Yes"/>
    <s v="No"/>
    <s v="No"/>
    <s v="No"/>
    <m/>
    <x v="0"/>
    <n v="1"/>
  </r>
  <r>
    <n v="2639"/>
    <d v="2024-03-19T00:00:00"/>
    <s v="Premium"/>
    <n v="699"/>
    <n v="4.4000000000000004"/>
    <n v="7"/>
    <x v="1"/>
    <n v="26"/>
    <n v="33"/>
    <s v="Yes"/>
    <s v="Yes"/>
    <s v="No"/>
    <s v="Yes"/>
    <s v="Yes"/>
    <s v="No"/>
    <m/>
    <x v="1"/>
    <n v="1"/>
  </r>
  <r>
    <n v="2640"/>
    <d v="2024-11-07T00:00:00"/>
    <s v="Premium"/>
    <n v="699"/>
    <n v="13.2"/>
    <n v="1"/>
    <x v="2"/>
    <n v="36"/>
    <n v="33"/>
    <s v="No"/>
    <s v="No"/>
    <s v="Yes"/>
    <s v="No"/>
    <s v="Yes"/>
    <s v="No"/>
    <m/>
    <x v="0"/>
    <n v="0"/>
  </r>
  <r>
    <n v="2641"/>
    <d v="2024-08-28T00:00:00"/>
    <s v="Premium"/>
    <n v="699"/>
    <n v="19.600000000000001"/>
    <n v="1"/>
    <x v="3"/>
    <n v="32"/>
    <n v="1"/>
    <s v="No"/>
    <s v="No"/>
    <s v="Yes"/>
    <s v="No"/>
    <s v="No"/>
    <s v="No"/>
    <m/>
    <x v="0"/>
    <n v="0"/>
  </r>
  <r>
    <n v="2642"/>
    <d v="2023-01-24T00:00:00"/>
    <s v="Standard"/>
    <n v="399"/>
    <n v="9.4"/>
    <n v="1"/>
    <x v="5"/>
    <n v="12"/>
    <n v="29"/>
    <s v="No"/>
    <s v="No"/>
    <s v="Yes"/>
    <s v="No"/>
    <s v="Yes"/>
    <s v="No"/>
    <m/>
    <x v="0"/>
    <n v="0"/>
  </r>
  <r>
    <n v="2643"/>
    <d v="2024-01-03T00:00:00"/>
    <s v="Premium"/>
    <n v="699"/>
    <n v="3.6"/>
    <n v="1"/>
    <x v="0"/>
    <n v="16"/>
    <n v="27"/>
    <s v="No"/>
    <s v="Yes"/>
    <s v="Yes"/>
    <s v="No"/>
    <s v="Yes"/>
    <s v="No"/>
    <m/>
    <x v="0"/>
    <n v="0"/>
  </r>
  <r>
    <n v="2644"/>
    <d v="2023-03-22T00:00:00"/>
    <s v="Standard"/>
    <n v="399"/>
    <n v="14.6"/>
    <n v="2"/>
    <x v="2"/>
    <n v="34"/>
    <n v="0"/>
    <s v="Yes"/>
    <s v="No"/>
    <s v="Yes"/>
    <s v="No"/>
    <s v="No"/>
    <s v="No"/>
    <m/>
    <x v="0"/>
    <n v="1"/>
  </r>
  <r>
    <n v="2645"/>
    <d v="2024-04-17T00:00:00"/>
    <s v="Premium"/>
    <n v="699"/>
    <n v="19.100000000000001"/>
    <n v="5"/>
    <x v="0"/>
    <n v="1"/>
    <n v="60"/>
    <s v="Yes"/>
    <s v="No"/>
    <s v="Yes"/>
    <s v="Yes"/>
    <s v="Yes"/>
    <s v="Yes"/>
    <m/>
    <x v="0"/>
    <n v="1"/>
  </r>
  <r>
    <n v="2646"/>
    <d v="2024-12-24T00:00:00"/>
    <s v="Standard"/>
    <n v="399"/>
    <n v="13"/>
    <n v="1"/>
    <x v="2"/>
    <n v="22"/>
    <n v="31"/>
    <s v="Yes"/>
    <s v="No"/>
    <s v="Yes"/>
    <s v="No"/>
    <s v="Yes"/>
    <s v="No"/>
    <m/>
    <x v="0"/>
    <n v="1"/>
  </r>
  <r>
    <n v="2647"/>
    <d v="2023-04-09T00:00:00"/>
    <s v="Basic"/>
    <n v="199"/>
    <n v="12.5"/>
    <n v="6"/>
    <x v="5"/>
    <n v="9"/>
    <n v="11"/>
    <s v="No"/>
    <s v="No"/>
    <s v="Yes"/>
    <s v="Yes"/>
    <s v="No"/>
    <s v="No"/>
    <m/>
    <x v="0"/>
    <n v="0"/>
  </r>
  <r>
    <n v="2648"/>
    <d v="2023-05-22T00:00:00"/>
    <s v="Premium"/>
    <n v="699"/>
    <n v="4"/>
    <n v="1"/>
    <x v="5"/>
    <n v="36"/>
    <n v="45"/>
    <s v="Yes"/>
    <s v="Yes"/>
    <s v="Yes"/>
    <s v="No"/>
    <s v="Yes"/>
    <s v="No"/>
    <m/>
    <x v="0"/>
    <n v="1"/>
  </r>
  <r>
    <n v="2649"/>
    <d v="2024-06-08T00:00:00"/>
    <s v="Standard"/>
    <n v="399"/>
    <n v="4.8"/>
    <n v="2"/>
    <x v="5"/>
    <n v="18"/>
    <n v="60"/>
    <s v="Yes"/>
    <s v="Yes"/>
    <s v="Yes"/>
    <s v="No"/>
    <s v="Yes"/>
    <s v="No"/>
    <m/>
    <x v="0"/>
    <n v="1"/>
  </r>
  <r>
    <n v="2650"/>
    <d v="2023-05-16T00:00:00"/>
    <s v="Premium"/>
    <n v="699"/>
    <n v="11.5"/>
    <n v="4"/>
    <x v="4"/>
    <n v="5"/>
    <n v="46"/>
    <s v="Yes"/>
    <s v="No"/>
    <s v="Yes"/>
    <s v="No"/>
    <s v="Yes"/>
    <s v="Yes"/>
    <m/>
    <x v="0"/>
    <n v="1"/>
  </r>
  <r>
    <n v="2651"/>
    <d v="2023-02-16T00:00:00"/>
    <s v="Basic"/>
    <n v="199"/>
    <n v="9"/>
    <n v="4"/>
    <x v="3"/>
    <n v="36"/>
    <n v="31"/>
    <s v="No"/>
    <s v="No"/>
    <s v="Yes"/>
    <s v="No"/>
    <s v="Yes"/>
    <s v="No"/>
    <m/>
    <x v="0"/>
    <n v="0"/>
  </r>
  <r>
    <n v="2652"/>
    <d v="2023-05-10T00:00:00"/>
    <s v="Standard"/>
    <n v="399"/>
    <n v="19.600000000000001"/>
    <n v="2"/>
    <x v="1"/>
    <n v="28"/>
    <n v="54"/>
    <s v="No"/>
    <s v="No"/>
    <s v="No"/>
    <s v="No"/>
    <s v="Yes"/>
    <s v="No"/>
    <m/>
    <x v="1"/>
    <n v="0"/>
  </r>
  <r>
    <n v="2653"/>
    <d v="2024-02-13T00:00:00"/>
    <s v="Standard"/>
    <n v="399"/>
    <n v="20.8"/>
    <n v="0"/>
    <x v="4"/>
    <n v="32"/>
    <n v="3"/>
    <s v="Yes"/>
    <s v="No"/>
    <s v="Yes"/>
    <s v="No"/>
    <s v="No"/>
    <s v="No"/>
    <m/>
    <x v="0"/>
    <n v="1"/>
  </r>
  <r>
    <n v="2654"/>
    <d v="2023-05-20T00:00:00"/>
    <s v="Basic"/>
    <n v="199"/>
    <n v="10.5"/>
    <n v="0"/>
    <x v="2"/>
    <n v="22"/>
    <n v="10"/>
    <s v="Yes"/>
    <s v="No"/>
    <s v="Yes"/>
    <s v="No"/>
    <s v="No"/>
    <s v="No"/>
    <m/>
    <x v="0"/>
    <n v="1"/>
  </r>
  <r>
    <n v="2655"/>
    <d v="2023-12-02T00:00:00"/>
    <s v="Standard"/>
    <n v="399"/>
    <n v="24.8"/>
    <n v="8"/>
    <x v="0"/>
    <n v="31"/>
    <n v="58"/>
    <s v="No"/>
    <s v="No"/>
    <s v="Yes"/>
    <s v="Yes"/>
    <s v="Yes"/>
    <s v="No"/>
    <m/>
    <x v="0"/>
    <n v="0"/>
  </r>
  <r>
    <n v="2656"/>
    <d v="2024-06-13T00:00:00"/>
    <s v="Premium"/>
    <n v="699"/>
    <n v="0.6"/>
    <n v="1"/>
    <x v="2"/>
    <n v="18"/>
    <n v="33"/>
    <s v="Yes"/>
    <s v="Yes"/>
    <s v="Yes"/>
    <s v="No"/>
    <s v="Yes"/>
    <s v="No"/>
    <m/>
    <x v="0"/>
    <n v="1"/>
  </r>
  <r>
    <n v="2657"/>
    <d v="2024-03-05T00:00:00"/>
    <s v="Basic"/>
    <n v="199"/>
    <n v="17.399999999999999"/>
    <n v="7"/>
    <x v="0"/>
    <n v="11"/>
    <n v="5"/>
    <s v="Yes"/>
    <s v="No"/>
    <s v="Yes"/>
    <s v="Yes"/>
    <s v="No"/>
    <s v="No"/>
    <m/>
    <x v="0"/>
    <n v="1"/>
  </r>
  <r>
    <n v="2658"/>
    <d v="2023-03-02T00:00:00"/>
    <s v="Basic"/>
    <n v="199"/>
    <n v="23.6"/>
    <n v="8"/>
    <x v="3"/>
    <n v="25"/>
    <n v="0"/>
    <s v="Yes"/>
    <s v="No"/>
    <s v="Yes"/>
    <s v="Yes"/>
    <s v="No"/>
    <s v="No"/>
    <m/>
    <x v="0"/>
    <n v="1"/>
  </r>
  <r>
    <n v="2659"/>
    <d v="2023-01-02T00:00:00"/>
    <s v="Standard"/>
    <n v="399"/>
    <n v="16.2"/>
    <n v="0"/>
    <x v="1"/>
    <n v="36"/>
    <n v="7"/>
    <s v="No"/>
    <s v="No"/>
    <s v="No"/>
    <s v="No"/>
    <s v="No"/>
    <s v="No"/>
    <m/>
    <x v="1"/>
    <n v="0"/>
  </r>
  <r>
    <n v="2660"/>
    <d v="2024-03-13T00:00:00"/>
    <s v="Premium"/>
    <n v="699"/>
    <n v="21.2"/>
    <n v="1"/>
    <x v="4"/>
    <n v="12"/>
    <n v="5"/>
    <s v="Yes"/>
    <s v="No"/>
    <s v="Yes"/>
    <s v="No"/>
    <s v="No"/>
    <s v="No"/>
    <m/>
    <x v="0"/>
    <n v="1"/>
  </r>
  <r>
    <n v="2661"/>
    <d v="2023-05-20T00:00:00"/>
    <s v="Basic"/>
    <n v="199"/>
    <n v="18.7"/>
    <n v="3"/>
    <x v="2"/>
    <n v="3"/>
    <n v="3"/>
    <s v="No"/>
    <s v="No"/>
    <s v="Yes"/>
    <s v="No"/>
    <s v="No"/>
    <s v="Yes"/>
    <m/>
    <x v="0"/>
    <n v="0"/>
  </r>
  <r>
    <n v="2662"/>
    <d v="2023-01-16T00:00:00"/>
    <s v="Basic"/>
    <n v="199"/>
    <n v="1.3"/>
    <n v="1"/>
    <x v="2"/>
    <n v="3"/>
    <n v="37"/>
    <s v="Yes"/>
    <s v="Yes"/>
    <s v="Yes"/>
    <s v="No"/>
    <s v="Yes"/>
    <s v="Yes"/>
    <m/>
    <x v="0"/>
    <n v="1"/>
  </r>
  <r>
    <n v="2663"/>
    <d v="2024-07-29T00:00:00"/>
    <s v="Basic"/>
    <n v="199"/>
    <n v="6.8"/>
    <n v="1"/>
    <x v="5"/>
    <n v="31"/>
    <n v="36"/>
    <s v="No"/>
    <s v="No"/>
    <s v="Yes"/>
    <s v="No"/>
    <s v="Yes"/>
    <s v="No"/>
    <m/>
    <x v="0"/>
    <n v="0"/>
  </r>
  <r>
    <n v="2664"/>
    <d v="2024-06-18T00:00:00"/>
    <s v="Premium"/>
    <n v="699"/>
    <n v="17.600000000000001"/>
    <n v="3"/>
    <x v="4"/>
    <n v="21"/>
    <n v="9"/>
    <s v="No"/>
    <s v="No"/>
    <s v="Yes"/>
    <s v="No"/>
    <s v="No"/>
    <s v="No"/>
    <m/>
    <x v="0"/>
    <n v="0"/>
  </r>
  <r>
    <n v="2665"/>
    <d v="2023-09-21T00:00:00"/>
    <s v="Standard"/>
    <n v="399"/>
    <n v="15"/>
    <n v="3"/>
    <x v="2"/>
    <n v="27"/>
    <n v="22"/>
    <s v="Yes"/>
    <s v="No"/>
    <s v="Yes"/>
    <s v="No"/>
    <s v="Yes"/>
    <s v="No"/>
    <m/>
    <x v="0"/>
    <n v="1"/>
  </r>
  <r>
    <n v="2666"/>
    <d v="2024-06-11T00:00:00"/>
    <s v="Standard"/>
    <n v="399"/>
    <n v="19.3"/>
    <n v="6"/>
    <x v="4"/>
    <n v="31"/>
    <n v="5"/>
    <s v="No"/>
    <s v="No"/>
    <s v="Yes"/>
    <s v="Yes"/>
    <s v="No"/>
    <s v="No"/>
    <m/>
    <x v="0"/>
    <n v="0"/>
  </r>
  <r>
    <n v="2667"/>
    <d v="2023-03-14T00:00:00"/>
    <s v="Basic"/>
    <n v="199"/>
    <n v="5.5"/>
    <n v="4"/>
    <x v="5"/>
    <n v="31"/>
    <n v="5"/>
    <s v="Yes"/>
    <s v="No"/>
    <s v="Yes"/>
    <s v="No"/>
    <s v="No"/>
    <s v="No"/>
    <m/>
    <x v="0"/>
    <n v="1"/>
  </r>
  <r>
    <n v="2668"/>
    <d v="2024-09-17T00:00:00"/>
    <s v="Basic"/>
    <n v="199"/>
    <n v="8.6"/>
    <n v="2"/>
    <x v="3"/>
    <n v="17"/>
    <n v="49"/>
    <s v="Yes"/>
    <s v="No"/>
    <s v="Yes"/>
    <s v="No"/>
    <s v="Yes"/>
    <s v="No"/>
    <m/>
    <x v="0"/>
    <n v="1"/>
  </r>
  <r>
    <n v="2669"/>
    <d v="2024-01-04T00:00:00"/>
    <s v="Standard"/>
    <n v="399"/>
    <n v="17.3"/>
    <n v="1"/>
    <x v="2"/>
    <n v="15"/>
    <n v="57"/>
    <s v="Yes"/>
    <s v="No"/>
    <s v="Yes"/>
    <s v="No"/>
    <s v="Yes"/>
    <s v="No"/>
    <m/>
    <x v="0"/>
    <n v="1"/>
  </r>
  <r>
    <n v="2670"/>
    <d v="2024-03-06T00:00:00"/>
    <s v="Standard"/>
    <n v="399"/>
    <n v="13.3"/>
    <n v="3"/>
    <x v="3"/>
    <n v="17"/>
    <n v="55"/>
    <s v="No"/>
    <s v="No"/>
    <s v="Yes"/>
    <s v="No"/>
    <s v="Yes"/>
    <s v="No"/>
    <m/>
    <x v="0"/>
    <n v="0"/>
  </r>
  <r>
    <n v="2671"/>
    <d v="2024-03-15T00:00:00"/>
    <s v="Premium"/>
    <n v="699"/>
    <n v="10.4"/>
    <n v="4"/>
    <x v="5"/>
    <n v="4"/>
    <n v="27"/>
    <s v="Yes"/>
    <s v="No"/>
    <s v="Yes"/>
    <s v="No"/>
    <s v="Yes"/>
    <s v="Yes"/>
    <m/>
    <x v="0"/>
    <n v="1"/>
  </r>
  <r>
    <n v="2672"/>
    <d v="2024-07-08T00:00:00"/>
    <s v="Standard"/>
    <n v="399"/>
    <n v="14.9"/>
    <n v="3"/>
    <x v="4"/>
    <n v="13"/>
    <n v="16"/>
    <s v="No"/>
    <s v="No"/>
    <s v="Yes"/>
    <s v="No"/>
    <s v="Yes"/>
    <s v="No"/>
    <m/>
    <x v="0"/>
    <n v="0"/>
  </r>
  <r>
    <n v="2673"/>
    <d v="2024-10-07T00:00:00"/>
    <s v="Premium"/>
    <n v="699"/>
    <n v="13.9"/>
    <n v="2"/>
    <x v="3"/>
    <n v="13"/>
    <n v="51"/>
    <s v="Yes"/>
    <s v="No"/>
    <s v="Yes"/>
    <s v="No"/>
    <s v="Yes"/>
    <s v="No"/>
    <m/>
    <x v="0"/>
    <n v="1"/>
  </r>
  <r>
    <n v="2674"/>
    <d v="2024-04-01T00:00:00"/>
    <s v="Standard"/>
    <n v="399"/>
    <n v="22.9"/>
    <n v="8"/>
    <x v="1"/>
    <n v="26"/>
    <n v="21"/>
    <s v="Yes"/>
    <s v="No"/>
    <s v="No"/>
    <s v="Yes"/>
    <s v="Yes"/>
    <s v="No"/>
    <m/>
    <x v="1"/>
    <n v="1"/>
  </r>
  <r>
    <n v="2675"/>
    <d v="2023-12-27T00:00:00"/>
    <s v="Standard"/>
    <n v="399"/>
    <n v="17.8"/>
    <n v="6"/>
    <x v="3"/>
    <n v="18"/>
    <n v="28"/>
    <s v="Yes"/>
    <s v="No"/>
    <s v="Yes"/>
    <s v="Yes"/>
    <s v="Yes"/>
    <s v="No"/>
    <m/>
    <x v="0"/>
    <n v="1"/>
  </r>
  <r>
    <n v="2676"/>
    <d v="2023-01-10T00:00:00"/>
    <s v="Basic"/>
    <n v="199"/>
    <n v="24"/>
    <n v="2"/>
    <x v="0"/>
    <n v="24"/>
    <n v="36"/>
    <s v="Yes"/>
    <s v="No"/>
    <s v="Yes"/>
    <s v="No"/>
    <s v="Yes"/>
    <s v="No"/>
    <m/>
    <x v="0"/>
    <n v="1"/>
  </r>
  <r>
    <n v="2677"/>
    <d v="2024-10-06T00:00:00"/>
    <s v="Premium"/>
    <n v="699"/>
    <n v="13.8"/>
    <n v="5"/>
    <x v="3"/>
    <n v="3"/>
    <n v="6"/>
    <s v="Yes"/>
    <s v="No"/>
    <s v="Yes"/>
    <s v="Yes"/>
    <s v="No"/>
    <s v="Yes"/>
    <m/>
    <x v="0"/>
    <n v="1"/>
  </r>
  <r>
    <n v="2678"/>
    <d v="2023-04-13T00:00:00"/>
    <s v="Premium"/>
    <n v="699"/>
    <n v="18.399999999999999"/>
    <n v="1"/>
    <x v="0"/>
    <n v="20"/>
    <n v="6"/>
    <s v="No"/>
    <s v="No"/>
    <s v="Yes"/>
    <s v="No"/>
    <s v="No"/>
    <s v="No"/>
    <m/>
    <x v="0"/>
    <n v="0"/>
  </r>
  <r>
    <n v="2679"/>
    <d v="2023-12-03T00:00:00"/>
    <s v="Standard"/>
    <n v="399"/>
    <n v="23.6"/>
    <n v="1"/>
    <x v="5"/>
    <n v="33"/>
    <n v="43"/>
    <s v="Yes"/>
    <s v="No"/>
    <s v="Yes"/>
    <s v="No"/>
    <s v="Yes"/>
    <s v="No"/>
    <m/>
    <x v="0"/>
    <n v="1"/>
  </r>
  <r>
    <n v="2680"/>
    <d v="2024-10-11T00:00:00"/>
    <s v="Standard"/>
    <n v="399"/>
    <n v="17.2"/>
    <n v="0"/>
    <x v="4"/>
    <n v="29"/>
    <n v="44"/>
    <s v="Yes"/>
    <s v="No"/>
    <s v="Yes"/>
    <s v="No"/>
    <s v="Yes"/>
    <s v="No"/>
    <m/>
    <x v="0"/>
    <n v="1"/>
  </r>
  <r>
    <n v="2681"/>
    <d v="2023-10-02T00:00:00"/>
    <s v="Basic"/>
    <n v="199"/>
    <n v="18.100000000000001"/>
    <n v="5"/>
    <x v="0"/>
    <n v="26"/>
    <n v="20"/>
    <s v="No"/>
    <s v="No"/>
    <s v="Yes"/>
    <s v="Yes"/>
    <s v="Yes"/>
    <s v="No"/>
    <m/>
    <x v="0"/>
    <n v="0"/>
  </r>
  <r>
    <n v="2682"/>
    <d v="2024-03-24T00:00:00"/>
    <s v="Premium"/>
    <n v="699"/>
    <n v="17.2"/>
    <n v="0"/>
    <x v="1"/>
    <n v="6"/>
    <n v="42"/>
    <s v="Yes"/>
    <s v="No"/>
    <s v="No"/>
    <s v="No"/>
    <s v="Yes"/>
    <s v="No"/>
    <m/>
    <x v="1"/>
    <n v="1"/>
  </r>
  <r>
    <n v="2683"/>
    <d v="2024-12-17T00:00:00"/>
    <s v="Standard"/>
    <n v="399"/>
    <n v="21.9"/>
    <n v="0"/>
    <x v="1"/>
    <n v="23"/>
    <n v="10"/>
    <s v="No"/>
    <s v="No"/>
    <s v="No"/>
    <s v="No"/>
    <s v="No"/>
    <s v="No"/>
    <m/>
    <x v="1"/>
    <n v="0"/>
  </r>
  <r>
    <n v="2684"/>
    <d v="2023-07-07T00:00:00"/>
    <s v="Basic"/>
    <n v="199"/>
    <n v="8.3000000000000007"/>
    <n v="5"/>
    <x v="0"/>
    <n v="6"/>
    <n v="55"/>
    <s v="No"/>
    <s v="No"/>
    <s v="Yes"/>
    <s v="Yes"/>
    <s v="Yes"/>
    <s v="No"/>
    <m/>
    <x v="0"/>
    <n v="0"/>
  </r>
  <r>
    <n v="2685"/>
    <d v="2024-05-19T00:00:00"/>
    <s v="Standard"/>
    <n v="399"/>
    <n v="11.3"/>
    <n v="5"/>
    <x v="1"/>
    <n v="17"/>
    <n v="28"/>
    <s v="Yes"/>
    <s v="No"/>
    <s v="No"/>
    <s v="Yes"/>
    <s v="Yes"/>
    <s v="No"/>
    <m/>
    <x v="1"/>
    <n v="1"/>
  </r>
  <r>
    <n v="2686"/>
    <d v="2023-12-29T00:00:00"/>
    <s v="Basic"/>
    <n v="199"/>
    <n v="17.8"/>
    <n v="2"/>
    <x v="2"/>
    <n v="29"/>
    <n v="38"/>
    <s v="Yes"/>
    <s v="No"/>
    <s v="Yes"/>
    <s v="No"/>
    <s v="Yes"/>
    <s v="No"/>
    <m/>
    <x v="0"/>
    <n v="1"/>
  </r>
  <r>
    <n v="2687"/>
    <d v="2023-02-19T00:00:00"/>
    <s v="Premium"/>
    <n v="699"/>
    <n v="16.3"/>
    <n v="3"/>
    <x v="4"/>
    <n v="24"/>
    <n v="48"/>
    <s v="No"/>
    <s v="No"/>
    <s v="Yes"/>
    <s v="No"/>
    <s v="Yes"/>
    <s v="No"/>
    <m/>
    <x v="0"/>
    <n v="0"/>
  </r>
  <r>
    <n v="2688"/>
    <d v="2023-07-28T00:00:00"/>
    <s v="Basic"/>
    <n v="199"/>
    <n v="7.6"/>
    <n v="3"/>
    <x v="3"/>
    <n v="26"/>
    <n v="49"/>
    <s v="No"/>
    <s v="No"/>
    <s v="Yes"/>
    <s v="No"/>
    <s v="Yes"/>
    <s v="No"/>
    <m/>
    <x v="0"/>
    <n v="0"/>
  </r>
  <r>
    <n v="2689"/>
    <d v="2023-08-08T00:00:00"/>
    <s v="Premium"/>
    <n v="699"/>
    <n v="0.6"/>
    <n v="5"/>
    <x v="0"/>
    <n v="8"/>
    <n v="60"/>
    <s v="Yes"/>
    <s v="Yes"/>
    <s v="Yes"/>
    <s v="Yes"/>
    <s v="Yes"/>
    <s v="No"/>
    <m/>
    <x v="0"/>
    <n v="1"/>
  </r>
  <r>
    <n v="2690"/>
    <d v="2024-10-03T00:00:00"/>
    <s v="Standard"/>
    <n v="399"/>
    <n v="12.9"/>
    <n v="4"/>
    <x v="1"/>
    <n v="3"/>
    <n v="4"/>
    <s v="No"/>
    <s v="No"/>
    <s v="No"/>
    <s v="No"/>
    <s v="No"/>
    <s v="Yes"/>
    <m/>
    <x v="1"/>
    <n v="0"/>
  </r>
  <r>
    <n v="2691"/>
    <d v="2024-07-12T00:00:00"/>
    <s v="Premium"/>
    <n v="699"/>
    <n v="23.9"/>
    <n v="5"/>
    <x v="5"/>
    <n v="7"/>
    <n v="39"/>
    <s v="No"/>
    <s v="No"/>
    <s v="Yes"/>
    <s v="Yes"/>
    <s v="Yes"/>
    <s v="No"/>
    <m/>
    <x v="0"/>
    <n v="0"/>
  </r>
  <r>
    <n v="2692"/>
    <d v="2023-05-31T00:00:00"/>
    <s v="Standard"/>
    <n v="399"/>
    <n v="19.100000000000001"/>
    <n v="3"/>
    <x v="3"/>
    <n v="23"/>
    <n v="43"/>
    <s v="Yes"/>
    <s v="No"/>
    <s v="Yes"/>
    <s v="No"/>
    <s v="Yes"/>
    <s v="No"/>
    <m/>
    <x v="0"/>
    <n v="1"/>
  </r>
  <r>
    <n v="2693"/>
    <d v="2024-08-06T00:00:00"/>
    <s v="Basic"/>
    <n v="199"/>
    <n v="10"/>
    <n v="0"/>
    <x v="1"/>
    <n v="24"/>
    <n v="26"/>
    <s v="No"/>
    <s v="No"/>
    <s v="No"/>
    <s v="No"/>
    <s v="Yes"/>
    <s v="No"/>
    <m/>
    <x v="1"/>
    <n v="0"/>
  </r>
  <r>
    <n v="2694"/>
    <d v="2024-07-14T00:00:00"/>
    <s v="Premium"/>
    <n v="699"/>
    <n v="16.3"/>
    <n v="6"/>
    <x v="5"/>
    <n v="1"/>
    <n v="27"/>
    <s v="No"/>
    <s v="No"/>
    <s v="Yes"/>
    <s v="Yes"/>
    <s v="Yes"/>
    <s v="Yes"/>
    <m/>
    <x v="0"/>
    <n v="0"/>
  </r>
  <r>
    <n v="2695"/>
    <d v="2024-12-13T00:00:00"/>
    <s v="Basic"/>
    <n v="199"/>
    <n v="13.9"/>
    <n v="7"/>
    <x v="2"/>
    <n v="5"/>
    <n v="16"/>
    <s v="Yes"/>
    <s v="No"/>
    <s v="Yes"/>
    <s v="Yes"/>
    <s v="Yes"/>
    <s v="Yes"/>
    <m/>
    <x v="0"/>
    <n v="1"/>
  </r>
  <r>
    <n v="2696"/>
    <d v="2024-11-09T00:00:00"/>
    <s v="Basic"/>
    <n v="199"/>
    <n v="12.8"/>
    <n v="2"/>
    <x v="4"/>
    <n v="31"/>
    <n v="56"/>
    <s v="No"/>
    <s v="No"/>
    <s v="Yes"/>
    <s v="No"/>
    <s v="Yes"/>
    <s v="No"/>
    <m/>
    <x v="0"/>
    <n v="0"/>
  </r>
  <r>
    <n v="2697"/>
    <d v="2024-05-17T00:00:00"/>
    <s v="Basic"/>
    <n v="199"/>
    <n v="8"/>
    <n v="5"/>
    <x v="0"/>
    <n v="19"/>
    <n v="1"/>
    <s v="Yes"/>
    <s v="No"/>
    <s v="Yes"/>
    <s v="Yes"/>
    <s v="No"/>
    <s v="No"/>
    <m/>
    <x v="0"/>
    <n v="1"/>
  </r>
  <r>
    <n v="2698"/>
    <d v="2023-06-14T00:00:00"/>
    <s v="Standard"/>
    <n v="399"/>
    <n v="19.100000000000001"/>
    <n v="2"/>
    <x v="3"/>
    <n v="25"/>
    <n v="20"/>
    <s v="Yes"/>
    <s v="No"/>
    <s v="Yes"/>
    <s v="No"/>
    <s v="Yes"/>
    <s v="No"/>
    <m/>
    <x v="0"/>
    <n v="1"/>
  </r>
  <r>
    <n v="2699"/>
    <d v="2023-11-17T00:00:00"/>
    <s v="Premium"/>
    <n v="699"/>
    <n v="20.8"/>
    <n v="1"/>
    <x v="2"/>
    <n v="23"/>
    <n v="13"/>
    <s v="No"/>
    <s v="No"/>
    <s v="Yes"/>
    <s v="No"/>
    <s v="No"/>
    <s v="No"/>
    <m/>
    <x v="0"/>
    <n v="0"/>
  </r>
  <r>
    <n v="2700"/>
    <d v="2023-09-18T00:00:00"/>
    <s v="Standard"/>
    <n v="399"/>
    <n v="22.5"/>
    <n v="2"/>
    <x v="3"/>
    <n v="9"/>
    <n v="6"/>
    <s v="No"/>
    <s v="No"/>
    <s v="Yes"/>
    <s v="No"/>
    <s v="No"/>
    <s v="No"/>
    <m/>
    <x v="0"/>
    <n v="0"/>
  </r>
  <r>
    <n v="2701"/>
    <d v="2023-12-05T00:00:00"/>
    <s v="Basic"/>
    <n v="199"/>
    <n v="15.9"/>
    <n v="2"/>
    <x v="0"/>
    <n v="4"/>
    <n v="50"/>
    <s v="Yes"/>
    <s v="No"/>
    <s v="Yes"/>
    <s v="No"/>
    <s v="Yes"/>
    <s v="Yes"/>
    <m/>
    <x v="0"/>
    <n v="1"/>
  </r>
  <r>
    <n v="2702"/>
    <d v="2024-03-07T00:00:00"/>
    <s v="Basic"/>
    <n v="199"/>
    <n v="0.9"/>
    <n v="0"/>
    <x v="5"/>
    <n v="5"/>
    <n v="2"/>
    <s v="No"/>
    <s v="Yes"/>
    <s v="Yes"/>
    <s v="No"/>
    <s v="No"/>
    <s v="Yes"/>
    <m/>
    <x v="0"/>
    <n v="0"/>
  </r>
  <r>
    <n v="2703"/>
    <d v="2024-07-23T00:00:00"/>
    <s v="Premium"/>
    <n v="699"/>
    <n v="9.1999999999999993"/>
    <n v="0"/>
    <x v="4"/>
    <n v="3"/>
    <n v="48"/>
    <s v="No"/>
    <s v="No"/>
    <s v="Yes"/>
    <s v="No"/>
    <s v="Yes"/>
    <s v="Yes"/>
    <m/>
    <x v="0"/>
    <n v="0"/>
  </r>
  <r>
    <n v="2704"/>
    <d v="2023-04-01T00:00:00"/>
    <s v="Standard"/>
    <n v="399"/>
    <n v="6.7"/>
    <n v="0"/>
    <x v="0"/>
    <n v="33"/>
    <n v="56"/>
    <s v="No"/>
    <s v="No"/>
    <s v="Yes"/>
    <s v="No"/>
    <s v="Yes"/>
    <s v="No"/>
    <m/>
    <x v="0"/>
    <n v="0"/>
  </r>
  <r>
    <n v="2705"/>
    <d v="2024-11-25T00:00:00"/>
    <s v="Standard"/>
    <n v="399"/>
    <n v="11.4"/>
    <n v="2"/>
    <x v="5"/>
    <n v="26"/>
    <n v="59"/>
    <s v="Yes"/>
    <s v="No"/>
    <s v="Yes"/>
    <s v="No"/>
    <s v="Yes"/>
    <s v="No"/>
    <m/>
    <x v="0"/>
    <n v="1"/>
  </r>
  <r>
    <n v="2706"/>
    <d v="2024-08-02T00:00:00"/>
    <s v="Standard"/>
    <n v="399"/>
    <n v="8.6999999999999993"/>
    <n v="8"/>
    <x v="5"/>
    <n v="30"/>
    <n v="28"/>
    <s v="Yes"/>
    <s v="No"/>
    <s v="Yes"/>
    <s v="Yes"/>
    <s v="Yes"/>
    <s v="No"/>
    <m/>
    <x v="0"/>
    <n v="1"/>
  </r>
  <r>
    <n v="2707"/>
    <d v="2023-08-25T00:00:00"/>
    <s v="Basic"/>
    <n v="199"/>
    <n v="4.7"/>
    <n v="6"/>
    <x v="3"/>
    <n v="6"/>
    <n v="10"/>
    <s v="Yes"/>
    <s v="Yes"/>
    <s v="Yes"/>
    <s v="Yes"/>
    <s v="No"/>
    <s v="No"/>
    <m/>
    <x v="0"/>
    <n v="1"/>
  </r>
  <r>
    <n v="2708"/>
    <d v="2024-04-13T00:00:00"/>
    <s v="Basic"/>
    <n v="199"/>
    <n v="16.899999999999999"/>
    <n v="2"/>
    <x v="1"/>
    <n v="27"/>
    <n v="56"/>
    <s v="No"/>
    <s v="No"/>
    <s v="No"/>
    <s v="No"/>
    <s v="Yes"/>
    <s v="No"/>
    <m/>
    <x v="1"/>
    <n v="0"/>
  </r>
  <r>
    <n v="2709"/>
    <d v="2023-01-26T00:00:00"/>
    <s v="Standard"/>
    <n v="399"/>
    <n v="13.3"/>
    <n v="1"/>
    <x v="3"/>
    <n v="23"/>
    <n v="29"/>
    <s v="No"/>
    <s v="No"/>
    <s v="Yes"/>
    <s v="No"/>
    <s v="Yes"/>
    <s v="No"/>
    <m/>
    <x v="0"/>
    <n v="0"/>
  </r>
  <r>
    <n v="2710"/>
    <d v="2023-06-15T00:00:00"/>
    <s v="Premium"/>
    <n v="699"/>
    <n v="0.5"/>
    <n v="7"/>
    <x v="1"/>
    <n v="9"/>
    <n v="5"/>
    <s v="No"/>
    <s v="Yes"/>
    <s v="No"/>
    <s v="Yes"/>
    <s v="No"/>
    <s v="No"/>
    <m/>
    <x v="1"/>
    <n v="0"/>
  </r>
  <r>
    <n v="2711"/>
    <d v="2023-04-12T00:00:00"/>
    <s v="Basic"/>
    <n v="199"/>
    <n v="0.6"/>
    <n v="3"/>
    <x v="2"/>
    <n v="36"/>
    <n v="44"/>
    <s v="No"/>
    <s v="Yes"/>
    <s v="Yes"/>
    <s v="No"/>
    <s v="Yes"/>
    <s v="No"/>
    <m/>
    <x v="0"/>
    <n v="0"/>
  </r>
  <r>
    <n v="2712"/>
    <d v="2024-05-15T00:00:00"/>
    <s v="Premium"/>
    <n v="699"/>
    <n v="2.2000000000000002"/>
    <n v="8"/>
    <x v="1"/>
    <n v="11"/>
    <n v="33"/>
    <s v="Yes"/>
    <s v="Yes"/>
    <s v="No"/>
    <s v="Yes"/>
    <s v="Yes"/>
    <s v="No"/>
    <m/>
    <x v="1"/>
    <n v="1"/>
  </r>
  <r>
    <n v="2713"/>
    <d v="2024-05-30T00:00:00"/>
    <s v="Premium"/>
    <n v="699"/>
    <n v="17.3"/>
    <n v="1"/>
    <x v="2"/>
    <n v="1"/>
    <n v="6"/>
    <s v="No"/>
    <s v="No"/>
    <s v="Yes"/>
    <s v="No"/>
    <s v="No"/>
    <s v="Yes"/>
    <m/>
    <x v="0"/>
    <n v="0"/>
  </r>
  <r>
    <n v="2714"/>
    <d v="2024-08-25T00:00:00"/>
    <s v="Standard"/>
    <n v="399"/>
    <n v="13.6"/>
    <n v="5"/>
    <x v="5"/>
    <n v="14"/>
    <n v="35"/>
    <s v="Yes"/>
    <s v="No"/>
    <s v="Yes"/>
    <s v="Yes"/>
    <s v="Yes"/>
    <s v="No"/>
    <m/>
    <x v="0"/>
    <n v="1"/>
  </r>
  <r>
    <n v="2715"/>
    <d v="2024-01-26T00:00:00"/>
    <s v="Standard"/>
    <n v="399"/>
    <n v="17.399999999999999"/>
    <n v="7"/>
    <x v="0"/>
    <n v="30"/>
    <n v="45"/>
    <s v="No"/>
    <s v="No"/>
    <s v="Yes"/>
    <s v="Yes"/>
    <s v="Yes"/>
    <s v="No"/>
    <m/>
    <x v="0"/>
    <n v="0"/>
  </r>
  <r>
    <n v="2716"/>
    <d v="2024-07-01T00:00:00"/>
    <s v="Premium"/>
    <n v="699"/>
    <n v="1.6"/>
    <n v="0"/>
    <x v="3"/>
    <n v="34"/>
    <n v="58"/>
    <s v="Yes"/>
    <s v="Yes"/>
    <s v="Yes"/>
    <s v="No"/>
    <s v="Yes"/>
    <s v="No"/>
    <m/>
    <x v="0"/>
    <n v="1"/>
  </r>
  <r>
    <n v="2717"/>
    <d v="2024-08-18T00:00:00"/>
    <s v="Premium"/>
    <n v="699"/>
    <n v="2.1"/>
    <n v="6"/>
    <x v="5"/>
    <n v="14"/>
    <n v="60"/>
    <s v="Yes"/>
    <s v="Yes"/>
    <s v="Yes"/>
    <s v="Yes"/>
    <s v="Yes"/>
    <s v="No"/>
    <m/>
    <x v="0"/>
    <n v="1"/>
  </r>
  <r>
    <n v="2718"/>
    <d v="2023-02-24T00:00:00"/>
    <s v="Standard"/>
    <n v="399"/>
    <n v="20.2"/>
    <n v="4"/>
    <x v="3"/>
    <n v="12"/>
    <n v="56"/>
    <s v="Yes"/>
    <s v="No"/>
    <s v="Yes"/>
    <s v="No"/>
    <s v="Yes"/>
    <s v="No"/>
    <m/>
    <x v="0"/>
    <n v="1"/>
  </r>
  <r>
    <n v="2719"/>
    <d v="2023-06-16T00:00:00"/>
    <s v="Premium"/>
    <n v="699"/>
    <n v="24.9"/>
    <n v="2"/>
    <x v="0"/>
    <n v="7"/>
    <n v="46"/>
    <s v="No"/>
    <s v="No"/>
    <s v="Yes"/>
    <s v="No"/>
    <s v="Yes"/>
    <s v="No"/>
    <m/>
    <x v="0"/>
    <n v="0"/>
  </r>
  <r>
    <n v="2720"/>
    <d v="2024-10-02T00:00:00"/>
    <s v="Basic"/>
    <n v="199"/>
    <n v="4.9000000000000004"/>
    <n v="3"/>
    <x v="5"/>
    <n v="4"/>
    <n v="18"/>
    <s v="Yes"/>
    <s v="Yes"/>
    <s v="Yes"/>
    <s v="No"/>
    <s v="Yes"/>
    <s v="Yes"/>
    <m/>
    <x v="0"/>
    <n v="1"/>
  </r>
  <r>
    <n v="2721"/>
    <d v="2023-10-13T00:00:00"/>
    <s v="Basic"/>
    <n v="199"/>
    <n v="16.7"/>
    <n v="2"/>
    <x v="1"/>
    <n v="9"/>
    <n v="16"/>
    <s v="Yes"/>
    <s v="No"/>
    <s v="No"/>
    <s v="No"/>
    <s v="Yes"/>
    <s v="No"/>
    <m/>
    <x v="1"/>
    <n v="1"/>
  </r>
  <r>
    <n v="2722"/>
    <d v="2023-04-23T00:00:00"/>
    <s v="Standard"/>
    <n v="399"/>
    <n v="16.5"/>
    <n v="2"/>
    <x v="4"/>
    <n v="18"/>
    <n v="55"/>
    <s v="Yes"/>
    <s v="No"/>
    <s v="Yes"/>
    <s v="No"/>
    <s v="Yes"/>
    <s v="No"/>
    <m/>
    <x v="0"/>
    <n v="1"/>
  </r>
  <r>
    <n v="2723"/>
    <d v="2024-12-18T00:00:00"/>
    <s v="Basic"/>
    <n v="199"/>
    <n v="24.4"/>
    <n v="5"/>
    <x v="5"/>
    <n v="27"/>
    <n v="38"/>
    <s v="Yes"/>
    <s v="No"/>
    <s v="Yes"/>
    <s v="Yes"/>
    <s v="Yes"/>
    <s v="No"/>
    <m/>
    <x v="0"/>
    <n v="1"/>
  </r>
  <r>
    <n v="2724"/>
    <d v="2023-02-21T00:00:00"/>
    <s v="Basic"/>
    <n v="199"/>
    <n v="18.5"/>
    <n v="0"/>
    <x v="0"/>
    <n v="9"/>
    <n v="2"/>
    <s v="No"/>
    <s v="No"/>
    <s v="Yes"/>
    <s v="No"/>
    <s v="No"/>
    <s v="No"/>
    <m/>
    <x v="0"/>
    <n v="0"/>
  </r>
  <r>
    <n v="2725"/>
    <d v="2024-01-03T00:00:00"/>
    <s v="Standard"/>
    <n v="399"/>
    <n v="5.9"/>
    <n v="2"/>
    <x v="0"/>
    <n v="10"/>
    <n v="45"/>
    <s v="No"/>
    <s v="No"/>
    <s v="Yes"/>
    <s v="No"/>
    <s v="Yes"/>
    <s v="No"/>
    <m/>
    <x v="0"/>
    <n v="0"/>
  </r>
  <r>
    <n v="2726"/>
    <d v="2023-05-14T00:00:00"/>
    <s v="Basic"/>
    <n v="199"/>
    <n v="6.5"/>
    <n v="3"/>
    <x v="1"/>
    <n v="7"/>
    <n v="57"/>
    <s v="No"/>
    <s v="No"/>
    <s v="No"/>
    <s v="No"/>
    <s v="Yes"/>
    <s v="No"/>
    <m/>
    <x v="1"/>
    <n v="0"/>
  </r>
  <r>
    <n v="2727"/>
    <d v="2023-01-03T00:00:00"/>
    <s v="Premium"/>
    <n v="699"/>
    <n v="10.7"/>
    <n v="0"/>
    <x v="2"/>
    <n v="6"/>
    <n v="16"/>
    <s v="No"/>
    <s v="No"/>
    <s v="Yes"/>
    <s v="No"/>
    <s v="Yes"/>
    <s v="No"/>
    <m/>
    <x v="0"/>
    <n v="0"/>
  </r>
  <r>
    <n v="2728"/>
    <d v="2024-02-12T00:00:00"/>
    <s v="Premium"/>
    <n v="699"/>
    <n v="8.9"/>
    <n v="3"/>
    <x v="2"/>
    <n v="4"/>
    <n v="29"/>
    <s v="Yes"/>
    <s v="No"/>
    <s v="Yes"/>
    <s v="No"/>
    <s v="Yes"/>
    <s v="Yes"/>
    <m/>
    <x v="0"/>
    <n v="1"/>
  </r>
  <r>
    <n v="2729"/>
    <d v="2023-01-24T00:00:00"/>
    <s v="Premium"/>
    <n v="699"/>
    <n v="15.5"/>
    <n v="3"/>
    <x v="0"/>
    <n v="7"/>
    <n v="49"/>
    <s v="Yes"/>
    <s v="No"/>
    <s v="Yes"/>
    <s v="No"/>
    <s v="Yes"/>
    <s v="No"/>
    <m/>
    <x v="0"/>
    <n v="1"/>
  </r>
  <r>
    <n v="2730"/>
    <d v="2024-12-03T00:00:00"/>
    <s v="Premium"/>
    <n v="699"/>
    <n v="24.8"/>
    <n v="1"/>
    <x v="2"/>
    <n v="11"/>
    <n v="43"/>
    <s v="No"/>
    <s v="No"/>
    <s v="Yes"/>
    <s v="No"/>
    <s v="Yes"/>
    <s v="No"/>
    <m/>
    <x v="0"/>
    <n v="0"/>
  </r>
  <r>
    <n v="2731"/>
    <d v="2023-06-12T00:00:00"/>
    <s v="Premium"/>
    <n v="699"/>
    <n v="12"/>
    <n v="6"/>
    <x v="5"/>
    <n v="5"/>
    <n v="2"/>
    <s v="No"/>
    <s v="No"/>
    <s v="Yes"/>
    <s v="Yes"/>
    <s v="No"/>
    <s v="Yes"/>
    <m/>
    <x v="0"/>
    <n v="0"/>
  </r>
  <r>
    <n v="2732"/>
    <d v="2024-07-08T00:00:00"/>
    <s v="Premium"/>
    <n v="699"/>
    <n v="5.8"/>
    <n v="0"/>
    <x v="3"/>
    <n v="34"/>
    <n v="15"/>
    <s v="No"/>
    <s v="No"/>
    <s v="Yes"/>
    <s v="No"/>
    <s v="Yes"/>
    <s v="No"/>
    <m/>
    <x v="0"/>
    <n v="0"/>
  </r>
  <r>
    <n v="2733"/>
    <d v="2023-07-27T00:00:00"/>
    <s v="Standard"/>
    <n v="399"/>
    <n v="15.7"/>
    <n v="6"/>
    <x v="0"/>
    <n v="5"/>
    <n v="9"/>
    <s v="No"/>
    <s v="No"/>
    <s v="Yes"/>
    <s v="Yes"/>
    <s v="No"/>
    <s v="Yes"/>
    <m/>
    <x v="0"/>
    <n v="0"/>
  </r>
  <r>
    <n v="2734"/>
    <d v="2024-01-13T00:00:00"/>
    <s v="Basic"/>
    <n v="199"/>
    <n v="12.4"/>
    <n v="8"/>
    <x v="1"/>
    <n v="27"/>
    <n v="23"/>
    <s v="Yes"/>
    <s v="No"/>
    <s v="No"/>
    <s v="Yes"/>
    <s v="Yes"/>
    <s v="No"/>
    <m/>
    <x v="1"/>
    <n v="1"/>
  </r>
  <r>
    <n v="2735"/>
    <d v="2023-06-06T00:00:00"/>
    <s v="Standard"/>
    <n v="399"/>
    <n v="11.8"/>
    <n v="0"/>
    <x v="2"/>
    <n v="26"/>
    <n v="14"/>
    <s v="No"/>
    <s v="No"/>
    <s v="Yes"/>
    <s v="No"/>
    <s v="No"/>
    <s v="No"/>
    <m/>
    <x v="0"/>
    <n v="0"/>
  </r>
  <r>
    <n v="2736"/>
    <d v="2023-10-21T00:00:00"/>
    <s v="Basic"/>
    <n v="199"/>
    <n v="20.2"/>
    <n v="5"/>
    <x v="3"/>
    <n v="33"/>
    <n v="3"/>
    <s v="Yes"/>
    <s v="No"/>
    <s v="Yes"/>
    <s v="Yes"/>
    <s v="No"/>
    <s v="No"/>
    <m/>
    <x v="0"/>
    <n v="1"/>
  </r>
  <r>
    <n v="2737"/>
    <d v="2024-12-02T00:00:00"/>
    <s v="Standard"/>
    <n v="399"/>
    <n v="16.600000000000001"/>
    <n v="7"/>
    <x v="2"/>
    <n v="20"/>
    <n v="25"/>
    <s v="No"/>
    <s v="No"/>
    <s v="Yes"/>
    <s v="Yes"/>
    <s v="Yes"/>
    <s v="No"/>
    <m/>
    <x v="0"/>
    <n v="0"/>
  </r>
  <r>
    <n v="2738"/>
    <d v="2024-09-11T00:00:00"/>
    <s v="Standard"/>
    <n v="399"/>
    <n v="18.100000000000001"/>
    <n v="6"/>
    <x v="3"/>
    <n v="13"/>
    <n v="0"/>
    <s v="Yes"/>
    <s v="No"/>
    <s v="Yes"/>
    <s v="Yes"/>
    <s v="No"/>
    <s v="No"/>
    <m/>
    <x v="0"/>
    <n v="1"/>
  </r>
  <r>
    <n v="2739"/>
    <d v="2023-05-01T00:00:00"/>
    <s v="Standard"/>
    <n v="399"/>
    <n v="11.6"/>
    <n v="2"/>
    <x v="0"/>
    <n v="11"/>
    <n v="24"/>
    <s v="Yes"/>
    <s v="No"/>
    <s v="Yes"/>
    <s v="No"/>
    <s v="Yes"/>
    <s v="No"/>
    <m/>
    <x v="0"/>
    <n v="1"/>
  </r>
  <r>
    <n v="2740"/>
    <d v="2023-05-21T00:00:00"/>
    <s v="Basic"/>
    <n v="199"/>
    <n v="24.2"/>
    <n v="4"/>
    <x v="0"/>
    <n v="19"/>
    <n v="50"/>
    <s v="Yes"/>
    <s v="No"/>
    <s v="Yes"/>
    <s v="No"/>
    <s v="Yes"/>
    <s v="No"/>
    <m/>
    <x v="0"/>
    <n v="1"/>
  </r>
  <r>
    <n v="2741"/>
    <d v="2023-06-04T00:00:00"/>
    <s v="Premium"/>
    <n v="699"/>
    <n v="23.6"/>
    <n v="8"/>
    <x v="4"/>
    <n v="22"/>
    <n v="20"/>
    <s v="Yes"/>
    <s v="No"/>
    <s v="Yes"/>
    <s v="Yes"/>
    <s v="Yes"/>
    <s v="No"/>
    <m/>
    <x v="0"/>
    <n v="1"/>
  </r>
  <r>
    <n v="2742"/>
    <d v="2024-08-31T00:00:00"/>
    <s v="Basic"/>
    <n v="199"/>
    <n v="21.3"/>
    <n v="0"/>
    <x v="5"/>
    <n v="33"/>
    <n v="47"/>
    <s v="Yes"/>
    <s v="No"/>
    <s v="Yes"/>
    <s v="No"/>
    <s v="Yes"/>
    <s v="No"/>
    <m/>
    <x v="0"/>
    <n v="1"/>
  </r>
  <r>
    <n v="2743"/>
    <d v="2023-11-15T00:00:00"/>
    <s v="Premium"/>
    <n v="699"/>
    <n v="18.600000000000001"/>
    <n v="6"/>
    <x v="0"/>
    <n v="7"/>
    <n v="40"/>
    <s v="Yes"/>
    <s v="No"/>
    <s v="Yes"/>
    <s v="Yes"/>
    <s v="Yes"/>
    <s v="No"/>
    <m/>
    <x v="0"/>
    <n v="1"/>
  </r>
  <r>
    <n v="2744"/>
    <d v="2023-12-13T00:00:00"/>
    <s v="Premium"/>
    <n v="699"/>
    <n v="16.600000000000001"/>
    <n v="6"/>
    <x v="3"/>
    <n v="6"/>
    <n v="14"/>
    <s v="Yes"/>
    <s v="No"/>
    <s v="Yes"/>
    <s v="Yes"/>
    <s v="No"/>
    <s v="No"/>
    <m/>
    <x v="0"/>
    <n v="1"/>
  </r>
  <r>
    <n v="2745"/>
    <d v="2024-11-13T00:00:00"/>
    <s v="Basic"/>
    <n v="199"/>
    <n v="18.100000000000001"/>
    <n v="4"/>
    <x v="2"/>
    <n v="9"/>
    <n v="11"/>
    <s v="No"/>
    <s v="No"/>
    <s v="Yes"/>
    <s v="No"/>
    <s v="No"/>
    <s v="No"/>
    <m/>
    <x v="0"/>
    <n v="0"/>
  </r>
  <r>
    <n v="2746"/>
    <d v="2023-02-05T00:00:00"/>
    <s v="Basic"/>
    <n v="199"/>
    <n v="13.5"/>
    <n v="3"/>
    <x v="0"/>
    <n v="24"/>
    <n v="16"/>
    <s v="No"/>
    <s v="No"/>
    <s v="Yes"/>
    <s v="No"/>
    <s v="Yes"/>
    <s v="No"/>
    <m/>
    <x v="0"/>
    <n v="0"/>
  </r>
  <r>
    <n v="2747"/>
    <d v="2023-01-29T00:00:00"/>
    <s v="Premium"/>
    <n v="699"/>
    <n v="2.4"/>
    <n v="5"/>
    <x v="4"/>
    <n v="16"/>
    <n v="33"/>
    <s v="Yes"/>
    <s v="Yes"/>
    <s v="Yes"/>
    <s v="Yes"/>
    <s v="Yes"/>
    <s v="No"/>
    <m/>
    <x v="0"/>
    <n v="1"/>
  </r>
  <r>
    <n v="2748"/>
    <d v="2024-07-31T00:00:00"/>
    <s v="Standard"/>
    <n v="399"/>
    <n v="9.6"/>
    <n v="7"/>
    <x v="4"/>
    <n v="18"/>
    <n v="24"/>
    <s v="No"/>
    <s v="No"/>
    <s v="Yes"/>
    <s v="Yes"/>
    <s v="Yes"/>
    <s v="No"/>
    <m/>
    <x v="0"/>
    <n v="0"/>
  </r>
  <r>
    <n v="2749"/>
    <d v="2023-10-02T00:00:00"/>
    <s v="Premium"/>
    <n v="699"/>
    <n v="12.7"/>
    <n v="7"/>
    <x v="2"/>
    <n v="18"/>
    <n v="37"/>
    <s v="Yes"/>
    <s v="No"/>
    <s v="Yes"/>
    <s v="Yes"/>
    <s v="Yes"/>
    <s v="No"/>
    <m/>
    <x v="0"/>
    <n v="1"/>
  </r>
  <r>
    <n v="2750"/>
    <d v="2024-04-28T00:00:00"/>
    <s v="Premium"/>
    <n v="699"/>
    <n v="23.7"/>
    <n v="5"/>
    <x v="0"/>
    <n v="22"/>
    <n v="27"/>
    <s v="Yes"/>
    <s v="No"/>
    <s v="Yes"/>
    <s v="Yes"/>
    <s v="Yes"/>
    <s v="No"/>
    <m/>
    <x v="0"/>
    <n v="1"/>
  </r>
  <r>
    <n v="2751"/>
    <d v="2023-08-02T00:00:00"/>
    <s v="Standard"/>
    <n v="399"/>
    <n v="10"/>
    <n v="8"/>
    <x v="2"/>
    <n v="26"/>
    <n v="51"/>
    <s v="Yes"/>
    <s v="No"/>
    <s v="Yes"/>
    <s v="Yes"/>
    <s v="Yes"/>
    <s v="No"/>
    <m/>
    <x v="0"/>
    <n v="1"/>
  </r>
  <r>
    <n v="2752"/>
    <d v="2024-12-15T00:00:00"/>
    <s v="Standard"/>
    <n v="399"/>
    <n v="2.4"/>
    <n v="5"/>
    <x v="3"/>
    <n v="9"/>
    <n v="23"/>
    <s v="Yes"/>
    <s v="Yes"/>
    <s v="Yes"/>
    <s v="Yes"/>
    <s v="Yes"/>
    <s v="No"/>
    <m/>
    <x v="0"/>
    <n v="1"/>
  </r>
  <r>
    <n v="2753"/>
    <d v="2023-07-09T00:00:00"/>
    <s v="Basic"/>
    <n v="199"/>
    <n v="23.2"/>
    <n v="4"/>
    <x v="5"/>
    <n v="22"/>
    <n v="5"/>
    <s v="No"/>
    <s v="No"/>
    <s v="Yes"/>
    <s v="No"/>
    <s v="No"/>
    <s v="No"/>
    <m/>
    <x v="0"/>
    <n v="0"/>
  </r>
  <r>
    <n v="2754"/>
    <d v="2024-04-02T00:00:00"/>
    <s v="Standard"/>
    <n v="399"/>
    <n v="8.4"/>
    <n v="5"/>
    <x v="5"/>
    <n v="10"/>
    <n v="24"/>
    <s v="Yes"/>
    <s v="No"/>
    <s v="Yes"/>
    <s v="Yes"/>
    <s v="Yes"/>
    <s v="No"/>
    <m/>
    <x v="0"/>
    <n v="1"/>
  </r>
  <r>
    <n v="2755"/>
    <d v="2023-10-10T00:00:00"/>
    <s v="Basic"/>
    <n v="199"/>
    <n v="21.4"/>
    <n v="3"/>
    <x v="1"/>
    <n v="8"/>
    <n v="29"/>
    <s v="No"/>
    <s v="No"/>
    <s v="No"/>
    <s v="No"/>
    <s v="Yes"/>
    <s v="No"/>
    <m/>
    <x v="1"/>
    <n v="0"/>
  </r>
  <r>
    <n v="2756"/>
    <d v="2023-10-20T00:00:00"/>
    <s v="Basic"/>
    <n v="199"/>
    <n v="9.5"/>
    <n v="1"/>
    <x v="3"/>
    <n v="16"/>
    <n v="11"/>
    <s v="No"/>
    <s v="No"/>
    <s v="Yes"/>
    <s v="No"/>
    <s v="No"/>
    <s v="No"/>
    <m/>
    <x v="0"/>
    <n v="0"/>
  </r>
  <r>
    <n v="2757"/>
    <d v="2024-03-01T00:00:00"/>
    <s v="Basic"/>
    <n v="199"/>
    <n v="16.399999999999999"/>
    <n v="3"/>
    <x v="0"/>
    <n v="17"/>
    <n v="50"/>
    <s v="No"/>
    <s v="No"/>
    <s v="Yes"/>
    <s v="No"/>
    <s v="Yes"/>
    <s v="No"/>
    <m/>
    <x v="0"/>
    <n v="0"/>
  </r>
  <r>
    <n v="2758"/>
    <d v="2024-04-08T00:00:00"/>
    <s v="Basic"/>
    <n v="199"/>
    <n v="19.5"/>
    <n v="4"/>
    <x v="0"/>
    <n v="20"/>
    <n v="45"/>
    <s v="No"/>
    <s v="No"/>
    <s v="Yes"/>
    <s v="No"/>
    <s v="Yes"/>
    <s v="No"/>
    <m/>
    <x v="0"/>
    <n v="0"/>
  </r>
  <r>
    <n v="2759"/>
    <d v="2024-11-28T00:00:00"/>
    <s v="Premium"/>
    <n v="699"/>
    <n v="5.9"/>
    <n v="7"/>
    <x v="0"/>
    <n v="27"/>
    <n v="6"/>
    <s v="No"/>
    <s v="No"/>
    <s v="Yes"/>
    <s v="Yes"/>
    <s v="No"/>
    <s v="No"/>
    <m/>
    <x v="0"/>
    <n v="0"/>
  </r>
  <r>
    <n v="2760"/>
    <d v="2023-12-31T00:00:00"/>
    <s v="Basic"/>
    <n v="199"/>
    <n v="13.6"/>
    <n v="1"/>
    <x v="2"/>
    <n v="2"/>
    <n v="60"/>
    <s v="Yes"/>
    <s v="No"/>
    <s v="Yes"/>
    <s v="No"/>
    <s v="Yes"/>
    <s v="Yes"/>
    <m/>
    <x v="0"/>
    <n v="1"/>
  </r>
  <r>
    <n v="2761"/>
    <d v="2023-04-05T00:00:00"/>
    <s v="Basic"/>
    <n v="199"/>
    <n v="23.3"/>
    <n v="1"/>
    <x v="3"/>
    <n v="10"/>
    <n v="46"/>
    <s v="Yes"/>
    <s v="No"/>
    <s v="Yes"/>
    <s v="No"/>
    <s v="Yes"/>
    <s v="No"/>
    <m/>
    <x v="0"/>
    <n v="1"/>
  </r>
  <r>
    <n v="2762"/>
    <d v="2023-10-14T00:00:00"/>
    <s v="Premium"/>
    <n v="699"/>
    <n v="8.3000000000000007"/>
    <n v="3"/>
    <x v="3"/>
    <n v="18"/>
    <n v="52"/>
    <s v="No"/>
    <s v="No"/>
    <s v="Yes"/>
    <s v="No"/>
    <s v="Yes"/>
    <s v="No"/>
    <m/>
    <x v="0"/>
    <n v="0"/>
  </r>
  <r>
    <n v="2763"/>
    <d v="2024-11-27T00:00:00"/>
    <s v="Premium"/>
    <n v="699"/>
    <n v="11.1"/>
    <n v="8"/>
    <x v="2"/>
    <n v="12"/>
    <n v="16"/>
    <s v="Yes"/>
    <s v="No"/>
    <s v="Yes"/>
    <s v="Yes"/>
    <s v="Yes"/>
    <s v="No"/>
    <m/>
    <x v="0"/>
    <n v="1"/>
  </r>
  <r>
    <n v="2764"/>
    <d v="2024-10-25T00:00:00"/>
    <s v="Premium"/>
    <n v="699"/>
    <n v="1.7"/>
    <n v="7"/>
    <x v="0"/>
    <n v="32"/>
    <n v="41"/>
    <s v="No"/>
    <s v="Yes"/>
    <s v="Yes"/>
    <s v="Yes"/>
    <s v="Yes"/>
    <s v="No"/>
    <m/>
    <x v="0"/>
    <n v="0"/>
  </r>
  <r>
    <n v="2765"/>
    <d v="2023-06-01T00:00:00"/>
    <s v="Premium"/>
    <n v="699"/>
    <n v="17.399999999999999"/>
    <n v="6"/>
    <x v="3"/>
    <n v="2"/>
    <n v="56"/>
    <s v="Yes"/>
    <s v="No"/>
    <s v="Yes"/>
    <s v="Yes"/>
    <s v="Yes"/>
    <s v="Yes"/>
    <m/>
    <x v="0"/>
    <n v="1"/>
  </r>
  <r>
    <n v="2766"/>
    <d v="2023-11-28T00:00:00"/>
    <s v="Basic"/>
    <n v="199"/>
    <n v="11.8"/>
    <n v="2"/>
    <x v="5"/>
    <n v="29"/>
    <n v="27"/>
    <s v="Yes"/>
    <s v="No"/>
    <s v="Yes"/>
    <s v="No"/>
    <s v="Yes"/>
    <s v="No"/>
    <m/>
    <x v="0"/>
    <n v="1"/>
  </r>
  <r>
    <n v="2767"/>
    <d v="2024-10-23T00:00:00"/>
    <s v="Standard"/>
    <n v="399"/>
    <n v="5.3"/>
    <n v="0"/>
    <x v="1"/>
    <n v="13"/>
    <n v="17"/>
    <s v="No"/>
    <s v="No"/>
    <s v="No"/>
    <s v="No"/>
    <s v="Yes"/>
    <s v="No"/>
    <m/>
    <x v="1"/>
    <n v="0"/>
  </r>
  <r>
    <n v="2768"/>
    <d v="2024-01-12T00:00:00"/>
    <s v="Basic"/>
    <n v="199"/>
    <n v="20.5"/>
    <n v="7"/>
    <x v="5"/>
    <n v="23"/>
    <n v="4"/>
    <s v="Yes"/>
    <s v="No"/>
    <s v="Yes"/>
    <s v="Yes"/>
    <s v="No"/>
    <s v="No"/>
    <m/>
    <x v="0"/>
    <n v="1"/>
  </r>
  <r>
    <n v="2769"/>
    <d v="2024-05-10T00:00:00"/>
    <s v="Standard"/>
    <n v="399"/>
    <n v="16.600000000000001"/>
    <n v="0"/>
    <x v="1"/>
    <n v="34"/>
    <n v="1"/>
    <s v="No"/>
    <s v="No"/>
    <s v="No"/>
    <s v="No"/>
    <s v="No"/>
    <s v="No"/>
    <m/>
    <x v="1"/>
    <n v="0"/>
  </r>
  <r>
    <n v="2770"/>
    <d v="2024-11-09T00:00:00"/>
    <s v="Premium"/>
    <n v="699"/>
    <n v="18.399999999999999"/>
    <n v="1"/>
    <x v="3"/>
    <n v="12"/>
    <n v="11"/>
    <s v="Yes"/>
    <s v="No"/>
    <s v="Yes"/>
    <s v="No"/>
    <s v="No"/>
    <s v="No"/>
    <m/>
    <x v="0"/>
    <n v="1"/>
  </r>
  <r>
    <n v="2771"/>
    <d v="2023-05-07T00:00:00"/>
    <s v="Basic"/>
    <n v="199"/>
    <n v="10.9"/>
    <n v="4"/>
    <x v="0"/>
    <n v="8"/>
    <n v="36"/>
    <s v="No"/>
    <s v="No"/>
    <s v="Yes"/>
    <s v="No"/>
    <s v="Yes"/>
    <s v="No"/>
    <m/>
    <x v="0"/>
    <n v="0"/>
  </r>
  <r>
    <n v="2772"/>
    <d v="2023-07-23T00:00:00"/>
    <s v="Basic"/>
    <n v="199"/>
    <n v="13.5"/>
    <n v="1"/>
    <x v="2"/>
    <n v="26"/>
    <n v="10"/>
    <s v="No"/>
    <s v="No"/>
    <s v="Yes"/>
    <s v="No"/>
    <s v="No"/>
    <s v="No"/>
    <m/>
    <x v="0"/>
    <n v="0"/>
  </r>
  <r>
    <n v="2773"/>
    <d v="2024-02-05T00:00:00"/>
    <s v="Basic"/>
    <n v="199"/>
    <n v="9.8000000000000007"/>
    <n v="5"/>
    <x v="3"/>
    <n v="13"/>
    <n v="45"/>
    <s v="Yes"/>
    <s v="No"/>
    <s v="Yes"/>
    <s v="Yes"/>
    <s v="Yes"/>
    <s v="No"/>
    <m/>
    <x v="0"/>
    <n v="1"/>
  </r>
  <r>
    <n v="2774"/>
    <d v="2024-05-11T00:00:00"/>
    <s v="Basic"/>
    <n v="199"/>
    <n v="15.2"/>
    <n v="2"/>
    <x v="5"/>
    <n v="2"/>
    <n v="46"/>
    <s v="No"/>
    <s v="No"/>
    <s v="Yes"/>
    <s v="No"/>
    <s v="Yes"/>
    <s v="Yes"/>
    <m/>
    <x v="0"/>
    <n v="0"/>
  </r>
  <r>
    <n v="2775"/>
    <d v="2024-11-06T00:00:00"/>
    <s v="Basic"/>
    <n v="199"/>
    <n v="3.6"/>
    <n v="5"/>
    <x v="5"/>
    <n v="23"/>
    <n v="22"/>
    <s v="Yes"/>
    <s v="Yes"/>
    <s v="Yes"/>
    <s v="Yes"/>
    <s v="Yes"/>
    <s v="No"/>
    <m/>
    <x v="0"/>
    <n v="1"/>
  </r>
  <r>
    <n v="2776"/>
    <d v="2024-03-29T00:00:00"/>
    <s v="Premium"/>
    <n v="699"/>
    <n v="22.8"/>
    <n v="2"/>
    <x v="0"/>
    <n v="14"/>
    <n v="9"/>
    <s v="No"/>
    <s v="No"/>
    <s v="Yes"/>
    <s v="No"/>
    <s v="No"/>
    <s v="No"/>
    <m/>
    <x v="0"/>
    <n v="0"/>
  </r>
  <r>
    <n v="2777"/>
    <d v="2024-04-30T00:00:00"/>
    <s v="Basic"/>
    <n v="199"/>
    <n v="22.4"/>
    <n v="2"/>
    <x v="1"/>
    <n v="13"/>
    <n v="18"/>
    <s v="No"/>
    <s v="No"/>
    <s v="No"/>
    <s v="No"/>
    <s v="Yes"/>
    <s v="No"/>
    <m/>
    <x v="1"/>
    <n v="0"/>
  </r>
  <r>
    <n v="2778"/>
    <d v="2023-03-31T00:00:00"/>
    <s v="Premium"/>
    <n v="699"/>
    <n v="19.7"/>
    <n v="3"/>
    <x v="0"/>
    <n v="15"/>
    <n v="14"/>
    <s v="No"/>
    <s v="No"/>
    <s v="Yes"/>
    <s v="No"/>
    <s v="No"/>
    <s v="No"/>
    <m/>
    <x v="0"/>
    <n v="0"/>
  </r>
  <r>
    <n v="2779"/>
    <d v="2024-07-18T00:00:00"/>
    <s v="Premium"/>
    <n v="699"/>
    <n v="24.3"/>
    <n v="7"/>
    <x v="2"/>
    <n v="23"/>
    <n v="5"/>
    <s v="No"/>
    <s v="No"/>
    <s v="Yes"/>
    <s v="Yes"/>
    <s v="No"/>
    <s v="No"/>
    <m/>
    <x v="0"/>
    <n v="0"/>
  </r>
  <r>
    <n v="2780"/>
    <d v="2023-05-04T00:00:00"/>
    <s v="Standard"/>
    <n v="399"/>
    <n v="13"/>
    <n v="6"/>
    <x v="5"/>
    <n v="3"/>
    <n v="31"/>
    <s v="No"/>
    <s v="No"/>
    <s v="Yes"/>
    <s v="Yes"/>
    <s v="Yes"/>
    <s v="Yes"/>
    <m/>
    <x v="0"/>
    <n v="0"/>
  </r>
  <r>
    <n v="2781"/>
    <d v="2024-05-18T00:00:00"/>
    <s v="Premium"/>
    <n v="699"/>
    <n v="20.8"/>
    <n v="3"/>
    <x v="2"/>
    <n v="11"/>
    <n v="2"/>
    <s v="Yes"/>
    <s v="No"/>
    <s v="Yes"/>
    <s v="No"/>
    <s v="No"/>
    <s v="No"/>
    <m/>
    <x v="0"/>
    <n v="1"/>
  </r>
  <r>
    <n v="2782"/>
    <d v="2024-07-20T00:00:00"/>
    <s v="Basic"/>
    <n v="199"/>
    <n v="10.199999999999999"/>
    <n v="5"/>
    <x v="4"/>
    <n v="10"/>
    <n v="54"/>
    <s v="No"/>
    <s v="No"/>
    <s v="Yes"/>
    <s v="Yes"/>
    <s v="Yes"/>
    <s v="No"/>
    <m/>
    <x v="0"/>
    <n v="0"/>
  </r>
  <r>
    <n v="2783"/>
    <d v="2024-05-19T00:00:00"/>
    <s v="Basic"/>
    <n v="199"/>
    <n v="17.100000000000001"/>
    <n v="2"/>
    <x v="4"/>
    <n v="36"/>
    <n v="5"/>
    <s v="No"/>
    <s v="No"/>
    <s v="Yes"/>
    <s v="No"/>
    <s v="No"/>
    <s v="No"/>
    <m/>
    <x v="0"/>
    <n v="0"/>
  </r>
  <r>
    <n v="2784"/>
    <d v="2024-02-17T00:00:00"/>
    <s v="Premium"/>
    <n v="699"/>
    <n v="23.1"/>
    <n v="4"/>
    <x v="5"/>
    <n v="28"/>
    <n v="55"/>
    <s v="Yes"/>
    <s v="No"/>
    <s v="Yes"/>
    <s v="No"/>
    <s v="Yes"/>
    <s v="No"/>
    <m/>
    <x v="0"/>
    <n v="1"/>
  </r>
  <r>
    <n v="2785"/>
    <d v="2023-08-10T00:00:00"/>
    <s v="Standard"/>
    <n v="399"/>
    <n v="8.4"/>
    <n v="4"/>
    <x v="0"/>
    <n v="13"/>
    <n v="9"/>
    <s v="Yes"/>
    <s v="No"/>
    <s v="Yes"/>
    <s v="No"/>
    <s v="No"/>
    <s v="No"/>
    <m/>
    <x v="0"/>
    <n v="1"/>
  </r>
  <r>
    <n v="2786"/>
    <d v="2023-04-19T00:00:00"/>
    <s v="Premium"/>
    <n v="699"/>
    <n v="4"/>
    <n v="2"/>
    <x v="4"/>
    <n v="10"/>
    <n v="32"/>
    <s v="Yes"/>
    <s v="Yes"/>
    <s v="Yes"/>
    <s v="No"/>
    <s v="Yes"/>
    <s v="No"/>
    <m/>
    <x v="0"/>
    <n v="1"/>
  </r>
  <r>
    <n v="2787"/>
    <d v="2024-08-02T00:00:00"/>
    <s v="Premium"/>
    <n v="699"/>
    <n v="6.7"/>
    <n v="2"/>
    <x v="3"/>
    <n v="19"/>
    <n v="35"/>
    <s v="No"/>
    <s v="No"/>
    <s v="Yes"/>
    <s v="No"/>
    <s v="Yes"/>
    <s v="No"/>
    <m/>
    <x v="0"/>
    <n v="0"/>
  </r>
  <r>
    <n v="2788"/>
    <d v="2024-09-24T00:00:00"/>
    <s v="Basic"/>
    <n v="199"/>
    <n v="4.9000000000000004"/>
    <n v="5"/>
    <x v="2"/>
    <n v="12"/>
    <n v="3"/>
    <s v="Yes"/>
    <s v="Yes"/>
    <s v="Yes"/>
    <s v="Yes"/>
    <s v="No"/>
    <s v="No"/>
    <m/>
    <x v="0"/>
    <n v="1"/>
  </r>
  <r>
    <n v="2789"/>
    <d v="2024-10-12T00:00:00"/>
    <s v="Standard"/>
    <n v="399"/>
    <n v="9.6"/>
    <n v="0"/>
    <x v="2"/>
    <n v="14"/>
    <n v="15"/>
    <s v="No"/>
    <s v="No"/>
    <s v="Yes"/>
    <s v="No"/>
    <s v="Yes"/>
    <s v="No"/>
    <m/>
    <x v="0"/>
    <n v="0"/>
  </r>
  <r>
    <n v="2790"/>
    <d v="2024-06-28T00:00:00"/>
    <s v="Premium"/>
    <n v="699"/>
    <n v="21.7"/>
    <n v="3"/>
    <x v="1"/>
    <n v="31"/>
    <n v="54"/>
    <s v="No"/>
    <s v="No"/>
    <s v="No"/>
    <s v="No"/>
    <s v="Yes"/>
    <s v="No"/>
    <m/>
    <x v="1"/>
    <n v="0"/>
  </r>
  <r>
    <n v="2791"/>
    <d v="2023-01-07T00:00:00"/>
    <s v="Basic"/>
    <n v="199"/>
    <n v="10.199999999999999"/>
    <n v="7"/>
    <x v="3"/>
    <n v="18"/>
    <n v="6"/>
    <s v="No"/>
    <s v="No"/>
    <s v="Yes"/>
    <s v="Yes"/>
    <s v="No"/>
    <s v="No"/>
    <m/>
    <x v="0"/>
    <n v="0"/>
  </r>
  <r>
    <n v="2792"/>
    <d v="2024-07-29T00:00:00"/>
    <s v="Standard"/>
    <n v="399"/>
    <n v="6.1"/>
    <n v="8"/>
    <x v="3"/>
    <n v="21"/>
    <n v="49"/>
    <s v="Yes"/>
    <s v="No"/>
    <s v="Yes"/>
    <s v="Yes"/>
    <s v="Yes"/>
    <s v="No"/>
    <m/>
    <x v="0"/>
    <n v="1"/>
  </r>
  <r>
    <n v="2793"/>
    <d v="2024-02-15T00:00:00"/>
    <s v="Standard"/>
    <n v="399"/>
    <n v="0.8"/>
    <n v="1"/>
    <x v="0"/>
    <n v="10"/>
    <n v="49"/>
    <s v="Yes"/>
    <s v="Yes"/>
    <s v="Yes"/>
    <s v="No"/>
    <s v="Yes"/>
    <s v="No"/>
    <m/>
    <x v="0"/>
    <n v="1"/>
  </r>
  <r>
    <n v="2794"/>
    <d v="2024-04-29T00:00:00"/>
    <s v="Premium"/>
    <n v="699"/>
    <n v="13"/>
    <n v="4"/>
    <x v="4"/>
    <n v="4"/>
    <n v="25"/>
    <s v="Yes"/>
    <s v="No"/>
    <s v="Yes"/>
    <s v="No"/>
    <s v="Yes"/>
    <s v="Yes"/>
    <m/>
    <x v="0"/>
    <n v="1"/>
  </r>
  <r>
    <n v="2795"/>
    <d v="2023-02-16T00:00:00"/>
    <s v="Premium"/>
    <n v="699"/>
    <n v="10"/>
    <n v="5"/>
    <x v="4"/>
    <n v="24"/>
    <n v="17"/>
    <s v="No"/>
    <s v="No"/>
    <s v="Yes"/>
    <s v="Yes"/>
    <s v="Yes"/>
    <s v="No"/>
    <m/>
    <x v="0"/>
    <n v="0"/>
  </r>
  <r>
    <n v="2796"/>
    <d v="2023-03-10T00:00:00"/>
    <s v="Standard"/>
    <n v="399"/>
    <n v="6.7"/>
    <n v="1"/>
    <x v="0"/>
    <n v="21"/>
    <n v="59"/>
    <s v="No"/>
    <s v="No"/>
    <s v="Yes"/>
    <s v="No"/>
    <s v="Yes"/>
    <s v="No"/>
    <m/>
    <x v="0"/>
    <n v="0"/>
  </r>
  <r>
    <n v="2797"/>
    <d v="2024-11-20T00:00:00"/>
    <s v="Standard"/>
    <n v="399"/>
    <n v="11"/>
    <n v="4"/>
    <x v="1"/>
    <n v="6"/>
    <n v="4"/>
    <s v="No"/>
    <s v="No"/>
    <s v="No"/>
    <s v="No"/>
    <s v="No"/>
    <s v="No"/>
    <m/>
    <x v="1"/>
    <n v="0"/>
  </r>
  <r>
    <n v="2798"/>
    <d v="2024-08-13T00:00:00"/>
    <s v="Standard"/>
    <n v="399"/>
    <n v="11"/>
    <n v="0"/>
    <x v="5"/>
    <n v="22"/>
    <n v="59"/>
    <s v="No"/>
    <s v="No"/>
    <s v="Yes"/>
    <s v="No"/>
    <s v="Yes"/>
    <s v="No"/>
    <m/>
    <x v="0"/>
    <n v="0"/>
  </r>
  <r>
    <n v="2799"/>
    <d v="2024-05-23T00:00:00"/>
    <s v="Premium"/>
    <n v="699"/>
    <n v="15"/>
    <n v="3"/>
    <x v="5"/>
    <n v="25"/>
    <n v="20"/>
    <s v="No"/>
    <s v="No"/>
    <s v="Yes"/>
    <s v="No"/>
    <s v="Yes"/>
    <s v="No"/>
    <m/>
    <x v="0"/>
    <n v="0"/>
  </r>
  <r>
    <n v="2800"/>
    <d v="2024-03-21T00:00:00"/>
    <s v="Standard"/>
    <n v="399"/>
    <n v="2"/>
    <n v="0"/>
    <x v="0"/>
    <n v="12"/>
    <n v="1"/>
    <s v="Yes"/>
    <s v="Yes"/>
    <s v="Yes"/>
    <s v="No"/>
    <s v="No"/>
    <s v="No"/>
    <m/>
    <x v="0"/>
    <n v="1"/>
  </r>
  <r>
    <m/>
    <m/>
    <m/>
    <m/>
    <m/>
    <m/>
    <x v="6"/>
    <m/>
    <m/>
    <m/>
    <m/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n v="1"/>
    <d v="2023-04-15T00:00:00"/>
    <s v="Premium"/>
    <n v="699"/>
    <n v="1.1000000000000001"/>
    <n v="4"/>
    <n v="1"/>
    <n v="8"/>
    <n v="14"/>
    <s v="Yes"/>
    <s v="Yes"/>
    <s v="Yes"/>
    <s v="No"/>
    <s v="No"/>
    <s v="No"/>
    <m/>
    <s v="1+ Failures"/>
    <n v="1"/>
    <x v="0"/>
  </r>
  <r>
    <n v="2"/>
    <d v="2023-08-27T00:00:00"/>
    <s v="Premium"/>
    <n v="699"/>
    <n v="2.6"/>
    <n v="6"/>
    <n v="0"/>
    <n v="35"/>
    <n v="1"/>
    <s v="Yes"/>
    <s v="Yes"/>
    <s v="No"/>
    <s v="Yes"/>
    <s v="No"/>
    <s v="No"/>
    <m/>
    <s v="0 Failures"/>
    <n v="1"/>
    <x v="0"/>
  </r>
  <r>
    <n v="3"/>
    <d v="2023-10-12T00:00:00"/>
    <s v="Premium"/>
    <n v="699"/>
    <n v="14.3"/>
    <n v="8"/>
    <n v="3"/>
    <n v="2"/>
    <n v="14"/>
    <s v="Yes"/>
    <s v="No"/>
    <s v="Yes"/>
    <s v="Yes"/>
    <s v="No"/>
    <s v="Yes"/>
    <m/>
    <s v="1+ Failures"/>
    <n v="1"/>
    <x v="1"/>
  </r>
  <r>
    <n v="4"/>
    <d v="2023-12-11T00:00:00"/>
    <s v="Basic"/>
    <n v="199"/>
    <n v="17.600000000000001"/>
    <n v="5"/>
    <n v="2"/>
    <n v="11"/>
    <n v="9"/>
    <s v="Yes"/>
    <s v="No"/>
    <s v="Yes"/>
    <s v="Yes"/>
    <s v="No"/>
    <s v="No"/>
    <m/>
    <s v="1+ Failures"/>
    <n v="1"/>
    <x v="1"/>
  </r>
  <r>
    <n v="5"/>
    <d v="2023-02-14T00:00:00"/>
    <s v="Basic"/>
    <n v="199"/>
    <n v="9.8000000000000007"/>
    <n v="5"/>
    <n v="2"/>
    <n v="6"/>
    <n v="38"/>
    <s v="Yes"/>
    <s v="No"/>
    <s v="Yes"/>
    <s v="Yes"/>
    <s v="Yes"/>
    <s v="No"/>
    <m/>
    <s v="1+ Failures"/>
    <n v="1"/>
    <x v="2"/>
  </r>
  <r>
    <n v="6"/>
    <d v="2024-10-05T00:00:00"/>
    <s v="Premium"/>
    <n v="699"/>
    <n v="13.6"/>
    <n v="6"/>
    <n v="0"/>
    <n v="30"/>
    <n v="35"/>
    <s v="Yes"/>
    <s v="No"/>
    <s v="No"/>
    <s v="Yes"/>
    <s v="Yes"/>
    <s v="No"/>
    <m/>
    <s v="0 Failures"/>
    <n v="1"/>
    <x v="1"/>
  </r>
  <r>
    <n v="7"/>
    <d v="2023-10-24T00:00:00"/>
    <s v="Premium"/>
    <n v="699"/>
    <n v="14.6"/>
    <n v="1"/>
    <n v="0"/>
    <n v="24"/>
    <n v="42"/>
    <s v="Yes"/>
    <s v="No"/>
    <s v="No"/>
    <s v="No"/>
    <s v="Yes"/>
    <s v="No"/>
    <m/>
    <s v="0 Failures"/>
    <n v="1"/>
    <x v="1"/>
  </r>
  <r>
    <n v="8"/>
    <d v="2024-01-09T00:00:00"/>
    <s v="Basic"/>
    <n v="199"/>
    <n v="21.7"/>
    <n v="6"/>
    <n v="2"/>
    <n v="15"/>
    <n v="29"/>
    <s v="Yes"/>
    <s v="No"/>
    <s v="Yes"/>
    <s v="Yes"/>
    <s v="Yes"/>
    <s v="No"/>
    <m/>
    <s v="1+ Failures"/>
    <n v="1"/>
    <x v="3"/>
  </r>
  <r>
    <n v="9"/>
    <d v="2023-03-15T00:00:00"/>
    <s v="Basic"/>
    <n v="199"/>
    <n v="9.1999999999999993"/>
    <n v="4"/>
    <n v="5"/>
    <n v="24"/>
    <n v="59"/>
    <s v="Yes"/>
    <s v="No"/>
    <s v="Yes"/>
    <s v="No"/>
    <s v="Yes"/>
    <s v="No"/>
    <m/>
    <s v="1+ Failures"/>
    <n v="1"/>
    <x v="2"/>
  </r>
  <r>
    <n v="10"/>
    <d v="2024-10-17T00:00:00"/>
    <s v="Premium"/>
    <n v="699"/>
    <n v="13.6"/>
    <n v="3"/>
    <n v="1"/>
    <n v="11"/>
    <n v="29"/>
    <s v="No"/>
    <s v="No"/>
    <s v="Yes"/>
    <s v="No"/>
    <s v="Yes"/>
    <s v="No"/>
    <m/>
    <s v="1+ Failures"/>
    <n v="0"/>
    <x v="1"/>
  </r>
  <r>
    <n v="11"/>
    <d v="2023-11-20T00:00:00"/>
    <s v="Premium"/>
    <n v="699"/>
    <n v="5.9"/>
    <n v="5"/>
    <n v="0"/>
    <n v="36"/>
    <n v="14"/>
    <s v="No"/>
    <s v="No"/>
    <s v="No"/>
    <s v="Yes"/>
    <s v="No"/>
    <s v="No"/>
    <m/>
    <s v="0 Failures"/>
    <n v="0"/>
    <x v="2"/>
  </r>
  <r>
    <n v="12"/>
    <d v="2024-10-20T00:00:00"/>
    <s v="Standard"/>
    <n v="399"/>
    <n v="2.1"/>
    <n v="5"/>
    <n v="1"/>
    <n v="18"/>
    <n v="41"/>
    <s v="Yes"/>
    <s v="Yes"/>
    <s v="Yes"/>
    <s v="Yes"/>
    <s v="Yes"/>
    <s v="No"/>
    <m/>
    <s v="1+ Failures"/>
    <n v="1"/>
    <x v="0"/>
  </r>
  <r>
    <n v="13"/>
    <d v="2024-08-21T00:00:00"/>
    <s v="Standard"/>
    <n v="399"/>
    <n v="7"/>
    <n v="3"/>
    <n v="5"/>
    <n v="10"/>
    <n v="35"/>
    <s v="Yes"/>
    <s v="No"/>
    <s v="Yes"/>
    <s v="No"/>
    <s v="Yes"/>
    <s v="No"/>
    <m/>
    <s v="1+ Failures"/>
    <n v="1"/>
    <x v="2"/>
  </r>
  <r>
    <n v="14"/>
    <d v="2023-02-18T00:00:00"/>
    <s v="Standard"/>
    <n v="399"/>
    <n v="9.4"/>
    <n v="2"/>
    <n v="4"/>
    <n v="26"/>
    <n v="31"/>
    <s v="Yes"/>
    <s v="No"/>
    <s v="Yes"/>
    <s v="No"/>
    <s v="Yes"/>
    <s v="No"/>
    <m/>
    <s v="1+ Failures"/>
    <n v="1"/>
    <x v="2"/>
  </r>
  <r>
    <n v="15"/>
    <d v="2024-09-02T00:00:00"/>
    <s v="Basic"/>
    <n v="199"/>
    <n v="15.9"/>
    <n v="6"/>
    <n v="4"/>
    <n v="10"/>
    <n v="4"/>
    <s v="Yes"/>
    <s v="No"/>
    <s v="Yes"/>
    <s v="Yes"/>
    <s v="No"/>
    <s v="No"/>
    <m/>
    <s v="1+ Failures"/>
    <n v="1"/>
    <x v="1"/>
  </r>
  <r>
    <n v="16"/>
    <d v="2024-11-29T00:00:00"/>
    <s v="Standard"/>
    <n v="399"/>
    <n v="6.7"/>
    <n v="8"/>
    <n v="0"/>
    <n v="34"/>
    <n v="43"/>
    <s v="No"/>
    <s v="No"/>
    <s v="No"/>
    <s v="Yes"/>
    <s v="Yes"/>
    <s v="No"/>
    <m/>
    <s v="0 Failures"/>
    <n v="0"/>
    <x v="2"/>
  </r>
  <r>
    <n v="17"/>
    <d v="2024-04-09T00:00:00"/>
    <s v="Premium"/>
    <n v="699"/>
    <n v="19.3"/>
    <n v="5"/>
    <n v="0"/>
    <n v="18"/>
    <n v="18"/>
    <s v="No"/>
    <s v="No"/>
    <s v="No"/>
    <s v="Yes"/>
    <s v="Yes"/>
    <s v="No"/>
    <m/>
    <s v="0 Failures"/>
    <n v="0"/>
    <x v="1"/>
  </r>
  <r>
    <n v="18"/>
    <d v="2024-10-02T00:00:00"/>
    <s v="Basic"/>
    <n v="199"/>
    <n v="24.3"/>
    <n v="2"/>
    <n v="4"/>
    <n v="17"/>
    <n v="58"/>
    <s v="Yes"/>
    <s v="No"/>
    <s v="Yes"/>
    <s v="No"/>
    <s v="Yes"/>
    <s v="No"/>
    <m/>
    <s v="1+ Failures"/>
    <n v="1"/>
    <x v="3"/>
  </r>
  <r>
    <n v="19"/>
    <d v="2024-06-27T00:00:00"/>
    <s v="Standard"/>
    <n v="399"/>
    <n v="15.4"/>
    <n v="2"/>
    <n v="2"/>
    <n v="33"/>
    <n v="48"/>
    <s v="Yes"/>
    <s v="No"/>
    <s v="Yes"/>
    <s v="No"/>
    <s v="Yes"/>
    <s v="No"/>
    <m/>
    <s v="1+ Failures"/>
    <n v="1"/>
    <x v="1"/>
  </r>
  <r>
    <n v="20"/>
    <d v="2023-11-11T00:00:00"/>
    <s v="Basic"/>
    <n v="199"/>
    <n v="12.5"/>
    <n v="1"/>
    <n v="2"/>
    <n v="21"/>
    <n v="56"/>
    <s v="No"/>
    <s v="No"/>
    <s v="Yes"/>
    <s v="No"/>
    <s v="Yes"/>
    <s v="No"/>
    <m/>
    <s v="1+ Failures"/>
    <n v="0"/>
    <x v="1"/>
  </r>
  <r>
    <n v="21"/>
    <d v="2023-03-12T00:00:00"/>
    <s v="Basic"/>
    <n v="199"/>
    <n v="6.4"/>
    <n v="1"/>
    <n v="0"/>
    <n v="4"/>
    <n v="46"/>
    <s v="No"/>
    <s v="No"/>
    <s v="No"/>
    <s v="No"/>
    <s v="Yes"/>
    <s v="Yes"/>
    <m/>
    <s v="0 Failures"/>
    <n v="0"/>
    <x v="2"/>
  </r>
  <r>
    <n v="22"/>
    <d v="2024-09-13T00:00:00"/>
    <s v="Premium"/>
    <n v="699"/>
    <n v="3.6"/>
    <n v="7"/>
    <n v="4"/>
    <n v="9"/>
    <n v="10"/>
    <s v="Yes"/>
    <s v="Yes"/>
    <s v="Yes"/>
    <s v="Yes"/>
    <s v="No"/>
    <s v="No"/>
    <m/>
    <s v="1+ Failures"/>
    <n v="1"/>
    <x v="0"/>
  </r>
  <r>
    <n v="23"/>
    <d v="2024-11-18T00:00:00"/>
    <s v="Standard"/>
    <n v="399"/>
    <n v="23.3"/>
    <n v="3"/>
    <n v="5"/>
    <n v="14"/>
    <n v="19"/>
    <s v="No"/>
    <s v="No"/>
    <s v="Yes"/>
    <s v="No"/>
    <s v="Yes"/>
    <s v="No"/>
    <m/>
    <s v="1+ Failures"/>
    <n v="0"/>
    <x v="3"/>
  </r>
  <r>
    <n v="24"/>
    <d v="2023-03-07T00:00:00"/>
    <s v="Premium"/>
    <n v="699"/>
    <n v="11.2"/>
    <n v="8"/>
    <n v="3"/>
    <n v="24"/>
    <n v="7"/>
    <s v="Yes"/>
    <s v="No"/>
    <s v="Yes"/>
    <s v="Yes"/>
    <s v="No"/>
    <s v="No"/>
    <m/>
    <s v="1+ Failures"/>
    <n v="1"/>
    <x v="1"/>
  </r>
  <r>
    <n v="25"/>
    <d v="2024-12-25T00:00:00"/>
    <s v="Standard"/>
    <n v="399"/>
    <n v="14.9"/>
    <n v="3"/>
    <n v="4"/>
    <n v="2"/>
    <n v="14"/>
    <s v="Yes"/>
    <s v="No"/>
    <s v="Yes"/>
    <s v="No"/>
    <s v="No"/>
    <s v="Yes"/>
    <m/>
    <s v="1+ Failures"/>
    <n v="1"/>
    <x v="1"/>
  </r>
  <r>
    <n v="26"/>
    <d v="2023-10-13T00:00:00"/>
    <s v="Premium"/>
    <n v="699"/>
    <n v="6.1"/>
    <n v="0"/>
    <n v="2"/>
    <n v="4"/>
    <n v="4"/>
    <s v="No"/>
    <s v="No"/>
    <s v="Yes"/>
    <s v="No"/>
    <s v="No"/>
    <s v="Yes"/>
    <m/>
    <s v="1+ Failures"/>
    <n v="0"/>
    <x v="2"/>
  </r>
  <r>
    <n v="27"/>
    <d v="2024-08-13T00:00:00"/>
    <s v="Premium"/>
    <n v="699"/>
    <n v="5.7"/>
    <n v="2"/>
    <n v="5"/>
    <n v="32"/>
    <n v="59"/>
    <s v="No"/>
    <s v="No"/>
    <s v="Yes"/>
    <s v="No"/>
    <s v="Yes"/>
    <s v="No"/>
    <m/>
    <s v="1+ Failures"/>
    <n v="0"/>
    <x v="2"/>
  </r>
  <r>
    <n v="28"/>
    <d v="2024-03-17T00:00:00"/>
    <s v="Standard"/>
    <n v="399"/>
    <n v="19.7"/>
    <n v="6"/>
    <n v="1"/>
    <n v="16"/>
    <n v="6"/>
    <s v="Yes"/>
    <s v="No"/>
    <s v="Yes"/>
    <s v="Yes"/>
    <s v="No"/>
    <s v="No"/>
    <m/>
    <s v="1+ Failures"/>
    <n v="1"/>
    <x v="1"/>
  </r>
  <r>
    <n v="29"/>
    <d v="2023-04-11T00:00:00"/>
    <s v="Standard"/>
    <n v="399"/>
    <n v="10.6"/>
    <n v="0"/>
    <n v="5"/>
    <n v="28"/>
    <n v="41"/>
    <s v="No"/>
    <s v="No"/>
    <s v="Yes"/>
    <s v="No"/>
    <s v="Yes"/>
    <s v="No"/>
    <m/>
    <s v="1+ Failures"/>
    <n v="0"/>
    <x v="1"/>
  </r>
  <r>
    <n v="30"/>
    <d v="2024-04-04T00:00:00"/>
    <s v="Basic"/>
    <n v="199"/>
    <n v="18.3"/>
    <n v="1"/>
    <n v="1"/>
    <n v="26"/>
    <n v="12"/>
    <s v="No"/>
    <s v="No"/>
    <s v="Yes"/>
    <s v="No"/>
    <s v="No"/>
    <s v="No"/>
    <m/>
    <s v="1+ Failures"/>
    <n v="0"/>
    <x v="1"/>
  </r>
  <r>
    <n v="31"/>
    <d v="2024-03-29T00:00:00"/>
    <s v="Basic"/>
    <n v="199"/>
    <n v="5"/>
    <n v="7"/>
    <n v="1"/>
    <n v="28"/>
    <n v="55"/>
    <s v="No"/>
    <s v="No"/>
    <s v="Yes"/>
    <s v="Yes"/>
    <s v="Yes"/>
    <s v="No"/>
    <m/>
    <s v="1+ Failures"/>
    <n v="0"/>
    <x v="0"/>
  </r>
  <r>
    <n v="32"/>
    <d v="2023-08-31T00:00:00"/>
    <s v="Premium"/>
    <n v="699"/>
    <n v="1.7"/>
    <n v="8"/>
    <n v="0"/>
    <n v="7"/>
    <n v="5"/>
    <s v="No"/>
    <s v="Yes"/>
    <s v="No"/>
    <s v="Yes"/>
    <s v="No"/>
    <s v="No"/>
    <m/>
    <s v="0 Failures"/>
    <n v="0"/>
    <x v="0"/>
  </r>
  <r>
    <n v="33"/>
    <d v="2024-01-24T00:00:00"/>
    <s v="Basic"/>
    <n v="199"/>
    <n v="12.4"/>
    <n v="3"/>
    <n v="3"/>
    <n v="27"/>
    <n v="57"/>
    <s v="Yes"/>
    <s v="No"/>
    <s v="Yes"/>
    <s v="No"/>
    <s v="Yes"/>
    <s v="No"/>
    <m/>
    <s v="1+ Failures"/>
    <n v="1"/>
    <x v="1"/>
  </r>
  <r>
    <n v="34"/>
    <d v="2024-07-23T00:00:00"/>
    <s v="Basic"/>
    <n v="199"/>
    <n v="7"/>
    <n v="7"/>
    <n v="2"/>
    <n v="25"/>
    <n v="27"/>
    <s v="Yes"/>
    <s v="No"/>
    <s v="Yes"/>
    <s v="Yes"/>
    <s v="Yes"/>
    <s v="No"/>
    <m/>
    <s v="1+ Failures"/>
    <n v="1"/>
    <x v="2"/>
  </r>
  <r>
    <n v="35"/>
    <d v="2024-07-09T00:00:00"/>
    <s v="Premium"/>
    <n v="699"/>
    <n v="4.3"/>
    <n v="4"/>
    <n v="1"/>
    <n v="32"/>
    <n v="3"/>
    <s v="No"/>
    <s v="Yes"/>
    <s v="Yes"/>
    <s v="No"/>
    <s v="No"/>
    <s v="No"/>
    <m/>
    <s v="1+ Failures"/>
    <n v="0"/>
    <x v="0"/>
  </r>
  <r>
    <n v="36"/>
    <d v="2023-06-11T00:00:00"/>
    <s v="Basic"/>
    <n v="199"/>
    <n v="1.9"/>
    <n v="7"/>
    <n v="4"/>
    <n v="21"/>
    <n v="58"/>
    <s v="Yes"/>
    <s v="Yes"/>
    <s v="Yes"/>
    <s v="Yes"/>
    <s v="Yes"/>
    <s v="No"/>
    <m/>
    <s v="1+ Failures"/>
    <n v="1"/>
    <x v="0"/>
  </r>
  <r>
    <n v="37"/>
    <d v="2023-08-29T00:00:00"/>
    <s v="Basic"/>
    <n v="199"/>
    <n v="2.5"/>
    <n v="2"/>
    <n v="0"/>
    <n v="33"/>
    <n v="38"/>
    <s v="Yes"/>
    <s v="Yes"/>
    <s v="No"/>
    <s v="No"/>
    <s v="Yes"/>
    <s v="No"/>
    <m/>
    <s v="0 Failures"/>
    <n v="1"/>
    <x v="0"/>
  </r>
  <r>
    <n v="38"/>
    <d v="2023-03-25T00:00:00"/>
    <s v="Standard"/>
    <n v="399"/>
    <n v="23.6"/>
    <n v="3"/>
    <n v="4"/>
    <n v="8"/>
    <n v="38"/>
    <s v="Yes"/>
    <s v="No"/>
    <s v="Yes"/>
    <s v="No"/>
    <s v="Yes"/>
    <s v="No"/>
    <m/>
    <s v="1+ Failures"/>
    <n v="1"/>
    <x v="3"/>
  </r>
  <r>
    <n v="39"/>
    <d v="2023-09-02T00:00:00"/>
    <s v="Standard"/>
    <n v="399"/>
    <n v="8.3000000000000007"/>
    <n v="4"/>
    <n v="1"/>
    <n v="34"/>
    <n v="42"/>
    <s v="No"/>
    <s v="No"/>
    <s v="Yes"/>
    <s v="No"/>
    <s v="Yes"/>
    <s v="No"/>
    <m/>
    <s v="1+ Failures"/>
    <n v="0"/>
    <x v="2"/>
  </r>
  <r>
    <n v="40"/>
    <d v="2023-03-16T00:00:00"/>
    <s v="Standard"/>
    <n v="399"/>
    <n v="3.7"/>
    <n v="4"/>
    <n v="3"/>
    <n v="26"/>
    <n v="20"/>
    <s v="No"/>
    <s v="Yes"/>
    <s v="Yes"/>
    <s v="No"/>
    <s v="Yes"/>
    <s v="No"/>
    <m/>
    <s v="1+ Failures"/>
    <n v="0"/>
    <x v="0"/>
  </r>
  <r>
    <n v="41"/>
    <d v="2023-09-29T00:00:00"/>
    <s v="Basic"/>
    <n v="199"/>
    <n v="15.7"/>
    <n v="1"/>
    <n v="0"/>
    <n v="30"/>
    <n v="34"/>
    <s v="Yes"/>
    <s v="No"/>
    <s v="No"/>
    <s v="No"/>
    <s v="Yes"/>
    <s v="No"/>
    <m/>
    <s v="0 Failures"/>
    <n v="1"/>
    <x v="1"/>
  </r>
  <r>
    <n v="42"/>
    <d v="2024-07-10T00:00:00"/>
    <s v="Basic"/>
    <n v="199"/>
    <n v="22.1"/>
    <n v="3"/>
    <n v="2"/>
    <n v="23"/>
    <n v="18"/>
    <s v="Yes"/>
    <s v="No"/>
    <s v="Yes"/>
    <s v="No"/>
    <s v="Yes"/>
    <s v="No"/>
    <m/>
    <s v="1+ Failures"/>
    <n v="1"/>
    <x v="3"/>
  </r>
  <r>
    <n v="43"/>
    <d v="2023-11-03T00:00:00"/>
    <s v="Premium"/>
    <n v="699"/>
    <n v="15.5"/>
    <n v="8"/>
    <n v="0"/>
    <n v="20"/>
    <n v="42"/>
    <s v="No"/>
    <s v="No"/>
    <s v="No"/>
    <s v="Yes"/>
    <s v="Yes"/>
    <s v="No"/>
    <m/>
    <s v="0 Failures"/>
    <n v="0"/>
    <x v="1"/>
  </r>
  <r>
    <n v="44"/>
    <d v="2024-07-20T00:00:00"/>
    <s v="Premium"/>
    <n v="699"/>
    <n v="23.5"/>
    <n v="2"/>
    <n v="2"/>
    <n v="7"/>
    <n v="7"/>
    <s v="No"/>
    <s v="No"/>
    <s v="Yes"/>
    <s v="No"/>
    <s v="No"/>
    <s v="No"/>
    <m/>
    <s v="1+ Failures"/>
    <n v="0"/>
    <x v="3"/>
  </r>
  <r>
    <n v="45"/>
    <d v="2024-10-11T00:00:00"/>
    <s v="Basic"/>
    <n v="199"/>
    <n v="7.4"/>
    <n v="3"/>
    <n v="5"/>
    <n v="18"/>
    <n v="21"/>
    <s v="Yes"/>
    <s v="No"/>
    <s v="Yes"/>
    <s v="No"/>
    <s v="Yes"/>
    <s v="No"/>
    <m/>
    <s v="1+ Failures"/>
    <n v="1"/>
    <x v="2"/>
  </r>
  <r>
    <n v="46"/>
    <d v="2023-10-11T00:00:00"/>
    <s v="Standard"/>
    <n v="399"/>
    <n v="12.5"/>
    <n v="0"/>
    <n v="0"/>
    <n v="33"/>
    <n v="40"/>
    <s v="No"/>
    <s v="No"/>
    <s v="No"/>
    <s v="No"/>
    <s v="Yes"/>
    <s v="No"/>
    <m/>
    <s v="0 Failures"/>
    <n v="0"/>
    <x v="1"/>
  </r>
  <r>
    <n v="47"/>
    <d v="2024-03-28T00:00:00"/>
    <s v="Basic"/>
    <n v="199"/>
    <n v="8.6999999999999993"/>
    <n v="2"/>
    <n v="5"/>
    <n v="1"/>
    <n v="16"/>
    <s v="Yes"/>
    <s v="No"/>
    <s v="Yes"/>
    <s v="No"/>
    <s v="Yes"/>
    <s v="Yes"/>
    <m/>
    <s v="1+ Failures"/>
    <n v="1"/>
    <x v="2"/>
  </r>
  <r>
    <n v="48"/>
    <d v="2023-06-02T00:00:00"/>
    <s v="Premium"/>
    <n v="699"/>
    <n v="14.2"/>
    <n v="1"/>
    <n v="0"/>
    <n v="28"/>
    <n v="60"/>
    <s v="No"/>
    <s v="No"/>
    <s v="No"/>
    <s v="No"/>
    <s v="Yes"/>
    <s v="No"/>
    <m/>
    <s v="0 Failures"/>
    <n v="0"/>
    <x v="1"/>
  </r>
  <r>
    <n v="49"/>
    <d v="2023-11-12T00:00:00"/>
    <s v="Premium"/>
    <n v="699"/>
    <n v="20.9"/>
    <n v="8"/>
    <n v="1"/>
    <n v="3"/>
    <n v="27"/>
    <s v="Yes"/>
    <s v="No"/>
    <s v="Yes"/>
    <s v="Yes"/>
    <s v="Yes"/>
    <s v="Yes"/>
    <m/>
    <s v="1+ Failures"/>
    <n v="1"/>
    <x v="3"/>
  </r>
  <r>
    <n v="50"/>
    <d v="2023-12-29T00:00:00"/>
    <s v="Standard"/>
    <n v="399"/>
    <n v="22.5"/>
    <n v="3"/>
    <n v="5"/>
    <n v="3"/>
    <n v="15"/>
    <s v="No"/>
    <s v="No"/>
    <s v="Yes"/>
    <s v="No"/>
    <s v="Yes"/>
    <s v="Yes"/>
    <m/>
    <s v="1+ Failures"/>
    <n v="0"/>
    <x v="3"/>
  </r>
  <r>
    <n v="51"/>
    <d v="2023-07-01T00:00:00"/>
    <s v="Premium"/>
    <n v="699"/>
    <n v="24.4"/>
    <n v="2"/>
    <n v="1"/>
    <n v="27"/>
    <n v="55"/>
    <s v="Yes"/>
    <s v="No"/>
    <s v="Yes"/>
    <s v="No"/>
    <s v="Yes"/>
    <s v="No"/>
    <m/>
    <s v="1+ Failures"/>
    <n v="1"/>
    <x v="3"/>
  </r>
  <r>
    <n v="52"/>
    <d v="2023-09-12T00:00:00"/>
    <s v="Standard"/>
    <n v="399"/>
    <n v="4.9000000000000004"/>
    <n v="5"/>
    <n v="3"/>
    <n v="2"/>
    <n v="51"/>
    <s v="Yes"/>
    <s v="Yes"/>
    <s v="Yes"/>
    <s v="Yes"/>
    <s v="Yes"/>
    <s v="Yes"/>
    <m/>
    <s v="1+ Failures"/>
    <n v="1"/>
    <x v="0"/>
  </r>
  <r>
    <n v="53"/>
    <d v="2024-04-26T00:00:00"/>
    <s v="Standard"/>
    <n v="399"/>
    <n v="19.8"/>
    <n v="1"/>
    <n v="3"/>
    <n v="11"/>
    <n v="55"/>
    <s v="Yes"/>
    <s v="No"/>
    <s v="Yes"/>
    <s v="No"/>
    <s v="Yes"/>
    <s v="No"/>
    <m/>
    <s v="1+ Failures"/>
    <n v="1"/>
    <x v="1"/>
  </r>
  <r>
    <n v="54"/>
    <d v="2023-08-22T00:00:00"/>
    <s v="Basic"/>
    <n v="199"/>
    <n v="20.5"/>
    <n v="7"/>
    <n v="2"/>
    <n v="13"/>
    <n v="19"/>
    <s v="No"/>
    <s v="No"/>
    <s v="Yes"/>
    <s v="Yes"/>
    <s v="Yes"/>
    <s v="No"/>
    <m/>
    <s v="1+ Failures"/>
    <n v="0"/>
    <x v="3"/>
  </r>
  <r>
    <n v="55"/>
    <d v="2023-10-13T00:00:00"/>
    <s v="Basic"/>
    <n v="199"/>
    <n v="16.7"/>
    <n v="6"/>
    <n v="2"/>
    <n v="2"/>
    <n v="17"/>
    <s v="No"/>
    <s v="No"/>
    <s v="Yes"/>
    <s v="Yes"/>
    <s v="Yes"/>
    <s v="Yes"/>
    <m/>
    <s v="1+ Failures"/>
    <n v="0"/>
    <x v="1"/>
  </r>
  <r>
    <n v="56"/>
    <d v="2023-09-25T00:00:00"/>
    <s v="Standard"/>
    <n v="399"/>
    <n v="10.3"/>
    <n v="8"/>
    <n v="2"/>
    <n v="33"/>
    <n v="60"/>
    <s v="Yes"/>
    <s v="No"/>
    <s v="Yes"/>
    <s v="Yes"/>
    <s v="Yes"/>
    <s v="No"/>
    <m/>
    <s v="1+ Failures"/>
    <n v="1"/>
    <x v="1"/>
  </r>
  <r>
    <n v="57"/>
    <d v="2024-03-22T00:00:00"/>
    <s v="Basic"/>
    <n v="199"/>
    <n v="1.4"/>
    <n v="6"/>
    <n v="2"/>
    <n v="17"/>
    <n v="46"/>
    <s v="Yes"/>
    <s v="Yes"/>
    <s v="Yes"/>
    <s v="Yes"/>
    <s v="Yes"/>
    <s v="No"/>
    <m/>
    <s v="1+ Failures"/>
    <n v="1"/>
    <x v="0"/>
  </r>
  <r>
    <n v="58"/>
    <d v="2023-01-02T00:00:00"/>
    <s v="Premium"/>
    <n v="699"/>
    <n v="3.3"/>
    <n v="3"/>
    <n v="2"/>
    <n v="33"/>
    <n v="2"/>
    <s v="No"/>
    <s v="Yes"/>
    <s v="Yes"/>
    <s v="No"/>
    <s v="No"/>
    <s v="No"/>
    <m/>
    <s v="1+ Failures"/>
    <n v="0"/>
    <x v="0"/>
  </r>
  <r>
    <n v="59"/>
    <d v="2024-11-11T00:00:00"/>
    <s v="Premium"/>
    <n v="699"/>
    <n v="17.3"/>
    <n v="3"/>
    <n v="2"/>
    <n v="35"/>
    <n v="27"/>
    <s v="Yes"/>
    <s v="No"/>
    <s v="Yes"/>
    <s v="No"/>
    <s v="Yes"/>
    <s v="No"/>
    <m/>
    <s v="1+ Failures"/>
    <n v="1"/>
    <x v="1"/>
  </r>
  <r>
    <n v="60"/>
    <d v="2023-11-13T00:00:00"/>
    <s v="Standard"/>
    <n v="399"/>
    <n v="16.8"/>
    <n v="1"/>
    <n v="5"/>
    <n v="21"/>
    <n v="57"/>
    <s v="Yes"/>
    <s v="No"/>
    <s v="Yes"/>
    <s v="No"/>
    <s v="Yes"/>
    <s v="No"/>
    <m/>
    <s v="1+ Failures"/>
    <n v="1"/>
    <x v="1"/>
  </r>
  <r>
    <n v="61"/>
    <d v="2024-11-11T00:00:00"/>
    <s v="Premium"/>
    <n v="699"/>
    <n v="8.5"/>
    <n v="4"/>
    <n v="4"/>
    <n v="27"/>
    <n v="8"/>
    <s v="Yes"/>
    <s v="No"/>
    <s v="Yes"/>
    <s v="No"/>
    <s v="No"/>
    <s v="No"/>
    <m/>
    <s v="1+ Failures"/>
    <n v="1"/>
    <x v="2"/>
  </r>
  <r>
    <n v="62"/>
    <d v="2023-11-08T00:00:00"/>
    <s v="Standard"/>
    <n v="399"/>
    <n v="15.6"/>
    <n v="4"/>
    <n v="3"/>
    <n v="12"/>
    <n v="35"/>
    <s v="No"/>
    <s v="No"/>
    <s v="Yes"/>
    <s v="No"/>
    <s v="Yes"/>
    <s v="No"/>
    <m/>
    <s v="1+ Failures"/>
    <n v="0"/>
    <x v="1"/>
  </r>
  <r>
    <n v="63"/>
    <d v="2023-08-07T00:00:00"/>
    <s v="Standard"/>
    <n v="399"/>
    <n v="11"/>
    <n v="5"/>
    <n v="3"/>
    <n v="14"/>
    <n v="28"/>
    <s v="Yes"/>
    <s v="No"/>
    <s v="Yes"/>
    <s v="Yes"/>
    <s v="Yes"/>
    <s v="No"/>
    <m/>
    <s v="1+ Failures"/>
    <n v="1"/>
    <x v="1"/>
  </r>
  <r>
    <n v="64"/>
    <d v="2024-11-10T00:00:00"/>
    <s v="Premium"/>
    <n v="699"/>
    <n v="19.899999999999999"/>
    <n v="2"/>
    <n v="5"/>
    <n v="31"/>
    <n v="5"/>
    <s v="Yes"/>
    <s v="No"/>
    <s v="Yes"/>
    <s v="No"/>
    <s v="No"/>
    <s v="No"/>
    <m/>
    <s v="1+ Failures"/>
    <n v="1"/>
    <x v="1"/>
  </r>
  <r>
    <n v="65"/>
    <d v="2023-07-23T00:00:00"/>
    <s v="Premium"/>
    <n v="699"/>
    <n v="2.8"/>
    <n v="3"/>
    <n v="5"/>
    <n v="22"/>
    <n v="19"/>
    <s v="Yes"/>
    <s v="Yes"/>
    <s v="Yes"/>
    <s v="No"/>
    <s v="Yes"/>
    <s v="No"/>
    <m/>
    <s v="1+ Failures"/>
    <n v="1"/>
    <x v="0"/>
  </r>
  <r>
    <n v="66"/>
    <d v="2024-04-11T00:00:00"/>
    <s v="Basic"/>
    <n v="199"/>
    <n v="1.6"/>
    <n v="7"/>
    <n v="4"/>
    <n v="2"/>
    <n v="54"/>
    <s v="Yes"/>
    <s v="Yes"/>
    <s v="Yes"/>
    <s v="Yes"/>
    <s v="Yes"/>
    <s v="Yes"/>
    <m/>
    <s v="1+ Failures"/>
    <n v="1"/>
    <x v="0"/>
  </r>
  <r>
    <n v="67"/>
    <d v="2024-11-02T00:00:00"/>
    <s v="Standard"/>
    <n v="399"/>
    <n v="18.100000000000001"/>
    <n v="6"/>
    <n v="3"/>
    <n v="13"/>
    <n v="25"/>
    <s v="Yes"/>
    <s v="No"/>
    <s v="Yes"/>
    <s v="Yes"/>
    <s v="Yes"/>
    <s v="No"/>
    <m/>
    <s v="1+ Failures"/>
    <n v="1"/>
    <x v="1"/>
  </r>
  <r>
    <n v="68"/>
    <d v="2024-12-13T00:00:00"/>
    <s v="Premium"/>
    <n v="699"/>
    <n v="22.4"/>
    <n v="1"/>
    <n v="3"/>
    <n v="1"/>
    <n v="14"/>
    <s v="Yes"/>
    <s v="No"/>
    <s v="Yes"/>
    <s v="No"/>
    <s v="No"/>
    <s v="Yes"/>
    <m/>
    <s v="1+ Failures"/>
    <n v="1"/>
    <x v="3"/>
  </r>
  <r>
    <n v="69"/>
    <d v="2024-04-20T00:00:00"/>
    <s v="Premium"/>
    <n v="699"/>
    <n v="1.7"/>
    <n v="3"/>
    <n v="0"/>
    <n v="30"/>
    <n v="29"/>
    <s v="Yes"/>
    <s v="Yes"/>
    <s v="No"/>
    <s v="No"/>
    <s v="Yes"/>
    <s v="No"/>
    <m/>
    <s v="0 Failures"/>
    <n v="1"/>
    <x v="0"/>
  </r>
  <r>
    <n v="70"/>
    <d v="2024-05-31T00:00:00"/>
    <s v="Premium"/>
    <n v="699"/>
    <n v="24.7"/>
    <n v="5"/>
    <n v="3"/>
    <n v="34"/>
    <n v="39"/>
    <s v="No"/>
    <s v="No"/>
    <s v="Yes"/>
    <s v="Yes"/>
    <s v="Yes"/>
    <s v="No"/>
    <m/>
    <s v="1+ Failures"/>
    <n v="0"/>
    <x v="3"/>
  </r>
  <r>
    <n v="71"/>
    <d v="2023-09-23T00:00:00"/>
    <s v="Standard"/>
    <n v="399"/>
    <n v="11.4"/>
    <n v="2"/>
    <n v="5"/>
    <n v="36"/>
    <n v="55"/>
    <s v="Yes"/>
    <s v="No"/>
    <s v="Yes"/>
    <s v="No"/>
    <s v="Yes"/>
    <s v="No"/>
    <m/>
    <s v="1+ Failures"/>
    <n v="1"/>
    <x v="1"/>
  </r>
  <r>
    <n v="72"/>
    <d v="2024-03-26T00:00:00"/>
    <s v="Basic"/>
    <n v="199"/>
    <n v="19.3"/>
    <n v="8"/>
    <n v="3"/>
    <n v="18"/>
    <n v="40"/>
    <s v="Yes"/>
    <s v="No"/>
    <s v="Yes"/>
    <s v="Yes"/>
    <s v="Yes"/>
    <s v="No"/>
    <m/>
    <s v="1+ Failures"/>
    <n v="1"/>
    <x v="1"/>
  </r>
  <r>
    <n v="73"/>
    <d v="2023-05-22T00:00:00"/>
    <s v="Basic"/>
    <n v="199"/>
    <n v="6.2"/>
    <n v="5"/>
    <n v="2"/>
    <n v="19"/>
    <n v="57"/>
    <s v="Yes"/>
    <s v="No"/>
    <s v="Yes"/>
    <s v="Yes"/>
    <s v="Yes"/>
    <s v="No"/>
    <m/>
    <s v="1+ Failures"/>
    <n v="1"/>
    <x v="2"/>
  </r>
  <r>
    <n v="74"/>
    <d v="2024-02-22T00:00:00"/>
    <s v="Basic"/>
    <n v="199"/>
    <n v="9.9"/>
    <n v="2"/>
    <n v="5"/>
    <n v="15"/>
    <n v="13"/>
    <s v="Yes"/>
    <s v="No"/>
    <s v="Yes"/>
    <s v="No"/>
    <s v="No"/>
    <s v="No"/>
    <m/>
    <s v="1+ Failures"/>
    <n v="1"/>
    <x v="2"/>
  </r>
  <r>
    <n v="75"/>
    <d v="2024-08-21T00:00:00"/>
    <s v="Standard"/>
    <n v="399"/>
    <n v="11.9"/>
    <n v="0"/>
    <n v="1"/>
    <n v="35"/>
    <n v="53"/>
    <s v="No"/>
    <s v="No"/>
    <s v="Yes"/>
    <s v="No"/>
    <s v="Yes"/>
    <s v="No"/>
    <m/>
    <s v="1+ Failures"/>
    <n v="0"/>
    <x v="1"/>
  </r>
  <r>
    <n v="76"/>
    <d v="2023-11-02T00:00:00"/>
    <s v="Premium"/>
    <n v="699"/>
    <n v="21.5"/>
    <n v="6"/>
    <n v="3"/>
    <n v="2"/>
    <n v="0"/>
    <s v="No"/>
    <s v="No"/>
    <s v="Yes"/>
    <s v="Yes"/>
    <s v="No"/>
    <s v="Yes"/>
    <m/>
    <s v="1+ Failures"/>
    <n v="0"/>
    <x v="3"/>
  </r>
  <r>
    <n v="77"/>
    <d v="2023-08-13T00:00:00"/>
    <s v="Standard"/>
    <n v="399"/>
    <n v="13.7"/>
    <n v="8"/>
    <n v="4"/>
    <n v="27"/>
    <n v="57"/>
    <s v="Yes"/>
    <s v="No"/>
    <s v="Yes"/>
    <s v="Yes"/>
    <s v="Yes"/>
    <s v="No"/>
    <m/>
    <s v="1+ Failures"/>
    <n v="1"/>
    <x v="1"/>
  </r>
  <r>
    <n v="78"/>
    <d v="2024-02-19T00:00:00"/>
    <s v="Standard"/>
    <n v="399"/>
    <n v="12.4"/>
    <n v="6"/>
    <n v="2"/>
    <n v="28"/>
    <n v="42"/>
    <s v="Yes"/>
    <s v="No"/>
    <s v="Yes"/>
    <s v="Yes"/>
    <s v="Yes"/>
    <s v="No"/>
    <m/>
    <s v="1+ Failures"/>
    <n v="1"/>
    <x v="1"/>
  </r>
  <r>
    <n v="79"/>
    <d v="2024-02-08T00:00:00"/>
    <s v="Premium"/>
    <n v="699"/>
    <n v="21.1"/>
    <n v="2"/>
    <n v="4"/>
    <n v="11"/>
    <n v="34"/>
    <s v="Yes"/>
    <s v="No"/>
    <s v="Yes"/>
    <s v="No"/>
    <s v="Yes"/>
    <s v="No"/>
    <m/>
    <s v="1+ Failures"/>
    <n v="1"/>
    <x v="3"/>
  </r>
  <r>
    <n v="80"/>
    <d v="2023-02-21T00:00:00"/>
    <s v="Premium"/>
    <n v="699"/>
    <n v="2.6"/>
    <n v="6"/>
    <n v="1"/>
    <n v="2"/>
    <n v="55"/>
    <s v="Yes"/>
    <s v="Yes"/>
    <s v="Yes"/>
    <s v="Yes"/>
    <s v="Yes"/>
    <s v="Yes"/>
    <m/>
    <s v="1+ Failures"/>
    <n v="1"/>
    <x v="0"/>
  </r>
  <r>
    <n v="81"/>
    <d v="2024-01-24T00:00:00"/>
    <s v="Standard"/>
    <n v="399"/>
    <n v="8.5"/>
    <n v="7"/>
    <n v="2"/>
    <n v="25"/>
    <n v="21"/>
    <s v="No"/>
    <s v="No"/>
    <s v="Yes"/>
    <s v="Yes"/>
    <s v="Yes"/>
    <s v="No"/>
    <m/>
    <s v="1+ Failures"/>
    <n v="0"/>
    <x v="2"/>
  </r>
  <r>
    <n v="82"/>
    <d v="2023-02-23T00:00:00"/>
    <s v="Standard"/>
    <n v="399"/>
    <n v="6.7"/>
    <n v="1"/>
    <n v="3"/>
    <n v="27"/>
    <n v="1"/>
    <s v="No"/>
    <s v="No"/>
    <s v="Yes"/>
    <s v="No"/>
    <s v="No"/>
    <s v="No"/>
    <m/>
    <s v="1+ Failures"/>
    <n v="0"/>
    <x v="2"/>
  </r>
  <r>
    <n v="83"/>
    <d v="2023-01-21T00:00:00"/>
    <s v="Standard"/>
    <n v="399"/>
    <n v="16.399999999999999"/>
    <n v="0"/>
    <n v="0"/>
    <n v="15"/>
    <n v="60"/>
    <s v="Yes"/>
    <s v="No"/>
    <s v="No"/>
    <s v="No"/>
    <s v="Yes"/>
    <s v="No"/>
    <m/>
    <s v="0 Failures"/>
    <n v="1"/>
    <x v="1"/>
  </r>
  <r>
    <n v="84"/>
    <d v="2023-08-12T00:00:00"/>
    <s v="Premium"/>
    <n v="699"/>
    <n v="6.3"/>
    <n v="7"/>
    <n v="5"/>
    <n v="10"/>
    <n v="7"/>
    <s v="No"/>
    <s v="No"/>
    <s v="Yes"/>
    <s v="Yes"/>
    <s v="No"/>
    <s v="No"/>
    <m/>
    <s v="1+ Failures"/>
    <n v="0"/>
    <x v="2"/>
  </r>
  <r>
    <n v="85"/>
    <d v="2023-04-28T00:00:00"/>
    <s v="Standard"/>
    <n v="399"/>
    <n v="19.3"/>
    <n v="2"/>
    <n v="4"/>
    <n v="17"/>
    <n v="38"/>
    <s v="No"/>
    <s v="No"/>
    <s v="Yes"/>
    <s v="No"/>
    <s v="Yes"/>
    <s v="No"/>
    <m/>
    <s v="1+ Failures"/>
    <n v="0"/>
    <x v="1"/>
  </r>
  <r>
    <n v="86"/>
    <d v="2024-01-20T00:00:00"/>
    <s v="Basic"/>
    <n v="199"/>
    <n v="3.1"/>
    <n v="0"/>
    <n v="2"/>
    <n v="20"/>
    <n v="36"/>
    <s v="Yes"/>
    <s v="Yes"/>
    <s v="Yes"/>
    <s v="No"/>
    <s v="Yes"/>
    <s v="No"/>
    <m/>
    <s v="1+ Failures"/>
    <n v="1"/>
    <x v="0"/>
  </r>
  <r>
    <n v="87"/>
    <d v="2024-12-01T00:00:00"/>
    <s v="Standard"/>
    <n v="399"/>
    <n v="2.4"/>
    <n v="3"/>
    <n v="0"/>
    <n v="13"/>
    <n v="44"/>
    <s v="No"/>
    <s v="Yes"/>
    <s v="No"/>
    <s v="No"/>
    <s v="Yes"/>
    <s v="No"/>
    <m/>
    <s v="0 Failures"/>
    <n v="0"/>
    <x v="0"/>
  </r>
  <r>
    <n v="88"/>
    <d v="2024-01-15T00:00:00"/>
    <s v="Premium"/>
    <n v="699"/>
    <n v="20"/>
    <n v="0"/>
    <n v="2"/>
    <n v="8"/>
    <n v="34"/>
    <s v="Yes"/>
    <s v="No"/>
    <s v="Yes"/>
    <s v="No"/>
    <s v="Yes"/>
    <s v="No"/>
    <m/>
    <s v="1+ Failures"/>
    <n v="1"/>
    <x v="1"/>
  </r>
  <r>
    <n v="89"/>
    <d v="2024-03-19T00:00:00"/>
    <s v="Basic"/>
    <n v="199"/>
    <n v="16.399999999999999"/>
    <n v="0"/>
    <n v="3"/>
    <n v="33"/>
    <n v="52"/>
    <s v="Yes"/>
    <s v="No"/>
    <s v="Yes"/>
    <s v="No"/>
    <s v="Yes"/>
    <s v="No"/>
    <m/>
    <s v="1+ Failures"/>
    <n v="1"/>
    <x v="1"/>
  </r>
  <r>
    <n v="90"/>
    <d v="2024-10-28T00:00:00"/>
    <s v="Standard"/>
    <n v="399"/>
    <n v="17.8"/>
    <n v="6"/>
    <n v="1"/>
    <n v="30"/>
    <n v="46"/>
    <s v="No"/>
    <s v="No"/>
    <s v="Yes"/>
    <s v="Yes"/>
    <s v="Yes"/>
    <s v="No"/>
    <m/>
    <s v="1+ Failures"/>
    <n v="0"/>
    <x v="1"/>
  </r>
  <r>
    <n v="91"/>
    <d v="2023-10-02T00:00:00"/>
    <s v="Standard"/>
    <n v="399"/>
    <n v="19.5"/>
    <n v="7"/>
    <n v="3"/>
    <n v="35"/>
    <n v="52"/>
    <s v="Yes"/>
    <s v="No"/>
    <s v="Yes"/>
    <s v="Yes"/>
    <s v="Yes"/>
    <s v="No"/>
    <m/>
    <s v="1+ Failures"/>
    <n v="1"/>
    <x v="1"/>
  </r>
  <r>
    <n v="92"/>
    <d v="2024-04-20T00:00:00"/>
    <s v="Standard"/>
    <n v="399"/>
    <n v="20.9"/>
    <n v="1"/>
    <n v="2"/>
    <n v="16"/>
    <n v="56"/>
    <s v="Yes"/>
    <s v="No"/>
    <s v="Yes"/>
    <s v="No"/>
    <s v="Yes"/>
    <s v="No"/>
    <m/>
    <s v="1+ Failures"/>
    <n v="1"/>
    <x v="3"/>
  </r>
  <r>
    <n v="93"/>
    <d v="2023-12-30T00:00:00"/>
    <s v="Premium"/>
    <n v="699"/>
    <n v="8.6999999999999993"/>
    <n v="7"/>
    <n v="2"/>
    <n v="25"/>
    <n v="11"/>
    <s v="Yes"/>
    <s v="No"/>
    <s v="Yes"/>
    <s v="Yes"/>
    <s v="No"/>
    <s v="No"/>
    <m/>
    <s v="1+ Failures"/>
    <n v="1"/>
    <x v="2"/>
  </r>
  <r>
    <n v="94"/>
    <d v="2023-07-15T00:00:00"/>
    <s v="Standard"/>
    <n v="399"/>
    <n v="7.4"/>
    <n v="4"/>
    <n v="4"/>
    <n v="22"/>
    <n v="0"/>
    <s v="No"/>
    <s v="No"/>
    <s v="Yes"/>
    <s v="No"/>
    <s v="No"/>
    <s v="No"/>
    <m/>
    <s v="1+ Failures"/>
    <n v="0"/>
    <x v="2"/>
  </r>
  <r>
    <n v="95"/>
    <d v="2024-05-02T00:00:00"/>
    <s v="Basic"/>
    <n v="199"/>
    <n v="18.100000000000001"/>
    <n v="7"/>
    <n v="4"/>
    <n v="16"/>
    <n v="48"/>
    <s v="Yes"/>
    <s v="No"/>
    <s v="Yes"/>
    <s v="Yes"/>
    <s v="Yes"/>
    <s v="No"/>
    <m/>
    <s v="1+ Failures"/>
    <n v="1"/>
    <x v="1"/>
  </r>
  <r>
    <n v="96"/>
    <d v="2024-12-09T00:00:00"/>
    <s v="Premium"/>
    <n v="699"/>
    <n v="11.5"/>
    <n v="0"/>
    <n v="0"/>
    <n v="32"/>
    <n v="18"/>
    <s v="No"/>
    <s v="No"/>
    <s v="No"/>
    <s v="No"/>
    <s v="Yes"/>
    <s v="No"/>
    <m/>
    <s v="0 Failures"/>
    <n v="0"/>
    <x v="1"/>
  </r>
  <r>
    <n v="97"/>
    <d v="2024-03-11T00:00:00"/>
    <s v="Basic"/>
    <n v="199"/>
    <n v="16.8"/>
    <n v="5"/>
    <n v="3"/>
    <n v="20"/>
    <n v="35"/>
    <s v="Yes"/>
    <s v="No"/>
    <s v="Yes"/>
    <s v="Yes"/>
    <s v="Yes"/>
    <s v="No"/>
    <m/>
    <s v="1+ Failures"/>
    <n v="1"/>
    <x v="1"/>
  </r>
  <r>
    <n v="98"/>
    <d v="2023-05-04T00:00:00"/>
    <s v="Premium"/>
    <n v="699"/>
    <n v="8.6"/>
    <n v="7"/>
    <n v="2"/>
    <n v="36"/>
    <n v="19"/>
    <s v="Yes"/>
    <s v="No"/>
    <s v="Yes"/>
    <s v="Yes"/>
    <s v="Yes"/>
    <s v="No"/>
    <m/>
    <s v="1+ Failures"/>
    <n v="1"/>
    <x v="2"/>
  </r>
  <r>
    <n v="99"/>
    <d v="2024-05-10T00:00:00"/>
    <s v="Premium"/>
    <n v="699"/>
    <n v="8.1999999999999993"/>
    <n v="8"/>
    <n v="5"/>
    <n v="13"/>
    <n v="11"/>
    <s v="Yes"/>
    <s v="No"/>
    <s v="Yes"/>
    <s v="Yes"/>
    <s v="No"/>
    <s v="No"/>
    <m/>
    <s v="1+ Failures"/>
    <n v="1"/>
    <x v="2"/>
  </r>
  <r>
    <n v="100"/>
    <d v="2023-07-03T00:00:00"/>
    <s v="Standard"/>
    <n v="399"/>
    <n v="15.1"/>
    <n v="1"/>
    <n v="1"/>
    <n v="34"/>
    <n v="18"/>
    <s v="No"/>
    <s v="No"/>
    <s v="Yes"/>
    <s v="No"/>
    <s v="Yes"/>
    <s v="No"/>
    <m/>
    <s v="1+ Failures"/>
    <n v="0"/>
    <x v="1"/>
  </r>
  <r>
    <n v="101"/>
    <d v="2024-07-20T00:00:00"/>
    <s v="Standard"/>
    <n v="399"/>
    <n v="17.8"/>
    <n v="2"/>
    <n v="2"/>
    <n v="1"/>
    <n v="2"/>
    <s v="No"/>
    <s v="No"/>
    <s v="Yes"/>
    <s v="No"/>
    <s v="No"/>
    <s v="Yes"/>
    <m/>
    <s v="1+ Failures"/>
    <n v="0"/>
    <x v="1"/>
  </r>
  <r>
    <n v="102"/>
    <d v="2023-10-19T00:00:00"/>
    <s v="Standard"/>
    <n v="399"/>
    <n v="16.100000000000001"/>
    <n v="7"/>
    <n v="0"/>
    <n v="9"/>
    <n v="55"/>
    <s v="Yes"/>
    <s v="No"/>
    <s v="No"/>
    <s v="Yes"/>
    <s v="Yes"/>
    <s v="No"/>
    <m/>
    <s v="0 Failures"/>
    <n v="1"/>
    <x v="1"/>
  </r>
  <r>
    <n v="103"/>
    <d v="2024-05-04T00:00:00"/>
    <s v="Standard"/>
    <n v="399"/>
    <n v="11.3"/>
    <n v="2"/>
    <n v="0"/>
    <n v="31"/>
    <n v="16"/>
    <s v="No"/>
    <s v="No"/>
    <s v="No"/>
    <s v="No"/>
    <s v="Yes"/>
    <s v="No"/>
    <m/>
    <s v="0 Failures"/>
    <n v="0"/>
    <x v="1"/>
  </r>
  <r>
    <n v="104"/>
    <d v="2023-06-05T00:00:00"/>
    <s v="Basic"/>
    <n v="199"/>
    <n v="10.3"/>
    <n v="1"/>
    <n v="4"/>
    <n v="5"/>
    <n v="40"/>
    <s v="No"/>
    <s v="No"/>
    <s v="Yes"/>
    <s v="No"/>
    <s v="Yes"/>
    <s v="Yes"/>
    <m/>
    <s v="1+ Failures"/>
    <n v="0"/>
    <x v="1"/>
  </r>
  <r>
    <n v="105"/>
    <d v="2024-09-12T00:00:00"/>
    <s v="Basic"/>
    <n v="199"/>
    <n v="2.6"/>
    <n v="3"/>
    <n v="0"/>
    <n v="20"/>
    <n v="35"/>
    <s v="No"/>
    <s v="Yes"/>
    <s v="No"/>
    <s v="No"/>
    <s v="Yes"/>
    <s v="No"/>
    <m/>
    <s v="0 Failures"/>
    <n v="0"/>
    <x v="0"/>
  </r>
  <r>
    <n v="106"/>
    <d v="2024-08-25T00:00:00"/>
    <s v="Premium"/>
    <n v="699"/>
    <n v="19.5"/>
    <n v="6"/>
    <n v="3"/>
    <n v="15"/>
    <n v="58"/>
    <s v="Yes"/>
    <s v="No"/>
    <s v="Yes"/>
    <s v="Yes"/>
    <s v="Yes"/>
    <s v="No"/>
    <m/>
    <s v="1+ Failures"/>
    <n v="1"/>
    <x v="1"/>
  </r>
  <r>
    <n v="107"/>
    <d v="2023-08-01T00:00:00"/>
    <s v="Standard"/>
    <n v="399"/>
    <n v="14.4"/>
    <n v="0"/>
    <n v="4"/>
    <n v="20"/>
    <n v="47"/>
    <s v="Yes"/>
    <s v="No"/>
    <s v="Yes"/>
    <s v="No"/>
    <s v="Yes"/>
    <s v="No"/>
    <m/>
    <s v="1+ Failures"/>
    <n v="1"/>
    <x v="1"/>
  </r>
  <r>
    <n v="108"/>
    <d v="2023-03-18T00:00:00"/>
    <s v="Premium"/>
    <n v="699"/>
    <n v="7"/>
    <n v="1"/>
    <n v="1"/>
    <n v="14"/>
    <n v="15"/>
    <s v="No"/>
    <s v="No"/>
    <s v="Yes"/>
    <s v="No"/>
    <s v="Yes"/>
    <s v="No"/>
    <m/>
    <s v="1+ Failures"/>
    <n v="0"/>
    <x v="2"/>
  </r>
  <r>
    <n v="109"/>
    <d v="2024-12-24T00:00:00"/>
    <s v="Basic"/>
    <n v="199"/>
    <n v="10.5"/>
    <n v="7"/>
    <n v="2"/>
    <n v="1"/>
    <n v="2"/>
    <s v="Yes"/>
    <s v="No"/>
    <s v="Yes"/>
    <s v="Yes"/>
    <s v="No"/>
    <s v="Yes"/>
    <m/>
    <s v="1+ Failures"/>
    <n v="1"/>
    <x v="1"/>
  </r>
  <r>
    <n v="110"/>
    <d v="2024-08-26T00:00:00"/>
    <s v="Standard"/>
    <n v="399"/>
    <n v="2.2000000000000002"/>
    <n v="3"/>
    <n v="2"/>
    <n v="30"/>
    <n v="50"/>
    <s v="Yes"/>
    <s v="Yes"/>
    <s v="Yes"/>
    <s v="No"/>
    <s v="Yes"/>
    <s v="No"/>
    <m/>
    <s v="1+ Failures"/>
    <n v="1"/>
    <x v="0"/>
  </r>
  <r>
    <n v="111"/>
    <d v="2023-09-30T00:00:00"/>
    <s v="Premium"/>
    <n v="699"/>
    <n v="10.9"/>
    <n v="8"/>
    <n v="1"/>
    <n v="13"/>
    <n v="41"/>
    <s v="Yes"/>
    <s v="No"/>
    <s v="Yes"/>
    <s v="Yes"/>
    <s v="Yes"/>
    <s v="No"/>
    <m/>
    <s v="1+ Failures"/>
    <n v="1"/>
    <x v="1"/>
  </r>
  <r>
    <n v="112"/>
    <d v="2023-10-23T00:00:00"/>
    <s v="Basic"/>
    <n v="199"/>
    <n v="2"/>
    <n v="4"/>
    <n v="4"/>
    <n v="5"/>
    <n v="47"/>
    <s v="Yes"/>
    <s v="Yes"/>
    <s v="Yes"/>
    <s v="No"/>
    <s v="Yes"/>
    <s v="Yes"/>
    <m/>
    <s v="1+ Failures"/>
    <n v="1"/>
    <x v="0"/>
  </r>
  <r>
    <n v="113"/>
    <d v="2024-05-27T00:00:00"/>
    <s v="Standard"/>
    <n v="399"/>
    <n v="12"/>
    <n v="4"/>
    <n v="5"/>
    <n v="8"/>
    <n v="25"/>
    <s v="No"/>
    <s v="No"/>
    <s v="Yes"/>
    <s v="No"/>
    <s v="Yes"/>
    <s v="No"/>
    <m/>
    <s v="1+ Failures"/>
    <n v="0"/>
    <x v="1"/>
  </r>
  <r>
    <n v="114"/>
    <d v="2023-09-14T00:00:00"/>
    <s v="Premium"/>
    <n v="699"/>
    <n v="11.2"/>
    <n v="0"/>
    <n v="3"/>
    <n v="32"/>
    <n v="47"/>
    <s v="Yes"/>
    <s v="No"/>
    <s v="Yes"/>
    <s v="No"/>
    <s v="Yes"/>
    <s v="No"/>
    <m/>
    <s v="1+ Failures"/>
    <n v="1"/>
    <x v="1"/>
  </r>
  <r>
    <n v="115"/>
    <d v="2023-02-11T00:00:00"/>
    <s v="Basic"/>
    <n v="199"/>
    <n v="6.1"/>
    <n v="0"/>
    <n v="5"/>
    <n v="6"/>
    <n v="52"/>
    <s v="Yes"/>
    <s v="No"/>
    <s v="Yes"/>
    <s v="No"/>
    <s v="Yes"/>
    <s v="No"/>
    <m/>
    <s v="1+ Failures"/>
    <n v="1"/>
    <x v="2"/>
  </r>
  <r>
    <n v="116"/>
    <d v="2024-03-22T00:00:00"/>
    <s v="Basic"/>
    <n v="199"/>
    <n v="13.2"/>
    <n v="7"/>
    <n v="2"/>
    <n v="31"/>
    <n v="11"/>
    <s v="No"/>
    <s v="No"/>
    <s v="Yes"/>
    <s v="Yes"/>
    <s v="No"/>
    <s v="No"/>
    <m/>
    <s v="1+ Failures"/>
    <n v="0"/>
    <x v="1"/>
  </r>
  <r>
    <n v="117"/>
    <d v="2024-11-17T00:00:00"/>
    <s v="Premium"/>
    <n v="699"/>
    <n v="24.2"/>
    <n v="7"/>
    <n v="2"/>
    <n v="32"/>
    <n v="26"/>
    <s v="Yes"/>
    <s v="No"/>
    <s v="Yes"/>
    <s v="Yes"/>
    <s v="Yes"/>
    <s v="No"/>
    <m/>
    <s v="1+ Failures"/>
    <n v="1"/>
    <x v="3"/>
  </r>
  <r>
    <n v="118"/>
    <d v="2024-07-17T00:00:00"/>
    <s v="Basic"/>
    <n v="199"/>
    <n v="8.6"/>
    <n v="7"/>
    <n v="2"/>
    <n v="11"/>
    <n v="42"/>
    <s v="No"/>
    <s v="No"/>
    <s v="Yes"/>
    <s v="Yes"/>
    <s v="Yes"/>
    <s v="No"/>
    <m/>
    <s v="1+ Failures"/>
    <n v="0"/>
    <x v="2"/>
  </r>
  <r>
    <n v="119"/>
    <d v="2024-02-18T00:00:00"/>
    <s v="Basic"/>
    <n v="199"/>
    <n v="2.7"/>
    <n v="4"/>
    <n v="2"/>
    <n v="30"/>
    <n v="7"/>
    <s v="No"/>
    <s v="Yes"/>
    <s v="Yes"/>
    <s v="No"/>
    <s v="No"/>
    <s v="No"/>
    <m/>
    <s v="1+ Failures"/>
    <n v="0"/>
    <x v="0"/>
  </r>
  <r>
    <n v="120"/>
    <d v="2024-06-14T00:00:00"/>
    <s v="Premium"/>
    <n v="699"/>
    <n v="16.600000000000001"/>
    <n v="8"/>
    <n v="3"/>
    <n v="1"/>
    <n v="26"/>
    <s v="Yes"/>
    <s v="No"/>
    <s v="Yes"/>
    <s v="Yes"/>
    <s v="Yes"/>
    <s v="Yes"/>
    <m/>
    <s v="1+ Failures"/>
    <n v="1"/>
    <x v="1"/>
  </r>
  <r>
    <n v="121"/>
    <d v="2023-10-22T00:00:00"/>
    <s v="Standard"/>
    <n v="399"/>
    <n v="15.8"/>
    <n v="0"/>
    <n v="1"/>
    <n v="32"/>
    <n v="17"/>
    <s v="No"/>
    <s v="No"/>
    <s v="Yes"/>
    <s v="No"/>
    <s v="Yes"/>
    <s v="No"/>
    <m/>
    <s v="1+ Failures"/>
    <n v="0"/>
    <x v="1"/>
  </r>
  <r>
    <n v="122"/>
    <d v="2023-01-15T00:00:00"/>
    <s v="Standard"/>
    <n v="399"/>
    <n v="3.5"/>
    <n v="3"/>
    <n v="5"/>
    <n v="32"/>
    <n v="10"/>
    <s v="Yes"/>
    <s v="Yes"/>
    <s v="Yes"/>
    <s v="No"/>
    <s v="No"/>
    <s v="No"/>
    <m/>
    <s v="1+ Failures"/>
    <n v="1"/>
    <x v="0"/>
  </r>
  <r>
    <n v="123"/>
    <d v="2023-06-07T00:00:00"/>
    <s v="Premium"/>
    <n v="699"/>
    <n v="2.8"/>
    <n v="1"/>
    <n v="3"/>
    <n v="27"/>
    <n v="60"/>
    <s v="Yes"/>
    <s v="Yes"/>
    <s v="Yes"/>
    <s v="No"/>
    <s v="Yes"/>
    <s v="No"/>
    <m/>
    <s v="1+ Failures"/>
    <n v="1"/>
    <x v="0"/>
  </r>
  <r>
    <n v="124"/>
    <d v="2024-04-28T00:00:00"/>
    <s v="Standard"/>
    <n v="399"/>
    <n v="13"/>
    <n v="4"/>
    <n v="3"/>
    <n v="19"/>
    <n v="53"/>
    <s v="Yes"/>
    <s v="No"/>
    <s v="Yes"/>
    <s v="No"/>
    <s v="Yes"/>
    <s v="No"/>
    <m/>
    <s v="1+ Failures"/>
    <n v="1"/>
    <x v="1"/>
  </r>
  <r>
    <n v="125"/>
    <d v="2023-05-20T00:00:00"/>
    <s v="Basic"/>
    <n v="199"/>
    <n v="14"/>
    <n v="6"/>
    <n v="1"/>
    <n v="30"/>
    <n v="58"/>
    <s v="No"/>
    <s v="No"/>
    <s v="Yes"/>
    <s v="Yes"/>
    <s v="Yes"/>
    <s v="No"/>
    <m/>
    <s v="1+ Failures"/>
    <n v="0"/>
    <x v="1"/>
  </r>
  <r>
    <n v="126"/>
    <d v="2023-10-01T00:00:00"/>
    <s v="Basic"/>
    <n v="199"/>
    <n v="19.399999999999999"/>
    <n v="6"/>
    <n v="2"/>
    <n v="18"/>
    <n v="59"/>
    <s v="No"/>
    <s v="No"/>
    <s v="Yes"/>
    <s v="Yes"/>
    <s v="Yes"/>
    <s v="No"/>
    <m/>
    <s v="1+ Failures"/>
    <n v="0"/>
    <x v="1"/>
  </r>
  <r>
    <n v="127"/>
    <d v="2023-12-20T00:00:00"/>
    <s v="Basic"/>
    <n v="199"/>
    <n v="18.3"/>
    <n v="7"/>
    <n v="1"/>
    <n v="19"/>
    <n v="28"/>
    <s v="No"/>
    <s v="No"/>
    <s v="Yes"/>
    <s v="Yes"/>
    <s v="Yes"/>
    <s v="No"/>
    <m/>
    <s v="1+ Failures"/>
    <n v="0"/>
    <x v="1"/>
  </r>
  <r>
    <n v="128"/>
    <d v="2023-07-13T00:00:00"/>
    <s v="Standard"/>
    <n v="399"/>
    <n v="19.2"/>
    <n v="6"/>
    <n v="3"/>
    <n v="36"/>
    <n v="59"/>
    <s v="Yes"/>
    <s v="No"/>
    <s v="Yes"/>
    <s v="Yes"/>
    <s v="Yes"/>
    <s v="No"/>
    <m/>
    <s v="1+ Failures"/>
    <n v="1"/>
    <x v="1"/>
  </r>
  <r>
    <n v="129"/>
    <d v="2024-04-29T00:00:00"/>
    <s v="Premium"/>
    <n v="699"/>
    <n v="14.5"/>
    <n v="3"/>
    <n v="3"/>
    <n v="16"/>
    <n v="2"/>
    <s v="Yes"/>
    <s v="No"/>
    <s v="Yes"/>
    <s v="No"/>
    <s v="No"/>
    <s v="No"/>
    <m/>
    <s v="1+ Failures"/>
    <n v="1"/>
    <x v="1"/>
  </r>
  <r>
    <n v="130"/>
    <d v="2024-08-27T00:00:00"/>
    <s v="Premium"/>
    <n v="699"/>
    <n v="10"/>
    <n v="2"/>
    <n v="3"/>
    <n v="25"/>
    <n v="2"/>
    <s v="Yes"/>
    <s v="No"/>
    <s v="Yes"/>
    <s v="No"/>
    <s v="No"/>
    <s v="No"/>
    <m/>
    <s v="1+ Failures"/>
    <n v="1"/>
    <x v="2"/>
  </r>
  <r>
    <n v="131"/>
    <d v="2023-01-16T00:00:00"/>
    <s v="Standard"/>
    <n v="399"/>
    <n v="21.9"/>
    <n v="7"/>
    <n v="0"/>
    <n v="7"/>
    <n v="33"/>
    <s v="No"/>
    <s v="No"/>
    <s v="No"/>
    <s v="Yes"/>
    <s v="Yes"/>
    <s v="No"/>
    <m/>
    <s v="0 Failures"/>
    <n v="0"/>
    <x v="3"/>
  </r>
  <r>
    <n v="132"/>
    <d v="2023-09-29T00:00:00"/>
    <s v="Premium"/>
    <n v="699"/>
    <n v="10.5"/>
    <n v="2"/>
    <n v="0"/>
    <n v="10"/>
    <n v="30"/>
    <s v="No"/>
    <s v="No"/>
    <s v="No"/>
    <s v="No"/>
    <s v="Yes"/>
    <s v="No"/>
    <m/>
    <s v="0 Failures"/>
    <n v="0"/>
    <x v="1"/>
  </r>
  <r>
    <n v="133"/>
    <d v="2023-11-21T00:00:00"/>
    <s v="Standard"/>
    <n v="399"/>
    <n v="16.399999999999999"/>
    <n v="5"/>
    <n v="5"/>
    <n v="26"/>
    <n v="54"/>
    <s v="Yes"/>
    <s v="No"/>
    <s v="Yes"/>
    <s v="Yes"/>
    <s v="Yes"/>
    <s v="No"/>
    <m/>
    <s v="1+ Failures"/>
    <n v="1"/>
    <x v="1"/>
  </r>
  <r>
    <n v="134"/>
    <d v="2024-12-01T00:00:00"/>
    <s v="Premium"/>
    <n v="699"/>
    <n v="21.9"/>
    <n v="0"/>
    <n v="4"/>
    <n v="32"/>
    <n v="4"/>
    <s v="Yes"/>
    <s v="No"/>
    <s v="Yes"/>
    <s v="No"/>
    <s v="No"/>
    <s v="No"/>
    <m/>
    <s v="1+ Failures"/>
    <n v="1"/>
    <x v="3"/>
  </r>
  <r>
    <n v="135"/>
    <d v="2023-04-13T00:00:00"/>
    <s v="Standard"/>
    <n v="399"/>
    <n v="18.8"/>
    <n v="6"/>
    <n v="0"/>
    <n v="15"/>
    <n v="48"/>
    <s v="No"/>
    <s v="No"/>
    <s v="No"/>
    <s v="Yes"/>
    <s v="Yes"/>
    <s v="No"/>
    <m/>
    <s v="0 Failures"/>
    <n v="0"/>
    <x v="1"/>
  </r>
  <r>
    <n v="136"/>
    <d v="2023-10-28T00:00:00"/>
    <s v="Standard"/>
    <n v="399"/>
    <n v="17.5"/>
    <n v="0"/>
    <n v="0"/>
    <n v="11"/>
    <n v="20"/>
    <s v="No"/>
    <s v="No"/>
    <s v="No"/>
    <s v="No"/>
    <s v="Yes"/>
    <s v="No"/>
    <m/>
    <s v="0 Failures"/>
    <n v="0"/>
    <x v="1"/>
  </r>
  <r>
    <n v="137"/>
    <d v="2023-07-04T00:00:00"/>
    <s v="Standard"/>
    <n v="399"/>
    <n v="11.1"/>
    <n v="3"/>
    <n v="4"/>
    <n v="24"/>
    <n v="26"/>
    <s v="Yes"/>
    <s v="No"/>
    <s v="Yes"/>
    <s v="No"/>
    <s v="Yes"/>
    <s v="No"/>
    <m/>
    <s v="1+ Failures"/>
    <n v="1"/>
    <x v="1"/>
  </r>
  <r>
    <n v="138"/>
    <d v="2024-08-20T00:00:00"/>
    <s v="Basic"/>
    <n v="199"/>
    <n v="2.4"/>
    <n v="6"/>
    <n v="4"/>
    <n v="12"/>
    <n v="43"/>
    <s v="Yes"/>
    <s v="Yes"/>
    <s v="Yes"/>
    <s v="Yes"/>
    <s v="Yes"/>
    <s v="No"/>
    <m/>
    <s v="1+ Failures"/>
    <n v="1"/>
    <x v="0"/>
  </r>
  <r>
    <n v="139"/>
    <d v="2024-04-21T00:00:00"/>
    <s v="Basic"/>
    <n v="199"/>
    <n v="11.8"/>
    <n v="4"/>
    <n v="3"/>
    <n v="15"/>
    <n v="16"/>
    <s v="No"/>
    <s v="No"/>
    <s v="Yes"/>
    <s v="No"/>
    <s v="Yes"/>
    <s v="No"/>
    <m/>
    <s v="1+ Failures"/>
    <n v="0"/>
    <x v="1"/>
  </r>
  <r>
    <n v="140"/>
    <d v="2024-03-10T00:00:00"/>
    <s v="Standard"/>
    <n v="399"/>
    <n v="4.4000000000000004"/>
    <n v="7"/>
    <n v="2"/>
    <n v="35"/>
    <n v="37"/>
    <s v="Yes"/>
    <s v="Yes"/>
    <s v="Yes"/>
    <s v="Yes"/>
    <s v="Yes"/>
    <s v="No"/>
    <m/>
    <s v="1+ Failures"/>
    <n v="1"/>
    <x v="0"/>
  </r>
  <r>
    <n v="141"/>
    <d v="2023-04-20T00:00:00"/>
    <s v="Premium"/>
    <n v="699"/>
    <n v="11.7"/>
    <n v="4"/>
    <n v="1"/>
    <n v="17"/>
    <n v="24"/>
    <s v="No"/>
    <s v="No"/>
    <s v="Yes"/>
    <s v="No"/>
    <s v="Yes"/>
    <s v="No"/>
    <m/>
    <s v="1+ Failures"/>
    <n v="0"/>
    <x v="1"/>
  </r>
  <r>
    <n v="142"/>
    <d v="2024-11-05T00:00:00"/>
    <s v="Basic"/>
    <n v="199"/>
    <n v="14.5"/>
    <n v="4"/>
    <n v="5"/>
    <n v="25"/>
    <n v="18"/>
    <s v="Yes"/>
    <s v="No"/>
    <s v="Yes"/>
    <s v="No"/>
    <s v="Yes"/>
    <s v="No"/>
    <m/>
    <s v="1+ Failures"/>
    <n v="1"/>
    <x v="1"/>
  </r>
  <r>
    <n v="143"/>
    <d v="2023-10-21T00:00:00"/>
    <s v="Standard"/>
    <n v="399"/>
    <n v="0.7"/>
    <n v="0"/>
    <n v="4"/>
    <n v="18"/>
    <n v="47"/>
    <s v="Yes"/>
    <s v="Yes"/>
    <s v="Yes"/>
    <s v="No"/>
    <s v="Yes"/>
    <s v="No"/>
    <m/>
    <s v="1+ Failures"/>
    <n v="1"/>
    <x v="0"/>
  </r>
  <r>
    <n v="144"/>
    <d v="2024-11-06T00:00:00"/>
    <s v="Basic"/>
    <n v="199"/>
    <n v="5.9"/>
    <n v="3"/>
    <n v="4"/>
    <n v="23"/>
    <n v="16"/>
    <s v="No"/>
    <s v="No"/>
    <s v="Yes"/>
    <s v="No"/>
    <s v="Yes"/>
    <s v="No"/>
    <m/>
    <s v="1+ Failures"/>
    <n v="0"/>
    <x v="2"/>
  </r>
  <r>
    <n v="145"/>
    <d v="2024-08-16T00:00:00"/>
    <s v="Premium"/>
    <n v="699"/>
    <n v="15.9"/>
    <n v="0"/>
    <n v="2"/>
    <n v="9"/>
    <n v="50"/>
    <s v="Yes"/>
    <s v="No"/>
    <s v="Yes"/>
    <s v="No"/>
    <s v="Yes"/>
    <s v="No"/>
    <m/>
    <s v="1+ Failures"/>
    <n v="1"/>
    <x v="1"/>
  </r>
  <r>
    <n v="146"/>
    <d v="2023-07-25T00:00:00"/>
    <s v="Standard"/>
    <n v="399"/>
    <n v="2.7"/>
    <n v="4"/>
    <n v="2"/>
    <n v="9"/>
    <n v="47"/>
    <s v="Yes"/>
    <s v="Yes"/>
    <s v="Yes"/>
    <s v="No"/>
    <s v="Yes"/>
    <s v="No"/>
    <m/>
    <s v="1+ Failures"/>
    <n v="1"/>
    <x v="0"/>
  </r>
  <r>
    <n v="147"/>
    <d v="2023-06-18T00:00:00"/>
    <s v="Basic"/>
    <n v="199"/>
    <n v="22"/>
    <n v="5"/>
    <n v="4"/>
    <n v="35"/>
    <n v="32"/>
    <s v="No"/>
    <s v="No"/>
    <s v="Yes"/>
    <s v="Yes"/>
    <s v="Yes"/>
    <s v="No"/>
    <m/>
    <s v="1+ Failures"/>
    <n v="0"/>
    <x v="3"/>
  </r>
  <r>
    <n v="148"/>
    <d v="2023-04-28T00:00:00"/>
    <s v="Standard"/>
    <n v="399"/>
    <n v="24.2"/>
    <n v="4"/>
    <n v="5"/>
    <n v="31"/>
    <n v="55"/>
    <s v="Yes"/>
    <s v="No"/>
    <s v="Yes"/>
    <s v="No"/>
    <s v="Yes"/>
    <s v="No"/>
    <m/>
    <s v="1+ Failures"/>
    <n v="1"/>
    <x v="3"/>
  </r>
  <r>
    <n v="149"/>
    <d v="2024-02-11T00:00:00"/>
    <s v="Standard"/>
    <n v="399"/>
    <n v="3.9"/>
    <n v="3"/>
    <n v="5"/>
    <n v="5"/>
    <n v="46"/>
    <s v="Yes"/>
    <s v="Yes"/>
    <s v="Yes"/>
    <s v="No"/>
    <s v="Yes"/>
    <s v="Yes"/>
    <m/>
    <s v="1+ Failures"/>
    <n v="1"/>
    <x v="0"/>
  </r>
  <r>
    <n v="150"/>
    <d v="2024-04-10T00:00:00"/>
    <s v="Premium"/>
    <n v="699"/>
    <n v="2.7"/>
    <n v="6"/>
    <n v="0"/>
    <n v="24"/>
    <n v="16"/>
    <s v="No"/>
    <s v="Yes"/>
    <s v="No"/>
    <s v="Yes"/>
    <s v="Yes"/>
    <s v="No"/>
    <m/>
    <s v="0 Failures"/>
    <n v="0"/>
    <x v="0"/>
  </r>
  <r>
    <n v="151"/>
    <d v="2023-01-26T00:00:00"/>
    <s v="Standard"/>
    <n v="399"/>
    <n v="14.8"/>
    <n v="5"/>
    <n v="0"/>
    <n v="17"/>
    <n v="43"/>
    <s v="Yes"/>
    <s v="No"/>
    <s v="No"/>
    <s v="Yes"/>
    <s v="Yes"/>
    <s v="No"/>
    <m/>
    <s v="0 Failures"/>
    <n v="1"/>
    <x v="1"/>
  </r>
  <r>
    <n v="152"/>
    <d v="2024-04-20T00:00:00"/>
    <s v="Premium"/>
    <n v="699"/>
    <n v="8.5"/>
    <n v="3"/>
    <n v="5"/>
    <n v="36"/>
    <n v="4"/>
    <s v="No"/>
    <s v="No"/>
    <s v="Yes"/>
    <s v="No"/>
    <s v="No"/>
    <s v="No"/>
    <m/>
    <s v="1+ Failures"/>
    <n v="0"/>
    <x v="2"/>
  </r>
  <r>
    <n v="153"/>
    <d v="2023-11-08T00:00:00"/>
    <s v="Premium"/>
    <n v="699"/>
    <n v="16.399999999999999"/>
    <n v="1"/>
    <n v="1"/>
    <n v="20"/>
    <n v="2"/>
    <s v="No"/>
    <s v="No"/>
    <s v="Yes"/>
    <s v="No"/>
    <s v="No"/>
    <s v="No"/>
    <m/>
    <s v="1+ Failures"/>
    <n v="0"/>
    <x v="1"/>
  </r>
  <r>
    <n v="154"/>
    <d v="2024-11-17T00:00:00"/>
    <s v="Standard"/>
    <n v="399"/>
    <n v="2.9"/>
    <n v="8"/>
    <n v="1"/>
    <n v="8"/>
    <n v="24"/>
    <s v="Yes"/>
    <s v="Yes"/>
    <s v="Yes"/>
    <s v="Yes"/>
    <s v="Yes"/>
    <s v="No"/>
    <m/>
    <s v="1+ Failures"/>
    <n v="1"/>
    <x v="0"/>
  </r>
  <r>
    <n v="155"/>
    <d v="2024-05-16T00:00:00"/>
    <s v="Premium"/>
    <n v="699"/>
    <n v="10.8"/>
    <n v="2"/>
    <n v="3"/>
    <n v="35"/>
    <n v="41"/>
    <s v="Yes"/>
    <s v="No"/>
    <s v="Yes"/>
    <s v="No"/>
    <s v="Yes"/>
    <s v="No"/>
    <m/>
    <s v="1+ Failures"/>
    <n v="1"/>
    <x v="1"/>
  </r>
  <r>
    <n v="156"/>
    <d v="2024-03-30T00:00:00"/>
    <s v="Premium"/>
    <n v="699"/>
    <n v="23.5"/>
    <n v="4"/>
    <n v="0"/>
    <n v="27"/>
    <n v="44"/>
    <s v="Yes"/>
    <s v="No"/>
    <s v="No"/>
    <s v="No"/>
    <s v="Yes"/>
    <s v="No"/>
    <m/>
    <s v="0 Failures"/>
    <n v="1"/>
    <x v="3"/>
  </r>
  <r>
    <n v="157"/>
    <d v="2024-10-22T00:00:00"/>
    <s v="Standard"/>
    <n v="399"/>
    <n v="21.5"/>
    <n v="1"/>
    <n v="5"/>
    <n v="16"/>
    <n v="23"/>
    <s v="Yes"/>
    <s v="No"/>
    <s v="Yes"/>
    <s v="No"/>
    <s v="Yes"/>
    <s v="No"/>
    <m/>
    <s v="1+ Failures"/>
    <n v="1"/>
    <x v="3"/>
  </r>
  <r>
    <n v="158"/>
    <d v="2024-04-10T00:00:00"/>
    <s v="Standard"/>
    <n v="399"/>
    <n v="10.3"/>
    <n v="3"/>
    <n v="0"/>
    <n v="4"/>
    <n v="60"/>
    <s v="No"/>
    <s v="No"/>
    <s v="No"/>
    <s v="No"/>
    <s v="Yes"/>
    <s v="Yes"/>
    <m/>
    <s v="0 Failures"/>
    <n v="0"/>
    <x v="1"/>
  </r>
  <r>
    <n v="159"/>
    <d v="2023-05-09T00:00:00"/>
    <s v="Basic"/>
    <n v="199"/>
    <n v="16.2"/>
    <n v="0"/>
    <n v="0"/>
    <n v="14"/>
    <n v="50"/>
    <s v="Yes"/>
    <s v="No"/>
    <s v="No"/>
    <s v="No"/>
    <s v="Yes"/>
    <s v="No"/>
    <m/>
    <s v="0 Failures"/>
    <n v="1"/>
    <x v="1"/>
  </r>
  <r>
    <n v="160"/>
    <d v="2023-08-27T00:00:00"/>
    <s v="Premium"/>
    <n v="699"/>
    <n v="2.2000000000000002"/>
    <n v="8"/>
    <n v="1"/>
    <n v="14"/>
    <n v="37"/>
    <s v="Yes"/>
    <s v="Yes"/>
    <s v="Yes"/>
    <s v="Yes"/>
    <s v="Yes"/>
    <s v="No"/>
    <m/>
    <s v="1+ Failures"/>
    <n v="1"/>
    <x v="0"/>
  </r>
  <r>
    <n v="161"/>
    <d v="2023-05-14T00:00:00"/>
    <s v="Standard"/>
    <n v="399"/>
    <n v="19.8"/>
    <n v="0"/>
    <n v="2"/>
    <n v="10"/>
    <n v="54"/>
    <s v="No"/>
    <s v="No"/>
    <s v="Yes"/>
    <s v="No"/>
    <s v="Yes"/>
    <s v="No"/>
    <m/>
    <s v="1+ Failures"/>
    <n v="0"/>
    <x v="1"/>
  </r>
  <r>
    <n v="162"/>
    <d v="2023-01-16T00:00:00"/>
    <s v="Premium"/>
    <n v="699"/>
    <n v="20.100000000000001"/>
    <n v="1"/>
    <n v="5"/>
    <n v="17"/>
    <n v="55"/>
    <s v="Yes"/>
    <s v="No"/>
    <s v="Yes"/>
    <s v="No"/>
    <s v="Yes"/>
    <s v="No"/>
    <m/>
    <s v="1+ Failures"/>
    <n v="1"/>
    <x v="3"/>
  </r>
  <r>
    <n v="163"/>
    <d v="2024-03-07T00:00:00"/>
    <s v="Standard"/>
    <n v="399"/>
    <n v="14.9"/>
    <n v="0"/>
    <n v="1"/>
    <n v="16"/>
    <n v="16"/>
    <s v="Yes"/>
    <s v="No"/>
    <s v="Yes"/>
    <s v="No"/>
    <s v="Yes"/>
    <s v="No"/>
    <m/>
    <s v="1+ Failures"/>
    <n v="1"/>
    <x v="1"/>
  </r>
  <r>
    <n v="164"/>
    <d v="2024-08-30T00:00:00"/>
    <s v="Premium"/>
    <n v="699"/>
    <n v="18.8"/>
    <n v="7"/>
    <n v="3"/>
    <n v="8"/>
    <n v="49"/>
    <s v="Yes"/>
    <s v="No"/>
    <s v="Yes"/>
    <s v="Yes"/>
    <s v="Yes"/>
    <s v="No"/>
    <m/>
    <s v="1+ Failures"/>
    <n v="1"/>
    <x v="1"/>
  </r>
  <r>
    <n v="165"/>
    <d v="2024-11-05T00:00:00"/>
    <s v="Basic"/>
    <n v="199"/>
    <n v="12.8"/>
    <n v="0"/>
    <n v="5"/>
    <n v="29"/>
    <n v="50"/>
    <s v="No"/>
    <s v="No"/>
    <s v="Yes"/>
    <s v="No"/>
    <s v="Yes"/>
    <s v="No"/>
    <m/>
    <s v="1+ Failures"/>
    <n v="0"/>
    <x v="1"/>
  </r>
  <r>
    <n v="166"/>
    <d v="2024-03-12T00:00:00"/>
    <s v="Premium"/>
    <n v="699"/>
    <n v="11.7"/>
    <n v="0"/>
    <n v="0"/>
    <n v="20"/>
    <n v="30"/>
    <s v="No"/>
    <s v="No"/>
    <s v="No"/>
    <s v="No"/>
    <s v="Yes"/>
    <s v="No"/>
    <m/>
    <s v="0 Failures"/>
    <n v="0"/>
    <x v="1"/>
  </r>
  <r>
    <n v="167"/>
    <d v="2024-09-14T00:00:00"/>
    <s v="Premium"/>
    <n v="699"/>
    <n v="12.5"/>
    <n v="7"/>
    <n v="0"/>
    <n v="7"/>
    <n v="57"/>
    <s v="Yes"/>
    <s v="No"/>
    <s v="No"/>
    <s v="Yes"/>
    <s v="Yes"/>
    <s v="No"/>
    <m/>
    <s v="0 Failures"/>
    <n v="1"/>
    <x v="1"/>
  </r>
  <r>
    <n v="168"/>
    <d v="2024-09-03T00:00:00"/>
    <s v="Basic"/>
    <n v="199"/>
    <n v="3.6"/>
    <n v="8"/>
    <n v="5"/>
    <n v="5"/>
    <n v="20"/>
    <s v="Yes"/>
    <s v="Yes"/>
    <s v="Yes"/>
    <s v="Yes"/>
    <s v="Yes"/>
    <s v="Yes"/>
    <m/>
    <s v="1+ Failures"/>
    <n v="1"/>
    <x v="0"/>
  </r>
  <r>
    <n v="169"/>
    <d v="2024-11-01T00:00:00"/>
    <s v="Premium"/>
    <n v="699"/>
    <n v="11.6"/>
    <n v="6"/>
    <n v="0"/>
    <n v="19"/>
    <n v="50"/>
    <s v="No"/>
    <s v="No"/>
    <s v="No"/>
    <s v="Yes"/>
    <s v="Yes"/>
    <s v="No"/>
    <m/>
    <s v="0 Failures"/>
    <n v="0"/>
    <x v="1"/>
  </r>
  <r>
    <n v="170"/>
    <d v="2024-02-28T00:00:00"/>
    <s v="Premium"/>
    <n v="699"/>
    <n v="18.2"/>
    <n v="3"/>
    <n v="3"/>
    <n v="36"/>
    <n v="28"/>
    <s v="No"/>
    <s v="No"/>
    <s v="Yes"/>
    <s v="No"/>
    <s v="Yes"/>
    <s v="No"/>
    <m/>
    <s v="1+ Failures"/>
    <n v="0"/>
    <x v="1"/>
  </r>
  <r>
    <n v="171"/>
    <d v="2023-09-19T00:00:00"/>
    <s v="Standard"/>
    <n v="399"/>
    <n v="10.3"/>
    <n v="1"/>
    <n v="2"/>
    <n v="30"/>
    <n v="27"/>
    <s v="Yes"/>
    <s v="No"/>
    <s v="Yes"/>
    <s v="No"/>
    <s v="Yes"/>
    <s v="No"/>
    <m/>
    <s v="1+ Failures"/>
    <n v="1"/>
    <x v="1"/>
  </r>
  <r>
    <n v="172"/>
    <d v="2023-04-06T00:00:00"/>
    <s v="Standard"/>
    <n v="399"/>
    <n v="17.3"/>
    <n v="7"/>
    <n v="0"/>
    <n v="10"/>
    <n v="5"/>
    <s v="No"/>
    <s v="No"/>
    <s v="No"/>
    <s v="Yes"/>
    <s v="No"/>
    <s v="No"/>
    <m/>
    <s v="0 Failures"/>
    <n v="0"/>
    <x v="1"/>
  </r>
  <r>
    <n v="173"/>
    <d v="2024-07-29T00:00:00"/>
    <s v="Standard"/>
    <n v="399"/>
    <n v="18.7"/>
    <n v="5"/>
    <n v="1"/>
    <n v="7"/>
    <n v="35"/>
    <s v="Yes"/>
    <s v="No"/>
    <s v="Yes"/>
    <s v="Yes"/>
    <s v="Yes"/>
    <s v="No"/>
    <m/>
    <s v="1+ Failures"/>
    <n v="1"/>
    <x v="1"/>
  </r>
  <r>
    <n v="174"/>
    <d v="2024-03-09T00:00:00"/>
    <s v="Premium"/>
    <n v="699"/>
    <n v="16.899999999999999"/>
    <n v="6"/>
    <n v="2"/>
    <n v="22"/>
    <n v="55"/>
    <s v="Yes"/>
    <s v="No"/>
    <s v="Yes"/>
    <s v="Yes"/>
    <s v="Yes"/>
    <s v="No"/>
    <m/>
    <s v="1+ Failures"/>
    <n v="1"/>
    <x v="1"/>
  </r>
  <r>
    <n v="175"/>
    <d v="2023-08-06T00:00:00"/>
    <s v="Premium"/>
    <n v="699"/>
    <n v="24.2"/>
    <n v="4"/>
    <n v="2"/>
    <n v="4"/>
    <n v="6"/>
    <s v="No"/>
    <s v="No"/>
    <s v="Yes"/>
    <s v="No"/>
    <s v="No"/>
    <s v="Yes"/>
    <m/>
    <s v="1+ Failures"/>
    <n v="0"/>
    <x v="3"/>
  </r>
  <r>
    <n v="176"/>
    <d v="2023-04-28T00:00:00"/>
    <s v="Basic"/>
    <n v="199"/>
    <n v="6"/>
    <n v="1"/>
    <n v="2"/>
    <n v="31"/>
    <n v="54"/>
    <s v="Yes"/>
    <s v="No"/>
    <s v="Yes"/>
    <s v="No"/>
    <s v="Yes"/>
    <s v="No"/>
    <m/>
    <s v="1+ Failures"/>
    <n v="1"/>
    <x v="2"/>
  </r>
  <r>
    <n v="177"/>
    <d v="2024-07-24T00:00:00"/>
    <s v="Standard"/>
    <n v="399"/>
    <n v="20.3"/>
    <n v="8"/>
    <n v="4"/>
    <n v="15"/>
    <n v="39"/>
    <s v="Yes"/>
    <s v="No"/>
    <s v="Yes"/>
    <s v="Yes"/>
    <s v="Yes"/>
    <s v="No"/>
    <m/>
    <s v="1+ Failures"/>
    <n v="1"/>
    <x v="3"/>
  </r>
  <r>
    <n v="178"/>
    <d v="2023-12-14T00:00:00"/>
    <s v="Basic"/>
    <n v="199"/>
    <n v="1.2"/>
    <n v="4"/>
    <n v="5"/>
    <n v="18"/>
    <n v="48"/>
    <s v="Yes"/>
    <s v="Yes"/>
    <s v="Yes"/>
    <s v="No"/>
    <s v="Yes"/>
    <s v="No"/>
    <m/>
    <s v="1+ Failures"/>
    <n v="1"/>
    <x v="0"/>
  </r>
  <r>
    <n v="179"/>
    <d v="2023-05-26T00:00:00"/>
    <s v="Standard"/>
    <n v="399"/>
    <n v="4.9000000000000004"/>
    <n v="2"/>
    <n v="4"/>
    <n v="1"/>
    <n v="42"/>
    <s v="Yes"/>
    <s v="Yes"/>
    <s v="Yes"/>
    <s v="No"/>
    <s v="Yes"/>
    <s v="Yes"/>
    <m/>
    <s v="1+ Failures"/>
    <n v="1"/>
    <x v="0"/>
  </r>
  <r>
    <n v="180"/>
    <d v="2023-12-16T00:00:00"/>
    <s v="Premium"/>
    <n v="699"/>
    <n v="2.7"/>
    <n v="8"/>
    <n v="1"/>
    <n v="2"/>
    <n v="24"/>
    <s v="Yes"/>
    <s v="Yes"/>
    <s v="Yes"/>
    <s v="Yes"/>
    <s v="Yes"/>
    <s v="Yes"/>
    <m/>
    <s v="1+ Failures"/>
    <n v="1"/>
    <x v="0"/>
  </r>
  <r>
    <n v="181"/>
    <d v="2023-02-23T00:00:00"/>
    <s v="Basic"/>
    <n v="199"/>
    <n v="8.1"/>
    <n v="5"/>
    <n v="4"/>
    <n v="24"/>
    <n v="38"/>
    <s v="Yes"/>
    <s v="No"/>
    <s v="Yes"/>
    <s v="Yes"/>
    <s v="Yes"/>
    <s v="No"/>
    <m/>
    <s v="1+ Failures"/>
    <n v="1"/>
    <x v="2"/>
  </r>
  <r>
    <n v="182"/>
    <d v="2024-11-08T00:00:00"/>
    <s v="Basic"/>
    <n v="199"/>
    <n v="19"/>
    <n v="0"/>
    <n v="5"/>
    <n v="11"/>
    <n v="5"/>
    <s v="Yes"/>
    <s v="No"/>
    <s v="Yes"/>
    <s v="No"/>
    <s v="No"/>
    <s v="No"/>
    <m/>
    <s v="1+ Failures"/>
    <n v="1"/>
    <x v="1"/>
  </r>
  <r>
    <n v="183"/>
    <d v="2023-04-27T00:00:00"/>
    <s v="Standard"/>
    <n v="399"/>
    <n v="15.4"/>
    <n v="6"/>
    <n v="2"/>
    <n v="32"/>
    <n v="13"/>
    <s v="No"/>
    <s v="No"/>
    <s v="Yes"/>
    <s v="Yes"/>
    <s v="No"/>
    <s v="No"/>
    <m/>
    <s v="1+ Failures"/>
    <n v="0"/>
    <x v="1"/>
  </r>
  <r>
    <n v="184"/>
    <d v="2023-08-14T00:00:00"/>
    <s v="Standard"/>
    <n v="399"/>
    <n v="3.2"/>
    <n v="7"/>
    <n v="4"/>
    <n v="28"/>
    <n v="42"/>
    <s v="Yes"/>
    <s v="Yes"/>
    <s v="Yes"/>
    <s v="Yes"/>
    <s v="Yes"/>
    <s v="No"/>
    <m/>
    <s v="1+ Failures"/>
    <n v="1"/>
    <x v="0"/>
  </r>
  <r>
    <n v="185"/>
    <d v="2023-09-19T00:00:00"/>
    <s v="Standard"/>
    <n v="399"/>
    <n v="0.7"/>
    <n v="4"/>
    <n v="1"/>
    <n v="4"/>
    <n v="49"/>
    <s v="Yes"/>
    <s v="Yes"/>
    <s v="Yes"/>
    <s v="No"/>
    <s v="Yes"/>
    <s v="Yes"/>
    <m/>
    <s v="1+ Failures"/>
    <n v="1"/>
    <x v="0"/>
  </r>
  <r>
    <n v="186"/>
    <d v="2024-01-25T00:00:00"/>
    <s v="Standard"/>
    <n v="399"/>
    <n v="3.4"/>
    <n v="7"/>
    <n v="5"/>
    <n v="21"/>
    <n v="27"/>
    <s v="Yes"/>
    <s v="Yes"/>
    <s v="Yes"/>
    <s v="Yes"/>
    <s v="Yes"/>
    <s v="No"/>
    <m/>
    <s v="1+ Failures"/>
    <n v="1"/>
    <x v="0"/>
  </r>
  <r>
    <n v="187"/>
    <d v="2023-02-13T00:00:00"/>
    <s v="Premium"/>
    <n v="699"/>
    <n v="12.8"/>
    <n v="5"/>
    <n v="0"/>
    <n v="15"/>
    <n v="25"/>
    <s v="No"/>
    <s v="No"/>
    <s v="No"/>
    <s v="Yes"/>
    <s v="Yes"/>
    <s v="No"/>
    <m/>
    <s v="0 Failures"/>
    <n v="0"/>
    <x v="1"/>
  </r>
  <r>
    <n v="188"/>
    <d v="2024-02-19T00:00:00"/>
    <s v="Standard"/>
    <n v="399"/>
    <n v="11.8"/>
    <n v="1"/>
    <n v="2"/>
    <n v="2"/>
    <n v="36"/>
    <s v="Yes"/>
    <s v="No"/>
    <s v="Yes"/>
    <s v="No"/>
    <s v="Yes"/>
    <s v="Yes"/>
    <m/>
    <s v="1+ Failures"/>
    <n v="1"/>
    <x v="1"/>
  </r>
  <r>
    <n v="189"/>
    <d v="2024-09-24T00:00:00"/>
    <s v="Premium"/>
    <n v="699"/>
    <n v="7.6"/>
    <n v="6"/>
    <n v="0"/>
    <n v="27"/>
    <n v="20"/>
    <s v="Yes"/>
    <s v="No"/>
    <s v="No"/>
    <s v="Yes"/>
    <s v="Yes"/>
    <s v="No"/>
    <m/>
    <s v="0 Failures"/>
    <n v="1"/>
    <x v="2"/>
  </r>
  <r>
    <n v="190"/>
    <d v="2024-06-20T00:00:00"/>
    <s v="Standard"/>
    <n v="399"/>
    <n v="2.7"/>
    <n v="1"/>
    <n v="1"/>
    <n v="24"/>
    <n v="27"/>
    <s v="Yes"/>
    <s v="Yes"/>
    <s v="Yes"/>
    <s v="No"/>
    <s v="Yes"/>
    <s v="No"/>
    <m/>
    <s v="1+ Failures"/>
    <n v="1"/>
    <x v="0"/>
  </r>
  <r>
    <n v="191"/>
    <d v="2023-03-20T00:00:00"/>
    <s v="Basic"/>
    <n v="199"/>
    <n v="21.8"/>
    <n v="5"/>
    <n v="1"/>
    <n v="26"/>
    <n v="21"/>
    <s v="No"/>
    <s v="No"/>
    <s v="Yes"/>
    <s v="Yes"/>
    <s v="Yes"/>
    <s v="No"/>
    <m/>
    <s v="1+ Failures"/>
    <n v="0"/>
    <x v="3"/>
  </r>
  <r>
    <n v="192"/>
    <d v="2024-10-22T00:00:00"/>
    <s v="Premium"/>
    <n v="699"/>
    <n v="13.5"/>
    <n v="3"/>
    <n v="2"/>
    <n v="8"/>
    <n v="22"/>
    <s v="No"/>
    <s v="No"/>
    <s v="Yes"/>
    <s v="No"/>
    <s v="Yes"/>
    <s v="No"/>
    <m/>
    <s v="1+ Failures"/>
    <n v="0"/>
    <x v="1"/>
  </r>
  <r>
    <n v="193"/>
    <d v="2024-11-02T00:00:00"/>
    <s v="Basic"/>
    <n v="199"/>
    <n v="3"/>
    <n v="4"/>
    <n v="1"/>
    <n v="16"/>
    <n v="11"/>
    <s v="No"/>
    <s v="Yes"/>
    <s v="Yes"/>
    <s v="No"/>
    <s v="No"/>
    <s v="No"/>
    <m/>
    <s v="1+ Failures"/>
    <n v="0"/>
    <x v="0"/>
  </r>
  <r>
    <n v="194"/>
    <d v="2024-08-16T00:00:00"/>
    <s v="Basic"/>
    <n v="199"/>
    <n v="23.8"/>
    <n v="7"/>
    <n v="3"/>
    <n v="12"/>
    <n v="48"/>
    <s v="Yes"/>
    <s v="No"/>
    <s v="Yes"/>
    <s v="Yes"/>
    <s v="Yes"/>
    <s v="No"/>
    <m/>
    <s v="1+ Failures"/>
    <n v="1"/>
    <x v="3"/>
  </r>
  <r>
    <n v="195"/>
    <d v="2024-03-28T00:00:00"/>
    <s v="Standard"/>
    <n v="399"/>
    <n v="21.7"/>
    <n v="5"/>
    <n v="1"/>
    <n v="21"/>
    <n v="28"/>
    <s v="Yes"/>
    <s v="No"/>
    <s v="Yes"/>
    <s v="Yes"/>
    <s v="Yes"/>
    <s v="No"/>
    <m/>
    <s v="1+ Failures"/>
    <n v="1"/>
    <x v="3"/>
  </r>
  <r>
    <n v="196"/>
    <d v="2024-04-17T00:00:00"/>
    <s v="Premium"/>
    <n v="699"/>
    <n v="20"/>
    <n v="0"/>
    <n v="2"/>
    <n v="20"/>
    <n v="32"/>
    <s v="Yes"/>
    <s v="No"/>
    <s v="Yes"/>
    <s v="No"/>
    <s v="Yes"/>
    <s v="No"/>
    <m/>
    <s v="1+ Failures"/>
    <n v="1"/>
    <x v="1"/>
  </r>
  <r>
    <n v="197"/>
    <d v="2023-04-03T00:00:00"/>
    <s v="Standard"/>
    <n v="399"/>
    <n v="1.9"/>
    <n v="4"/>
    <n v="0"/>
    <n v="3"/>
    <n v="41"/>
    <s v="No"/>
    <s v="Yes"/>
    <s v="No"/>
    <s v="No"/>
    <s v="Yes"/>
    <s v="Yes"/>
    <m/>
    <s v="0 Failures"/>
    <n v="0"/>
    <x v="0"/>
  </r>
  <r>
    <n v="198"/>
    <d v="2024-08-08T00:00:00"/>
    <s v="Premium"/>
    <n v="699"/>
    <n v="9.9"/>
    <n v="8"/>
    <n v="5"/>
    <n v="33"/>
    <n v="57"/>
    <s v="Yes"/>
    <s v="No"/>
    <s v="Yes"/>
    <s v="Yes"/>
    <s v="Yes"/>
    <s v="No"/>
    <m/>
    <s v="1+ Failures"/>
    <n v="1"/>
    <x v="2"/>
  </r>
  <r>
    <n v="199"/>
    <d v="2024-04-06T00:00:00"/>
    <s v="Premium"/>
    <n v="699"/>
    <n v="8.4"/>
    <n v="7"/>
    <n v="4"/>
    <n v="13"/>
    <n v="9"/>
    <s v="No"/>
    <s v="No"/>
    <s v="Yes"/>
    <s v="Yes"/>
    <s v="No"/>
    <s v="No"/>
    <m/>
    <s v="1+ Failures"/>
    <n v="0"/>
    <x v="2"/>
  </r>
  <r>
    <n v="200"/>
    <d v="2023-09-11T00:00:00"/>
    <s v="Basic"/>
    <n v="199"/>
    <n v="24.6"/>
    <n v="1"/>
    <n v="4"/>
    <n v="22"/>
    <n v="41"/>
    <s v="Yes"/>
    <s v="No"/>
    <s v="Yes"/>
    <s v="No"/>
    <s v="Yes"/>
    <s v="No"/>
    <m/>
    <s v="1+ Failures"/>
    <n v="1"/>
    <x v="3"/>
  </r>
  <r>
    <n v="201"/>
    <d v="2024-01-17T00:00:00"/>
    <s v="Premium"/>
    <n v="699"/>
    <n v="24.8"/>
    <n v="8"/>
    <n v="4"/>
    <n v="29"/>
    <n v="39"/>
    <s v="Yes"/>
    <s v="No"/>
    <s v="Yes"/>
    <s v="Yes"/>
    <s v="Yes"/>
    <s v="No"/>
    <m/>
    <s v="1+ Failures"/>
    <n v="1"/>
    <x v="3"/>
  </r>
  <r>
    <n v="202"/>
    <d v="2024-10-08T00:00:00"/>
    <s v="Standard"/>
    <n v="399"/>
    <n v="10.5"/>
    <n v="5"/>
    <n v="5"/>
    <n v="25"/>
    <n v="38"/>
    <s v="Yes"/>
    <s v="No"/>
    <s v="Yes"/>
    <s v="Yes"/>
    <s v="Yes"/>
    <s v="No"/>
    <m/>
    <s v="1+ Failures"/>
    <n v="1"/>
    <x v="1"/>
  </r>
  <r>
    <n v="203"/>
    <d v="2023-09-16T00:00:00"/>
    <s v="Premium"/>
    <n v="699"/>
    <n v="2.1"/>
    <n v="1"/>
    <n v="4"/>
    <n v="22"/>
    <n v="43"/>
    <s v="Yes"/>
    <s v="Yes"/>
    <s v="Yes"/>
    <s v="No"/>
    <s v="Yes"/>
    <s v="No"/>
    <m/>
    <s v="1+ Failures"/>
    <n v="1"/>
    <x v="0"/>
  </r>
  <r>
    <n v="204"/>
    <d v="2024-12-16T00:00:00"/>
    <s v="Premium"/>
    <n v="699"/>
    <n v="8.6999999999999993"/>
    <n v="2"/>
    <n v="2"/>
    <n v="10"/>
    <n v="19"/>
    <s v="No"/>
    <s v="No"/>
    <s v="Yes"/>
    <s v="No"/>
    <s v="Yes"/>
    <s v="No"/>
    <m/>
    <s v="1+ Failures"/>
    <n v="0"/>
    <x v="2"/>
  </r>
  <r>
    <n v="205"/>
    <d v="2023-12-03T00:00:00"/>
    <s v="Premium"/>
    <n v="699"/>
    <n v="3.7"/>
    <n v="1"/>
    <n v="2"/>
    <n v="26"/>
    <n v="35"/>
    <s v="Yes"/>
    <s v="Yes"/>
    <s v="Yes"/>
    <s v="No"/>
    <s v="Yes"/>
    <s v="No"/>
    <m/>
    <s v="1+ Failures"/>
    <n v="1"/>
    <x v="0"/>
  </r>
  <r>
    <n v="206"/>
    <d v="2023-11-13T00:00:00"/>
    <s v="Basic"/>
    <n v="199"/>
    <n v="2.8"/>
    <n v="6"/>
    <n v="4"/>
    <n v="34"/>
    <n v="23"/>
    <s v="Yes"/>
    <s v="Yes"/>
    <s v="Yes"/>
    <s v="Yes"/>
    <s v="Yes"/>
    <s v="No"/>
    <m/>
    <s v="1+ Failures"/>
    <n v="1"/>
    <x v="0"/>
  </r>
  <r>
    <n v="207"/>
    <d v="2023-06-08T00:00:00"/>
    <s v="Basic"/>
    <n v="199"/>
    <n v="8.9"/>
    <n v="7"/>
    <n v="1"/>
    <n v="14"/>
    <n v="14"/>
    <s v="No"/>
    <s v="No"/>
    <s v="Yes"/>
    <s v="Yes"/>
    <s v="No"/>
    <s v="No"/>
    <m/>
    <s v="1+ Failures"/>
    <n v="0"/>
    <x v="2"/>
  </r>
  <r>
    <n v="208"/>
    <d v="2024-06-23T00:00:00"/>
    <s v="Basic"/>
    <n v="199"/>
    <n v="21.2"/>
    <n v="1"/>
    <n v="4"/>
    <n v="19"/>
    <n v="49"/>
    <s v="Yes"/>
    <s v="No"/>
    <s v="Yes"/>
    <s v="No"/>
    <s v="Yes"/>
    <s v="No"/>
    <m/>
    <s v="1+ Failures"/>
    <n v="1"/>
    <x v="3"/>
  </r>
  <r>
    <n v="209"/>
    <d v="2023-07-05T00:00:00"/>
    <s v="Basic"/>
    <n v="199"/>
    <n v="22"/>
    <n v="2"/>
    <n v="4"/>
    <n v="22"/>
    <n v="24"/>
    <s v="Yes"/>
    <s v="No"/>
    <s v="Yes"/>
    <s v="No"/>
    <s v="Yes"/>
    <s v="No"/>
    <m/>
    <s v="1+ Failures"/>
    <n v="1"/>
    <x v="3"/>
  </r>
  <r>
    <n v="210"/>
    <d v="2023-09-01T00:00:00"/>
    <s v="Premium"/>
    <n v="699"/>
    <n v="18.2"/>
    <n v="0"/>
    <n v="3"/>
    <n v="11"/>
    <n v="23"/>
    <s v="No"/>
    <s v="No"/>
    <s v="Yes"/>
    <s v="No"/>
    <s v="Yes"/>
    <s v="No"/>
    <m/>
    <s v="1+ Failures"/>
    <n v="0"/>
    <x v="1"/>
  </r>
  <r>
    <n v="211"/>
    <d v="2024-04-25T00:00:00"/>
    <s v="Standard"/>
    <n v="399"/>
    <n v="18.899999999999999"/>
    <n v="7"/>
    <n v="1"/>
    <n v="19"/>
    <n v="34"/>
    <s v="Yes"/>
    <s v="No"/>
    <s v="Yes"/>
    <s v="Yes"/>
    <s v="Yes"/>
    <s v="No"/>
    <m/>
    <s v="1+ Failures"/>
    <n v="1"/>
    <x v="1"/>
  </r>
  <r>
    <n v="212"/>
    <d v="2024-01-27T00:00:00"/>
    <s v="Basic"/>
    <n v="199"/>
    <n v="17.100000000000001"/>
    <n v="7"/>
    <n v="3"/>
    <n v="24"/>
    <n v="49"/>
    <s v="Yes"/>
    <s v="No"/>
    <s v="Yes"/>
    <s v="Yes"/>
    <s v="Yes"/>
    <s v="No"/>
    <m/>
    <s v="1+ Failures"/>
    <n v="1"/>
    <x v="1"/>
  </r>
  <r>
    <n v="213"/>
    <d v="2023-09-14T00:00:00"/>
    <s v="Premium"/>
    <n v="699"/>
    <n v="10.8"/>
    <n v="2"/>
    <n v="1"/>
    <n v="34"/>
    <n v="51"/>
    <s v="No"/>
    <s v="No"/>
    <s v="Yes"/>
    <s v="No"/>
    <s v="Yes"/>
    <s v="No"/>
    <m/>
    <s v="1+ Failures"/>
    <n v="0"/>
    <x v="1"/>
  </r>
  <r>
    <n v="214"/>
    <d v="2023-05-08T00:00:00"/>
    <s v="Basic"/>
    <n v="199"/>
    <n v="21.9"/>
    <n v="8"/>
    <n v="0"/>
    <n v="31"/>
    <n v="45"/>
    <s v="No"/>
    <s v="No"/>
    <s v="No"/>
    <s v="Yes"/>
    <s v="Yes"/>
    <s v="No"/>
    <m/>
    <s v="0 Failures"/>
    <n v="0"/>
    <x v="3"/>
  </r>
  <r>
    <n v="215"/>
    <d v="2024-03-23T00:00:00"/>
    <s v="Standard"/>
    <n v="399"/>
    <n v="19.2"/>
    <n v="4"/>
    <n v="3"/>
    <n v="6"/>
    <n v="57"/>
    <s v="Yes"/>
    <s v="No"/>
    <s v="Yes"/>
    <s v="No"/>
    <s v="Yes"/>
    <s v="No"/>
    <m/>
    <s v="1+ Failures"/>
    <n v="1"/>
    <x v="1"/>
  </r>
  <r>
    <n v="216"/>
    <d v="2024-05-29T00:00:00"/>
    <s v="Basic"/>
    <n v="199"/>
    <n v="20.5"/>
    <n v="5"/>
    <n v="0"/>
    <n v="15"/>
    <n v="26"/>
    <s v="Yes"/>
    <s v="No"/>
    <s v="No"/>
    <s v="Yes"/>
    <s v="Yes"/>
    <s v="No"/>
    <m/>
    <s v="0 Failures"/>
    <n v="1"/>
    <x v="3"/>
  </r>
  <r>
    <n v="217"/>
    <d v="2023-04-12T00:00:00"/>
    <s v="Standard"/>
    <n v="399"/>
    <n v="10"/>
    <n v="1"/>
    <n v="2"/>
    <n v="16"/>
    <n v="14"/>
    <s v="Yes"/>
    <s v="No"/>
    <s v="Yes"/>
    <s v="No"/>
    <s v="No"/>
    <s v="No"/>
    <m/>
    <s v="1+ Failures"/>
    <n v="1"/>
    <x v="2"/>
  </r>
  <r>
    <n v="218"/>
    <d v="2024-04-28T00:00:00"/>
    <s v="Premium"/>
    <n v="699"/>
    <n v="19.899999999999999"/>
    <n v="2"/>
    <n v="0"/>
    <n v="22"/>
    <n v="18"/>
    <s v="No"/>
    <s v="No"/>
    <s v="No"/>
    <s v="No"/>
    <s v="Yes"/>
    <s v="No"/>
    <m/>
    <s v="0 Failures"/>
    <n v="0"/>
    <x v="1"/>
  </r>
  <r>
    <n v="219"/>
    <d v="2023-03-23T00:00:00"/>
    <s v="Premium"/>
    <n v="699"/>
    <n v="19.100000000000001"/>
    <n v="7"/>
    <n v="3"/>
    <n v="9"/>
    <n v="39"/>
    <s v="Yes"/>
    <s v="No"/>
    <s v="Yes"/>
    <s v="Yes"/>
    <s v="Yes"/>
    <s v="No"/>
    <m/>
    <s v="1+ Failures"/>
    <n v="1"/>
    <x v="1"/>
  </r>
  <r>
    <n v="220"/>
    <d v="2024-06-24T00:00:00"/>
    <s v="Basic"/>
    <n v="199"/>
    <n v="5.8"/>
    <n v="2"/>
    <n v="4"/>
    <n v="17"/>
    <n v="60"/>
    <s v="No"/>
    <s v="No"/>
    <s v="Yes"/>
    <s v="No"/>
    <s v="Yes"/>
    <s v="No"/>
    <m/>
    <s v="1+ Failures"/>
    <n v="0"/>
    <x v="2"/>
  </r>
  <r>
    <n v="221"/>
    <d v="2024-03-05T00:00:00"/>
    <s v="Standard"/>
    <n v="399"/>
    <n v="19.5"/>
    <n v="3"/>
    <n v="2"/>
    <n v="8"/>
    <n v="7"/>
    <s v="Yes"/>
    <s v="No"/>
    <s v="Yes"/>
    <s v="No"/>
    <s v="No"/>
    <s v="No"/>
    <m/>
    <s v="1+ Failures"/>
    <n v="1"/>
    <x v="1"/>
  </r>
  <r>
    <n v="222"/>
    <d v="2024-06-11T00:00:00"/>
    <s v="Premium"/>
    <n v="699"/>
    <n v="2"/>
    <n v="7"/>
    <n v="4"/>
    <n v="30"/>
    <n v="34"/>
    <s v="Yes"/>
    <s v="Yes"/>
    <s v="Yes"/>
    <s v="Yes"/>
    <s v="Yes"/>
    <s v="No"/>
    <m/>
    <s v="1+ Failures"/>
    <n v="1"/>
    <x v="0"/>
  </r>
  <r>
    <n v="223"/>
    <d v="2023-09-04T00:00:00"/>
    <s v="Premium"/>
    <n v="699"/>
    <n v="18.100000000000001"/>
    <n v="4"/>
    <n v="3"/>
    <n v="16"/>
    <n v="0"/>
    <s v="No"/>
    <s v="No"/>
    <s v="Yes"/>
    <s v="No"/>
    <s v="No"/>
    <s v="No"/>
    <m/>
    <s v="1+ Failures"/>
    <n v="0"/>
    <x v="1"/>
  </r>
  <r>
    <n v="224"/>
    <d v="2024-06-22T00:00:00"/>
    <s v="Premium"/>
    <n v="699"/>
    <n v="5.0999999999999996"/>
    <n v="1"/>
    <n v="4"/>
    <n v="27"/>
    <n v="23"/>
    <s v="Yes"/>
    <s v="No"/>
    <s v="Yes"/>
    <s v="No"/>
    <s v="Yes"/>
    <s v="No"/>
    <m/>
    <s v="1+ Failures"/>
    <n v="1"/>
    <x v="2"/>
  </r>
  <r>
    <n v="225"/>
    <d v="2024-04-26T00:00:00"/>
    <s v="Premium"/>
    <n v="699"/>
    <n v="19.8"/>
    <n v="8"/>
    <n v="4"/>
    <n v="33"/>
    <n v="1"/>
    <s v="Yes"/>
    <s v="No"/>
    <s v="Yes"/>
    <s v="Yes"/>
    <s v="No"/>
    <s v="No"/>
    <m/>
    <s v="1+ Failures"/>
    <n v="1"/>
    <x v="1"/>
  </r>
  <r>
    <n v="226"/>
    <d v="2023-03-11T00:00:00"/>
    <s v="Basic"/>
    <n v="199"/>
    <n v="24.5"/>
    <n v="4"/>
    <n v="5"/>
    <n v="25"/>
    <n v="1"/>
    <s v="Yes"/>
    <s v="No"/>
    <s v="Yes"/>
    <s v="No"/>
    <s v="No"/>
    <s v="No"/>
    <m/>
    <s v="1+ Failures"/>
    <n v="1"/>
    <x v="3"/>
  </r>
  <r>
    <n v="227"/>
    <d v="2023-05-17T00:00:00"/>
    <s v="Standard"/>
    <n v="399"/>
    <n v="18.5"/>
    <n v="1"/>
    <n v="4"/>
    <n v="16"/>
    <n v="47"/>
    <s v="No"/>
    <s v="No"/>
    <s v="Yes"/>
    <s v="No"/>
    <s v="Yes"/>
    <s v="No"/>
    <m/>
    <s v="1+ Failures"/>
    <n v="0"/>
    <x v="1"/>
  </r>
  <r>
    <n v="228"/>
    <d v="2024-05-05T00:00:00"/>
    <s v="Basic"/>
    <n v="199"/>
    <n v="13.9"/>
    <n v="2"/>
    <n v="5"/>
    <n v="23"/>
    <n v="29"/>
    <s v="No"/>
    <s v="No"/>
    <s v="Yes"/>
    <s v="No"/>
    <s v="Yes"/>
    <s v="No"/>
    <m/>
    <s v="1+ Failures"/>
    <n v="0"/>
    <x v="1"/>
  </r>
  <r>
    <n v="229"/>
    <d v="2023-02-07T00:00:00"/>
    <s v="Premium"/>
    <n v="699"/>
    <n v="20.399999999999999"/>
    <n v="1"/>
    <n v="5"/>
    <n v="12"/>
    <n v="49"/>
    <s v="No"/>
    <s v="No"/>
    <s v="Yes"/>
    <s v="No"/>
    <s v="Yes"/>
    <s v="No"/>
    <m/>
    <s v="1+ Failures"/>
    <n v="0"/>
    <x v="3"/>
  </r>
  <r>
    <n v="230"/>
    <d v="2024-06-11T00:00:00"/>
    <s v="Standard"/>
    <n v="399"/>
    <n v="1.6"/>
    <n v="3"/>
    <n v="0"/>
    <n v="13"/>
    <n v="20"/>
    <s v="No"/>
    <s v="Yes"/>
    <s v="No"/>
    <s v="No"/>
    <s v="Yes"/>
    <s v="No"/>
    <m/>
    <s v="0 Failures"/>
    <n v="0"/>
    <x v="0"/>
  </r>
  <r>
    <n v="231"/>
    <d v="2023-02-18T00:00:00"/>
    <s v="Standard"/>
    <n v="399"/>
    <n v="12.1"/>
    <n v="0"/>
    <n v="5"/>
    <n v="35"/>
    <n v="12"/>
    <s v="Yes"/>
    <s v="No"/>
    <s v="Yes"/>
    <s v="No"/>
    <s v="No"/>
    <s v="No"/>
    <m/>
    <s v="1+ Failures"/>
    <n v="1"/>
    <x v="1"/>
  </r>
  <r>
    <n v="232"/>
    <d v="2024-03-26T00:00:00"/>
    <s v="Premium"/>
    <n v="699"/>
    <n v="7.2"/>
    <n v="5"/>
    <n v="3"/>
    <n v="22"/>
    <n v="56"/>
    <s v="Yes"/>
    <s v="No"/>
    <s v="Yes"/>
    <s v="Yes"/>
    <s v="Yes"/>
    <s v="No"/>
    <m/>
    <s v="1+ Failures"/>
    <n v="1"/>
    <x v="2"/>
  </r>
  <r>
    <n v="233"/>
    <d v="2024-06-15T00:00:00"/>
    <s v="Standard"/>
    <n v="399"/>
    <n v="24.4"/>
    <n v="7"/>
    <n v="5"/>
    <n v="22"/>
    <n v="31"/>
    <s v="Yes"/>
    <s v="No"/>
    <s v="Yes"/>
    <s v="Yes"/>
    <s v="Yes"/>
    <s v="No"/>
    <m/>
    <s v="1+ Failures"/>
    <n v="1"/>
    <x v="3"/>
  </r>
  <r>
    <n v="234"/>
    <d v="2023-07-04T00:00:00"/>
    <s v="Standard"/>
    <n v="399"/>
    <n v="18.3"/>
    <n v="1"/>
    <n v="3"/>
    <n v="6"/>
    <n v="38"/>
    <s v="No"/>
    <s v="No"/>
    <s v="Yes"/>
    <s v="No"/>
    <s v="Yes"/>
    <s v="No"/>
    <m/>
    <s v="1+ Failures"/>
    <n v="0"/>
    <x v="1"/>
  </r>
  <r>
    <n v="235"/>
    <d v="2024-04-01T00:00:00"/>
    <s v="Premium"/>
    <n v="699"/>
    <n v="8.4"/>
    <n v="1"/>
    <n v="2"/>
    <n v="19"/>
    <n v="42"/>
    <s v="Yes"/>
    <s v="No"/>
    <s v="Yes"/>
    <s v="No"/>
    <s v="Yes"/>
    <s v="No"/>
    <m/>
    <s v="1+ Failures"/>
    <n v="1"/>
    <x v="2"/>
  </r>
  <r>
    <n v="236"/>
    <d v="2023-12-28T00:00:00"/>
    <s v="Premium"/>
    <n v="699"/>
    <n v="4.5999999999999996"/>
    <n v="7"/>
    <n v="2"/>
    <n v="28"/>
    <n v="28"/>
    <s v="Yes"/>
    <s v="Yes"/>
    <s v="Yes"/>
    <s v="Yes"/>
    <s v="Yes"/>
    <s v="No"/>
    <m/>
    <s v="1+ Failures"/>
    <n v="1"/>
    <x v="0"/>
  </r>
  <r>
    <n v="237"/>
    <d v="2024-01-08T00:00:00"/>
    <s v="Premium"/>
    <n v="699"/>
    <n v="7.2"/>
    <n v="0"/>
    <n v="0"/>
    <n v="28"/>
    <n v="42"/>
    <s v="No"/>
    <s v="No"/>
    <s v="No"/>
    <s v="No"/>
    <s v="Yes"/>
    <s v="No"/>
    <m/>
    <s v="0 Failures"/>
    <n v="0"/>
    <x v="2"/>
  </r>
  <r>
    <n v="238"/>
    <d v="2023-02-05T00:00:00"/>
    <s v="Premium"/>
    <n v="699"/>
    <n v="23.8"/>
    <n v="2"/>
    <n v="4"/>
    <n v="11"/>
    <n v="43"/>
    <s v="No"/>
    <s v="No"/>
    <s v="Yes"/>
    <s v="No"/>
    <s v="Yes"/>
    <s v="No"/>
    <m/>
    <s v="1+ Failures"/>
    <n v="0"/>
    <x v="3"/>
  </r>
  <r>
    <n v="239"/>
    <d v="2023-02-03T00:00:00"/>
    <s v="Basic"/>
    <n v="199"/>
    <n v="6.3"/>
    <n v="5"/>
    <n v="2"/>
    <n v="5"/>
    <n v="24"/>
    <s v="No"/>
    <s v="No"/>
    <s v="Yes"/>
    <s v="Yes"/>
    <s v="Yes"/>
    <s v="Yes"/>
    <m/>
    <s v="1+ Failures"/>
    <n v="0"/>
    <x v="2"/>
  </r>
  <r>
    <n v="240"/>
    <d v="2024-08-10T00:00:00"/>
    <s v="Premium"/>
    <n v="699"/>
    <n v="17.100000000000001"/>
    <n v="5"/>
    <n v="2"/>
    <n v="10"/>
    <n v="28"/>
    <s v="No"/>
    <s v="No"/>
    <s v="Yes"/>
    <s v="Yes"/>
    <s v="Yes"/>
    <s v="No"/>
    <m/>
    <s v="1+ Failures"/>
    <n v="0"/>
    <x v="1"/>
  </r>
  <r>
    <n v="241"/>
    <d v="2023-04-27T00:00:00"/>
    <s v="Basic"/>
    <n v="199"/>
    <n v="9.5"/>
    <n v="5"/>
    <n v="5"/>
    <n v="34"/>
    <n v="17"/>
    <s v="Yes"/>
    <s v="No"/>
    <s v="Yes"/>
    <s v="Yes"/>
    <s v="Yes"/>
    <s v="No"/>
    <m/>
    <s v="1+ Failures"/>
    <n v="1"/>
    <x v="2"/>
  </r>
  <r>
    <n v="242"/>
    <d v="2023-09-24T00:00:00"/>
    <s v="Basic"/>
    <n v="199"/>
    <n v="12.7"/>
    <n v="6"/>
    <n v="4"/>
    <n v="12"/>
    <n v="7"/>
    <s v="Yes"/>
    <s v="No"/>
    <s v="Yes"/>
    <s v="Yes"/>
    <s v="No"/>
    <s v="No"/>
    <m/>
    <s v="1+ Failures"/>
    <n v="1"/>
    <x v="1"/>
  </r>
  <r>
    <n v="243"/>
    <d v="2023-07-24T00:00:00"/>
    <s v="Premium"/>
    <n v="699"/>
    <n v="5.8"/>
    <n v="4"/>
    <n v="5"/>
    <n v="29"/>
    <n v="58"/>
    <s v="No"/>
    <s v="No"/>
    <s v="Yes"/>
    <s v="No"/>
    <s v="Yes"/>
    <s v="No"/>
    <m/>
    <s v="1+ Failures"/>
    <n v="0"/>
    <x v="2"/>
  </r>
  <r>
    <n v="244"/>
    <d v="2023-03-31T00:00:00"/>
    <s v="Basic"/>
    <n v="199"/>
    <n v="21.4"/>
    <n v="7"/>
    <n v="1"/>
    <n v="9"/>
    <n v="57"/>
    <s v="No"/>
    <s v="No"/>
    <s v="Yes"/>
    <s v="Yes"/>
    <s v="Yes"/>
    <s v="No"/>
    <m/>
    <s v="1+ Failures"/>
    <n v="0"/>
    <x v="3"/>
  </r>
  <r>
    <n v="245"/>
    <d v="2023-11-04T00:00:00"/>
    <s v="Premium"/>
    <n v="699"/>
    <n v="16.899999999999999"/>
    <n v="1"/>
    <n v="4"/>
    <n v="21"/>
    <n v="34"/>
    <s v="Yes"/>
    <s v="No"/>
    <s v="Yes"/>
    <s v="No"/>
    <s v="Yes"/>
    <s v="No"/>
    <m/>
    <s v="1+ Failures"/>
    <n v="1"/>
    <x v="1"/>
  </r>
  <r>
    <n v="246"/>
    <d v="2023-05-23T00:00:00"/>
    <s v="Basic"/>
    <n v="199"/>
    <n v="19.899999999999999"/>
    <n v="8"/>
    <n v="1"/>
    <n v="12"/>
    <n v="7"/>
    <s v="No"/>
    <s v="No"/>
    <s v="Yes"/>
    <s v="Yes"/>
    <s v="No"/>
    <s v="No"/>
    <m/>
    <s v="1+ Failures"/>
    <n v="0"/>
    <x v="1"/>
  </r>
  <r>
    <n v="247"/>
    <d v="2024-07-18T00:00:00"/>
    <s v="Basic"/>
    <n v="199"/>
    <n v="1.1000000000000001"/>
    <n v="8"/>
    <n v="4"/>
    <n v="32"/>
    <n v="23"/>
    <s v="Yes"/>
    <s v="Yes"/>
    <s v="Yes"/>
    <s v="Yes"/>
    <s v="Yes"/>
    <s v="No"/>
    <m/>
    <s v="1+ Failures"/>
    <n v="1"/>
    <x v="0"/>
  </r>
  <r>
    <n v="248"/>
    <d v="2024-02-25T00:00:00"/>
    <s v="Basic"/>
    <n v="199"/>
    <n v="2.1"/>
    <n v="6"/>
    <n v="5"/>
    <n v="6"/>
    <n v="46"/>
    <s v="Yes"/>
    <s v="Yes"/>
    <s v="Yes"/>
    <s v="Yes"/>
    <s v="Yes"/>
    <s v="No"/>
    <m/>
    <s v="1+ Failures"/>
    <n v="1"/>
    <x v="0"/>
  </r>
  <r>
    <n v="249"/>
    <d v="2024-11-27T00:00:00"/>
    <s v="Standard"/>
    <n v="399"/>
    <n v="3.6"/>
    <n v="5"/>
    <n v="5"/>
    <n v="5"/>
    <n v="4"/>
    <s v="Yes"/>
    <s v="Yes"/>
    <s v="Yes"/>
    <s v="Yes"/>
    <s v="No"/>
    <s v="Yes"/>
    <m/>
    <s v="1+ Failures"/>
    <n v="1"/>
    <x v="0"/>
  </r>
  <r>
    <n v="250"/>
    <d v="2023-05-13T00:00:00"/>
    <s v="Premium"/>
    <n v="699"/>
    <n v="3.6"/>
    <n v="8"/>
    <n v="5"/>
    <n v="23"/>
    <n v="37"/>
    <s v="Yes"/>
    <s v="Yes"/>
    <s v="Yes"/>
    <s v="Yes"/>
    <s v="Yes"/>
    <s v="No"/>
    <m/>
    <s v="1+ Failures"/>
    <n v="1"/>
    <x v="0"/>
  </r>
  <r>
    <n v="251"/>
    <d v="2023-06-18T00:00:00"/>
    <s v="Standard"/>
    <n v="399"/>
    <n v="22.8"/>
    <n v="0"/>
    <n v="0"/>
    <n v="33"/>
    <n v="33"/>
    <s v="Yes"/>
    <s v="No"/>
    <s v="No"/>
    <s v="No"/>
    <s v="Yes"/>
    <s v="No"/>
    <m/>
    <s v="0 Failures"/>
    <n v="1"/>
    <x v="3"/>
  </r>
  <r>
    <n v="252"/>
    <d v="2023-10-18T00:00:00"/>
    <s v="Basic"/>
    <n v="199"/>
    <n v="23.4"/>
    <n v="3"/>
    <n v="2"/>
    <n v="21"/>
    <n v="60"/>
    <s v="No"/>
    <s v="No"/>
    <s v="Yes"/>
    <s v="No"/>
    <s v="Yes"/>
    <s v="No"/>
    <m/>
    <s v="1+ Failures"/>
    <n v="0"/>
    <x v="3"/>
  </r>
  <r>
    <n v="253"/>
    <d v="2024-09-21T00:00:00"/>
    <s v="Basic"/>
    <n v="199"/>
    <n v="5.3"/>
    <n v="8"/>
    <n v="2"/>
    <n v="17"/>
    <n v="8"/>
    <s v="No"/>
    <s v="No"/>
    <s v="Yes"/>
    <s v="Yes"/>
    <s v="No"/>
    <s v="No"/>
    <m/>
    <s v="1+ Failures"/>
    <n v="0"/>
    <x v="2"/>
  </r>
  <r>
    <n v="254"/>
    <d v="2023-06-25T00:00:00"/>
    <s v="Premium"/>
    <n v="699"/>
    <n v="12.8"/>
    <n v="2"/>
    <n v="4"/>
    <n v="6"/>
    <n v="60"/>
    <s v="Yes"/>
    <s v="No"/>
    <s v="Yes"/>
    <s v="No"/>
    <s v="Yes"/>
    <s v="No"/>
    <m/>
    <s v="1+ Failures"/>
    <n v="1"/>
    <x v="1"/>
  </r>
  <r>
    <n v="255"/>
    <d v="2024-10-18T00:00:00"/>
    <s v="Premium"/>
    <n v="699"/>
    <n v="21.1"/>
    <n v="0"/>
    <n v="0"/>
    <n v="22"/>
    <n v="5"/>
    <s v="Yes"/>
    <s v="No"/>
    <s v="No"/>
    <s v="No"/>
    <s v="No"/>
    <s v="No"/>
    <m/>
    <s v="0 Failures"/>
    <n v="1"/>
    <x v="3"/>
  </r>
  <r>
    <n v="256"/>
    <d v="2024-10-04T00:00:00"/>
    <s v="Premium"/>
    <n v="699"/>
    <n v="16.5"/>
    <n v="6"/>
    <n v="4"/>
    <n v="17"/>
    <n v="40"/>
    <s v="Yes"/>
    <s v="No"/>
    <s v="Yes"/>
    <s v="Yes"/>
    <s v="Yes"/>
    <s v="No"/>
    <m/>
    <s v="1+ Failures"/>
    <n v="1"/>
    <x v="1"/>
  </r>
  <r>
    <n v="257"/>
    <d v="2024-12-02T00:00:00"/>
    <s v="Premium"/>
    <n v="699"/>
    <n v="16.2"/>
    <n v="4"/>
    <n v="3"/>
    <n v="19"/>
    <n v="15"/>
    <s v="No"/>
    <s v="No"/>
    <s v="Yes"/>
    <s v="No"/>
    <s v="Yes"/>
    <s v="No"/>
    <m/>
    <s v="1+ Failures"/>
    <n v="0"/>
    <x v="1"/>
  </r>
  <r>
    <n v="258"/>
    <d v="2024-04-20T00:00:00"/>
    <s v="Standard"/>
    <n v="399"/>
    <n v="11.6"/>
    <n v="0"/>
    <n v="1"/>
    <n v="20"/>
    <n v="28"/>
    <s v="No"/>
    <s v="No"/>
    <s v="Yes"/>
    <s v="No"/>
    <s v="Yes"/>
    <s v="No"/>
    <m/>
    <s v="1+ Failures"/>
    <n v="0"/>
    <x v="1"/>
  </r>
  <r>
    <n v="259"/>
    <d v="2023-12-20T00:00:00"/>
    <s v="Basic"/>
    <n v="199"/>
    <n v="15.4"/>
    <n v="5"/>
    <n v="5"/>
    <n v="22"/>
    <n v="20"/>
    <s v="No"/>
    <s v="No"/>
    <s v="Yes"/>
    <s v="Yes"/>
    <s v="Yes"/>
    <s v="No"/>
    <m/>
    <s v="1+ Failures"/>
    <n v="0"/>
    <x v="1"/>
  </r>
  <r>
    <n v="260"/>
    <d v="2024-04-22T00:00:00"/>
    <s v="Standard"/>
    <n v="399"/>
    <n v="19.100000000000001"/>
    <n v="8"/>
    <n v="4"/>
    <n v="9"/>
    <n v="6"/>
    <s v="Yes"/>
    <s v="No"/>
    <s v="Yes"/>
    <s v="Yes"/>
    <s v="No"/>
    <s v="No"/>
    <m/>
    <s v="1+ Failures"/>
    <n v="1"/>
    <x v="1"/>
  </r>
  <r>
    <n v="261"/>
    <d v="2024-01-29T00:00:00"/>
    <s v="Basic"/>
    <n v="199"/>
    <n v="11.5"/>
    <n v="2"/>
    <n v="0"/>
    <n v="18"/>
    <n v="3"/>
    <s v="No"/>
    <s v="No"/>
    <s v="No"/>
    <s v="No"/>
    <s v="No"/>
    <s v="No"/>
    <m/>
    <s v="0 Failures"/>
    <n v="0"/>
    <x v="1"/>
  </r>
  <r>
    <n v="262"/>
    <d v="2023-11-17T00:00:00"/>
    <s v="Premium"/>
    <n v="699"/>
    <n v="6.6"/>
    <n v="2"/>
    <n v="2"/>
    <n v="27"/>
    <n v="59"/>
    <s v="Yes"/>
    <s v="No"/>
    <s v="Yes"/>
    <s v="No"/>
    <s v="Yes"/>
    <s v="No"/>
    <m/>
    <s v="1+ Failures"/>
    <n v="1"/>
    <x v="2"/>
  </r>
  <r>
    <n v="263"/>
    <d v="2024-05-24T00:00:00"/>
    <s v="Basic"/>
    <n v="199"/>
    <n v="12.7"/>
    <n v="8"/>
    <n v="3"/>
    <n v="11"/>
    <n v="31"/>
    <s v="No"/>
    <s v="No"/>
    <s v="Yes"/>
    <s v="Yes"/>
    <s v="Yes"/>
    <s v="No"/>
    <m/>
    <s v="1+ Failures"/>
    <n v="0"/>
    <x v="1"/>
  </r>
  <r>
    <n v="264"/>
    <d v="2023-12-28T00:00:00"/>
    <s v="Basic"/>
    <n v="199"/>
    <n v="23.7"/>
    <n v="8"/>
    <n v="3"/>
    <n v="6"/>
    <n v="15"/>
    <s v="Yes"/>
    <s v="No"/>
    <s v="Yes"/>
    <s v="Yes"/>
    <s v="Yes"/>
    <s v="No"/>
    <m/>
    <s v="1+ Failures"/>
    <n v="1"/>
    <x v="3"/>
  </r>
  <r>
    <n v="265"/>
    <d v="2023-04-21T00:00:00"/>
    <s v="Basic"/>
    <n v="199"/>
    <n v="7.4"/>
    <n v="7"/>
    <n v="2"/>
    <n v="4"/>
    <n v="34"/>
    <s v="Yes"/>
    <s v="No"/>
    <s v="Yes"/>
    <s v="Yes"/>
    <s v="Yes"/>
    <s v="Yes"/>
    <m/>
    <s v="1+ Failures"/>
    <n v="1"/>
    <x v="2"/>
  </r>
  <r>
    <n v="266"/>
    <d v="2023-02-22T00:00:00"/>
    <s v="Standard"/>
    <n v="399"/>
    <n v="22.1"/>
    <n v="5"/>
    <n v="3"/>
    <n v="9"/>
    <n v="23"/>
    <s v="Yes"/>
    <s v="No"/>
    <s v="Yes"/>
    <s v="Yes"/>
    <s v="Yes"/>
    <s v="No"/>
    <m/>
    <s v="1+ Failures"/>
    <n v="1"/>
    <x v="3"/>
  </r>
  <r>
    <n v="267"/>
    <d v="2024-04-06T00:00:00"/>
    <s v="Premium"/>
    <n v="699"/>
    <n v="5.3"/>
    <n v="8"/>
    <n v="2"/>
    <n v="36"/>
    <n v="4"/>
    <s v="Yes"/>
    <s v="No"/>
    <s v="Yes"/>
    <s v="Yes"/>
    <s v="No"/>
    <s v="No"/>
    <m/>
    <s v="1+ Failures"/>
    <n v="1"/>
    <x v="2"/>
  </r>
  <r>
    <n v="268"/>
    <d v="2023-12-14T00:00:00"/>
    <s v="Premium"/>
    <n v="699"/>
    <n v="20.7"/>
    <n v="1"/>
    <n v="1"/>
    <n v="18"/>
    <n v="6"/>
    <s v="No"/>
    <s v="No"/>
    <s v="Yes"/>
    <s v="No"/>
    <s v="No"/>
    <s v="No"/>
    <m/>
    <s v="1+ Failures"/>
    <n v="0"/>
    <x v="3"/>
  </r>
  <r>
    <n v="269"/>
    <d v="2023-02-11T00:00:00"/>
    <s v="Premium"/>
    <n v="699"/>
    <n v="19"/>
    <n v="3"/>
    <n v="4"/>
    <n v="24"/>
    <n v="32"/>
    <s v="Yes"/>
    <s v="No"/>
    <s v="Yes"/>
    <s v="No"/>
    <s v="Yes"/>
    <s v="No"/>
    <m/>
    <s v="1+ Failures"/>
    <n v="1"/>
    <x v="1"/>
  </r>
  <r>
    <n v="270"/>
    <d v="2024-09-12T00:00:00"/>
    <s v="Basic"/>
    <n v="199"/>
    <n v="3.9"/>
    <n v="5"/>
    <n v="3"/>
    <n v="3"/>
    <n v="33"/>
    <s v="Yes"/>
    <s v="Yes"/>
    <s v="Yes"/>
    <s v="Yes"/>
    <s v="Yes"/>
    <s v="Yes"/>
    <m/>
    <s v="1+ Failures"/>
    <n v="1"/>
    <x v="0"/>
  </r>
  <r>
    <n v="271"/>
    <d v="2023-11-03T00:00:00"/>
    <s v="Premium"/>
    <n v="699"/>
    <n v="8.5"/>
    <n v="5"/>
    <n v="1"/>
    <n v="9"/>
    <n v="25"/>
    <s v="No"/>
    <s v="No"/>
    <s v="Yes"/>
    <s v="Yes"/>
    <s v="Yes"/>
    <s v="No"/>
    <m/>
    <s v="1+ Failures"/>
    <n v="0"/>
    <x v="2"/>
  </r>
  <r>
    <n v="272"/>
    <d v="2023-11-03T00:00:00"/>
    <s v="Premium"/>
    <n v="699"/>
    <n v="12.9"/>
    <n v="8"/>
    <n v="4"/>
    <n v="22"/>
    <n v="31"/>
    <s v="Yes"/>
    <s v="No"/>
    <s v="Yes"/>
    <s v="Yes"/>
    <s v="Yes"/>
    <s v="No"/>
    <m/>
    <s v="1+ Failures"/>
    <n v="1"/>
    <x v="1"/>
  </r>
  <r>
    <n v="273"/>
    <d v="2024-12-05T00:00:00"/>
    <s v="Standard"/>
    <n v="399"/>
    <n v="9.5"/>
    <n v="1"/>
    <n v="3"/>
    <n v="2"/>
    <n v="37"/>
    <s v="Yes"/>
    <s v="No"/>
    <s v="Yes"/>
    <s v="No"/>
    <s v="Yes"/>
    <s v="Yes"/>
    <m/>
    <s v="1+ Failures"/>
    <n v="1"/>
    <x v="2"/>
  </r>
  <r>
    <n v="274"/>
    <d v="2024-08-15T00:00:00"/>
    <s v="Premium"/>
    <n v="699"/>
    <n v="15.1"/>
    <n v="4"/>
    <n v="5"/>
    <n v="2"/>
    <n v="50"/>
    <s v="No"/>
    <s v="No"/>
    <s v="Yes"/>
    <s v="No"/>
    <s v="Yes"/>
    <s v="Yes"/>
    <m/>
    <s v="1+ Failures"/>
    <n v="0"/>
    <x v="1"/>
  </r>
  <r>
    <n v="275"/>
    <d v="2024-09-26T00:00:00"/>
    <s v="Premium"/>
    <n v="699"/>
    <n v="18.2"/>
    <n v="7"/>
    <n v="1"/>
    <n v="15"/>
    <n v="33"/>
    <s v="No"/>
    <s v="No"/>
    <s v="Yes"/>
    <s v="Yes"/>
    <s v="Yes"/>
    <s v="No"/>
    <m/>
    <s v="1+ Failures"/>
    <n v="0"/>
    <x v="1"/>
  </r>
  <r>
    <n v="276"/>
    <d v="2023-04-23T00:00:00"/>
    <s v="Standard"/>
    <n v="399"/>
    <n v="20.6"/>
    <n v="3"/>
    <n v="0"/>
    <n v="10"/>
    <n v="36"/>
    <s v="No"/>
    <s v="No"/>
    <s v="No"/>
    <s v="No"/>
    <s v="Yes"/>
    <s v="No"/>
    <m/>
    <s v="0 Failures"/>
    <n v="0"/>
    <x v="3"/>
  </r>
  <r>
    <n v="277"/>
    <d v="2024-02-25T00:00:00"/>
    <s v="Basic"/>
    <n v="199"/>
    <n v="11.3"/>
    <n v="6"/>
    <n v="1"/>
    <n v="2"/>
    <n v="26"/>
    <s v="No"/>
    <s v="No"/>
    <s v="Yes"/>
    <s v="Yes"/>
    <s v="Yes"/>
    <s v="Yes"/>
    <m/>
    <s v="1+ Failures"/>
    <n v="0"/>
    <x v="1"/>
  </r>
  <r>
    <n v="278"/>
    <d v="2024-07-28T00:00:00"/>
    <s v="Premium"/>
    <n v="699"/>
    <n v="21.9"/>
    <n v="0"/>
    <n v="5"/>
    <n v="31"/>
    <n v="8"/>
    <s v="No"/>
    <s v="No"/>
    <s v="Yes"/>
    <s v="No"/>
    <s v="No"/>
    <s v="No"/>
    <m/>
    <s v="1+ Failures"/>
    <n v="0"/>
    <x v="3"/>
  </r>
  <r>
    <n v="279"/>
    <d v="2023-12-17T00:00:00"/>
    <s v="Standard"/>
    <n v="399"/>
    <n v="13.4"/>
    <n v="5"/>
    <n v="1"/>
    <n v="31"/>
    <n v="29"/>
    <s v="No"/>
    <s v="No"/>
    <s v="Yes"/>
    <s v="Yes"/>
    <s v="Yes"/>
    <s v="No"/>
    <m/>
    <s v="1+ Failures"/>
    <n v="0"/>
    <x v="1"/>
  </r>
  <r>
    <n v="280"/>
    <d v="2023-09-10T00:00:00"/>
    <s v="Premium"/>
    <n v="699"/>
    <n v="17.100000000000001"/>
    <n v="4"/>
    <n v="4"/>
    <n v="23"/>
    <n v="30"/>
    <s v="Yes"/>
    <s v="No"/>
    <s v="Yes"/>
    <s v="No"/>
    <s v="Yes"/>
    <s v="No"/>
    <m/>
    <s v="1+ Failures"/>
    <n v="1"/>
    <x v="1"/>
  </r>
  <r>
    <n v="281"/>
    <d v="2024-12-22T00:00:00"/>
    <s v="Standard"/>
    <n v="399"/>
    <n v="7.8"/>
    <n v="4"/>
    <n v="2"/>
    <n v="36"/>
    <n v="45"/>
    <s v="Yes"/>
    <s v="No"/>
    <s v="Yes"/>
    <s v="No"/>
    <s v="Yes"/>
    <s v="No"/>
    <m/>
    <s v="1+ Failures"/>
    <n v="1"/>
    <x v="2"/>
  </r>
  <r>
    <n v="282"/>
    <d v="2024-08-10T00:00:00"/>
    <s v="Standard"/>
    <n v="399"/>
    <n v="12.3"/>
    <n v="8"/>
    <n v="5"/>
    <n v="21"/>
    <n v="17"/>
    <s v="Yes"/>
    <s v="No"/>
    <s v="Yes"/>
    <s v="Yes"/>
    <s v="Yes"/>
    <s v="No"/>
    <m/>
    <s v="1+ Failures"/>
    <n v="1"/>
    <x v="1"/>
  </r>
  <r>
    <n v="283"/>
    <d v="2023-10-25T00:00:00"/>
    <s v="Premium"/>
    <n v="699"/>
    <n v="9.8000000000000007"/>
    <n v="6"/>
    <n v="2"/>
    <n v="35"/>
    <n v="49"/>
    <s v="No"/>
    <s v="No"/>
    <s v="Yes"/>
    <s v="Yes"/>
    <s v="Yes"/>
    <s v="No"/>
    <m/>
    <s v="1+ Failures"/>
    <n v="0"/>
    <x v="2"/>
  </r>
  <r>
    <n v="284"/>
    <d v="2023-09-20T00:00:00"/>
    <s v="Basic"/>
    <n v="199"/>
    <n v="23.9"/>
    <n v="1"/>
    <n v="2"/>
    <n v="19"/>
    <n v="59"/>
    <s v="Yes"/>
    <s v="No"/>
    <s v="Yes"/>
    <s v="No"/>
    <s v="Yes"/>
    <s v="No"/>
    <m/>
    <s v="1+ Failures"/>
    <n v="1"/>
    <x v="3"/>
  </r>
  <r>
    <n v="285"/>
    <d v="2023-10-06T00:00:00"/>
    <s v="Premium"/>
    <n v="699"/>
    <n v="5.7"/>
    <n v="8"/>
    <n v="2"/>
    <n v="31"/>
    <n v="59"/>
    <s v="Yes"/>
    <s v="No"/>
    <s v="Yes"/>
    <s v="Yes"/>
    <s v="Yes"/>
    <s v="No"/>
    <m/>
    <s v="1+ Failures"/>
    <n v="1"/>
    <x v="2"/>
  </r>
  <r>
    <n v="286"/>
    <d v="2024-06-27T00:00:00"/>
    <s v="Basic"/>
    <n v="199"/>
    <n v="15.6"/>
    <n v="3"/>
    <n v="1"/>
    <n v="7"/>
    <n v="3"/>
    <s v="No"/>
    <s v="No"/>
    <s v="Yes"/>
    <s v="No"/>
    <s v="No"/>
    <s v="No"/>
    <m/>
    <s v="1+ Failures"/>
    <n v="0"/>
    <x v="1"/>
  </r>
  <r>
    <n v="287"/>
    <d v="2024-11-28T00:00:00"/>
    <s v="Basic"/>
    <n v="199"/>
    <n v="1.8"/>
    <n v="6"/>
    <n v="2"/>
    <n v="15"/>
    <n v="45"/>
    <s v="Yes"/>
    <s v="Yes"/>
    <s v="Yes"/>
    <s v="Yes"/>
    <s v="Yes"/>
    <s v="No"/>
    <m/>
    <s v="1+ Failures"/>
    <n v="1"/>
    <x v="0"/>
  </r>
  <r>
    <n v="288"/>
    <d v="2024-05-02T00:00:00"/>
    <s v="Basic"/>
    <n v="199"/>
    <n v="24.1"/>
    <n v="2"/>
    <n v="3"/>
    <n v="1"/>
    <n v="41"/>
    <s v="No"/>
    <s v="No"/>
    <s v="Yes"/>
    <s v="No"/>
    <s v="Yes"/>
    <s v="Yes"/>
    <m/>
    <s v="1+ Failures"/>
    <n v="0"/>
    <x v="3"/>
  </r>
  <r>
    <n v="289"/>
    <d v="2023-04-02T00:00:00"/>
    <s v="Standard"/>
    <n v="399"/>
    <n v="19"/>
    <n v="4"/>
    <n v="2"/>
    <n v="13"/>
    <n v="18"/>
    <s v="No"/>
    <s v="No"/>
    <s v="Yes"/>
    <s v="No"/>
    <s v="Yes"/>
    <s v="No"/>
    <m/>
    <s v="1+ Failures"/>
    <n v="0"/>
    <x v="1"/>
  </r>
  <r>
    <n v="290"/>
    <d v="2023-06-30T00:00:00"/>
    <s v="Premium"/>
    <n v="699"/>
    <n v="13.6"/>
    <n v="0"/>
    <n v="1"/>
    <n v="15"/>
    <n v="26"/>
    <s v="No"/>
    <s v="No"/>
    <s v="Yes"/>
    <s v="No"/>
    <s v="Yes"/>
    <s v="No"/>
    <m/>
    <s v="1+ Failures"/>
    <n v="0"/>
    <x v="1"/>
  </r>
  <r>
    <n v="291"/>
    <d v="2023-02-08T00:00:00"/>
    <s v="Basic"/>
    <n v="199"/>
    <n v="19.8"/>
    <n v="2"/>
    <n v="5"/>
    <n v="26"/>
    <n v="55"/>
    <s v="No"/>
    <s v="No"/>
    <s v="Yes"/>
    <s v="No"/>
    <s v="Yes"/>
    <s v="No"/>
    <m/>
    <s v="1+ Failures"/>
    <n v="0"/>
    <x v="1"/>
  </r>
  <r>
    <n v="292"/>
    <d v="2024-10-18T00:00:00"/>
    <s v="Basic"/>
    <n v="199"/>
    <n v="14.4"/>
    <n v="1"/>
    <n v="2"/>
    <n v="20"/>
    <n v="18"/>
    <s v="No"/>
    <s v="No"/>
    <s v="Yes"/>
    <s v="No"/>
    <s v="Yes"/>
    <s v="No"/>
    <m/>
    <s v="1+ Failures"/>
    <n v="0"/>
    <x v="1"/>
  </r>
  <r>
    <n v="293"/>
    <d v="2023-04-26T00:00:00"/>
    <s v="Premium"/>
    <n v="699"/>
    <n v="12.6"/>
    <n v="2"/>
    <n v="4"/>
    <n v="34"/>
    <n v="29"/>
    <s v="Yes"/>
    <s v="No"/>
    <s v="Yes"/>
    <s v="No"/>
    <s v="Yes"/>
    <s v="No"/>
    <m/>
    <s v="1+ Failures"/>
    <n v="1"/>
    <x v="1"/>
  </r>
  <r>
    <n v="294"/>
    <d v="2023-12-12T00:00:00"/>
    <s v="Standard"/>
    <n v="399"/>
    <n v="18.399999999999999"/>
    <n v="4"/>
    <n v="5"/>
    <n v="11"/>
    <n v="11"/>
    <s v="Yes"/>
    <s v="No"/>
    <s v="Yes"/>
    <s v="No"/>
    <s v="No"/>
    <s v="No"/>
    <m/>
    <s v="1+ Failures"/>
    <n v="1"/>
    <x v="1"/>
  </r>
  <r>
    <n v="295"/>
    <d v="2024-02-15T00:00:00"/>
    <s v="Standard"/>
    <n v="399"/>
    <n v="4.8"/>
    <n v="6"/>
    <n v="3"/>
    <n v="13"/>
    <n v="32"/>
    <s v="Yes"/>
    <s v="Yes"/>
    <s v="Yes"/>
    <s v="Yes"/>
    <s v="Yes"/>
    <s v="No"/>
    <m/>
    <s v="1+ Failures"/>
    <n v="1"/>
    <x v="0"/>
  </r>
  <r>
    <n v="296"/>
    <d v="2023-01-07T00:00:00"/>
    <s v="Premium"/>
    <n v="699"/>
    <n v="5"/>
    <n v="2"/>
    <n v="3"/>
    <n v="7"/>
    <n v="20"/>
    <s v="No"/>
    <s v="No"/>
    <s v="Yes"/>
    <s v="No"/>
    <s v="Yes"/>
    <s v="No"/>
    <m/>
    <s v="1+ Failures"/>
    <n v="0"/>
    <x v="0"/>
  </r>
  <r>
    <n v="297"/>
    <d v="2024-08-09T00:00:00"/>
    <s v="Standard"/>
    <n v="399"/>
    <n v="6.3"/>
    <n v="4"/>
    <n v="2"/>
    <n v="25"/>
    <n v="19"/>
    <s v="No"/>
    <s v="No"/>
    <s v="Yes"/>
    <s v="No"/>
    <s v="Yes"/>
    <s v="No"/>
    <m/>
    <s v="1+ Failures"/>
    <n v="0"/>
    <x v="2"/>
  </r>
  <r>
    <n v="298"/>
    <d v="2023-11-11T00:00:00"/>
    <s v="Basic"/>
    <n v="199"/>
    <n v="16.5"/>
    <n v="3"/>
    <n v="0"/>
    <n v="17"/>
    <n v="42"/>
    <s v="Yes"/>
    <s v="No"/>
    <s v="No"/>
    <s v="No"/>
    <s v="Yes"/>
    <s v="No"/>
    <m/>
    <s v="0 Failures"/>
    <n v="1"/>
    <x v="1"/>
  </r>
  <r>
    <n v="299"/>
    <d v="2023-10-30T00:00:00"/>
    <s v="Basic"/>
    <n v="199"/>
    <n v="17.3"/>
    <n v="4"/>
    <n v="5"/>
    <n v="26"/>
    <n v="7"/>
    <s v="No"/>
    <s v="No"/>
    <s v="Yes"/>
    <s v="No"/>
    <s v="No"/>
    <s v="No"/>
    <m/>
    <s v="1+ Failures"/>
    <n v="0"/>
    <x v="1"/>
  </r>
  <r>
    <n v="300"/>
    <d v="2024-09-12T00:00:00"/>
    <s v="Standard"/>
    <n v="399"/>
    <n v="5.9"/>
    <n v="2"/>
    <n v="3"/>
    <n v="15"/>
    <n v="9"/>
    <s v="No"/>
    <s v="No"/>
    <s v="Yes"/>
    <s v="No"/>
    <s v="No"/>
    <s v="No"/>
    <m/>
    <s v="1+ Failures"/>
    <n v="0"/>
    <x v="2"/>
  </r>
  <r>
    <n v="301"/>
    <d v="2023-08-12T00:00:00"/>
    <s v="Standard"/>
    <n v="399"/>
    <n v="17.7"/>
    <n v="7"/>
    <n v="4"/>
    <n v="27"/>
    <n v="51"/>
    <s v="Yes"/>
    <s v="No"/>
    <s v="Yes"/>
    <s v="Yes"/>
    <s v="Yes"/>
    <s v="No"/>
    <m/>
    <s v="1+ Failures"/>
    <n v="1"/>
    <x v="1"/>
  </r>
  <r>
    <n v="302"/>
    <d v="2024-07-31T00:00:00"/>
    <s v="Basic"/>
    <n v="199"/>
    <n v="13.4"/>
    <n v="8"/>
    <n v="5"/>
    <n v="6"/>
    <n v="23"/>
    <s v="Yes"/>
    <s v="No"/>
    <s v="Yes"/>
    <s v="Yes"/>
    <s v="Yes"/>
    <s v="No"/>
    <m/>
    <s v="1+ Failures"/>
    <n v="1"/>
    <x v="1"/>
  </r>
  <r>
    <n v="303"/>
    <d v="2023-06-18T00:00:00"/>
    <s v="Basic"/>
    <n v="199"/>
    <n v="20.8"/>
    <n v="8"/>
    <n v="1"/>
    <n v="4"/>
    <n v="36"/>
    <s v="No"/>
    <s v="No"/>
    <s v="Yes"/>
    <s v="Yes"/>
    <s v="Yes"/>
    <s v="Yes"/>
    <m/>
    <s v="1+ Failures"/>
    <n v="0"/>
    <x v="3"/>
  </r>
  <r>
    <n v="304"/>
    <d v="2024-06-06T00:00:00"/>
    <s v="Standard"/>
    <n v="399"/>
    <n v="11.3"/>
    <n v="3"/>
    <n v="5"/>
    <n v="34"/>
    <n v="37"/>
    <s v="Yes"/>
    <s v="No"/>
    <s v="Yes"/>
    <s v="No"/>
    <s v="Yes"/>
    <s v="No"/>
    <m/>
    <s v="1+ Failures"/>
    <n v="1"/>
    <x v="1"/>
  </r>
  <r>
    <n v="305"/>
    <d v="2024-07-26T00:00:00"/>
    <s v="Standard"/>
    <n v="399"/>
    <n v="11.6"/>
    <n v="8"/>
    <n v="3"/>
    <n v="4"/>
    <n v="29"/>
    <s v="Yes"/>
    <s v="No"/>
    <s v="Yes"/>
    <s v="Yes"/>
    <s v="Yes"/>
    <s v="Yes"/>
    <m/>
    <s v="1+ Failures"/>
    <n v="1"/>
    <x v="1"/>
  </r>
  <r>
    <n v="306"/>
    <d v="2023-08-12T00:00:00"/>
    <s v="Standard"/>
    <n v="399"/>
    <n v="18.2"/>
    <n v="6"/>
    <n v="2"/>
    <n v="20"/>
    <n v="52"/>
    <s v="Yes"/>
    <s v="No"/>
    <s v="Yes"/>
    <s v="Yes"/>
    <s v="Yes"/>
    <s v="No"/>
    <m/>
    <s v="1+ Failures"/>
    <n v="1"/>
    <x v="1"/>
  </r>
  <r>
    <n v="307"/>
    <d v="2023-03-03T00:00:00"/>
    <s v="Premium"/>
    <n v="699"/>
    <n v="1.6"/>
    <n v="5"/>
    <n v="5"/>
    <n v="5"/>
    <n v="4"/>
    <s v="Yes"/>
    <s v="Yes"/>
    <s v="Yes"/>
    <s v="Yes"/>
    <s v="No"/>
    <s v="Yes"/>
    <m/>
    <s v="1+ Failures"/>
    <n v="1"/>
    <x v="0"/>
  </r>
  <r>
    <n v="308"/>
    <d v="2024-10-18T00:00:00"/>
    <s v="Basic"/>
    <n v="199"/>
    <n v="1.3"/>
    <n v="6"/>
    <n v="1"/>
    <n v="31"/>
    <n v="49"/>
    <s v="Yes"/>
    <s v="Yes"/>
    <s v="Yes"/>
    <s v="Yes"/>
    <s v="Yes"/>
    <s v="No"/>
    <m/>
    <s v="1+ Failures"/>
    <n v="1"/>
    <x v="0"/>
  </r>
  <r>
    <n v="309"/>
    <d v="2024-01-22T00:00:00"/>
    <s v="Premium"/>
    <n v="699"/>
    <n v="9.6999999999999993"/>
    <n v="6"/>
    <n v="3"/>
    <n v="27"/>
    <n v="55"/>
    <s v="No"/>
    <s v="No"/>
    <s v="Yes"/>
    <s v="Yes"/>
    <s v="Yes"/>
    <s v="No"/>
    <m/>
    <s v="1+ Failures"/>
    <n v="0"/>
    <x v="2"/>
  </r>
  <r>
    <n v="310"/>
    <d v="2023-05-02T00:00:00"/>
    <s v="Standard"/>
    <n v="399"/>
    <n v="17.2"/>
    <n v="8"/>
    <n v="1"/>
    <n v="6"/>
    <n v="41"/>
    <s v="No"/>
    <s v="No"/>
    <s v="Yes"/>
    <s v="Yes"/>
    <s v="Yes"/>
    <s v="No"/>
    <m/>
    <s v="1+ Failures"/>
    <n v="0"/>
    <x v="1"/>
  </r>
  <r>
    <n v="311"/>
    <d v="2023-01-24T00:00:00"/>
    <s v="Basic"/>
    <n v="199"/>
    <n v="10.1"/>
    <n v="2"/>
    <n v="5"/>
    <n v="35"/>
    <n v="14"/>
    <s v="No"/>
    <s v="No"/>
    <s v="Yes"/>
    <s v="No"/>
    <s v="No"/>
    <s v="No"/>
    <m/>
    <s v="1+ Failures"/>
    <n v="0"/>
    <x v="1"/>
  </r>
  <r>
    <n v="312"/>
    <d v="2023-08-24T00:00:00"/>
    <s v="Standard"/>
    <n v="399"/>
    <n v="17"/>
    <n v="8"/>
    <n v="3"/>
    <n v="30"/>
    <n v="34"/>
    <s v="Yes"/>
    <s v="No"/>
    <s v="Yes"/>
    <s v="Yes"/>
    <s v="Yes"/>
    <s v="No"/>
    <m/>
    <s v="1+ Failures"/>
    <n v="1"/>
    <x v="1"/>
  </r>
  <r>
    <n v="313"/>
    <d v="2023-04-26T00:00:00"/>
    <s v="Basic"/>
    <n v="199"/>
    <n v="9"/>
    <n v="4"/>
    <n v="1"/>
    <n v="30"/>
    <n v="59"/>
    <s v="No"/>
    <s v="No"/>
    <s v="Yes"/>
    <s v="No"/>
    <s v="Yes"/>
    <s v="No"/>
    <m/>
    <s v="1+ Failures"/>
    <n v="0"/>
    <x v="2"/>
  </r>
  <r>
    <n v="314"/>
    <d v="2024-08-31T00:00:00"/>
    <s v="Basic"/>
    <n v="199"/>
    <n v="15.6"/>
    <n v="0"/>
    <n v="1"/>
    <n v="27"/>
    <n v="13"/>
    <s v="Yes"/>
    <s v="No"/>
    <s v="Yes"/>
    <s v="No"/>
    <s v="No"/>
    <s v="No"/>
    <m/>
    <s v="1+ Failures"/>
    <n v="1"/>
    <x v="1"/>
  </r>
  <r>
    <n v="315"/>
    <d v="2024-03-25T00:00:00"/>
    <s v="Basic"/>
    <n v="199"/>
    <n v="15.1"/>
    <n v="0"/>
    <n v="1"/>
    <n v="29"/>
    <n v="47"/>
    <s v="Yes"/>
    <s v="No"/>
    <s v="Yes"/>
    <s v="No"/>
    <s v="Yes"/>
    <s v="No"/>
    <m/>
    <s v="1+ Failures"/>
    <n v="1"/>
    <x v="1"/>
  </r>
  <r>
    <n v="316"/>
    <d v="2023-08-28T00:00:00"/>
    <s v="Basic"/>
    <n v="199"/>
    <n v="5.8"/>
    <n v="0"/>
    <n v="1"/>
    <n v="35"/>
    <n v="32"/>
    <s v="No"/>
    <s v="No"/>
    <s v="Yes"/>
    <s v="No"/>
    <s v="Yes"/>
    <s v="No"/>
    <m/>
    <s v="1+ Failures"/>
    <n v="0"/>
    <x v="2"/>
  </r>
  <r>
    <n v="317"/>
    <d v="2024-11-07T00:00:00"/>
    <s v="Premium"/>
    <n v="699"/>
    <n v="14.6"/>
    <n v="5"/>
    <n v="1"/>
    <n v="21"/>
    <n v="19"/>
    <s v="No"/>
    <s v="No"/>
    <s v="Yes"/>
    <s v="Yes"/>
    <s v="Yes"/>
    <s v="No"/>
    <m/>
    <s v="1+ Failures"/>
    <n v="0"/>
    <x v="1"/>
  </r>
  <r>
    <n v="318"/>
    <d v="2023-06-29T00:00:00"/>
    <s v="Premium"/>
    <n v="699"/>
    <n v="10.6"/>
    <n v="4"/>
    <n v="0"/>
    <n v="15"/>
    <n v="35"/>
    <s v="No"/>
    <s v="No"/>
    <s v="No"/>
    <s v="No"/>
    <s v="Yes"/>
    <s v="No"/>
    <m/>
    <s v="0 Failures"/>
    <n v="0"/>
    <x v="1"/>
  </r>
  <r>
    <n v="319"/>
    <d v="2024-01-26T00:00:00"/>
    <s v="Premium"/>
    <n v="699"/>
    <n v="14.1"/>
    <n v="0"/>
    <n v="2"/>
    <n v="28"/>
    <n v="60"/>
    <s v="No"/>
    <s v="No"/>
    <s v="Yes"/>
    <s v="No"/>
    <s v="Yes"/>
    <s v="No"/>
    <m/>
    <s v="1+ Failures"/>
    <n v="0"/>
    <x v="1"/>
  </r>
  <r>
    <n v="320"/>
    <d v="2024-07-04T00:00:00"/>
    <s v="Premium"/>
    <n v="699"/>
    <n v="17.600000000000001"/>
    <n v="6"/>
    <n v="1"/>
    <n v="21"/>
    <n v="19"/>
    <s v="No"/>
    <s v="No"/>
    <s v="Yes"/>
    <s v="Yes"/>
    <s v="Yes"/>
    <s v="No"/>
    <m/>
    <s v="1+ Failures"/>
    <n v="0"/>
    <x v="1"/>
  </r>
  <r>
    <n v="321"/>
    <d v="2023-03-01T00:00:00"/>
    <s v="Standard"/>
    <n v="399"/>
    <n v="21.3"/>
    <n v="4"/>
    <n v="5"/>
    <n v="16"/>
    <n v="9"/>
    <s v="No"/>
    <s v="No"/>
    <s v="Yes"/>
    <s v="No"/>
    <s v="No"/>
    <s v="No"/>
    <m/>
    <s v="1+ Failures"/>
    <n v="0"/>
    <x v="3"/>
  </r>
  <r>
    <n v="322"/>
    <d v="2023-09-19T00:00:00"/>
    <s v="Premium"/>
    <n v="699"/>
    <n v="24.2"/>
    <n v="8"/>
    <n v="4"/>
    <n v="27"/>
    <n v="8"/>
    <s v="Yes"/>
    <s v="No"/>
    <s v="Yes"/>
    <s v="Yes"/>
    <s v="No"/>
    <s v="No"/>
    <m/>
    <s v="1+ Failures"/>
    <n v="1"/>
    <x v="3"/>
  </r>
  <r>
    <n v="323"/>
    <d v="2023-07-15T00:00:00"/>
    <s v="Basic"/>
    <n v="199"/>
    <n v="16.3"/>
    <n v="7"/>
    <n v="2"/>
    <n v="22"/>
    <n v="5"/>
    <s v="No"/>
    <s v="No"/>
    <s v="Yes"/>
    <s v="Yes"/>
    <s v="No"/>
    <s v="No"/>
    <m/>
    <s v="1+ Failures"/>
    <n v="0"/>
    <x v="1"/>
  </r>
  <r>
    <n v="324"/>
    <d v="2024-08-24T00:00:00"/>
    <s v="Basic"/>
    <n v="199"/>
    <n v="9.6999999999999993"/>
    <n v="0"/>
    <n v="0"/>
    <n v="18"/>
    <n v="12"/>
    <s v="No"/>
    <s v="No"/>
    <s v="No"/>
    <s v="No"/>
    <s v="No"/>
    <s v="No"/>
    <m/>
    <s v="0 Failures"/>
    <n v="0"/>
    <x v="2"/>
  </r>
  <r>
    <n v="325"/>
    <d v="2023-01-16T00:00:00"/>
    <s v="Premium"/>
    <n v="699"/>
    <n v="5.8"/>
    <n v="3"/>
    <n v="2"/>
    <n v="36"/>
    <n v="19"/>
    <s v="No"/>
    <s v="No"/>
    <s v="Yes"/>
    <s v="No"/>
    <s v="Yes"/>
    <s v="No"/>
    <m/>
    <s v="1+ Failures"/>
    <n v="0"/>
    <x v="2"/>
  </r>
  <r>
    <n v="326"/>
    <d v="2023-09-06T00:00:00"/>
    <s v="Basic"/>
    <n v="199"/>
    <n v="24.1"/>
    <n v="1"/>
    <n v="5"/>
    <n v="13"/>
    <n v="48"/>
    <s v="Yes"/>
    <s v="No"/>
    <s v="Yes"/>
    <s v="No"/>
    <s v="Yes"/>
    <s v="No"/>
    <m/>
    <s v="1+ Failures"/>
    <n v="1"/>
    <x v="3"/>
  </r>
  <r>
    <n v="327"/>
    <d v="2024-01-25T00:00:00"/>
    <s v="Premium"/>
    <n v="699"/>
    <n v="10.199999999999999"/>
    <n v="3"/>
    <n v="4"/>
    <n v="14"/>
    <n v="20"/>
    <s v="No"/>
    <s v="No"/>
    <s v="Yes"/>
    <s v="No"/>
    <s v="Yes"/>
    <s v="No"/>
    <m/>
    <s v="1+ Failures"/>
    <n v="0"/>
    <x v="1"/>
  </r>
  <r>
    <n v="328"/>
    <d v="2024-05-24T00:00:00"/>
    <s v="Standard"/>
    <n v="399"/>
    <n v="16.399999999999999"/>
    <n v="4"/>
    <n v="2"/>
    <n v="35"/>
    <n v="23"/>
    <s v="Yes"/>
    <s v="No"/>
    <s v="Yes"/>
    <s v="No"/>
    <s v="Yes"/>
    <s v="No"/>
    <m/>
    <s v="1+ Failures"/>
    <n v="1"/>
    <x v="1"/>
  </r>
  <r>
    <n v="329"/>
    <d v="2023-11-17T00:00:00"/>
    <s v="Standard"/>
    <n v="399"/>
    <n v="20.2"/>
    <n v="7"/>
    <n v="2"/>
    <n v="7"/>
    <n v="58"/>
    <s v="Yes"/>
    <s v="No"/>
    <s v="Yes"/>
    <s v="Yes"/>
    <s v="Yes"/>
    <s v="No"/>
    <m/>
    <s v="1+ Failures"/>
    <n v="1"/>
    <x v="3"/>
  </r>
  <r>
    <n v="330"/>
    <d v="2024-07-20T00:00:00"/>
    <s v="Standard"/>
    <n v="399"/>
    <n v="14.3"/>
    <n v="3"/>
    <n v="5"/>
    <n v="3"/>
    <n v="9"/>
    <s v="Yes"/>
    <s v="No"/>
    <s v="Yes"/>
    <s v="No"/>
    <s v="No"/>
    <s v="Yes"/>
    <m/>
    <s v="1+ Failures"/>
    <n v="1"/>
    <x v="1"/>
  </r>
  <r>
    <n v="331"/>
    <d v="2023-09-09T00:00:00"/>
    <s v="Premium"/>
    <n v="699"/>
    <n v="7.7"/>
    <n v="3"/>
    <n v="2"/>
    <n v="27"/>
    <n v="14"/>
    <s v="No"/>
    <s v="No"/>
    <s v="Yes"/>
    <s v="No"/>
    <s v="No"/>
    <s v="No"/>
    <m/>
    <s v="1+ Failures"/>
    <n v="0"/>
    <x v="2"/>
  </r>
  <r>
    <n v="332"/>
    <d v="2024-10-19T00:00:00"/>
    <s v="Standard"/>
    <n v="399"/>
    <n v="16.5"/>
    <n v="5"/>
    <n v="2"/>
    <n v="36"/>
    <n v="48"/>
    <s v="No"/>
    <s v="No"/>
    <s v="Yes"/>
    <s v="Yes"/>
    <s v="Yes"/>
    <s v="No"/>
    <m/>
    <s v="1+ Failures"/>
    <n v="0"/>
    <x v="1"/>
  </r>
  <r>
    <n v="333"/>
    <d v="2024-05-15T00:00:00"/>
    <s v="Premium"/>
    <n v="699"/>
    <n v="11.8"/>
    <n v="5"/>
    <n v="1"/>
    <n v="32"/>
    <n v="8"/>
    <s v="No"/>
    <s v="No"/>
    <s v="Yes"/>
    <s v="Yes"/>
    <s v="No"/>
    <s v="No"/>
    <m/>
    <s v="1+ Failures"/>
    <n v="0"/>
    <x v="1"/>
  </r>
  <r>
    <n v="334"/>
    <d v="2023-03-18T00:00:00"/>
    <s v="Basic"/>
    <n v="199"/>
    <n v="24.8"/>
    <n v="0"/>
    <n v="4"/>
    <n v="35"/>
    <n v="2"/>
    <s v="No"/>
    <s v="No"/>
    <s v="Yes"/>
    <s v="No"/>
    <s v="No"/>
    <s v="No"/>
    <m/>
    <s v="1+ Failures"/>
    <n v="0"/>
    <x v="3"/>
  </r>
  <r>
    <n v="335"/>
    <d v="2023-03-11T00:00:00"/>
    <s v="Premium"/>
    <n v="699"/>
    <n v="19.2"/>
    <n v="6"/>
    <n v="1"/>
    <n v="4"/>
    <n v="53"/>
    <s v="No"/>
    <s v="No"/>
    <s v="Yes"/>
    <s v="Yes"/>
    <s v="Yes"/>
    <s v="Yes"/>
    <m/>
    <s v="1+ Failures"/>
    <n v="0"/>
    <x v="1"/>
  </r>
  <r>
    <n v="336"/>
    <d v="2024-10-15T00:00:00"/>
    <s v="Premium"/>
    <n v="699"/>
    <n v="0.7"/>
    <n v="8"/>
    <n v="3"/>
    <n v="10"/>
    <n v="23"/>
    <s v="Yes"/>
    <s v="Yes"/>
    <s v="Yes"/>
    <s v="Yes"/>
    <s v="Yes"/>
    <s v="No"/>
    <m/>
    <s v="1+ Failures"/>
    <n v="1"/>
    <x v="0"/>
  </r>
  <r>
    <n v="337"/>
    <d v="2023-01-13T00:00:00"/>
    <s v="Premium"/>
    <n v="699"/>
    <n v="16.7"/>
    <n v="0"/>
    <n v="0"/>
    <n v="31"/>
    <n v="34"/>
    <s v="No"/>
    <s v="No"/>
    <s v="No"/>
    <s v="No"/>
    <s v="Yes"/>
    <s v="No"/>
    <m/>
    <s v="0 Failures"/>
    <n v="0"/>
    <x v="1"/>
  </r>
  <r>
    <n v="338"/>
    <d v="2024-12-15T00:00:00"/>
    <s v="Basic"/>
    <n v="199"/>
    <n v="18.2"/>
    <n v="8"/>
    <n v="2"/>
    <n v="34"/>
    <n v="1"/>
    <s v="No"/>
    <s v="No"/>
    <s v="Yes"/>
    <s v="Yes"/>
    <s v="No"/>
    <s v="No"/>
    <m/>
    <s v="1+ Failures"/>
    <n v="0"/>
    <x v="1"/>
  </r>
  <r>
    <n v="339"/>
    <d v="2023-06-02T00:00:00"/>
    <s v="Premium"/>
    <n v="699"/>
    <n v="20.3"/>
    <n v="2"/>
    <n v="0"/>
    <n v="28"/>
    <n v="58"/>
    <s v="Yes"/>
    <s v="No"/>
    <s v="No"/>
    <s v="No"/>
    <s v="Yes"/>
    <s v="No"/>
    <m/>
    <s v="0 Failures"/>
    <n v="1"/>
    <x v="3"/>
  </r>
  <r>
    <n v="340"/>
    <d v="2023-03-22T00:00:00"/>
    <s v="Basic"/>
    <n v="199"/>
    <n v="15.7"/>
    <n v="4"/>
    <n v="2"/>
    <n v="13"/>
    <n v="17"/>
    <s v="No"/>
    <s v="No"/>
    <s v="Yes"/>
    <s v="No"/>
    <s v="Yes"/>
    <s v="No"/>
    <m/>
    <s v="1+ Failures"/>
    <n v="0"/>
    <x v="1"/>
  </r>
  <r>
    <n v="341"/>
    <d v="2023-03-24T00:00:00"/>
    <s v="Standard"/>
    <n v="399"/>
    <n v="11.7"/>
    <n v="3"/>
    <n v="5"/>
    <n v="26"/>
    <n v="14"/>
    <s v="Yes"/>
    <s v="No"/>
    <s v="Yes"/>
    <s v="No"/>
    <s v="No"/>
    <s v="No"/>
    <m/>
    <s v="1+ Failures"/>
    <n v="1"/>
    <x v="1"/>
  </r>
  <r>
    <n v="342"/>
    <d v="2024-10-14T00:00:00"/>
    <s v="Premium"/>
    <n v="699"/>
    <n v="2.8"/>
    <n v="6"/>
    <n v="3"/>
    <n v="3"/>
    <n v="35"/>
    <s v="Yes"/>
    <s v="Yes"/>
    <s v="Yes"/>
    <s v="Yes"/>
    <s v="Yes"/>
    <s v="Yes"/>
    <m/>
    <s v="1+ Failures"/>
    <n v="1"/>
    <x v="0"/>
  </r>
  <r>
    <n v="343"/>
    <d v="2023-04-08T00:00:00"/>
    <s v="Basic"/>
    <n v="199"/>
    <n v="2.5"/>
    <n v="6"/>
    <n v="5"/>
    <n v="11"/>
    <n v="50"/>
    <s v="Yes"/>
    <s v="Yes"/>
    <s v="Yes"/>
    <s v="Yes"/>
    <s v="Yes"/>
    <s v="No"/>
    <m/>
    <s v="1+ Failures"/>
    <n v="1"/>
    <x v="0"/>
  </r>
  <r>
    <n v="344"/>
    <d v="2024-12-01T00:00:00"/>
    <s v="Premium"/>
    <n v="699"/>
    <n v="6.1"/>
    <n v="7"/>
    <n v="2"/>
    <n v="3"/>
    <n v="2"/>
    <s v="No"/>
    <s v="No"/>
    <s v="Yes"/>
    <s v="Yes"/>
    <s v="No"/>
    <s v="Yes"/>
    <m/>
    <s v="1+ Failures"/>
    <n v="0"/>
    <x v="2"/>
  </r>
  <r>
    <n v="345"/>
    <d v="2023-01-17T00:00:00"/>
    <s v="Standard"/>
    <n v="399"/>
    <n v="14.3"/>
    <n v="0"/>
    <n v="1"/>
    <n v="35"/>
    <n v="59"/>
    <s v="No"/>
    <s v="No"/>
    <s v="Yes"/>
    <s v="No"/>
    <s v="Yes"/>
    <s v="No"/>
    <m/>
    <s v="1+ Failures"/>
    <n v="0"/>
    <x v="1"/>
  </r>
  <r>
    <n v="346"/>
    <d v="2023-09-04T00:00:00"/>
    <s v="Basic"/>
    <n v="199"/>
    <n v="18.899999999999999"/>
    <n v="6"/>
    <n v="0"/>
    <n v="10"/>
    <n v="19"/>
    <s v="Yes"/>
    <s v="No"/>
    <s v="No"/>
    <s v="Yes"/>
    <s v="Yes"/>
    <s v="No"/>
    <m/>
    <s v="0 Failures"/>
    <n v="1"/>
    <x v="1"/>
  </r>
  <r>
    <n v="347"/>
    <d v="2023-05-24T00:00:00"/>
    <s v="Premium"/>
    <n v="699"/>
    <n v="17.100000000000001"/>
    <n v="8"/>
    <n v="2"/>
    <n v="25"/>
    <n v="24"/>
    <s v="No"/>
    <s v="No"/>
    <s v="Yes"/>
    <s v="Yes"/>
    <s v="Yes"/>
    <s v="No"/>
    <m/>
    <s v="1+ Failures"/>
    <n v="0"/>
    <x v="1"/>
  </r>
  <r>
    <n v="348"/>
    <d v="2023-03-19T00:00:00"/>
    <s v="Premium"/>
    <n v="699"/>
    <n v="12.8"/>
    <n v="5"/>
    <n v="0"/>
    <n v="6"/>
    <n v="6"/>
    <s v="No"/>
    <s v="No"/>
    <s v="No"/>
    <s v="Yes"/>
    <s v="No"/>
    <s v="No"/>
    <m/>
    <s v="0 Failures"/>
    <n v="0"/>
    <x v="1"/>
  </r>
  <r>
    <n v="349"/>
    <d v="2024-04-06T00:00:00"/>
    <s v="Standard"/>
    <n v="399"/>
    <n v="24.2"/>
    <n v="5"/>
    <n v="0"/>
    <n v="26"/>
    <n v="40"/>
    <s v="Yes"/>
    <s v="No"/>
    <s v="No"/>
    <s v="Yes"/>
    <s v="Yes"/>
    <s v="No"/>
    <m/>
    <s v="0 Failures"/>
    <n v="1"/>
    <x v="3"/>
  </r>
  <r>
    <n v="350"/>
    <d v="2024-11-07T00:00:00"/>
    <s v="Standard"/>
    <n v="399"/>
    <n v="9.1999999999999993"/>
    <n v="6"/>
    <n v="3"/>
    <n v="15"/>
    <n v="11"/>
    <s v="No"/>
    <s v="No"/>
    <s v="Yes"/>
    <s v="Yes"/>
    <s v="No"/>
    <s v="No"/>
    <m/>
    <s v="1+ Failures"/>
    <n v="0"/>
    <x v="2"/>
  </r>
  <r>
    <n v="351"/>
    <d v="2023-10-02T00:00:00"/>
    <s v="Standard"/>
    <n v="399"/>
    <n v="19.399999999999999"/>
    <n v="4"/>
    <n v="1"/>
    <n v="6"/>
    <n v="45"/>
    <s v="Yes"/>
    <s v="No"/>
    <s v="Yes"/>
    <s v="No"/>
    <s v="Yes"/>
    <s v="No"/>
    <m/>
    <s v="1+ Failures"/>
    <n v="1"/>
    <x v="1"/>
  </r>
  <r>
    <n v="352"/>
    <d v="2023-04-20T00:00:00"/>
    <s v="Basic"/>
    <n v="199"/>
    <n v="17.899999999999999"/>
    <n v="2"/>
    <n v="5"/>
    <n v="25"/>
    <n v="24"/>
    <s v="Yes"/>
    <s v="No"/>
    <s v="Yes"/>
    <s v="No"/>
    <s v="Yes"/>
    <s v="No"/>
    <m/>
    <s v="1+ Failures"/>
    <n v="1"/>
    <x v="1"/>
  </r>
  <r>
    <n v="353"/>
    <d v="2023-05-16T00:00:00"/>
    <s v="Basic"/>
    <n v="199"/>
    <n v="23.6"/>
    <n v="7"/>
    <n v="2"/>
    <n v="1"/>
    <n v="48"/>
    <s v="Yes"/>
    <s v="No"/>
    <s v="Yes"/>
    <s v="Yes"/>
    <s v="Yes"/>
    <s v="Yes"/>
    <m/>
    <s v="1+ Failures"/>
    <n v="1"/>
    <x v="3"/>
  </r>
  <r>
    <n v="354"/>
    <d v="2023-01-27T00:00:00"/>
    <s v="Basic"/>
    <n v="199"/>
    <n v="11.1"/>
    <n v="8"/>
    <n v="4"/>
    <n v="12"/>
    <n v="32"/>
    <s v="Yes"/>
    <s v="No"/>
    <s v="Yes"/>
    <s v="Yes"/>
    <s v="Yes"/>
    <s v="No"/>
    <m/>
    <s v="1+ Failures"/>
    <n v="1"/>
    <x v="1"/>
  </r>
  <r>
    <n v="355"/>
    <d v="2024-02-02T00:00:00"/>
    <s v="Basic"/>
    <n v="199"/>
    <n v="14.1"/>
    <n v="5"/>
    <n v="3"/>
    <n v="23"/>
    <n v="0"/>
    <s v="Yes"/>
    <s v="No"/>
    <s v="Yes"/>
    <s v="Yes"/>
    <s v="No"/>
    <s v="No"/>
    <m/>
    <s v="1+ Failures"/>
    <n v="1"/>
    <x v="1"/>
  </r>
  <r>
    <n v="356"/>
    <d v="2024-01-25T00:00:00"/>
    <s v="Basic"/>
    <n v="199"/>
    <n v="22.7"/>
    <n v="3"/>
    <n v="4"/>
    <n v="36"/>
    <n v="33"/>
    <s v="Yes"/>
    <s v="No"/>
    <s v="Yes"/>
    <s v="No"/>
    <s v="Yes"/>
    <s v="No"/>
    <m/>
    <s v="1+ Failures"/>
    <n v="1"/>
    <x v="3"/>
  </r>
  <r>
    <n v="357"/>
    <d v="2024-03-21T00:00:00"/>
    <s v="Basic"/>
    <n v="199"/>
    <n v="7.1"/>
    <n v="4"/>
    <n v="3"/>
    <n v="9"/>
    <n v="9"/>
    <s v="Yes"/>
    <s v="No"/>
    <s v="Yes"/>
    <s v="No"/>
    <s v="No"/>
    <s v="No"/>
    <m/>
    <s v="1+ Failures"/>
    <n v="1"/>
    <x v="2"/>
  </r>
  <r>
    <n v="358"/>
    <d v="2024-10-02T00:00:00"/>
    <s v="Standard"/>
    <n v="399"/>
    <n v="7.8"/>
    <n v="1"/>
    <n v="2"/>
    <n v="27"/>
    <n v="16"/>
    <s v="No"/>
    <s v="No"/>
    <s v="Yes"/>
    <s v="No"/>
    <s v="Yes"/>
    <s v="No"/>
    <m/>
    <s v="1+ Failures"/>
    <n v="0"/>
    <x v="2"/>
  </r>
  <r>
    <n v="359"/>
    <d v="2023-12-07T00:00:00"/>
    <s v="Standard"/>
    <n v="399"/>
    <n v="11.7"/>
    <n v="2"/>
    <n v="2"/>
    <n v="13"/>
    <n v="0"/>
    <s v="No"/>
    <s v="No"/>
    <s v="Yes"/>
    <s v="No"/>
    <s v="No"/>
    <s v="No"/>
    <m/>
    <s v="1+ Failures"/>
    <n v="0"/>
    <x v="1"/>
  </r>
  <r>
    <n v="360"/>
    <d v="2024-10-28T00:00:00"/>
    <s v="Premium"/>
    <n v="699"/>
    <n v="20.2"/>
    <n v="5"/>
    <n v="3"/>
    <n v="25"/>
    <n v="21"/>
    <s v="Yes"/>
    <s v="No"/>
    <s v="Yes"/>
    <s v="Yes"/>
    <s v="Yes"/>
    <s v="No"/>
    <m/>
    <s v="1+ Failures"/>
    <n v="1"/>
    <x v="3"/>
  </r>
  <r>
    <n v="361"/>
    <d v="2024-02-12T00:00:00"/>
    <s v="Premium"/>
    <n v="699"/>
    <n v="7.9"/>
    <n v="3"/>
    <n v="3"/>
    <n v="9"/>
    <n v="20"/>
    <s v="Yes"/>
    <s v="No"/>
    <s v="Yes"/>
    <s v="No"/>
    <s v="Yes"/>
    <s v="No"/>
    <m/>
    <s v="1+ Failures"/>
    <n v="1"/>
    <x v="2"/>
  </r>
  <r>
    <n v="362"/>
    <d v="2024-01-21T00:00:00"/>
    <s v="Standard"/>
    <n v="399"/>
    <n v="18.5"/>
    <n v="7"/>
    <n v="4"/>
    <n v="19"/>
    <n v="50"/>
    <s v="Yes"/>
    <s v="No"/>
    <s v="Yes"/>
    <s v="Yes"/>
    <s v="Yes"/>
    <s v="No"/>
    <m/>
    <s v="1+ Failures"/>
    <n v="1"/>
    <x v="1"/>
  </r>
  <r>
    <n v="363"/>
    <d v="2024-07-17T00:00:00"/>
    <s v="Standard"/>
    <n v="399"/>
    <n v="9.4"/>
    <n v="3"/>
    <n v="4"/>
    <n v="26"/>
    <n v="34"/>
    <s v="Yes"/>
    <s v="No"/>
    <s v="Yes"/>
    <s v="No"/>
    <s v="Yes"/>
    <s v="No"/>
    <m/>
    <s v="1+ Failures"/>
    <n v="1"/>
    <x v="2"/>
  </r>
  <r>
    <n v="364"/>
    <d v="2024-12-10T00:00:00"/>
    <s v="Basic"/>
    <n v="199"/>
    <n v="23.6"/>
    <n v="3"/>
    <n v="3"/>
    <n v="30"/>
    <n v="51"/>
    <s v="Yes"/>
    <s v="No"/>
    <s v="Yes"/>
    <s v="No"/>
    <s v="Yes"/>
    <s v="No"/>
    <m/>
    <s v="1+ Failures"/>
    <n v="1"/>
    <x v="3"/>
  </r>
  <r>
    <n v="365"/>
    <d v="2024-11-05T00:00:00"/>
    <s v="Basic"/>
    <n v="199"/>
    <n v="17"/>
    <n v="2"/>
    <n v="5"/>
    <n v="27"/>
    <n v="19"/>
    <s v="Yes"/>
    <s v="No"/>
    <s v="Yes"/>
    <s v="No"/>
    <s v="Yes"/>
    <s v="No"/>
    <m/>
    <s v="1+ Failures"/>
    <n v="1"/>
    <x v="1"/>
  </r>
  <r>
    <n v="366"/>
    <d v="2024-02-15T00:00:00"/>
    <s v="Basic"/>
    <n v="199"/>
    <n v="19.8"/>
    <n v="1"/>
    <n v="3"/>
    <n v="28"/>
    <n v="38"/>
    <s v="Yes"/>
    <s v="No"/>
    <s v="Yes"/>
    <s v="No"/>
    <s v="Yes"/>
    <s v="No"/>
    <m/>
    <s v="1+ Failures"/>
    <n v="1"/>
    <x v="1"/>
  </r>
  <r>
    <n v="367"/>
    <d v="2024-01-04T00:00:00"/>
    <s v="Premium"/>
    <n v="699"/>
    <n v="23.1"/>
    <n v="6"/>
    <n v="4"/>
    <n v="33"/>
    <n v="2"/>
    <s v="No"/>
    <s v="No"/>
    <s v="Yes"/>
    <s v="Yes"/>
    <s v="No"/>
    <s v="No"/>
    <m/>
    <s v="1+ Failures"/>
    <n v="0"/>
    <x v="3"/>
  </r>
  <r>
    <n v="368"/>
    <d v="2024-11-11T00:00:00"/>
    <s v="Premium"/>
    <n v="699"/>
    <n v="15"/>
    <n v="1"/>
    <n v="0"/>
    <n v="35"/>
    <n v="49"/>
    <s v="Yes"/>
    <s v="No"/>
    <s v="No"/>
    <s v="No"/>
    <s v="Yes"/>
    <s v="No"/>
    <m/>
    <s v="0 Failures"/>
    <n v="1"/>
    <x v="1"/>
  </r>
  <r>
    <n v="369"/>
    <d v="2024-02-14T00:00:00"/>
    <s v="Standard"/>
    <n v="399"/>
    <n v="16.399999999999999"/>
    <n v="0"/>
    <n v="4"/>
    <n v="11"/>
    <n v="41"/>
    <s v="No"/>
    <s v="No"/>
    <s v="Yes"/>
    <s v="No"/>
    <s v="Yes"/>
    <s v="No"/>
    <m/>
    <s v="1+ Failures"/>
    <n v="0"/>
    <x v="1"/>
  </r>
  <r>
    <n v="370"/>
    <d v="2024-06-15T00:00:00"/>
    <s v="Standard"/>
    <n v="399"/>
    <n v="3.1"/>
    <n v="1"/>
    <n v="2"/>
    <n v="28"/>
    <n v="14"/>
    <s v="Yes"/>
    <s v="Yes"/>
    <s v="Yes"/>
    <s v="No"/>
    <s v="No"/>
    <s v="No"/>
    <m/>
    <s v="1+ Failures"/>
    <n v="1"/>
    <x v="0"/>
  </r>
  <r>
    <n v="371"/>
    <d v="2024-12-08T00:00:00"/>
    <s v="Premium"/>
    <n v="699"/>
    <n v="11.4"/>
    <n v="6"/>
    <n v="3"/>
    <n v="15"/>
    <n v="49"/>
    <s v="Yes"/>
    <s v="No"/>
    <s v="Yes"/>
    <s v="Yes"/>
    <s v="Yes"/>
    <s v="No"/>
    <m/>
    <s v="1+ Failures"/>
    <n v="1"/>
    <x v="1"/>
  </r>
  <r>
    <n v="372"/>
    <d v="2023-03-29T00:00:00"/>
    <s v="Premium"/>
    <n v="699"/>
    <n v="9"/>
    <n v="0"/>
    <n v="3"/>
    <n v="10"/>
    <n v="6"/>
    <s v="Yes"/>
    <s v="No"/>
    <s v="Yes"/>
    <s v="No"/>
    <s v="No"/>
    <s v="No"/>
    <m/>
    <s v="1+ Failures"/>
    <n v="1"/>
    <x v="2"/>
  </r>
  <r>
    <n v="373"/>
    <d v="2024-05-09T00:00:00"/>
    <s v="Basic"/>
    <n v="199"/>
    <n v="9"/>
    <n v="5"/>
    <n v="3"/>
    <n v="10"/>
    <n v="50"/>
    <s v="Yes"/>
    <s v="No"/>
    <s v="Yes"/>
    <s v="Yes"/>
    <s v="Yes"/>
    <s v="No"/>
    <m/>
    <s v="1+ Failures"/>
    <n v="1"/>
    <x v="2"/>
  </r>
  <r>
    <n v="374"/>
    <d v="2024-12-28T00:00:00"/>
    <s v="Standard"/>
    <n v="399"/>
    <n v="2.9"/>
    <n v="7"/>
    <n v="2"/>
    <n v="31"/>
    <n v="4"/>
    <s v="Yes"/>
    <s v="Yes"/>
    <s v="Yes"/>
    <s v="Yes"/>
    <s v="No"/>
    <s v="No"/>
    <m/>
    <s v="1+ Failures"/>
    <n v="1"/>
    <x v="0"/>
  </r>
  <r>
    <n v="375"/>
    <d v="2023-09-07T00:00:00"/>
    <s v="Basic"/>
    <n v="199"/>
    <n v="21.3"/>
    <n v="1"/>
    <n v="5"/>
    <n v="2"/>
    <n v="51"/>
    <s v="Yes"/>
    <s v="No"/>
    <s v="Yes"/>
    <s v="No"/>
    <s v="Yes"/>
    <s v="Yes"/>
    <m/>
    <s v="1+ Failures"/>
    <n v="1"/>
    <x v="3"/>
  </r>
  <r>
    <n v="376"/>
    <d v="2023-08-26T00:00:00"/>
    <s v="Premium"/>
    <n v="699"/>
    <n v="14"/>
    <n v="5"/>
    <n v="4"/>
    <n v="12"/>
    <n v="27"/>
    <s v="No"/>
    <s v="No"/>
    <s v="Yes"/>
    <s v="Yes"/>
    <s v="Yes"/>
    <s v="No"/>
    <m/>
    <s v="1+ Failures"/>
    <n v="0"/>
    <x v="1"/>
  </r>
  <r>
    <n v="377"/>
    <d v="2023-07-22T00:00:00"/>
    <s v="Standard"/>
    <n v="399"/>
    <n v="5.0999999999999996"/>
    <n v="6"/>
    <n v="3"/>
    <n v="12"/>
    <n v="1"/>
    <s v="No"/>
    <s v="No"/>
    <s v="Yes"/>
    <s v="Yes"/>
    <s v="No"/>
    <s v="No"/>
    <m/>
    <s v="1+ Failures"/>
    <n v="0"/>
    <x v="2"/>
  </r>
  <r>
    <n v="378"/>
    <d v="2023-03-06T00:00:00"/>
    <s v="Standard"/>
    <n v="399"/>
    <n v="10"/>
    <n v="3"/>
    <n v="1"/>
    <n v="28"/>
    <n v="17"/>
    <s v="No"/>
    <s v="No"/>
    <s v="Yes"/>
    <s v="No"/>
    <s v="Yes"/>
    <s v="No"/>
    <m/>
    <s v="1+ Failures"/>
    <n v="0"/>
    <x v="2"/>
  </r>
  <r>
    <n v="379"/>
    <d v="2024-04-13T00:00:00"/>
    <s v="Premium"/>
    <n v="699"/>
    <n v="20.100000000000001"/>
    <n v="8"/>
    <n v="1"/>
    <n v="7"/>
    <n v="23"/>
    <s v="Yes"/>
    <s v="No"/>
    <s v="Yes"/>
    <s v="Yes"/>
    <s v="Yes"/>
    <s v="No"/>
    <m/>
    <s v="1+ Failures"/>
    <n v="1"/>
    <x v="3"/>
  </r>
  <r>
    <n v="380"/>
    <d v="2024-02-02T00:00:00"/>
    <s v="Basic"/>
    <n v="199"/>
    <n v="16.899999999999999"/>
    <n v="7"/>
    <n v="4"/>
    <n v="17"/>
    <n v="40"/>
    <s v="Yes"/>
    <s v="No"/>
    <s v="Yes"/>
    <s v="Yes"/>
    <s v="Yes"/>
    <s v="No"/>
    <m/>
    <s v="1+ Failures"/>
    <n v="1"/>
    <x v="1"/>
  </r>
  <r>
    <n v="381"/>
    <d v="2023-06-26T00:00:00"/>
    <s v="Premium"/>
    <n v="699"/>
    <n v="14.9"/>
    <n v="5"/>
    <n v="2"/>
    <n v="26"/>
    <n v="54"/>
    <s v="Yes"/>
    <s v="No"/>
    <s v="Yes"/>
    <s v="Yes"/>
    <s v="Yes"/>
    <s v="No"/>
    <m/>
    <s v="1+ Failures"/>
    <n v="1"/>
    <x v="1"/>
  </r>
  <r>
    <n v="382"/>
    <d v="2023-09-02T00:00:00"/>
    <s v="Premium"/>
    <n v="699"/>
    <n v="23"/>
    <n v="1"/>
    <n v="5"/>
    <n v="20"/>
    <n v="8"/>
    <s v="Yes"/>
    <s v="No"/>
    <s v="Yes"/>
    <s v="No"/>
    <s v="No"/>
    <s v="No"/>
    <m/>
    <s v="1+ Failures"/>
    <n v="1"/>
    <x v="3"/>
  </r>
  <r>
    <n v="383"/>
    <d v="2023-05-22T00:00:00"/>
    <s v="Standard"/>
    <n v="399"/>
    <n v="5"/>
    <n v="2"/>
    <n v="4"/>
    <n v="8"/>
    <n v="24"/>
    <s v="Yes"/>
    <s v="No"/>
    <s v="Yes"/>
    <s v="No"/>
    <s v="Yes"/>
    <s v="No"/>
    <m/>
    <s v="1+ Failures"/>
    <n v="1"/>
    <x v="0"/>
  </r>
  <r>
    <n v="384"/>
    <d v="2024-10-22T00:00:00"/>
    <s v="Premium"/>
    <n v="699"/>
    <n v="10.9"/>
    <n v="7"/>
    <n v="5"/>
    <n v="25"/>
    <n v="34"/>
    <s v="Yes"/>
    <s v="No"/>
    <s v="Yes"/>
    <s v="Yes"/>
    <s v="Yes"/>
    <s v="No"/>
    <m/>
    <s v="1+ Failures"/>
    <n v="1"/>
    <x v="1"/>
  </r>
  <r>
    <n v="385"/>
    <d v="2024-04-06T00:00:00"/>
    <s v="Basic"/>
    <n v="199"/>
    <n v="4.5999999999999996"/>
    <n v="4"/>
    <n v="1"/>
    <n v="36"/>
    <n v="11"/>
    <s v="Yes"/>
    <s v="Yes"/>
    <s v="Yes"/>
    <s v="No"/>
    <s v="No"/>
    <s v="No"/>
    <m/>
    <s v="1+ Failures"/>
    <n v="1"/>
    <x v="0"/>
  </r>
  <r>
    <n v="386"/>
    <d v="2024-01-29T00:00:00"/>
    <s v="Premium"/>
    <n v="699"/>
    <n v="21.7"/>
    <n v="0"/>
    <n v="3"/>
    <n v="4"/>
    <n v="8"/>
    <s v="Yes"/>
    <s v="No"/>
    <s v="Yes"/>
    <s v="No"/>
    <s v="No"/>
    <s v="Yes"/>
    <m/>
    <s v="1+ Failures"/>
    <n v="1"/>
    <x v="3"/>
  </r>
  <r>
    <n v="387"/>
    <d v="2024-03-30T00:00:00"/>
    <s v="Premium"/>
    <n v="699"/>
    <n v="16.5"/>
    <n v="6"/>
    <n v="5"/>
    <n v="33"/>
    <n v="31"/>
    <s v="Yes"/>
    <s v="No"/>
    <s v="Yes"/>
    <s v="Yes"/>
    <s v="Yes"/>
    <s v="No"/>
    <m/>
    <s v="1+ Failures"/>
    <n v="1"/>
    <x v="1"/>
  </r>
  <r>
    <n v="388"/>
    <d v="2023-08-19T00:00:00"/>
    <s v="Standard"/>
    <n v="399"/>
    <n v="2.5"/>
    <n v="0"/>
    <n v="1"/>
    <n v="11"/>
    <n v="18"/>
    <s v="Yes"/>
    <s v="Yes"/>
    <s v="Yes"/>
    <s v="No"/>
    <s v="Yes"/>
    <s v="No"/>
    <m/>
    <s v="1+ Failures"/>
    <n v="1"/>
    <x v="0"/>
  </r>
  <r>
    <n v="389"/>
    <d v="2024-05-22T00:00:00"/>
    <s v="Premium"/>
    <n v="699"/>
    <n v="4.5999999999999996"/>
    <n v="7"/>
    <n v="4"/>
    <n v="19"/>
    <n v="47"/>
    <s v="Yes"/>
    <s v="Yes"/>
    <s v="Yes"/>
    <s v="Yes"/>
    <s v="Yes"/>
    <s v="No"/>
    <m/>
    <s v="1+ Failures"/>
    <n v="1"/>
    <x v="0"/>
  </r>
  <r>
    <n v="390"/>
    <d v="2024-01-11T00:00:00"/>
    <s v="Premium"/>
    <n v="699"/>
    <n v="3.3"/>
    <n v="1"/>
    <n v="2"/>
    <n v="33"/>
    <n v="49"/>
    <s v="Yes"/>
    <s v="Yes"/>
    <s v="Yes"/>
    <s v="No"/>
    <s v="Yes"/>
    <s v="No"/>
    <m/>
    <s v="1+ Failures"/>
    <n v="1"/>
    <x v="0"/>
  </r>
  <r>
    <n v="391"/>
    <d v="2023-04-15T00:00:00"/>
    <s v="Premium"/>
    <n v="699"/>
    <n v="19.100000000000001"/>
    <n v="7"/>
    <n v="4"/>
    <n v="3"/>
    <n v="13"/>
    <s v="No"/>
    <s v="No"/>
    <s v="Yes"/>
    <s v="Yes"/>
    <s v="No"/>
    <s v="Yes"/>
    <m/>
    <s v="1+ Failures"/>
    <n v="0"/>
    <x v="1"/>
  </r>
  <r>
    <n v="392"/>
    <d v="2023-03-31T00:00:00"/>
    <s v="Premium"/>
    <n v="699"/>
    <n v="7.8"/>
    <n v="0"/>
    <n v="3"/>
    <n v="16"/>
    <n v="16"/>
    <s v="Yes"/>
    <s v="No"/>
    <s v="Yes"/>
    <s v="No"/>
    <s v="Yes"/>
    <s v="No"/>
    <m/>
    <s v="1+ Failures"/>
    <n v="1"/>
    <x v="2"/>
  </r>
  <r>
    <n v="393"/>
    <d v="2024-12-06T00:00:00"/>
    <s v="Standard"/>
    <n v="399"/>
    <n v="19.5"/>
    <n v="3"/>
    <n v="1"/>
    <n v="8"/>
    <n v="51"/>
    <s v="No"/>
    <s v="No"/>
    <s v="Yes"/>
    <s v="No"/>
    <s v="Yes"/>
    <s v="No"/>
    <m/>
    <s v="1+ Failures"/>
    <n v="0"/>
    <x v="1"/>
  </r>
  <r>
    <n v="394"/>
    <d v="2023-03-02T00:00:00"/>
    <s v="Standard"/>
    <n v="399"/>
    <n v="4.5999999999999996"/>
    <n v="2"/>
    <n v="1"/>
    <n v="28"/>
    <n v="52"/>
    <s v="Yes"/>
    <s v="Yes"/>
    <s v="Yes"/>
    <s v="No"/>
    <s v="Yes"/>
    <s v="No"/>
    <m/>
    <s v="1+ Failures"/>
    <n v="1"/>
    <x v="0"/>
  </r>
  <r>
    <n v="395"/>
    <d v="2023-10-27T00:00:00"/>
    <s v="Premium"/>
    <n v="699"/>
    <n v="13.5"/>
    <n v="8"/>
    <n v="1"/>
    <n v="23"/>
    <n v="20"/>
    <s v="No"/>
    <s v="No"/>
    <s v="Yes"/>
    <s v="Yes"/>
    <s v="Yes"/>
    <s v="No"/>
    <m/>
    <s v="1+ Failures"/>
    <n v="0"/>
    <x v="1"/>
  </r>
  <r>
    <n v="396"/>
    <d v="2024-02-26T00:00:00"/>
    <s v="Standard"/>
    <n v="399"/>
    <n v="23.8"/>
    <n v="8"/>
    <n v="5"/>
    <n v="18"/>
    <n v="52"/>
    <s v="Yes"/>
    <s v="No"/>
    <s v="Yes"/>
    <s v="Yes"/>
    <s v="Yes"/>
    <s v="No"/>
    <m/>
    <s v="1+ Failures"/>
    <n v="1"/>
    <x v="3"/>
  </r>
  <r>
    <n v="397"/>
    <d v="2023-05-30T00:00:00"/>
    <s v="Basic"/>
    <n v="199"/>
    <n v="21.7"/>
    <n v="2"/>
    <n v="5"/>
    <n v="18"/>
    <n v="55"/>
    <s v="Yes"/>
    <s v="No"/>
    <s v="Yes"/>
    <s v="No"/>
    <s v="Yes"/>
    <s v="No"/>
    <m/>
    <s v="1+ Failures"/>
    <n v="1"/>
    <x v="3"/>
  </r>
  <r>
    <n v="398"/>
    <d v="2023-10-03T00:00:00"/>
    <s v="Premium"/>
    <n v="699"/>
    <n v="20.8"/>
    <n v="6"/>
    <n v="3"/>
    <n v="21"/>
    <n v="9"/>
    <s v="No"/>
    <s v="No"/>
    <s v="Yes"/>
    <s v="Yes"/>
    <s v="No"/>
    <s v="No"/>
    <m/>
    <s v="1+ Failures"/>
    <n v="0"/>
    <x v="3"/>
  </r>
  <r>
    <n v="399"/>
    <d v="2023-04-06T00:00:00"/>
    <s v="Premium"/>
    <n v="699"/>
    <n v="9.6999999999999993"/>
    <n v="1"/>
    <n v="5"/>
    <n v="27"/>
    <n v="50"/>
    <s v="No"/>
    <s v="No"/>
    <s v="Yes"/>
    <s v="No"/>
    <s v="Yes"/>
    <s v="No"/>
    <m/>
    <s v="1+ Failures"/>
    <n v="0"/>
    <x v="2"/>
  </r>
  <r>
    <n v="400"/>
    <d v="2024-08-18T00:00:00"/>
    <s v="Standard"/>
    <n v="399"/>
    <n v="18.899999999999999"/>
    <n v="5"/>
    <n v="3"/>
    <n v="33"/>
    <n v="60"/>
    <s v="Yes"/>
    <s v="No"/>
    <s v="Yes"/>
    <s v="Yes"/>
    <s v="Yes"/>
    <s v="No"/>
    <m/>
    <s v="1+ Failures"/>
    <n v="1"/>
    <x v="1"/>
  </r>
  <r>
    <n v="401"/>
    <d v="2023-03-06T00:00:00"/>
    <s v="Basic"/>
    <n v="199"/>
    <n v="18.399999999999999"/>
    <n v="7"/>
    <n v="5"/>
    <n v="6"/>
    <n v="42"/>
    <s v="Yes"/>
    <s v="No"/>
    <s v="Yes"/>
    <s v="Yes"/>
    <s v="Yes"/>
    <s v="No"/>
    <m/>
    <s v="1+ Failures"/>
    <n v="1"/>
    <x v="1"/>
  </r>
  <r>
    <n v="402"/>
    <d v="2023-10-18T00:00:00"/>
    <s v="Premium"/>
    <n v="699"/>
    <n v="5.8"/>
    <n v="6"/>
    <n v="1"/>
    <n v="26"/>
    <n v="31"/>
    <s v="Yes"/>
    <s v="No"/>
    <s v="Yes"/>
    <s v="Yes"/>
    <s v="Yes"/>
    <s v="No"/>
    <m/>
    <s v="1+ Failures"/>
    <n v="1"/>
    <x v="2"/>
  </r>
  <r>
    <n v="403"/>
    <d v="2023-02-19T00:00:00"/>
    <s v="Standard"/>
    <n v="399"/>
    <n v="14.7"/>
    <n v="7"/>
    <n v="2"/>
    <n v="36"/>
    <n v="57"/>
    <s v="Yes"/>
    <s v="No"/>
    <s v="Yes"/>
    <s v="Yes"/>
    <s v="Yes"/>
    <s v="No"/>
    <m/>
    <s v="1+ Failures"/>
    <n v="1"/>
    <x v="1"/>
  </r>
  <r>
    <n v="404"/>
    <d v="2023-06-11T00:00:00"/>
    <s v="Basic"/>
    <n v="199"/>
    <n v="15.8"/>
    <n v="7"/>
    <n v="0"/>
    <n v="7"/>
    <n v="7"/>
    <s v="No"/>
    <s v="No"/>
    <s v="No"/>
    <s v="Yes"/>
    <s v="No"/>
    <s v="No"/>
    <m/>
    <s v="0 Failures"/>
    <n v="0"/>
    <x v="1"/>
  </r>
  <r>
    <n v="405"/>
    <d v="2024-10-27T00:00:00"/>
    <s v="Standard"/>
    <n v="399"/>
    <n v="0.5"/>
    <n v="6"/>
    <n v="1"/>
    <n v="30"/>
    <n v="44"/>
    <s v="No"/>
    <s v="Yes"/>
    <s v="Yes"/>
    <s v="Yes"/>
    <s v="Yes"/>
    <s v="No"/>
    <m/>
    <s v="1+ Failures"/>
    <n v="0"/>
    <x v="0"/>
  </r>
  <r>
    <n v="406"/>
    <d v="2023-03-26T00:00:00"/>
    <s v="Standard"/>
    <n v="399"/>
    <n v="21.9"/>
    <n v="4"/>
    <n v="0"/>
    <n v="11"/>
    <n v="41"/>
    <s v="Yes"/>
    <s v="No"/>
    <s v="No"/>
    <s v="No"/>
    <s v="Yes"/>
    <s v="No"/>
    <m/>
    <s v="0 Failures"/>
    <n v="1"/>
    <x v="3"/>
  </r>
  <r>
    <n v="407"/>
    <d v="2024-03-15T00:00:00"/>
    <s v="Standard"/>
    <n v="399"/>
    <n v="1.8"/>
    <n v="4"/>
    <n v="5"/>
    <n v="11"/>
    <n v="44"/>
    <s v="Yes"/>
    <s v="Yes"/>
    <s v="Yes"/>
    <s v="No"/>
    <s v="Yes"/>
    <s v="No"/>
    <m/>
    <s v="1+ Failures"/>
    <n v="1"/>
    <x v="0"/>
  </r>
  <r>
    <n v="408"/>
    <d v="2024-08-30T00:00:00"/>
    <s v="Premium"/>
    <n v="699"/>
    <n v="17.7"/>
    <n v="0"/>
    <n v="1"/>
    <n v="6"/>
    <n v="30"/>
    <s v="Yes"/>
    <s v="No"/>
    <s v="Yes"/>
    <s v="No"/>
    <s v="Yes"/>
    <s v="No"/>
    <m/>
    <s v="1+ Failures"/>
    <n v="1"/>
    <x v="1"/>
  </r>
  <r>
    <n v="409"/>
    <d v="2023-05-04T00:00:00"/>
    <s v="Basic"/>
    <n v="199"/>
    <n v="17.2"/>
    <n v="0"/>
    <n v="0"/>
    <n v="34"/>
    <n v="44"/>
    <s v="Yes"/>
    <s v="No"/>
    <s v="No"/>
    <s v="No"/>
    <s v="Yes"/>
    <s v="No"/>
    <m/>
    <s v="0 Failures"/>
    <n v="1"/>
    <x v="1"/>
  </r>
  <r>
    <n v="410"/>
    <d v="2023-04-15T00:00:00"/>
    <s v="Standard"/>
    <n v="399"/>
    <n v="12.2"/>
    <n v="3"/>
    <n v="3"/>
    <n v="9"/>
    <n v="5"/>
    <s v="No"/>
    <s v="No"/>
    <s v="Yes"/>
    <s v="No"/>
    <s v="No"/>
    <s v="No"/>
    <m/>
    <s v="1+ Failures"/>
    <n v="0"/>
    <x v="1"/>
  </r>
  <r>
    <n v="411"/>
    <d v="2023-05-17T00:00:00"/>
    <s v="Basic"/>
    <n v="199"/>
    <n v="9.5"/>
    <n v="4"/>
    <n v="1"/>
    <n v="21"/>
    <n v="24"/>
    <s v="No"/>
    <s v="No"/>
    <s v="Yes"/>
    <s v="No"/>
    <s v="Yes"/>
    <s v="No"/>
    <m/>
    <s v="1+ Failures"/>
    <n v="0"/>
    <x v="2"/>
  </r>
  <r>
    <n v="412"/>
    <d v="2023-12-26T00:00:00"/>
    <s v="Premium"/>
    <n v="699"/>
    <n v="2.2000000000000002"/>
    <n v="0"/>
    <n v="4"/>
    <n v="10"/>
    <n v="41"/>
    <s v="Yes"/>
    <s v="Yes"/>
    <s v="Yes"/>
    <s v="No"/>
    <s v="Yes"/>
    <s v="No"/>
    <m/>
    <s v="1+ Failures"/>
    <n v="1"/>
    <x v="0"/>
  </r>
  <r>
    <n v="413"/>
    <d v="2023-08-11T00:00:00"/>
    <s v="Premium"/>
    <n v="699"/>
    <n v="15.9"/>
    <n v="2"/>
    <n v="3"/>
    <n v="14"/>
    <n v="39"/>
    <s v="No"/>
    <s v="No"/>
    <s v="Yes"/>
    <s v="No"/>
    <s v="Yes"/>
    <s v="No"/>
    <m/>
    <s v="1+ Failures"/>
    <n v="0"/>
    <x v="1"/>
  </r>
  <r>
    <n v="414"/>
    <d v="2024-03-15T00:00:00"/>
    <s v="Basic"/>
    <n v="199"/>
    <n v="3.9"/>
    <n v="1"/>
    <n v="4"/>
    <n v="7"/>
    <n v="46"/>
    <s v="Yes"/>
    <s v="Yes"/>
    <s v="Yes"/>
    <s v="No"/>
    <s v="Yes"/>
    <s v="No"/>
    <m/>
    <s v="1+ Failures"/>
    <n v="1"/>
    <x v="0"/>
  </r>
  <r>
    <n v="415"/>
    <d v="2024-09-14T00:00:00"/>
    <s v="Standard"/>
    <n v="399"/>
    <n v="6.6"/>
    <n v="1"/>
    <n v="1"/>
    <n v="9"/>
    <n v="35"/>
    <s v="No"/>
    <s v="No"/>
    <s v="Yes"/>
    <s v="No"/>
    <s v="Yes"/>
    <s v="No"/>
    <m/>
    <s v="1+ Failures"/>
    <n v="0"/>
    <x v="2"/>
  </r>
  <r>
    <n v="416"/>
    <d v="2023-07-13T00:00:00"/>
    <s v="Standard"/>
    <n v="399"/>
    <n v="21.3"/>
    <n v="4"/>
    <n v="1"/>
    <n v="2"/>
    <n v="33"/>
    <s v="No"/>
    <s v="No"/>
    <s v="Yes"/>
    <s v="No"/>
    <s v="Yes"/>
    <s v="Yes"/>
    <m/>
    <s v="1+ Failures"/>
    <n v="0"/>
    <x v="3"/>
  </r>
  <r>
    <n v="417"/>
    <d v="2023-09-04T00:00:00"/>
    <s v="Premium"/>
    <n v="699"/>
    <n v="7.7"/>
    <n v="0"/>
    <n v="1"/>
    <n v="26"/>
    <n v="31"/>
    <s v="No"/>
    <s v="No"/>
    <s v="Yes"/>
    <s v="No"/>
    <s v="Yes"/>
    <s v="No"/>
    <m/>
    <s v="1+ Failures"/>
    <n v="0"/>
    <x v="2"/>
  </r>
  <r>
    <n v="418"/>
    <d v="2024-02-01T00:00:00"/>
    <s v="Standard"/>
    <n v="399"/>
    <n v="13.4"/>
    <n v="0"/>
    <n v="2"/>
    <n v="5"/>
    <n v="59"/>
    <s v="Yes"/>
    <s v="No"/>
    <s v="Yes"/>
    <s v="No"/>
    <s v="Yes"/>
    <s v="Yes"/>
    <m/>
    <s v="1+ Failures"/>
    <n v="1"/>
    <x v="1"/>
  </r>
  <r>
    <n v="419"/>
    <d v="2024-08-24T00:00:00"/>
    <s v="Premium"/>
    <n v="699"/>
    <n v="9.5"/>
    <n v="2"/>
    <n v="3"/>
    <n v="27"/>
    <n v="49"/>
    <s v="Yes"/>
    <s v="No"/>
    <s v="Yes"/>
    <s v="No"/>
    <s v="Yes"/>
    <s v="No"/>
    <m/>
    <s v="1+ Failures"/>
    <n v="1"/>
    <x v="2"/>
  </r>
  <r>
    <n v="420"/>
    <d v="2024-06-02T00:00:00"/>
    <s v="Basic"/>
    <n v="199"/>
    <n v="6.9"/>
    <n v="0"/>
    <n v="0"/>
    <n v="1"/>
    <n v="60"/>
    <s v="No"/>
    <s v="No"/>
    <s v="No"/>
    <s v="No"/>
    <s v="Yes"/>
    <s v="Yes"/>
    <m/>
    <s v="0 Failures"/>
    <n v="0"/>
    <x v="2"/>
  </r>
  <r>
    <n v="421"/>
    <d v="2024-07-03T00:00:00"/>
    <s v="Standard"/>
    <n v="399"/>
    <n v="19.3"/>
    <n v="6"/>
    <n v="5"/>
    <n v="33"/>
    <n v="25"/>
    <s v="Yes"/>
    <s v="No"/>
    <s v="Yes"/>
    <s v="Yes"/>
    <s v="Yes"/>
    <s v="No"/>
    <m/>
    <s v="1+ Failures"/>
    <n v="1"/>
    <x v="1"/>
  </r>
  <r>
    <n v="422"/>
    <d v="2023-06-09T00:00:00"/>
    <s v="Premium"/>
    <n v="699"/>
    <n v="7.3"/>
    <n v="4"/>
    <n v="0"/>
    <n v="10"/>
    <n v="32"/>
    <s v="No"/>
    <s v="No"/>
    <s v="No"/>
    <s v="No"/>
    <s v="Yes"/>
    <s v="No"/>
    <m/>
    <s v="0 Failures"/>
    <n v="0"/>
    <x v="2"/>
  </r>
  <r>
    <n v="423"/>
    <d v="2023-09-02T00:00:00"/>
    <s v="Premium"/>
    <n v="699"/>
    <n v="10.1"/>
    <n v="1"/>
    <n v="2"/>
    <n v="21"/>
    <n v="44"/>
    <s v="Yes"/>
    <s v="No"/>
    <s v="Yes"/>
    <s v="No"/>
    <s v="Yes"/>
    <s v="No"/>
    <m/>
    <s v="1+ Failures"/>
    <n v="1"/>
    <x v="1"/>
  </r>
  <r>
    <n v="424"/>
    <d v="2023-02-26T00:00:00"/>
    <s v="Basic"/>
    <n v="199"/>
    <n v="2.6"/>
    <n v="6"/>
    <n v="0"/>
    <n v="16"/>
    <n v="29"/>
    <s v="Yes"/>
    <s v="Yes"/>
    <s v="No"/>
    <s v="Yes"/>
    <s v="Yes"/>
    <s v="No"/>
    <m/>
    <s v="0 Failures"/>
    <n v="1"/>
    <x v="0"/>
  </r>
  <r>
    <n v="425"/>
    <d v="2023-12-22T00:00:00"/>
    <s v="Standard"/>
    <n v="399"/>
    <n v="3.4"/>
    <n v="2"/>
    <n v="5"/>
    <n v="12"/>
    <n v="0"/>
    <s v="Yes"/>
    <s v="Yes"/>
    <s v="Yes"/>
    <s v="No"/>
    <s v="No"/>
    <s v="No"/>
    <m/>
    <s v="1+ Failures"/>
    <n v="1"/>
    <x v="0"/>
  </r>
  <r>
    <n v="426"/>
    <d v="2023-10-03T00:00:00"/>
    <s v="Premium"/>
    <n v="699"/>
    <n v="19.7"/>
    <n v="4"/>
    <n v="1"/>
    <n v="34"/>
    <n v="23"/>
    <s v="Yes"/>
    <s v="No"/>
    <s v="Yes"/>
    <s v="No"/>
    <s v="Yes"/>
    <s v="No"/>
    <m/>
    <s v="1+ Failures"/>
    <n v="1"/>
    <x v="1"/>
  </r>
  <r>
    <n v="427"/>
    <d v="2024-06-20T00:00:00"/>
    <s v="Premium"/>
    <n v="699"/>
    <n v="19.399999999999999"/>
    <n v="0"/>
    <n v="2"/>
    <n v="8"/>
    <n v="51"/>
    <s v="Yes"/>
    <s v="No"/>
    <s v="Yes"/>
    <s v="No"/>
    <s v="Yes"/>
    <s v="No"/>
    <m/>
    <s v="1+ Failures"/>
    <n v="1"/>
    <x v="1"/>
  </r>
  <r>
    <n v="428"/>
    <d v="2023-02-26T00:00:00"/>
    <s v="Basic"/>
    <n v="199"/>
    <n v="18"/>
    <n v="1"/>
    <n v="3"/>
    <n v="17"/>
    <n v="29"/>
    <s v="Yes"/>
    <s v="No"/>
    <s v="Yes"/>
    <s v="No"/>
    <s v="Yes"/>
    <s v="No"/>
    <m/>
    <s v="1+ Failures"/>
    <n v="1"/>
    <x v="1"/>
  </r>
  <r>
    <n v="429"/>
    <d v="2023-04-29T00:00:00"/>
    <s v="Standard"/>
    <n v="399"/>
    <n v="9.5"/>
    <n v="4"/>
    <n v="0"/>
    <n v="11"/>
    <n v="57"/>
    <s v="No"/>
    <s v="No"/>
    <s v="No"/>
    <s v="No"/>
    <s v="Yes"/>
    <s v="No"/>
    <m/>
    <s v="0 Failures"/>
    <n v="0"/>
    <x v="2"/>
  </r>
  <r>
    <n v="430"/>
    <d v="2024-01-28T00:00:00"/>
    <s v="Basic"/>
    <n v="199"/>
    <n v="0.6"/>
    <n v="0"/>
    <n v="1"/>
    <n v="33"/>
    <n v="2"/>
    <s v="No"/>
    <s v="Yes"/>
    <s v="Yes"/>
    <s v="No"/>
    <s v="No"/>
    <s v="No"/>
    <m/>
    <s v="1+ Failures"/>
    <n v="0"/>
    <x v="0"/>
  </r>
  <r>
    <n v="431"/>
    <d v="2024-11-02T00:00:00"/>
    <s v="Basic"/>
    <n v="199"/>
    <n v="23.3"/>
    <n v="0"/>
    <n v="4"/>
    <n v="12"/>
    <n v="51"/>
    <s v="No"/>
    <s v="No"/>
    <s v="Yes"/>
    <s v="No"/>
    <s v="Yes"/>
    <s v="No"/>
    <m/>
    <s v="1+ Failures"/>
    <n v="0"/>
    <x v="3"/>
  </r>
  <r>
    <n v="432"/>
    <d v="2023-03-21T00:00:00"/>
    <s v="Standard"/>
    <n v="399"/>
    <n v="8.4"/>
    <n v="6"/>
    <n v="5"/>
    <n v="15"/>
    <n v="20"/>
    <s v="Yes"/>
    <s v="No"/>
    <s v="Yes"/>
    <s v="Yes"/>
    <s v="Yes"/>
    <s v="No"/>
    <m/>
    <s v="1+ Failures"/>
    <n v="1"/>
    <x v="2"/>
  </r>
  <r>
    <n v="433"/>
    <d v="2023-02-17T00:00:00"/>
    <s v="Premium"/>
    <n v="699"/>
    <n v="3.4"/>
    <n v="0"/>
    <n v="1"/>
    <n v="24"/>
    <n v="14"/>
    <s v="No"/>
    <s v="Yes"/>
    <s v="Yes"/>
    <s v="No"/>
    <s v="No"/>
    <s v="No"/>
    <m/>
    <s v="1+ Failures"/>
    <n v="0"/>
    <x v="0"/>
  </r>
  <r>
    <n v="434"/>
    <d v="2024-04-12T00:00:00"/>
    <s v="Standard"/>
    <n v="399"/>
    <n v="22"/>
    <n v="4"/>
    <n v="2"/>
    <n v="5"/>
    <n v="20"/>
    <s v="Yes"/>
    <s v="No"/>
    <s v="Yes"/>
    <s v="No"/>
    <s v="Yes"/>
    <s v="Yes"/>
    <m/>
    <s v="1+ Failures"/>
    <n v="1"/>
    <x v="3"/>
  </r>
  <r>
    <n v="435"/>
    <d v="2024-01-13T00:00:00"/>
    <s v="Basic"/>
    <n v="199"/>
    <n v="5.4"/>
    <n v="4"/>
    <n v="5"/>
    <n v="24"/>
    <n v="39"/>
    <s v="Yes"/>
    <s v="No"/>
    <s v="Yes"/>
    <s v="No"/>
    <s v="Yes"/>
    <s v="No"/>
    <m/>
    <s v="1+ Failures"/>
    <n v="1"/>
    <x v="2"/>
  </r>
  <r>
    <n v="436"/>
    <d v="2023-09-09T00:00:00"/>
    <s v="Premium"/>
    <n v="699"/>
    <n v="24.9"/>
    <n v="3"/>
    <n v="5"/>
    <n v="32"/>
    <n v="57"/>
    <s v="Yes"/>
    <s v="No"/>
    <s v="Yes"/>
    <s v="No"/>
    <s v="Yes"/>
    <s v="No"/>
    <m/>
    <s v="1+ Failures"/>
    <n v="1"/>
    <x v="3"/>
  </r>
  <r>
    <n v="437"/>
    <d v="2024-12-11T00:00:00"/>
    <s v="Basic"/>
    <n v="199"/>
    <n v="23.3"/>
    <n v="0"/>
    <n v="1"/>
    <n v="1"/>
    <n v="34"/>
    <s v="Yes"/>
    <s v="No"/>
    <s v="Yes"/>
    <s v="No"/>
    <s v="Yes"/>
    <s v="Yes"/>
    <m/>
    <s v="1+ Failures"/>
    <n v="1"/>
    <x v="3"/>
  </r>
  <r>
    <n v="438"/>
    <d v="2023-07-30T00:00:00"/>
    <s v="Basic"/>
    <n v="199"/>
    <n v="0.5"/>
    <n v="6"/>
    <n v="5"/>
    <n v="22"/>
    <n v="46"/>
    <s v="Yes"/>
    <s v="Yes"/>
    <s v="Yes"/>
    <s v="Yes"/>
    <s v="Yes"/>
    <s v="No"/>
    <m/>
    <s v="1+ Failures"/>
    <n v="1"/>
    <x v="0"/>
  </r>
  <r>
    <n v="439"/>
    <d v="2023-02-14T00:00:00"/>
    <s v="Premium"/>
    <n v="699"/>
    <n v="10.8"/>
    <n v="0"/>
    <n v="1"/>
    <n v="16"/>
    <n v="45"/>
    <s v="Yes"/>
    <s v="No"/>
    <s v="Yes"/>
    <s v="No"/>
    <s v="Yes"/>
    <s v="No"/>
    <m/>
    <s v="1+ Failures"/>
    <n v="1"/>
    <x v="1"/>
  </r>
  <r>
    <n v="440"/>
    <d v="2023-04-08T00:00:00"/>
    <s v="Basic"/>
    <n v="199"/>
    <n v="10.6"/>
    <n v="5"/>
    <n v="3"/>
    <n v="34"/>
    <n v="47"/>
    <s v="Yes"/>
    <s v="No"/>
    <s v="Yes"/>
    <s v="Yes"/>
    <s v="Yes"/>
    <s v="No"/>
    <m/>
    <s v="1+ Failures"/>
    <n v="1"/>
    <x v="1"/>
  </r>
  <r>
    <n v="441"/>
    <d v="2024-03-21T00:00:00"/>
    <s v="Premium"/>
    <n v="699"/>
    <n v="16.100000000000001"/>
    <n v="6"/>
    <n v="0"/>
    <n v="9"/>
    <n v="37"/>
    <s v="No"/>
    <s v="No"/>
    <s v="No"/>
    <s v="Yes"/>
    <s v="Yes"/>
    <s v="No"/>
    <m/>
    <s v="0 Failures"/>
    <n v="0"/>
    <x v="1"/>
  </r>
  <r>
    <n v="442"/>
    <d v="2024-12-18T00:00:00"/>
    <s v="Premium"/>
    <n v="699"/>
    <n v="6.3"/>
    <n v="4"/>
    <n v="2"/>
    <n v="9"/>
    <n v="59"/>
    <s v="No"/>
    <s v="No"/>
    <s v="Yes"/>
    <s v="No"/>
    <s v="Yes"/>
    <s v="No"/>
    <m/>
    <s v="1+ Failures"/>
    <n v="0"/>
    <x v="2"/>
  </r>
  <r>
    <n v="443"/>
    <d v="2023-05-20T00:00:00"/>
    <s v="Premium"/>
    <n v="699"/>
    <n v="8.3000000000000007"/>
    <n v="4"/>
    <n v="1"/>
    <n v="21"/>
    <n v="4"/>
    <s v="No"/>
    <s v="No"/>
    <s v="Yes"/>
    <s v="No"/>
    <s v="No"/>
    <s v="No"/>
    <m/>
    <s v="1+ Failures"/>
    <n v="0"/>
    <x v="2"/>
  </r>
  <r>
    <n v="444"/>
    <d v="2023-05-04T00:00:00"/>
    <s v="Premium"/>
    <n v="699"/>
    <n v="4.3"/>
    <n v="2"/>
    <n v="3"/>
    <n v="7"/>
    <n v="29"/>
    <s v="Yes"/>
    <s v="Yes"/>
    <s v="Yes"/>
    <s v="No"/>
    <s v="Yes"/>
    <s v="No"/>
    <m/>
    <s v="1+ Failures"/>
    <n v="1"/>
    <x v="0"/>
  </r>
  <r>
    <n v="445"/>
    <d v="2023-05-03T00:00:00"/>
    <s v="Premium"/>
    <n v="699"/>
    <n v="24.1"/>
    <n v="3"/>
    <n v="3"/>
    <n v="23"/>
    <n v="19"/>
    <s v="No"/>
    <s v="No"/>
    <s v="Yes"/>
    <s v="No"/>
    <s v="Yes"/>
    <s v="No"/>
    <m/>
    <s v="1+ Failures"/>
    <n v="0"/>
    <x v="3"/>
  </r>
  <r>
    <n v="446"/>
    <d v="2023-08-09T00:00:00"/>
    <s v="Basic"/>
    <n v="199"/>
    <n v="20.3"/>
    <n v="4"/>
    <n v="5"/>
    <n v="11"/>
    <n v="44"/>
    <s v="Yes"/>
    <s v="No"/>
    <s v="Yes"/>
    <s v="No"/>
    <s v="Yes"/>
    <s v="No"/>
    <m/>
    <s v="1+ Failures"/>
    <n v="1"/>
    <x v="3"/>
  </r>
  <r>
    <n v="447"/>
    <d v="2024-11-24T00:00:00"/>
    <s v="Standard"/>
    <n v="399"/>
    <n v="2.7"/>
    <n v="3"/>
    <n v="2"/>
    <n v="10"/>
    <n v="25"/>
    <s v="Yes"/>
    <s v="Yes"/>
    <s v="Yes"/>
    <s v="No"/>
    <s v="Yes"/>
    <s v="No"/>
    <m/>
    <s v="1+ Failures"/>
    <n v="1"/>
    <x v="0"/>
  </r>
  <r>
    <n v="448"/>
    <d v="2024-04-08T00:00:00"/>
    <s v="Standard"/>
    <n v="399"/>
    <n v="20.6"/>
    <n v="2"/>
    <n v="0"/>
    <n v="17"/>
    <n v="60"/>
    <s v="No"/>
    <s v="No"/>
    <s v="No"/>
    <s v="No"/>
    <s v="Yes"/>
    <s v="No"/>
    <m/>
    <s v="0 Failures"/>
    <n v="0"/>
    <x v="3"/>
  </r>
  <r>
    <n v="449"/>
    <d v="2023-05-05T00:00:00"/>
    <s v="Premium"/>
    <n v="699"/>
    <n v="6.6"/>
    <n v="7"/>
    <n v="0"/>
    <n v="36"/>
    <n v="51"/>
    <s v="No"/>
    <s v="No"/>
    <s v="No"/>
    <s v="Yes"/>
    <s v="Yes"/>
    <s v="No"/>
    <m/>
    <s v="0 Failures"/>
    <n v="0"/>
    <x v="2"/>
  </r>
  <r>
    <n v="450"/>
    <d v="2024-01-17T00:00:00"/>
    <s v="Basic"/>
    <n v="199"/>
    <n v="20.8"/>
    <n v="3"/>
    <n v="1"/>
    <n v="4"/>
    <n v="12"/>
    <s v="No"/>
    <s v="No"/>
    <s v="Yes"/>
    <s v="No"/>
    <s v="No"/>
    <s v="Yes"/>
    <m/>
    <s v="1+ Failures"/>
    <n v="0"/>
    <x v="3"/>
  </r>
  <r>
    <n v="451"/>
    <d v="2023-07-22T00:00:00"/>
    <s v="Premium"/>
    <n v="699"/>
    <n v="14.8"/>
    <n v="4"/>
    <n v="0"/>
    <n v="6"/>
    <n v="1"/>
    <s v="No"/>
    <s v="No"/>
    <s v="No"/>
    <s v="No"/>
    <s v="No"/>
    <s v="No"/>
    <m/>
    <s v="0 Failures"/>
    <n v="0"/>
    <x v="1"/>
  </r>
  <r>
    <n v="452"/>
    <d v="2024-04-17T00:00:00"/>
    <s v="Premium"/>
    <n v="699"/>
    <n v="20.3"/>
    <n v="1"/>
    <n v="2"/>
    <n v="29"/>
    <n v="7"/>
    <s v="Yes"/>
    <s v="No"/>
    <s v="Yes"/>
    <s v="No"/>
    <s v="No"/>
    <s v="No"/>
    <m/>
    <s v="1+ Failures"/>
    <n v="1"/>
    <x v="3"/>
  </r>
  <r>
    <n v="453"/>
    <d v="2024-01-27T00:00:00"/>
    <s v="Basic"/>
    <n v="199"/>
    <n v="23.1"/>
    <n v="6"/>
    <n v="5"/>
    <n v="11"/>
    <n v="25"/>
    <s v="Yes"/>
    <s v="No"/>
    <s v="Yes"/>
    <s v="Yes"/>
    <s v="Yes"/>
    <s v="No"/>
    <m/>
    <s v="1+ Failures"/>
    <n v="1"/>
    <x v="3"/>
  </r>
  <r>
    <n v="454"/>
    <d v="2023-06-02T00:00:00"/>
    <s v="Premium"/>
    <n v="699"/>
    <n v="4.7"/>
    <n v="3"/>
    <n v="1"/>
    <n v="28"/>
    <n v="17"/>
    <s v="Yes"/>
    <s v="Yes"/>
    <s v="Yes"/>
    <s v="No"/>
    <s v="Yes"/>
    <s v="No"/>
    <m/>
    <s v="1+ Failures"/>
    <n v="1"/>
    <x v="0"/>
  </r>
  <r>
    <n v="455"/>
    <d v="2023-03-04T00:00:00"/>
    <s v="Basic"/>
    <n v="199"/>
    <n v="16.399999999999999"/>
    <n v="7"/>
    <n v="3"/>
    <n v="16"/>
    <n v="56"/>
    <s v="Yes"/>
    <s v="No"/>
    <s v="Yes"/>
    <s v="Yes"/>
    <s v="Yes"/>
    <s v="No"/>
    <m/>
    <s v="1+ Failures"/>
    <n v="1"/>
    <x v="1"/>
  </r>
  <r>
    <n v="456"/>
    <d v="2024-06-22T00:00:00"/>
    <s v="Basic"/>
    <n v="199"/>
    <n v="9.9"/>
    <n v="6"/>
    <n v="1"/>
    <n v="18"/>
    <n v="41"/>
    <s v="No"/>
    <s v="No"/>
    <s v="Yes"/>
    <s v="Yes"/>
    <s v="Yes"/>
    <s v="No"/>
    <m/>
    <s v="1+ Failures"/>
    <n v="0"/>
    <x v="2"/>
  </r>
  <r>
    <n v="457"/>
    <d v="2024-05-11T00:00:00"/>
    <s v="Basic"/>
    <n v="199"/>
    <n v="20"/>
    <n v="6"/>
    <n v="5"/>
    <n v="35"/>
    <n v="22"/>
    <s v="Yes"/>
    <s v="No"/>
    <s v="Yes"/>
    <s v="Yes"/>
    <s v="Yes"/>
    <s v="No"/>
    <m/>
    <s v="1+ Failures"/>
    <n v="1"/>
    <x v="1"/>
  </r>
  <r>
    <n v="458"/>
    <d v="2023-08-13T00:00:00"/>
    <s v="Standard"/>
    <n v="399"/>
    <n v="8.4"/>
    <n v="4"/>
    <n v="1"/>
    <n v="33"/>
    <n v="1"/>
    <s v="No"/>
    <s v="No"/>
    <s v="Yes"/>
    <s v="No"/>
    <s v="No"/>
    <s v="No"/>
    <m/>
    <s v="1+ Failures"/>
    <n v="0"/>
    <x v="2"/>
  </r>
  <r>
    <n v="459"/>
    <d v="2023-08-27T00:00:00"/>
    <s v="Basic"/>
    <n v="199"/>
    <n v="1.9"/>
    <n v="7"/>
    <n v="4"/>
    <n v="18"/>
    <n v="22"/>
    <s v="Yes"/>
    <s v="Yes"/>
    <s v="Yes"/>
    <s v="Yes"/>
    <s v="Yes"/>
    <s v="No"/>
    <m/>
    <s v="1+ Failures"/>
    <n v="1"/>
    <x v="0"/>
  </r>
  <r>
    <n v="460"/>
    <d v="2023-02-27T00:00:00"/>
    <s v="Basic"/>
    <n v="199"/>
    <n v="6.6"/>
    <n v="3"/>
    <n v="2"/>
    <n v="7"/>
    <n v="34"/>
    <s v="No"/>
    <s v="No"/>
    <s v="Yes"/>
    <s v="No"/>
    <s v="Yes"/>
    <s v="No"/>
    <m/>
    <s v="1+ Failures"/>
    <n v="0"/>
    <x v="2"/>
  </r>
  <r>
    <n v="461"/>
    <d v="2024-12-15T00:00:00"/>
    <s v="Basic"/>
    <n v="199"/>
    <n v="9.1999999999999993"/>
    <n v="2"/>
    <n v="1"/>
    <n v="25"/>
    <n v="15"/>
    <s v="No"/>
    <s v="No"/>
    <s v="Yes"/>
    <s v="No"/>
    <s v="Yes"/>
    <s v="No"/>
    <m/>
    <s v="1+ Failures"/>
    <n v="0"/>
    <x v="2"/>
  </r>
  <r>
    <n v="462"/>
    <d v="2023-07-12T00:00:00"/>
    <s v="Standard"/>
    <n v="399"/>
    <n v="17.7"/>
    <n v="5"/>
    <n v="4"/>
    <n v="2"/>
    <n v="36"/>
    <s v="Yes"/>
    <s v="No"/>
    <s v="Yes"/>
    <s v="Yes"/>
    <s v="Yes"/>
    <s v="Yes"/>
    <m/>
    <s v="1+ Failures"/>
    <n v="1"/>
    <x v="1"/>
  </r>
  <r>
    <n v="463"/>
    <d v="2024-09-08T00:00:00"/>
    <s v="Standard"/>
    <n v="399"/>
    <n v="8.1"/>
    <n v="7"/>
    <n v="0"/>
    <n v="35"/>
    <n v="5"/>
    <s v="Yes"/>
    <s v="No"/>
    <s v="No"/>
    <s v="Yes"/>
    <s v="No"/>
    <s v="No"/>
    <m/>
    <s v="0 Failures"/>
    <n v="1"/>
    <x v="2"/>
  </r>
  <r>
    <n v="464"/>
    <d v="2023-05-14T00:00:00"/>
    <s v="Basic"/>
    <n v="199"/>
    <n v="13.4"/>
    <n v="0"/>
    <n v="2"/>
    <n v="2"/>
    <n v="58"/>
    <s v="No"/>
    <s v="No"/>
    <s v="Yes"/>
    <s v="No"/>
    <s v="Yes"/>
    <s v="Yes"/>
    <m/>
    <s v="1+ Failures"/>
    <n v="0"/>
    <x v="1"/>
  </r>
  <r>
    <n v="465"/>
    <d v="2024-12-22T00:00:00"/>
    <s v="Standard"/>
    <n v="399"/>
    <n v="23"/>
    <n v="5"/>
    <n v="0"/>
    <n v="12"/>
    <n v="1"/>
    <s v="Yes"/>
    <s v="No"/>
    <s v="No"/>
    <s v="Yes"/>
    <s v="No"/>
    <s v="No"/>
    <m/>
    <s v="0 Failures"/>
    <n v="1"/>
    <x v="3"/>
  </r>
  <r>
    <n v="466"/>
    <d v="2024-11-09T00:00:00"/>
    <s v="Basic"/>
    <n v="199"/>
    <n v="21.2"/>
    <n v="5"/>
    <n v="0"/>
    <n v="8"/>
    <n v="23"/>
    <s v="No"/>
    <s v="No"/>
    <s v="No"/>
    <s v="Yes"/>
    <s v="Yes"/>
    <s v="No"/>
    <m/>
    <s v="0 Failures"/>
    <n v="0"/>
    <x v="3"/>
  </r>
  <r>
    <n v="467"/>
    <d v="2024-03-23T00:00:00"/>
    <s v="Standard"/>
    <n v="399"/>
    <n v="8.6999999999999993"/>
    <n v="5"/>
    <n v="1"/>
    <n v="7"/>
    <n v="10"/>
    <s v="No"/>
    <s v="No"/>
    <s v="Yes"/>
    <s v="Yes"/>
    <s v="No"/>
    <s v="No"/>
    <m/>
    <s v="1+ Failures"/>
    <n v="0"/>
    <x v="2"/>
  </r>
  <r>
    <n v="468"/>
    <d v="2024-09-20T00:00:00"/>
    <s v="Premium"/>
    <n v="699"/>
    <n v="16.399999999999999"/>
    <n v="2"/>
    <n v="5"/>
    <n v="32"/>
    <n v="35"/>
    <s v="No"/>
    <s v="No"/>
    <s v="Yes"/>
    <s v="No"/>
    <s v="Yes"/>
    <s v="No"/>
    <m/>
    <s v="1+ Failures"/>
    <n v="0"/>
    <x v="1"/>
  </r>
  <r>
    <n v="469"/>
    <d v="2023-10-29T00:00:00"/>
    <s v="Standard"/>
    <n v="399"/>
    <n v="16.8"/>
    <n v="2"/>
    <n v="3"/>
    <n v="15"/>
    <n v="19"/>
    <s v="No"/>
    <s v="No"/>
    <s v="Yes"/>
    <s v="No"/>
    <s v="Yes"/>
    <s v="No"/>
    <m/>
    <s v="1+ Failures"/>
    <n v="0"/>
    <x v="1"/>
  </r>
  <r>
    <n v="470"/>
    <d v="2023-11-22T00:00:00"/>
    <s v="Basic"/>
    <n v="199"/>
    <n v="18.399999999999999"/>
    <n v="6"/>
    <n v="4"/>
    <n v="12"/>
    <n v="2"/>
    <s v="Yes"/>
    <s v="No"/>
    <s v="Yes"/>
    <s v="Yes"/>
    <s v="No"/>
    <s v="No"/>
    <m/>
    <s v="1+ Failures"/>
    <n v="1"/>
    <x v="1"/>
  </r>
  <r>
    <n v="471"/>
    <d v="2023-03-21T00:00:00"/>
    <s v="Premium"/>
    <n v="699"/>
    <n v="16.2"/>
    <n v="1"/>
    <n v="3"/>
    <n v="15"/>
    <n v="9"/>
    <s v="Yes"/>
    <s v="No"/>
    <s v="Yes"/>
    <s v="No"/>
    <s v="No"/>
    <s v="No"/>
    <m/>
    <s v="1+ Failures"/>
    <n v="1"/>
    <x v="1"/>
  </r>
  <r>
    <n v="472"/>
    <d v="2024-12-26T00:00:00"/>
    <s v="Basic"/>
    <n v="199"/>
    <n v="24.6"/>
    <n v="2"/>
    <n v="5"/>
    <n v="23"/>
    <n v="56"/>
    <s v="No"/>
    <s v="No"/>
    <s v="Yes"/>
    <s v="No"/>
    <s v="Yes"/>
    <s v="No"/>
    <m/>
    <s v="1+ Failures"/>
    <n v="0"/>
    <x v="3"/>
  </r>
  <r>
    <n v="473"/>
    <d v="2023-12-25T00:00:00"/>
    <s v="Premium"/>
    <n v="699"/>
    <n v="11.4"/>
    <n v="4"/>
    <n v="1"/>
    <n v="22"/>
    <n v="15"/>
    <s v="No"/>
    <s v="No"/>
    <s v="Yes"/>
    <s v="No"/>
    <s v="Yes"/>
    <s v="No"/>
    <m/>
    <s v="1+ Failures"/>
    <n v="0"/>
    <x v="1"/>
  </r>
  <r>
    <n v="474"/>
    <d v="2023-06-20T00:00:00"/>
    <s v="Standard"/>
    <n v="399"/>
    <n v="18.2"/>
    <n v="0"/>
    <n v="3"/>
    <n v="7"/>
    <n v="28"/>
    <s v="No"/>
    <s v="No"/>
    <s v="Yes"/>
    <s v="No"/>
    <s v="Yes"/>
    <s v="No"/>
    <m/>
    <s v="1+ Failures"/>
    <n v="0"/>
    <x v="1"/>
  </r>
  <r>
    <n v="475"/>
    <d v="2024-05-05T00:00:00"/>
    <s v="Standard"/>
    <n v="399"/>
    <n v="22.1"/>
    <n v="5"/>
    <n v="4"/>
    <n v="32"/>
    <n v="24"/>
    <s v="Yes"/>
    <s v="No"/>
    <s v="Yes"/>
    <s v="Yes"/>
    <s v="Yes"/>
    <s v="No"/>
    <m/>
    <s v="1+ Failures"/>
    <n v="1"/>
    <x v="3"/>
  </r>
  <r>
    <n v="476"/>
    <d v="2023-09-25T00:00:00"/>
    <s v="Premium"/>
    <n v="699"/>
    <n v="4.5"/>
    <n v="1"/>
    <n v="0"/>
    <n v="15"/>
    <n v="18"/>
    <s v="Yes"/>
    <s v="Yes"/>
    <s v="No"/>
    <s v="No"/>
    <s v="Yes"/>
    <s v="No"/>
    <m/>
    <s v="0 Failures"/>
    <n v="1"/>
    <x v="0"/>
  </r>
  <r>
    <n v="477"/>
    <d v="2023-04-06T00:00:00"/>
    <s v="Basic"/>
    <n v="199"/>
    <n v="8.9"/>
    <n v="6"/>
    <n v="1"/>
    <n v="5"/>
    <n v="46"/>
    <s v="Yes"/>
    <s v="No"/>
    <s v="Yes"/>
    <s v="Yes"/>
    <s v="Yes"/>
    <s v="Yes"/>
    <m/>
    <s v="1+ Failures"/>
    <n v="1"/>
    <x v="2"/>
  </r>
  <r>
    <n v="478"/>
    <d v="2024-03-20T00:00:00"/>
    <s v="Standard"/>
    <n v="399"/>
    <n v="17.8"/>
    <n v="6"/>
    <n v="5"/>
    <n v="31"/>
    <n v="10"/>
    <s v="No"/>
    <s v="No"/>
    <s v="Yes"/>
    <s v="Yes"/>
    <s v="No"/>
    <s v="No"/>
    <m/>
    <s v="1+ Failures"/>
    <n v="0"/>
    <x v="1"/>
  </r>
  <r>
    <n v="479"/>
    <d v="2024-07-07T00:00:00"/>
    <s v="Basic"/>
    <n v="199"/>
    <n v="3"/>
    <n v="3"/>
    <n v="1"/>
    <n v="4"/>
    <n v="26"/>
    <s v="No"/>
    <s v="Yes"/>
    <s v="Yes"/>
    <s v="No"/>
    <s v="Yes"/>
    <s v="Yes"/>
    <m/>
    <s v="1+ Failures"/>
    <n v="0"/>
    <x v="0"/>
  </r>
  <r>
    <n v="480"/>
    <d v="2024-05-17T00:00:00"/>
    <s v="Standard"/>
    <n v="399"/>
    <n v="7.8"/>
    <n v="1"/>
    <n v="0"/>
    <n v="19"/>
    <n v="25"/>
    <s v="No"/>
    <s v="No"/>
    <s v="No"/>
    <s v="No"/>
    <s v="Yes"/>
    <s v="No"/>
    <m/>
    <s v="0 Failures"/>
    <n v="0"/>
    <x v="2"/>
  </r>
  <r>
    <n v="481"/>
    <d v="2024-10-02T00:00:00"/>
    <s v="Basic"/>
    <n v="199"/>
    <n v="9.3000000000000007"/>
    <n v="6"/>
    <n v="0"/>
    <n v="4"/>
    <n v="18"/>
    <s v="No"/>
    <s v="No"/>
    <s v="No"/>
    <s v="Yes"/>
    <s v="Yes"/>
    <s v="Yes"/>
    <m/>
    <s v="0 Failures"/>
    <n v="0"/>
    <x v="2"/>
  </r>
  <r>
    <n v="482"/>
    <d v="2023-03-25T00:00:00"/>
    <s v="Premium"/>
    <n v="699"/>
    <n v="5.4"/>
    <n v="0"/>
    <n v="1"/>
    <n v="31"/>
    <n v="10"/>
    <s v="No"/>
    <s v="No"/>
    <s v="Yes"/>
    <s v="No"/>
    <s v="No"/>
    <s v="No"/>
    <m/>
    <s v="1+ Failures"/>
    <n v="0"/>
    <x v="2"/>
  </r>
  <r>
    <n v="483"/>
    <d v="2023-09-29T00:00:00"/>
    <s v="Standard"/>
    <n v="399"/>
    <n v="8.1"/>
    <n v="6"/>
    <n v="3"/>
    <n v="8"/>
    <n v="31"/>
    <s v="No"/>
    <s v="No"/>
    <s v="Yes"/>
    <s v="Yes"/>
    <s v="Yes"/>
    <s v="No"/>
    <m/>
    <s v="1+ Failures"/>
    <n v="0"/>
    <x v="2"/>
  </r>
  <r>
    <n v="484"/>
    <d v="2023-02-15T00:00:00"/>
    <s v="Basic"/>
    <n v="199"/>
    <n v="10"/>
    <n v="5"/>
    <n v="3"/>
    <n v="35"/>
    <n v="23"/>
    <s v="Yes"/>
    <s v="No"/>
    <s v="Yes"/>
    <s v="Yes"/>
    <s v="Yes"/>
    <s v="No"/>
    <m/>
    <s v="1+ Failures"/>
    <n v="1"/>
    <x v="2"/>
  </r>
  <r>
    <n v="485"/>
    <d v="2024-12-14T00:00:00"/>
    <s v="Standard"/>
    <n v="399"/>
    <n v="11.9"/>
    <n v="3"/>
    <n v="2"/>
    <n v="29"/>
    <n v="36"/>
    <s v="Yes"/>
    <s v="No"/>
    <s v="Yes"/>
    <s v="No"/>
    <s v="Yes"/>
    <s v="No"/>
    <m/>
    <s v="1+ Failures"/>
    <n v="1"/>
    <x v="1"/>
  </r>
  <r>
    <n v="486"/>
    <d v="2024-08-26T00:00:00"/>
    <s v="Premium"/>
    <n v="699"/>
    <n v="2.6"/>
    <n v="5"/>
    <n v="4"/>
    <n v="7"/>
    <n v="26"/>
    <s v="Yes"/>
    <s v="Yes"/>
    <s v="Yes"/>
    <s v="Yes"/>
    <s v="Yes"/>
    <s v="No"/>
    <m/>
    <s v="1+ Failures"/>
    <n v="1"/>
    <x v="0"/>
  </r>
  <r>
    <n v="487"/>
    <d v="2024-12-04T00:00:00"/>
    <s v="Basic"/>
    <n v="199"/>
    <n v="2"/>
    <n v="6"/>
    <n v="4"/>
    <n v="36"/>
    <n v="26"/>
    <s v="Yes"/>
    <s v="Yes"/>
    <s v="Yes"/>
    <s v="Yes"/>
    <s v="Yes"/>
    <s v="No"/>
    <m/>
    <s v="1+ Failures"/>
    <n v="1"/>
    <x v="0"/>
  </r>
  <r>
    <n v="488"/>
    <d v="2023-02-05T00:00:00"/>
    <s v="Standard"/>
    <n v="399"/>
    <n v="12.2"/>
    <n v="1"/>
    <n v="3"/>
    <n v="16"/>
    <n v="57"/>
    <s v="No"/>
    <s v="No"/>
    <s v="Yes"/>
    <s v="No"/>
    <s v="Yes"/>
    <s v="No"/>
    <m/>
    <s v="1+ Failures"/>
    <n v="0"/>
    <x v="1"/>
  </r>
  <r>
    <n v="489"/>
    <d v="2023-06-27T00:00:00"/>
    <s v="Premium"/>
    <n v="699"/>
    <n v="20.100000000000001"/>
    <n v="2"/>
    <n v="0"/>
    <n v="34"/>
    <n v="60"/>
    <s v="No"/>
    <s v="No"/>
    <s v="No"/>
    <s v="No"/>
    <s v="Yes"/>
    <s v="No"/>
    <m/>
    <s v="0 Failures"/>
    <n v="0"/>
    <x v="3"/>
  </r>
  <r>
    <n v="490"/>
    <d v="2024-11-30T00:00:00"/>
    <s v="Basic"/>
    <n v="199"/>
    <n v="20.3"/>
    <n v="2"/>
    <n v="0"/>
    <n v="14"/>
    <n v="27"/>
    <s v="Yes"/>
    <s v="No"/>
    <s v="No"/>
    <s v="No"/>
    <s v="Yes"/>
    <s v="No"/>
    <m/>
    <s v="0 Failures"/>
    <n v="1"/>
    <x v="3"/>
  </r>
  <r>
    <n v="491"/>
    <d v="2023-03-10T00:00:00"/>
    <s v="Standard"/>
    <n v="399"/>
    <n v="24.9"/>
    <n v="2"/>
    <n v="4"/>
    <n v="13"/>
    <n v="16"/>
    <s v="Yes"/>
    <s v="No"/>
    <s v="Yes"/>
    <s v="No"/>
    <s v="Yes"/>
    <s v="No"/>
    <m/>
    <s v="1+ Failures"/>
    <n v="1"/>
    <x v="3"/>
  </r>
  <r>
    <n v="492"/>
    <d v="2024-04-14T00:00:00"/>
    <s v="Basic"/>
    <n v="199"/>
    <n v="14.1"/>
    <n v="8"/>
    <n v="2"/>
    <n v="25"/>
    <n v="54"/>
    <s v="Yes"/>
    <s v="No"/>
    <s v="Yes"/>
    <s v="Yes"/>
    <s v="Yes"/>
    <s v="No"/>
    <m/>
    <s v="1+ Failures"/>
    <n v="1"/>
    <x v="1"/>
  </r>
  <r>
    <n v="493"/>
    <d v="2024-08-25T00:00:00"/>
    <s v="Basic"/>
    <n v="199"/>
    <n v="19.7"/>
    <n v="1"/>
    <n v="3"/>
    <n v="34"/>
    <n v="9"/>
    <s v="Yes"/>
    <s v="No"/>
    <s v="Yes"/>
    <s v="No"/>
    <s v="No"/>
    <s v="No"/>
    <m/>
    <s v="1+ Failures"/>
    <n v="1"/>
    <x v="1"/>
  </r>
  <r>
    <n v="494"/>
    <d v="2023-12-19T00:00:00"/>
    <s v="Premium"/>
    <n v="699"/>
    <n v="23.2"/>
    <n v="1"/>
    <n v="2"/>
    <n v="7"/>
    <n v="55"/>
    <s v="Yes"/>
    <s v="No"/>
    <s v="Yes"/>
    <s v="No"/>
    <s v="Yes"/>
    <s v="No"/>
    <m/>
    <s v="1+ Failures"/>
    <n v="1"/>
    <x v="3"/>
  </r>
  <r>
    <n v="495"/>
    <d v="2023-06-26T00:00:00"/>
    <s v="Standard"/>
    <n v="399"/>
    <n v="9.9"/>
    <n v="7"/>
    <n v="4"/>
    <n v="17"/>
    <n v="38"/>
    <s v="Yes"/>
    <s v="No"/>
    <s v="Yes"/>
    <s v="Yes"/>
    <s v="Yes"/>
    <s v="No"/>
    <m/>
    <s v="1+ Failures"/>
    <n v="1"/>
    <x v="2"/>
  </r>
  <r>
    <n v="496"/>
    <d v="2023-12-06T00:00:00"/>
    <s v="Standard"/>
    <n v="399"/>
    <n v="4"/>
    <n v="6"/>
    <n v="0"/>
    <n v="26"/>
    <n v="25"/>
    <s v="No"/>
    <s v="Yes"/>
    <s v="No"/>
    <s v="Yes"/>
    <s v="Yes"/>
    <s v="No"/>
    <m/>
    <s v="0 Failures"/>
    <n v="0"/>
    <x v="0"/>
  </r>
  <r>
    <n v="497"/>
    <d v="2023-12-12T00:00:00"/>
    <s v="Premium"/>
    <n v="699"/>
    <n v="1.7"/>
    <n v="7"/>
    <n v="2"/>
    <n v="16"/>
    <n v="57"/>
    <s v="Yes"/>
    <s v="Yes"/>
    <s v="Yes"/>
    <s v="Yes"/>
    <s v="Yes"/>
    <s v="No"/>
    <m/>
    <s v="1+ Failures"/>
    <n v="1"/>
    <x v="0"/>
  </r>
  <r>
    <n v="498"/>
    <d v="2023-08-22T00:00:00"/>
    <s v="Standard"/>
    <n v="399"/>
    <n v="7.4"/>
    <n v="7"/>
    <n v="5"/>
    <n v="20"/>
    <n v="43"/>
    <s v="Yes"/>
    <s v="No"/>
    <s v="Yes"/>
    <s v="Yes"/>
    <s v="Yes"/>
    <s v="No"/>
    <m/>
    <s v="1+ Failures"/>
    <n v="1"/>
    <x v="2"/>
  </r>
  <r>
    <n v="499"/>
    <d v="2024-09-11T00:00:00"/>
    <s v="Basic"/>
    <n v="199"/>
    <n v="24.4"/>
    <n v="7"/>
    <n v="2"/>
    <n v="20"/>
    <n v="17"/>
    <s v="No"/>
    <s v="No"/>
    <s v="Yes"/>
    <s v="Yes"/>
    <s v="Yes"/>
    <s v="No"/>
    <m/>
    <s v="1+ Failures"/>
    <n v="0"/>
    <x v="3"/>
  </r>
  <r>
    <n v="500"/>
    <d v="2024-06-12T00:00:00"/>
    <s v="Premium"/>
    <n v="699"/>
    <n v="5.0999999999999996"/>
    <n v="3"/>
    <n v="3"/>
    <n v="6"/>
    <n v="47"/>
    <s v="Yes"/>
    <s v="No"/>
    <s v="Yes"/>
    <s v="No"/>
    <s v="Yes"/>
    <s v="No"/>
    <m/>
    <s v="1+ Failures"/>
    <n v="1"/>
    <x v="2"/>
  </r>
  <r>
    <n v="501"/>
    <d v="2024-02-18T00:00:00"/>
    <s v="Standard"/>
    <n v="399"/>
    <n v="13.1"/>
    <n v="2"/>
    <n v="0"/>
    <n v="4"/>
    <n v="19"/>
    <s v="No"/>
    <s v="No"/>
    <s v="No"/>
    <s v="No"/>
    <s v="Yes"/>
    <s v="Yes"/>
    <m/>
    <s v="0 Failures"/>
    <n v="0"/>
    <x v="1"/>
  </r>
  <r>
    <n v="502"/>
    <d v="2023-07-25T00:00:00"/>
    <s v="Basic"/>
    <n v="199"/>
    <n v="22"/>
    <n v="0"/>
    <n v="1"/>
    <n v="34"/>
    <n v="12"/>
    <s v="No"/>
    <s v="No"/>
    <s v="Yes"/>
    <s v="No"/>
    <s v="No"/>
    <s v="No"/>
    <m/>
    <s v="1+ Failures"/>
    <n v="0"/>
    <x v="3"/>
  </r>
  <r>
    <n v="503"/>
    <d v="2024-01-13T00:00:00"/>
    <s v="Basic"/>
    <n v="199"/>
    <n v="1.3"/>
    <n v="0"/>
    <n v="2"/>
    <n v="16"/>
    <n v="45"/>
    <s v="Yes"/>
    <s v="Yes"/>
    <s v="Yes"/>
    <s v="No"/>
    <s v="Yes"/>
    <s v="No"/>
    <m/>
    <s v="1+ Failures"/>
    <n v="1"/>
    <x v="0"/>
  </r>
  <r>
    <n v="504"/>
    <d v="2024-05-15T00:00:00"/>
    <s v="Standard"/>
    <n v="399"/>
    <n v="10.199999999999999"/>
    <n v="1"/>
    <n v="5"/>
    <n v="33"/>
    <n v="1"/>
    <s v="Yes"/>
    <s v="No"/>
    <s v="Yes"/>
    <s v="No"/>
    <s v="No"/>
    <s v="No"/>
    <m/>
    <s v="1+ Failures"/>
    <n v="1"/>
    <x v="1"/>
  </r>
  <r>
    <n v="505"/>
    <d v="2023-06-17T00:00:00"/>
    <s v="Premium"/>
    <n v="699"/>
    <n v="4.9000000000000004"/>
    <n v="7"/>
    <n v="4"/>
    <n v="29"/>
    <n v="35"/>
    <s v="Yes"/>
    <s v="Yes"/>
    <s v="Yes"/>
    <s v="Yes"/>
    <s v="Yes"/>
    <s v="No"/>
    <m/>
    <s v="1+ Failures"/>
    <n v="1"/>
    <x v="0"/>
  </r>
  <r>
    <n v="506"/>
    <d v="2023-08-08T00:00:00"/>
    <s v="Standard"/>
    <n v="399"/>
    <n v="7.5"/>
    <n v="6"/>
    <n v="0"/>
    <n v="6"/>
    <n v="10"/>
    <s v="No"/>
    <s v="No"/>
    <s v="No"/>
    <s v="Yes"/>
    <s v="No"/>
    <s v="No"/>
    <m/>
    <s v="0 Failures"/>
    <n v="0"/>
    <x v="2"/>
  </r>
  <r>
    <n v="507"/>
    <d v="2024-11-29T00:00:00"/>
    <s v="Basic"/>
    <n v="199"/>
    <n v="17.100000000000001"/>
    <n v="4"/>
    <n v="5"/>
    <n v="15"/>
    <n v="26"/>
    <s v="Yes"/>
    <s v="No"/>
    <s v="Yes"/>
    <s v="No"/>
    <s v="Yes"/>
    <s v="No"/>
    <m/>
    <s v="1+ Failures"/>
    <n v="1"/>
    <x v="1"/>
  </r>
  <r>
    <n v="508"/>
    <d v="2023-09-16T00:00:00"/>
    <s v="Basic"/>
    <n v="199"/>
    <n v="22.8"/>
    <n v="2"/>
    <n v="4"/>
    <n v="31"/>
    <n v="51"/>
    <s v="Yes"/>
    <s v="No"/>
    <s v="Yes"/>
    <s v="No"/>
    <s v="Yes"/>
    <s v="No"/>
    <m/>
    <s v="1+ Failures"/>
    <n v="1"/>
    <x v="3"/>
  </r>
  <r>
    <n v="509"/>
    <d v="2023-12-24T00:00:00"/>
    <s v="Premium"/>
    <n v="699"/>
    <n v="18"/>
    <n v="4"/>
    <n v="3"/>
    <n v="20"/>
    <n v="57"/>
    <s v="Yes"/>
    <s v="No"/>
    <s v="Yes"/>
    <s v="No"/>
    <s v="Yes"/>
    <s v="No"/>
    <m/>
    <s v="1+ Failures"/>
    <n v="1"/>
    <x v="1"/>
  </r>
  <r>
    <n v="510"/>
    <d v="2024-02-11T00:00:00"/>
    <s v="Standard"/>
    <n v="399"/>
    <n v="5.8"/>
    <n v="4"/>
    <n v="5"/>
    <n v="17"/>
    <n v="33"/>
    <s v="No"/>
    <s v="No"/>
    <s v="Yes"/>
    <s v="No"/>
    <s v="Yes"/>
    <s v="No"/>
    <m/>
    <s v="1+ Failures"/>
    <n v="0"/>
    <x v="2"/>
  </r>
  <r>
    <n v="511"/>
    <d v="2023-10-17T00:00:00"/>
    <s v="Premium"/>
    <n v="699"/>
    <n v="0.7"/>
    <n v="5"/>
    <n v="4"/>
    <n v="7"/>
    <n v="41"/>
    <s v="Yes"/>
    <s v="Yes"/>
    <s v="Yes"/>
    <s v="Yes"/>
    <s v="Yes"/>
    <s v="No"/>
    <m/>
    <s v="1+ Failures"/>
    <n v="1"/>
    <x v="0"/>
  </r>
  <r>
    <n v="512"/>
    <d v="2023-10-11T00:00:00"/>
    <s v="Standard"/>
    <n v="399"/>
    <n v="12.3"/>
    <n v="5"/>
    <n v="2"/>
    <n v="7"/>
    <n v="40"/>
    <s v="Yes"/>
    <s v="No"/>
    <s v="Yes"/>
    <s v="Yes"/>
    <s v="Yes"/>
    <s v="No"/>
    <m/>
    <s v="1+ Failures"/>
    <n v="1"/>
    <x v="1"/>
  </r>
  <r>
    <n v="513"/>
    <d v="2024-09-06T00:00:00"/>
    <s v="Standard"/>
    <n v="399"/>
    <n v="5.0999999999999996"/>
    <n v="8"/>
    <n v="1"/>
    <n v="20"/>
    <n v="57"/>
    <s v="Yes"/>
    <s v="No"/>
    <s v="Yes"/>
    <s v="Yes"/>
    <s v="Yes"/>
    <s v="No"/>
    <m/>
    <s v="1+ Failures"/>
    <n v="1"/>
    <x v="2"/>
  </r>
  <r>
    <n v="514"/>
    <d v="2023-09-23T00:00:00"/>
    <s v="Standard"/>
    <n v="399"/>
    <n v="17.2"/>
    <n v="0"/>
    <n v="5"/>
    <n v="21"/>
    <n v="31"/>
    <s v="No"/>
    <s v="No"/>
    <s v="Yes"/>
    <s v="No"/>
    <s v="Yes"/>
    <s v="No"/>
    <m/>
    <s v="1+ Failures"/>
    <n v="0"/>
    <x v="1"/>
  </r>
  <r>
    <n v="515"/>
    <d v="2023-07-14T00:00:00"/>
    <s v="Standard"/>
    <n v="399"/>
    <n v="10"/>
    <n v="0"/>
    <n v="4"/>
    <n v="26"/>
    <n v="45"/>
    <s v="No"/>
    <s v="No"/>
    <s v="Yes"/>
    <s v="No"/>
    <s v="Yes"/>
    <s v="No"/>
    <m/>
    <s v="1+ Failures"/>
    <n v="0"/>
    <x v="2"/>
  </r>
  <r>
    <n v="516"/>
    <d v="2023-06-24T00:00:00"/>
    <s v="Standard"/>
    <n v="399"/>
    <n v="17.3"/>
    <n v="7"/>
    <n v="5"/>
    <n v="15"/>
    <n v="22"/>
    <s v="Yes"/>
    <s v="No"/>
    <s v="Yes"/>
    <s v="Yes"/>
    <s v="Yes"/>
    <s v="No"/>
    <m/>
    <s v="1+ Failures"/>
    <n v="1"/>
    <x v="1"/>
  </r>
  <r>
    <n v="517"/>
    <d v="2024-07-26T00:00:00"/>
    <s v="Premium"/>
    <n v="699"/>
    <n v="4.9000000000000004"/>
    <n v="1"/>
    <n v="3"/>
    <n v="36"/>
    <n v="8"/>
    <s v="No"/>
    <s v="Yes"/>
    <s v="Yes"/>
    <s v="No"/>
    <s v="No"/>
    <s v="No"/>
    <m/>
    <s v="1+ Failures"/>
    <n v="0"/>
    <x v="0"/>
  </r>
  <r>
    <n v="518"/>
    <d v="2023-11-11T00:00:00"/>
    <s v="Basic"/>
    <n v="199"/>
    <n v="16.5"/>
    <n v="3"/>
    <n v="2"/>
    <n v="22"/>
    <n v="14"/>
    <s v="No"/>
    <s v="No"/>
    <s v="Yes"/>
    <s v="No"/>
    <s v="No"/>
    <s v="No"/>
    <m/>
    <s v="1+ Failures"/>
    <n v="0"/>
    <x v="1"/>
  </r>
  <r>
    <n v="519"/>
    <d v="2023-02-24T00:00:00"/>
    <s v="Standard"/>
    <n v="399"/>
    <n v="9.6"/>
    <n v="4"/>
    <n v="3"/>
    <n v="22"/>
    <n v="54"/>
    <s v="Yes"/>
    <s v="No"/>
    <s v="Yes"/>
    <s v="No"/>
    <s v="Yes"/>
    <s v="No"/>
    <m/>
    <s v="1+ Failures"/>
    <n v="1"/>
    <x v="2"/>
  </r>
  <r>
    <n v="520"/>
    <d v="2024-01-26T00:00:00"/>
    <s v="Premium"/>
    <n v="699"/>
    <n v="12.1"/>
    <n v="3"/>
    <n v="4"/>
    <n v="5"/>
    <n v="7"/>
    <s v="No"/>
    <s v="No"/>
    <s v="Yes"/>
    <s v="No"/>
    <s v="No"/>
    <s v="Yes"/>
    <m/>
    <s v="1+ Failures"/>
    <n v="0"/>
    <x v="1"/>
  </r>
  <r>
    <n v="521"/>
    <d v="2024-08-06T00:00:00"/>
    <s v="Premium"/>
    <n v="699"/>
    <n v="10.6"/>
    <n v="2"/>
    <n v="1"/>
    <n v="20"/>
    <n v="12"/>
    <s v="No"/>
    <s v="No"/>
    <s v="Yes"/>
    <s v="No"/>
    <s v="No"/>
    <s v="No"/>
    <m/>
    <s v="1+ Failures"/>
    <n v="0"/>
    <x v="1"/>
  </r>
  <r>
    <n v="522"/>
    <d v="2023-07-01T00:00:00"/>
    <s v="Standard"/>
    <n v="399"/>
    <n v="8.3000000000000007"/>
    <n v="2"/>
    <n v="0"/>
    <n v="10"/>
    <n v="31"/>
    <s v="Yes"/>
    <s v="No"/>
    <s v="No"/>
    <s v="No"/>
    <s v="Yes"/>
    <s v="No"/>
    <m/>
    <s v="0 Failures"/>
    <n v="1"/>
    <x v="2"/>
  </r>
  <r>
    <n v="523"/>
    <d v="2024-08-13T00:00:00"/>
    <s v="Standard"/>
    <n v="399"/>
    <n v="0.6"/>
    <n v="4"/>
    <n v="1"/>
    <n v="4"/>
    <n v="48"/>
    <s v="No"/>
    <s v="Yes"/>
    <s v="Yes"/>
    <s v="No"/>
    <s v="Yes"/>
    <s v="Yes"/>
    <m/>
    <s v="1+ Failures"/>
    <n v="0"/>
    <x v="0"/>
  </r>
  <r>
    <n v="524"/>
    <d v="2024-03-15T00:00:00"/>
    <s v="Basic"/>
    <n v="199"/>
    <n v="19.7"/>
    <n v="1"/>
    <n v="1"/>
    <n v="32"/>
    <n v="39"/>
    <s v="No"/>
    <s v="No"/>
    <s v="Yes"/>
    <s v="No"/>
    <s v="Yes"/>
    <s v="No"/>
    <m/>
    <s v="1+ Failures"/>
    <n v="0"/>
    <x v="1"/>
  </r>
  <r>
    <n v="525"/>
    <d v="2024-01-18T00:00:00"/>
    <s v="Standard"/>
    <n v="399"/>
    <n v="24.2"/>
    <n v="6"/>
    <n v="0"/>
    <n v="28"/>
    <n v="2"/>
    <s v="No"/>
    <s v="No"/>
    <s v="No"/>
    <s v="Yes"/>
    <s v="No"/>
    <s v="No"/>
    <m/>
    <s v="0 Failures"/>
    <n v="0"/>
    <x v="3"/>
  </r>
  <r>
    <n v="526"/>
    <d v="2024-10-03T00:00:00"/>
    <s v="Basic"/>
    <n v="199"/>
    <n v="19"/>
    <n v="8"/>
    <n v="1"/>
    <n v="21"/>
    <n v="1"/>
    <s v="No"/>
    <s v="No"/>
    <s v="Yes"/>
    <s v="Yes"/>
    <s v="No"/>
    <s v="No"/>
    <m/>
    <s v="1+ Failures"/>
    <n v="0"/>
    <x v="1"/>
  </r>
  <r>
    <n v="527"/>
    <d v="2024-05-30T00:00:00"/>
    <s v="Premium"/>
    <n v="699"/>
    <n v="6"/>
    <n v="5"/>
    <n v="2"/>
    <n v="16"/>
    <n v="8"/>
    <s v="Yes"/>
    <s v="No"/>
    <s v="Yes"/>
    <s v="Yes"/>
    <s v="No"/>
    <s v="No"/>
    <m/>
    <s v="1+ Failures"/>
    <n v="1"/>
    <x v="2"/>
  </r>
  <r>
    <n v="528"/>
    <d v="2024-06-16T00:00:00"/>
    <s v="Premium"/>
    <n v="699"/>
    <n v="4.5999999999999996"/>
    <n v="0"/>
    <n v="2"/>
    <n v="20"/>
    <n v="60"/>
    <s v="Yes"/>
    <s v="Yes"/>
    <s v="Yes"/>
    <s v="No"/>
    <s v="Yes"/>
    <s v="No"/>
    <m/>
    <s v="1+ Failures"/>
    <n v="1"/>
    <x v="0"/>
  </r>
  <r>
    <n v="529"/>
    <d v="2023-07-12T00:00:00"/>
    <s v="Premium"/>
    <n v="699"/>
    <n v="8.8000000000000007"/>
    <n v="2"/>
    <n v="2"/>
    <n v="34"/>
    <n v="57"/>
    <s v="Yes"/>
    <s v="No"/>
    <s v="Yes"/>
    <s v="No"/>
    <s v="Yes"/>
    <s v="No"/>
    <m/>
    <s v="1+ Failures"/>
    <n v="1"/>
    <x v="2"/>
  </r>
  <r>
    <n v="530"/>
    <d v="2023-01-23T00:00:00"/>
    <s v="Basic"/>
    <n v="199"/>
    <n v="1"/>
    <n v="3"/>
    <n v="5"/>
    <n v="26"/>
    <n v="8"/>
    <s v="Yes"/>
    <s v="Yes"/>
    <s v="Yes"/>
    <s v="No"/>
    <s v="No"/>
    <s v="No"/>
    <m/>
    <s v="1+ Failures"/>
    <n v="1"/>
    <x v="0"/>
  </r>
  <r>
    <n v="531"/>
    <d v="2024-01-20T00:00:00"/>
    <s v="Premium"/>
    <n v="699"/>
    <n v="4.5999999999999996"/>
    <n v="5"/>
    <n v="5"/>
    <n v="33"/>
    <n v="41"/>
    <s v="Yes"/>
    <s v="Yes"/>
    <s v="Yes"/>
    <s v="Yes"/>
    <s v="Yes"/>
    <s v="No"/>
    <m/>
    <s v="1+ Failures"/>
    <n v="1"/>
    <x v="0"/>
  </r>
  <r>
    <n v="532"/>
    <d v="2024-10-31T00:00:00"/>
    <s v="Premium"/>
    <n v="699"/>
    <n v="19.399999999999999"/>
    <n v="0"/>
    <n v="4"/>
    <n v="17"/>
    <n v="3"/>
    <s v="No"/>
    <s v="No"/>
    <s v="Yes"/>
    <s v="No"/>
    <s v="No"/>
    <s v="No"/>
    <m/>
    <s v="1+ Failures"/>
    <n v="0"/>
    <x v="1"/>
  </r>
  <r>
    <n v="533"/>
    <d v="2023-09-16T00:00:00"/>
    <s v="Basic"/>
    <n v="199"/>
    <n v="17.399999999999999"/>
    <n v="6"/>
    <n v="3"/>
    <n v="4"/>
    <n v="24"/>
    <s v="Yes"/>
    <s v="No"/>
    <s v="Yes"/>
    <s v="Yes"/>
    <s v="Yes"/>
    <s v="Yes"/>
    <m/>
    <s v="1+ Failures"/>
    <n v="1"/>
    <x v="1"/>
  </r>
  <r>
    <n v="534"/>
    <d v="2024-11-09T00:00:00"/>
    <s v="Standard"/>
    <n v="399"/>
    <n v="5.5"/>
    <n v="0"/>
    <n v="2"/>
    <n v="10"/>
    <n v="26"/>
    <s v="No"/>
    <s v="No"/>
    <s v="Yes"/>
    <s v="No"/>
    <s v="Yes"/>
    <s v="No"/>
    <m/>
    <s v="1+ Failures"/>
    <n v="0"/>
    <x v="2"/>
  </r>
  <r>
    <n v="535"/>
    <d v="2024-06-07T00:00:00"/>
    <s v="Premium"/>
    <n v="699"/>
    <n v="15.8"/>
    <n v="2"/>
    <n v="3"/>
    <n v="18"/>
    <n v="53"/>
    <s v="No"/>
    <s v="No"/>
    <s v="Yes"/>
    <s v="No"/>
    <s v="Yes"/>
    <s v="No"/>
    <m/>
    <s v="1+ Failures"/>
    <n v="0"/>
    <x v="1"/>
  </r>
  <r>
    <n v="536"/>
    <d v="2023-09-27T00:00:00"/>
    <s v="Premium"/>
    <n v="699"/>
    <n v="7.4"/>
    <n v="1"/>
    <n v="3"/>
    <n v="8"/>
    <n v="12"/>
    <s v="No"/>
    <s v="No"/>
    <s v="Yes"/>
    <s v="No"/>
    <s v="No"/>
    <s v="No"/>
    <m/>
    <s v="1+ Failures"/>
    <n v="0"/>
    <x v="2"/>
  </r>
  <r>
    <n v="537"/>
    <d v="2024-05-23T00:00:00"/>
    <s v="Premium"/>
    <n v="699"/>
    <n v="9.3000000000000007"/>
    <n v="6"/>
    <n v="2"/>
    <n v="13"/>
    <n v="10"/>
    <s v="Yes"/>
    <s v="No"/>
    <s v="Yes"/>
    <s v="Yes"/>
    <s v="No"/>
    <s v="No"/>
    <m/>
    <s v="1+ Failures"/>
    <n v="1"/>
    <x v="2"/>
  </r>
  <r>
    <n v="538"/>
    <d v="2023-04-24T00:00:00"/>
    <s v="Basic"/>
    <n v="199"/>
    <n v="8.6"/>
    <n v="0"/>
    <n v="0"/>
    <n v="31"/>
    <n v="42"/>
    <s v="Yes"/>
    <s v="No"/>
    <s v="No"/>
    <s v="No"/>
    <s v="Yes"/>
    <s v="No"/>
    <m/>
    <s v="0 Failures"/>
    <n v="1"/>
    <x v="2"/>
  </r>
  <r>
    <n v="539"/>
    <d v="2023-04-14T00:00:00"/>
    <s v="Premium"/>
    <n v="699"/>
    <n v="4.2"/>
    <n v="1"/>
    <n v="4"/>
    <n v="32"/>
    <n v="4"/>
    <s v="No"/>
    <s v="Yes"/>
    <s v="Yes"/>
    <s v="No"/>
    <s v="No"/>
    <s v="No"/>
    <m/>
    <s v="1+ Failures"/>
    <n v="0"/>
    <x v="0"/>
  </r>
  <r>
    <n v="540"/>
    <d v="2023-06-28T00:00:00"/>
    <s v="Standard"/>
    <n v="399"/>
    <n v="11.7"/>
    <n v="4"/>
    <n v="2"/>
    <n v="15"/>
    <n v="29"/>
    <s v="Yes"/>
    <s v="No"/>
    <s v="Yes"/>
    <s v="No"/>
    <s v="Yes"/>
    <s v="No"/>
    <m/>
    <s v="1+ Failures"/>
    <n v="1"/>
    <x v="1"/>
  </r>
  <r>
    <n v="541"/>
    <d v="2023-02-16T00:00:00"/>
    <s v="Basic"/>
    <n v="199"/>
    <n v="9.3000000000000007"/>
    <n v="5"/>
    <n v="3"/>
    <n v="19"/>
    <n v="47"/>
    <s v="Yes"/>
    <s v="No"/>
    <s v="Yes"/>
    <s v="Yes"/>
    <s v="Yes"/>
    <s v="No"/>
    <m/>
    <s v="1+ Failures"/>
    <n v="1"/>
    <x v="2"/>
  </r>
  <r>
    <n v="542"/>
    <d v="2024-09-28T00:00:00"/>
    <s v="Basic"/>
    <n v="199"/>
    <n v="16.8"/>
    <n v="2"/>
    <n v="2"/>
    <n v="9"/>
    <n v="22"/>
    <s v="No"/>
    <s v="No"/>
    <s v="Yes"/>
    <s v="No"/>
    <s v="Yes"/>
    <s v="No"/>
    <m/>
    <s v="1+ Failures"/>
    <n v="0"/>
    <x v="1"/>
  </r>
  <r>
    <n v="543"/>
    <d v="2024-04-12T00:00:00"/>
    <s v="Standard"/>
    <n v="399"/>
    <n v="9.6"/>
    <n v="5"/>
    <n v="1"/>
    <n v="6"/>
    <n v="7"/>
    <s v="No"/>
    <s v="No"/>
    <s v="Yes"/>
    <s v="Yes"/>
    <s v="No"/>
    <s v="No"/>
    <m/>
    <s v="1+ Failures"/>
    <n v="0"/>
    <x v="2"/>
  </r>
  <r>
    <n v="544"/>
    <d v="2023-06-20T00:00:00"/>
    <s v="Standard"/>
    <n v="399"/>
    <n v="17.399999999999999"/>
    <n v="7"/>
    <n v="3"/>
    <n v="25"/>
    <n v="41"/>
    <s v="No"/>
    <s v="No"/>
    <s v="Yes"/>
    <s v="Yes"/>
    <s v="Yes"/>
    <s v="No"/>
    <m/>
    <s v="1+ Failures"/>
    <n v="0"/>
    <x v="1"/>
  </r>
  <r>
    <n v="545"/>
    <d v="2024-08-27T00:00:00"/>
    <s v="Basic"/>
    <n v="199"/>
    <n v="17.600000000000001"/>
    <n v="0"/>
    <n v="1"/>
    <n v="9"/>
    <n v="6"/>
    <s v="No"/>
    <s v="No"/>
    <s v="Yes"/>
    <s v="No"/>
    <s v="No"/>
    <s v="No"/>
    <m/>
    <s v="1+ Failures"/>
    <n v="0"/>
    <x v="1"/>
  </r>
  <r>
    <n v="546"/>
    <d v="2024-12-01T00:00:00"/>
    <s v="Standard"/>
    <n v="399"/>
    <n v="4.9000000000000004"/>
    <n v="6"/>
    <n v="2"/>
    <n v="29"/>
    <n v="39"/>
    <s v="Yes"/>
    <s v="Yes"/>
    <s v="Yes"/>
    <s v="Yes"/>
    <s v="Yes"/>
    <s v="No"/>
    <m/>
    <s v="1+ Failures"/>
    <n v="1"/>
    <x v="0"/>
  </r>
  <r>
    <n v="547"/>
    <d v="2023-02-17T00:00:00"/>
    <s v="Premium"/>
    <n v="699"/>
    <n v="12.3"/>
    <n v="7"/>
    <n v="0"/>
    <n v="9"/>
    <n v="56"/>
    <s v="Yes"/>
    <s v="No"/>
    <s v="No"/>
    <s v="Yes"/>
    <s v="Yes"/>
    <s v="No"/>
    <m/>
    <s v="0 Failures"/>
    <n v="1"/>
    <x v="1"/>
  </r>
  <r>
    <n v="548"/>
    <d v="2024-08-13T00:00:00"/>
    <s v="Basic"/>
    <n v="199"/>
    <n v="16.5"/>
    <n v="0"/>
    <n v="5"/>
    <n v="17"/>
    <n v="55"/>
    <s v="No"/>
    <s v="No"/>
    <s v="Yes"/>
    <s v="No"/>
    <s v="Yes"/>
    <s v="No"/>
    <m/>
    <s v="1+ Failures"/>
    <n v="0"/>
    <x v="1"/>
  </r>
  <r>
    <n v="549"/>
    <d v="2024-09-25T00:00:00"/>
    <s v="Premium"/>
    <n v="699"/>
    <n v="24.5"/>
    <n v="5"/>
    <n v="4"/>
    <n v="15"/>
    <n v="33"/>
    <s v="Yes"/>
    <s v="No"/>
    <s v="Yes"/>
    <s v="Yes"/>
    <s v="Yes"/>
    <s v="No"/>
    <m/>
    <s v="1+ Failures"/>
    <n v="1"/>
    <x v="3"/>
  </r>
  <r>
    <n v="550"/>
    <d v="2024-10-18T00:00:00"/>
    <s v="Basic"/>
    <n v="199"/>
    <n v="16.7"/>
    <n v="3"/>
    <n v="3"/>
    <n v="28"/>
    <n v="22"/>
    <s v="No"/>
    <s v="No"/>
    <s v="Yes"/>
    <s v="No"/>
    <s v="Yes"/>
    <s v="No"/>
    <m/>
    <s v="1+ Failures"/>
    <n v="0"/>
    <x v="1"/>
  </r>
  <r>
    <n v="551"/>
    <d v="2023-06-10T00:00:00"/>
    <s v="Standard"/>
    <n v="399"/>
    <n v="21.1"/>
    <n v="8"/>
    <n v="4"/>
    <n v="10"/>
    <n v="3"/>
    <s v="Yes"/>
    <s v="No"/>
    <s v="Yes"/>
    <s v="Yes"/>
    <s v="No"/>
    <s v="No"/>
    <m/>
    <s v="1+ Failures"/>
    <n v="1"/>
    <x v="3"/>
  </r>
  <r>
    <n v="552"/>
    <d v="2023-09-04T00:00:00"/>
    <s v="Premium"/>
    <n v="699"/>
    <n v="21.4"/>
    <n v="2"/>
    <n v="0"/>
    <n v="31"/>
    <n v="48"/>
    <s v="No"/>
    <s v="No"/>
    <s v="No"/>
    <s v="No"/>
    <s v="Yes"/>
    <s v="No"/>
    <m/>
    <s v="0 Failures"/>
    <n v="0"/>
    <x v="3"/>
  </r>
  <r>
    <n v="553"/>
    <d v="2023-08-29T00:00:00"/>
    <s v="Standard"/>
    <n v="399"/>
    <n v="1.7"/>
    <n v="3"/>
    <n v="4"/>
    <n v="18"/>
    <n v="41"/>
    <s v="Yes"/>
    <s v="Yes"/>
    <s v="Yes"/>
    <s v="No"/>
    <s v="Yes"/>
    <s v="No"/>
    <m/>
    <s v="1+ Failures"/>
    <n v="1"/>
    <x v="0"/>
  </r>
  <r>
    <n v="554"/>
    <d v="2023-11-20T00:00:00"/>
    <s v="Basic"/>
    <n v="199"/>
    <n v="11.4"/>
    <n v="7"/>
    <n v="0"/>
    <n v="30"/>
    <n v="54"/>
    <s v="Yes"/>
    <s v="No"/>
    <s v="No"/>
    <s v="Yes"/>
    <s v="Yes"/>
    <s v="No"/>
    <m/>
    <s v="0 Failures"/>
    <n v="1"/>
    <x v="1"/>
  </r>
  <r>
    <n v="555"/>
    <d v="2024-07-24T00:00:00"/>
    <s v="Basic"/>
    <n v="199"/>
    <n v="18.8"/>
    <n v="0"/>
    <n v="0"/>
    <n v="32"/>
    <n v="25"/>
    <s v="No"/>
    <s v="No"/>
    <s v="No"/>
    <s v="No"/>
    <s v="Yes"/>
    <s v="No"/>
    <m/>
    <s v="0 Failures"/>
    <n v="0"/>
    <x v="1"/>
  </r>
  <r>
    <n v="556"/>
    <d v="2024-11-18T00:00:00"/>
    <s v="Premium"/>
    <n v="699"/>
    <n v="20.7"/>
    <n v="4"/>
    <n v="4"/>
    <n v="1"/>
    <n v="35"/>
    <s v="Yes"/>
    <s v="No"/>
    <s v="Yes"/>
    <s v="No"/>
    <s v="Yes"/>
    <s v="Yes"/>
    <m/>
    <s v="1+ Failures"/>
    <n v="1"/>
    <x v="3"/>
  </r>
  <r>
    <n v="557"/>
    <d v="2024-07-27T00:00:00"/>
    <s v="Standard"/>
    <n v="399"/>
    <n v="9.4"/>
    <n v="0"/>
    <n v="1"/>
    <n v="22"/>
    <n v="54"/>
    <s v="No"/>
    <s v="No"/>
    <s v="Yes"/>
    <s v="No"/>
    <s v="Yes"/>
    <s v="No"/>
    <m/>
    <s v="1+ Failures"/>
    <n v="0"/>
    <x v="2"/>
  </r>
  <r>
    <n v="558"/>
    <d v="2024-11-05T00:00:00"/>
    <s v="Premium"/>
    <n v="699"/>
    <n v="18.100000000000001"/>
    <n v="5"/>
    <n v="5"/>
    <n v="31"/>
    <n v="28"/>
    <s v="Yes"/>
    <s v="No"/>
    <s v="Yes"/>
    <s v="Yes"/>
    <s v="Yes"/>
    <s v="No"/>
    <m/>
    <s v="1+ Failures"/>
    <n v="1"/>
    <x v="1"/>
  </r>
  <r>
    <n v="559"/>
    <d v="2023-04-19T00:00:00"/>
    <s v="Basic"/>
    <n v="199"/>
    <n v="8.9"/>
    <n v="4"/>
    <n v="4"/>
    <n v="1"/>
    <n v="33"/>
    <s v="Yes"/>
    <s v="No"/>
    <s v="Yes"/>
    <s v="No"/>
    <s v="Yes"/>
    <s v="Yes"/>
    <m/>
    <s v="1+ Failures"/>
    <n v="1"/>
    <x v="2"/>
  </r>
  <r>
    <n v="560"/>
    <d v="2023-07-12T00:00:00"/>
    <s v="Basic"/>
    <n v="199"/>
    <n v="12.6"/>
    <n v="6"/>
    <n v="0"/>
    <n v="11"/>
    <n v="16"/>
    <s v="No"/>
    <s v="No"/>
    <s v="No"/>
    <s v="Yes"/>
    <s v="Yes"/>
    <s v="No"/>
    <m/>
    <s v="0 Failures"/>
    <n v="0"/>
    <x v="1"/>
  </r>
  <r>
    <n v="561"/>
    <d v="2024-02-29T00:00:00"/>
    <s v="Basic"/>
    <n v="199"/>
    <n v="5.8"/>
    <n v="3"/>
    <n v="5"/>
    <n v="26"/>
    <n v="21"/>
    <s v="Yes"/>
    <s v="No"/>
    <s v="Yes"/>
    <s v="No"/>
    <s v="Yes"/>
    <s v="No"/>
    <m/>
    <s v="1+ Failures"/>
    <n v="1"/>
    <x v="2"/>
  </r>
  <r>
    <n v="562"/>
    <d v="2024-05-31T00:00:00"/>
    <s v="Basic"/>
    <n v="199"/>
    <n v="19.399999999999999"/>
    <n v="7"/>
    <n v="3"/>
    <n v="8"/>
    <n v="42"/>
    <s v="Yes"/>
    <s v="No"/>
    <s v="Yes"/>
    <s v="Yes"/>
    <s v="Yes"/>
    <s v="No"/>
    <m/>
    <s v="1+ Failures"/>
    <n v="1"/>
    <x v="1"/>
  </r>
  <r>
    <n v="563"/>
    <d v="2024-08-22T00:00:00"/>
    <s v="Basic"/>
    <n v="199"/>
    <n v="0.6"/>
    <n v="0"/>
    <n v="4"/>
    <n v="32"/>
    <n v="59"/>
    <s v="Yes"/>
    <s v="Yes"/>
    <s v="Yes"/>
    <s v="No"/>
    <s v="Yes"/>
    <s v="No"/>
    <m/>
    <s v="1+ Failures"/>
    <n v="1"/>
    <x v="0"/>
  </r>
  <r>
    <n v="564"/>
    <d v="2023-05-12T00:00:00"/>
    <s v="Standard"/>
    <n v="399"/>
    <n v="19.600000000000001"/>
    <n v="2"/>
    <n v="5"/>
    <n v="33"/>
    <n v="37"/>
    <s v="Yes"/>
    <s v="No"/>
    <s v="Yes"/>
    <s v="No"/>
    <s v="Yes"/>
    <s v="No"/>
    <m/>
    <s v="1+ Failures"/>
    <n v="1"/>
    <x v="1"/>
  </r>
  <r>
    <n v="565"/>
    <d v="2024-09-15T00:00:00"/>
    <s v="Basic"/>
    <n v="199"/>
    <n v="16.600000000000001"/>
    <n v="5"/>
    <n v="4"/>
    <n v="25"/>
    <n v="56"/>
    <s v="Yes"/>
    <s v="No"/>
    <s v="Yes"/>
    <s v="Yes"/>
    <s v="Yes"/>
    <s v="No"/>
    <m/>
    <s v="1+ Failures"/>
    <n v="1"/>
    <x v="1"/>
  </r>
  <r>
    <n v="566"/>
    <d v="2023-05-22T00:00:00"/>
    <s v="Premium"/>
    <n v="699"/>
    <n v="7.2"/>
    <n v="5"/>
    <n v="2"/>
    <n v="16"/>
    <n v="28"/>
    <s v="No"/>
    <s v="No"/>
    <s v="Yes"/>
    <s v="Yes"/>
    <s v="Yes"/>
    <s v="No"/>
    <m/>
    <s v="1+ Failures"/>
    <n v="0"/>
    <x v="2"/>
  </r>
  <r>
    <n v="567"/>
    <d v="2024-07-20T00:00:00"/>
    <s v="Standard"/>
    <n v="399"/>
    <n v="7.8"/>
    <n v="8"/>
    <n v="2"/>
    <n v="33"/>
    <n v="45"/>
    <s v="Yes"/>
    <s v="No"/>
    <s v="Yes"/>
    <s v="Yes"/>
    <s v="Yes"/>
    <s v="No"/>
    <m/>
    <s v="1+ Failures"/>
    <n v="1"/>
    <x v="2"/>
  </r>
  <r>
    <n v="568"/>
    <d v="2023-05-16T00:00:00"/>
    <s v="Premium"/>
    <n v="699"/>
    <n v="5.4"/>
    <n v="4"/>
    <n v="5"/>
    <n v="14"/>
    <n v="22"/>
    <s v="No"/>
    <s v="No"/>
    <s v="Yes"/>
    <s v="No"/>
    <s v="Yes"/>
    <s v="No"/>
    <m/>
    <s v="1+ Failures"/>
    <n v="0"/>
    <x v="2"/>
  </r>
  <r>
    <n v="569"/>
    <d v="2024-07-29T00:00:00"/>
    <s v="Premium"/>
    <n v="699"/>
    <n v="12.8"/>
    <n v="5"/>
    <n v="5"/>
    <n v="12"/>
    <n v="7"/>
    <s v="No"/>
    <s v="No"/>
    <s v="Yes"/>
    <s v="Yes"/>
    <s v="No"/>
    <s v="No"/>
    <m/>
    <s v="1+ Failures"/>
    <n v="0"/>
    <x v="1"/>
  </r>
  <r>
    <n v="570"/>
    <d v="2023-01-14T00:00:00"/>
    <s v="Standard"/>
    <n v="399"/>
    <n v="17"/>
    <n v="8"/>
    <n v="2"/>
    <n v="27"/>
    <n v="56"/>
    <s v="No"/>
    <s v="No"/>
    <s v="Yes"/>
    <s v="Yes"/>
    <s v="Yes"/>
    <s v="No"/>
    <m/>
    <s v="1+ Failures"/>
    <n v="0"/>
    <x v="1"/>
  </r>
  <r>
    <n v="571"/>
    <d v="2023-10-01T00:00:00"/>
    <s v="Premium"/>
    <n v="699"/>
    <n v="1.1000000000000001"/>
    <n v="2"/>
    <n v="0"/>
    <n v="7"/>
    <n v="42"/>
    <s v="Yes"/>
    <s v="Yes"/>
    <s v="No"/>
    <s v="No"/>
    <s v="Yes"/>
    <s v="No"/>
    <m/>
    <s v="0 Failures"/>
    <n v="1"/>
    <x v="0"/>
  </r>
  <r>
    <n v="572"/>
    <d v="2023-07-28T00:00:00"/>
    <s v="Basic"/>
    <n v="199"/>
    <n v="17.2"/>
    <n v="2"/>
    <n v="0"/>
    <n v="19"/>
    <n v="44"/>
    <s v="No"/>
    <s v="No"/>
    <s v="No"/>
    <s v="No"/>
    <s v="Yes"/>
    <s v="No"/>
    <m/>
    <s v="0 Failures"/>
    <n v="0"/>
    <x v="1"/>
  </r>
  <r>
    <n v="573"/>
    <d v="2024-07-29T00:00:00"/>
    <s v="Premium"/>
    <n v="699"/>
    <n v="9.3000000000000007"/>
    <n v="7"/>
    <n v="0"/>
    <n v="3"/>
    <n v="39"/>
    <s v="No"/>
    <s v="No"/>
    <s v="No"/>
    <s v="Yes"/>
    <s v="Yes"/>
    <s v="Yes"/>
    <m/>
    <s v="0 Failures"/>
    <n v="0"/>
    <x v="2"/>
  </r>
  <r>
    <n v="574"/>
    <d v="2023-02-18T00:00:00"/>
    <s v="Basic"/>
    <n v="199"/>
    <n v="10"/>
    <n v="8"/>
    <n v="5"/>
    <n v="36"/>
    <n v="18"/>
    <s v="No"/>
    <s v="No"/>
    <s v="Yes"/>
    <s v="Yes"/>
    <s v="Yes"/>
    <s v="No"/>
    <m/>
    <s v="1+ Failures"/>
    <n v="0"/>
    <x v="2"/>
  </r>
  <r>
    <n v="575"/>
    <d v="2023-09-15T00:00:00"/>
    <s v="Standard"/>
    <n v="399"/>
    <n v="10.7"/>
    <n v="5"/>
    <n v="4"/>
    <n v="25"/>
    <n v="3"/>
    <s v="Yes"/>
    <s v="No"/>
    <s v="Yes"/>
    <s v="Yes"/>
    <s v="No"/>
    <s v="No"/>
    <m/>
    <s v="1+ Failures"/>
    <n v="1"/>
    <x v="1"/>
  </r>
  <r>
    <n v="576"/>
    <d v="2023-07-21T00:00:00"/>
    <s v="Basic"/>
    <n v="199"/>
    <n v="20.8"/>
    <n v="5"/>
    <n v="4"/>
    <n v="29"/>
    <n v="34"/>
    <s v="Yes"/>
    <s v="No"/>
    <s v="Yes"/>
    <s v="Yes"/>
    <s v="Yes"/>
    <s v="No"/>
    <m/>
    <s v="1+ Failures"/>
    <n v="1"/>
    <x v="3"/>
  </r>
  <r>
    <n v="577"/>
    <d v="2023-06-27T00:00:00"/>
    <s v="Premium"/>
    <n v="699"/>
    <n v="7.7"/>
    <n v="2"/>
    <n v="5"/>
    <n v="13"/>
    <n v="4"/>
    <s v="Yes"/>
    <s v="No"/>
    <s v="Yes"/>
    <s v="No"/>
    <s v="No"/>
    <s v="No"/>
    <m/>
    <s v="1+ Failures"/>
    <n v="1"/>
    <x v="2"/>
  </r>
  <r>
    <n v="578"/>
    <d v="2023-05-14T00:00:00"/>
    <s v="Premium"/>
    <n v="699"/>
    <n v="3.4"/>
    <n v="0"/>
    <n v="3"/>
    <n v="33"/>
    <n v="17"/>
    <s v="Yes"/>
    <s v="Yes"/>
    <s v="Yes"/>
    <s v="No"/>
    <s v="Yes"/>
    <s v="No"/>
    <m/>
    <s v="1+ Failures"/>
    <n v="1"/>
    <x v="0"/>
  </r>
  <r>
    <n v="579"/>
    <d v="2023-06-07T00:00:00"/>
    <s v="Basic"/>
    <n v="199"/>
    <n v="0.6"/>
    <n v="7"/>
    <n v="5"/>
    <n v="17"/>
    <n v="59"/>
    <s v="Yes"/>
    <s v="Yes"/>
    <s v="Yes"/>
    <s v="Yes"/>
    <s v="Yes"/>
    <s v="No"/>
    <m/>
    <s v="1+ Failures"/>
    <n v="1"/>
    <x v="0"/>
  </r>
  <r>
    <n v="580"/>
    <d v="2024-01-02T00:00:00"/>
    <s v="Standard"/>
    <n v="399"/>
    <n v="19.5"/>
    <n v="4"/>
    <n v="3"/>
    <n v="4"/>
    <n v="50"/>
    <s v="Yes"/>
    <s v="No"/>
    <s v="Yes"/>
    <s v="No"/>
    <s v="Yes"/>
    <s v="Yes"/>
    <m/>
    <s v="1+ Failures"/>
    <n v="1"/>
    <x v="1"/>
  </r>
  <r>
    <n v="581"/>
    <d v="2023-06-13T00:00:00"/>
    <s v="Basic"/>
    <n v="199"/>
    <n v="13.4"/>
    <n v="2"/>
    <n v="4"/>
    <n v="21"/>
    <n v="4"/>
    <s v="No"/>
    <s v="No"/>
    <s v="Yes"/>
    <s v="No"/>
    <s v="No"/>
    <s v="No"/>
    <m/>
    <s v="1+ Failures"/>
    <n v="0"/>
    <x v="1"/>
  </r>
  <r>
    <n v="582"/>
    <d v="2024-11-10T00:00:00"/>
    <s v="Standard"/>
    <n v="399"/>
    <n v="13.7"/>
    <n v="1"/>
    <n v="2"/>
    <n v="35"/>
    <n v="14"/>
    <s v="No"/>
    <s v="No"/>
    <s v="Yes"/>
    <s v="No"/>
    <s v="No"/>
    <s v="No"/>
    <m/>
    <s v="1+ Failures"/>
    <n v="0"/>
    <x v="1"/>
  </r>
  <r>
    <n v="583"/>
    <d v="2024-07-28T00:00:00"/>
    <s v="Standard"/>
    <n v="399"/>
    <n v="9.3000000000000007"/>
    <n v="3"/>
    <n v="4"/>
    <n v="22"/>
    <n v="33"/>
    <s v="Yes"/>
    <s v="No"/>
    <s v="Yes"/>
    <s v="No"/>
    <s v="Yes"/>
    <s v="No"/>
    <m/>
    <s v="1+ Failures"/>
    <n v="1"/>
    <x v="2"/>
  </r>
  <r>
    <n v="584"/>
    <d v="2024-09-20T00:00:00"/>
    <s v="Premium"/>
    <n v="699"/>
    <n v="3.3"/>
    <n v="5"/>
    <n v="3"/>
    <n v="1"/>
    <n v="15"/>
    <s v="No"/>
    <s v="Yes"/>
    <s v="Yes"/>
    <s v="Yes"/>
    <s v="Yes"/>
    <s v="Yes"/>
    <m/>
    <s v="1+ Failures"/>
    <n v="0"/>
    <x v="0"/>
  </r>
  <r>
    <n v="585"/>
    <d v="2023-04-27T00:00:00"/>
    <s v="Premium"/>
    <n v="699"/>
    <n v="24"/>
    <n v="5"/>
    <n v="3"/>
    <n v="16"/>
    <n v="58"/>
    <s v="No"/>
    <s v="No"/>
    <s v="Yes"/>
    <s v="Yes"/>
    <s v="Yes"/>
    <s v="No"/>
    <m/>
    <s v="1+ Failures"/>
    <n v="0"/>
    <x v="3"/>
  </r>
  <r>
    <n v="586"/>
    <d v="2024-01-19T00:00:00"/>
    <s v="Standard"/>
    <n v="399"/>
    <n v="13.7"/>
    <n v="4"/>
    <n v="0"/>
    <n v="17"/>
    <n v="58"/>
    <s v="No"/>
    <s v="No"/>
    <s v="No"/>
    <s v="No"/>
    <s v="Yes"/>
    <s v="No"/>
    <m/>
    <s v="0 Failures"/>
    <n v="0"/>
    <x v="1"/>
  </r>
  <r>
    <n v="587"/>
    <d v="2023-11-25T00:00:00"/>
    <s v="Premium"/>
    <n v="699"/>
    <n v="11.4"/>
    <n v="0"/>
    <n v="2"/>
    <n v="33"/>
    <n v="57"/>
    <s v="No"/>
    <s v="No"/>
    <s v="Yes"/>
    <s v="No"/>
    <s v="Yes"/>
    <s v="No"/>
    <m/>
    <s v="1+ Failures"/>
    <n v="0"/>
    <x v="1"/>
  </r>
  <r>
    <n v="588"/>
    <d v="2023-03-09T00:00:00"/>
    <s v="Premium"/>
    <n v="699"/>
    <n v="23.7"/>
    <n v="2"/>
    <n v="4"/>
    <n v="6"/>
    <n v="34"/>
    <s v="Yes"/>
    <s v="No"/>
    <s v="Yes"/>
    <s v="No"/>
    <s v="Yes"/>
    <s v="No"/>
    <m/>
    <s v="1+ Failures"/>
    <n v="1"/>
    <x v="3"/>
  </r>
  <r>
    <n v="589"/>
    <d v="2024-12-20T00:00:00"/>
    <s v="Basic"/>
    <n v="199"/>
    <n v="21.7"/>
    <n v="6"/>
    <n v="0"/>
    <n v="14"/>
    <n v="13"/>
    <s v="No"/>
    <s v="No"/>
    <s v="No"/>
    <s v="Yes"/>
    <s v="No"/>
    <s v="No"/>
    <m/>
    <s v="0 Failures"/>
    <n v="0"/>
    <x v="3"/>
  </r>
  <r>
    <n v="590"/>
    <d v="2024-04-15T00:00:00"/>
    <s v="Premium"/>
    <n v="699"/>
    <n v="16.3"/>
    <n v="1"/>
    <n v="5"/>
    <n v="28"/>
    <n v="43"/>
    <s v="Yes"/>
    <s v="No"/>
    <s v="Yes"/>
    <s v="No"/>
    <s v="Yes"/>
    <s v="No"/>
    <m/>
    <s v="1+ Failures"/>
    <n v="1"/>
    <x v="1"/>
  </r>
  <r>
    <n v="591"/>
    <d v="2024-07-25T00:00:00"/>
    <s v="Premium"/>
    <n v="699"/>
    <n v="1.4"/>
    <n v="1"/>
    <n v="0"/>
    <n v="22"/>
    <n v="11"/>
    <s v="No"/>
    <s v="Yes"/>
    <s v="No"/>
    <s v="No"/>
    <s v="No"/>
    <s v="No"/>
    <m/>
    <s v="0 Failures"/>
    <n v="0"/>
    <x v="0"/>
  </r>
  <r>
    <n v="592"/>
    <d v="2024-03-19T00:00:00"/>
    <s v="Basic"/>
    <n v="199"/>
    <n v="22.8"/>
    <n v="6"/>
    <n v="3"/>
    <n v="15"/>
    <n v="28"/>
    <s v="Yes"/>
    <s v="No"/>
    <s v="Yes"/>
    <s v="Yes"/>
    <s v="Yes"/>
    <s v="No"/>
    <m/>
    <s v="1+ Failures"/>
    <n v="1"/>
    <x v="3"/>
  </r>
  <r>
    <n v="593"/>
    <d v="2024-09-25T00:00:00"/>
    <s v="Standard"/>
    <n v="399"/>
    <n v="10"/>
    <n v="1"/>
    <n v="4"/>
    <n v="2"/>
    <n v="0"/>
    <s v="No"/>
    <s v="No"/>
    <s v="Yes"/>
    <s v="No"/>
    <s v="No"/>
    <s v="Yes"/>
    <m/>
    <s v="1+ Failures"/>
    <n v="0"/>
    <x v="2"/>
  </r>
  <r>
    <n v="594"/>
    <d v="2023-10-24T00:00:00"/>
    <s v="Basic"/>
    <n v="199"/>
    <n v="17.7"/>
    <n v="1"/>
    <n v="2"/>
    <n v="3"/>
    <n v="59"/>
    <s v="Yes"/>
    <s v="No"/>
    <s v="Yes"/>
    <s v="No"/>
    <s v="Yes"/>
    <s v="Yes"/>
    <m/>
    <s v="1+ Failures"/>
    <n v="1"/>
    <x v="1"/>
  </r>
  <r>
    <n v="595"/>
    <d v="2024-11-07T00:00:00"/>
    <s v="Premium"/>
    <n v="699"/>
    <n v="15.4"/>
    <n v="4"/>
    <n v="3"/>
    <n v="20"/>
    <n v="24"/>
    <s v="Yes"/>
    <s v="No"/>
    <s v="Yes"/>
    <s v="No"/>
    <s v="Yes"/>
    <s v="No"/>
    <m/>
    <s v="1+ Failures"/>
    <n v="1"/>
    <x v="1"/>
  </r>
  <r>
    <n v="596"/>
    <d v="2024-07-12T00:00:00"/>
    <s v="Basic"/>
    <n v="199"/>
    <n v="4.3"/>
    <n v="3"/>
    <n v="1"/>
    <n v="31"/>
    <n v="47"/>
    <s v="Yes"/>
    <s v="Yes"/>
    <s v="Yes"/>
    <s v="No"/>
    <s v="Yes"/>
    <s v="No"/>
    <m/>
    <s v="1+ Failures"/>
    <n v="1"/>
    <x v="0"/>
  </r>
  <r>
    <n v="597"/>
    <d v="2023-05-25T00:00:00"/>
    <s v="Standard"/>
    <n v="399"/>
    <n v="7.8"/>
    <n v="5"/>
    <n v="0"/>
    <n v="10"/>
    <n v="35"/>
    <s v="No"/>
    <s v="No"/>
    <s v="No"/>
    <s v="Yes"/>
    <s v="Yes"/>
    <s v="No"/>
    <m/>
    <s v="0 Failures"/>
    <n v="0"/>
    <x v="2"/>
  </r>
  <r>
    <n v="598"/>
    <d v="2023-11-09T00:00:00"/>
    <s v="Basic"/>
    <n v="199"/>
    <n v="0.6"/>
    <n v="6"/>
    <n v="4"/>
    <n v="3"/>
    <n v="35"/>
    <s v="Yes"/>
    <s v="Yes"/>
    <s v="Yes"/>
    <s v="Yes"/>
    <s v="Yes"/>
    <s v="Yes"/>
    <m/>
    <s v="1+ Failures"/>
    <n v="1"/>
    <x v="0"/>
  </r>
  <r>
    <n v="599"/>
    <d v="2024-09-23T00:00:00"/>
    <s v="Basic"/>
    <n v="199"/>
    <n v="5.7"/>
    <n v="8"/>
    <n v="1"/>
    <n v="23"/>
    <n v="10"/>
    <s v="Yes"/>
    <s v="No"/>
    <s v="Yes"/>
    <s v="Yes"/>
    <s v="No"/>
    <s v="No"/>
    <m/>
    <s v="1+ Failures"/>
    <n v="1"/>
    <x v="2"/>
  </r>
  <r>
    <n v="600"/>
    <d v="2023-03-16T00:00:00"/>
    <s v="Standard"/>
    <n v="399"/>
    <n v="3.3"/>
    <n v="0"/>
    <n v="4"/>
    <n v="13"/>
    <n v="29"/>
    <s v="Yes"/>
    <s v="Yes"/>
    <s v="Yes"/>
    <s v="No"/>
    <s v="Yes"/>
    <s v="No"/>
    <m/>
    <s v="1+ Failures"/>
    <n v="1"/>
    <x v="0"/>
  </r>
  <r>
    <n v="601"/>
    <d v="2023-12-05T00:00:00"/>
    <s v="Standard"/>
    <n v="399"/>
    <n v="6.6"/>
    <n v="3"/>
    <n v="5"/>
    <n v="5"/>
    <n v="37"/>
    <s v="Yes"/>
    <s v="No"/>
    <s v="Yes"/>
    <s v="No"/>
    <s v="Yes"/>
    <s v="Yes"/>
    <m/>
    <s v="1+ Failures"/>
    <n v="1"/>
    <x v="2"/>
  </r>
  <r>
    <n v="602"/>
    <d v="2023-07-18T00:00:00"/>
    <s v="Standard"/>
    <n v="399"/>
    <n v="16.899999999999999"/>
    <n v="3"/>
    <n v="0"/>
    <n v="9"/>
    <n v="18"/>
    <s v="No"/>
    <s v="No"/>
    <s v="No"/>
    <s v="No"/>
    <s v="Yes"/>
    <s v="No"/>
    <m/>
    <s v="0 Failures"/>
    <n v="0"/>
    <x v="1"/>
  </r>
  <r>
    <n v="603"/>
    <d v="2024-08-03T00:00:00"/>
    <s v="Standard"/>
    <n v="399"/>
    <n v="11.5"/>
    <n v="4"/>
    <n v="5"/>
    <n v="32"/>
    <n v="37"/>
    <s v="Yes"/>
    <s v="No"/>
    <s v="Yes"/>
    <s v="No"/>
    <s v="Yes"/>
    <s v="No"/>
    <m/>
    <s v="1+ Failures"/>
    <n v="1"/>
    <x v="1"/>
  </r>
  <r>
    <n v="604"/>
    <d v="2023-08-15T00:00:00"/>
    <s v="Standard"/>
    <n v="399"/>
    <n v="24"/>
    <n v="2"/>
    <n v="0"/>
    <n v="21"/>
    <n v="20"/>
    <s v="No"/>
    <s v="No"/>
    <s v="No"/>
    <s v="No"/>
    <s v="Yes"/>
    <s v="No"/>
    <m/>
    <s v="0 Failures"/>
    <n v="0"/>
    <x v="3"/>
  </r>
  <r>
    <n v="605"/>
    <d v="2024-05-06T00:00:00"/>
    <s v="Premium"/>
    <n v="699"/>
    <n v="7.3"/>
    <n v="5"/>
    <n v="1"/>
    <n v="28"/>
    <n v="43"/>
    <s v="No"/>
    <s v="No"/>
    <s v="Yes"/>
    <s v="Yes"/>
    <s v="Yes"/>
    <s v="No"/>
    <m/>
    <s v="1+ Failures"/>
    <n v="0"/>
    <x v="2"/>
  </r>
  <r>
    <n v="606"/>
    <d v="2024-10-23T00:00:00"/>
    <s v="Standard"/>
    <n v="399"/>
    <n v="9.3000000000000007"/>
    <n v="4"/>
    <n v="3"/>
    <n v="29"/>
    <n v="35"/>
    <s v="Yes"/>
    <s v="No"/>
    <s v="Yes"/>
    <s v="No"/>
    <s v="Yes"/>
    <s v="No"/>
    <m/>
    <s v="1+ Failures"/>
    <n v="1"/>
    <x v="2"/>
  </r>
  <r>
    <n v="607"/>
    <d v="2024-10-03T00:00:00"/>
    <s v="Premium"/>
    <n v="699"/>
    <n v="21.1"/>
    <n v="2"/>
    <n v="4"/>
    <n v="6"/>
    <n v="12"/>
    <s v="Yes"/>
    <s v="No"/>
    <s v="Yes"/>
    <s v="No"/>
    <s v="No"/>
    <s v="No"/>
    <m/>
    <s v="1+ Failures"/>
    <n v="1"/>
    <x v="3"/>
  </r>
  <r>
    <n v="608"/>
    <d v="2024-08-15T00:00:00"/>
    <s v="Basic"/>
    <n v="199"/>
    <n v="22.4"/>
    <n v="8"/>
    <n v="5"/>
    <n v="5"/>
    <n v="1"/>
    <s v="No"/>
    <s v="No"/>
    <s v="Yes"/>
    <s v="Yes"/>
    <s v="No"/>
    <s v="Yes"/>
    <m/>
    <s v="1+ Failures"/>
    <n v="0"/>
    <x v="3"/>
  </r>
  <r>
    <n v="609"/>
    <d v="2024-07-06T00:00:00"/>
    <s v="Standard"/>
    <n v="399"/>
    <n v="22.7"/>
    <n v="8"/>
    <n v="2"/>
    <n v="14"/>
    <n v="34"/>
    <s v="No"/>
    <s v="No"/>
    <s v="Yes"/>
    <s v="Yes"/>
    <s v="Yes"/>
    <s v="No"/>
    <m/>
    <s v="1+ Failures"/>
    <n v="0"/>
    <x v="3"/>
  </r>
  <r>
    <n v="610"/>
    <d v="2023-05-18T00:00:00"/>
    <s v="Standard"/>
    <n v="399"/>
    <n v="9.5"/>
    <n v="3"/>
    <n v="4"/>
    <n v="10"/>
    <n v="46"/>
    <s v="No"/>
    <s v="No"/>
    <s v="Yes"/>
    <s v="No"/>
    <s v="Yes"/>
    <s v="No"/>
    <m/>
    <s v="1+ Failures"/>
    <n v="0"/>
    <x v="2"/>
  </r>
  <r>
    <n v="611"/>
    <d v="2023-09-02T00:00:00"/>
    <s v="Standard"/>
    <n v="399"/>
    <n v="13"/>
    <n v="6"/>
    <n v="2"/>
    <n v="33"/>
    <n v="32"/>
    <s v="Yes"/>
    <s v="No"/>
    <s v="Yes"/>
    <s v="Yes"/>
    <s v="Yes"/>
    <s v="No"/>
    <m/>
    <s v="1+ Failures"/>
    <n v="1"/>
    <x v="1"/>
  </r>
  <r>
    <n v="612"/>
    <d v="2024-08-02T00:00:00"/>
    <s v="Premium"/>
    <n v="699"/>
    <n v="19.100000000000001"/>
    <n v="2"/>
    <n v="3"/>
    <n v="11"/>
    <n v="10"/>
    <s v="Yes"/>
    <s v="No"/>
    <s v="Yes"/>
    <s v="No"/>
    <s v="No"/>
    <s v="No"/>
    <m/>
    <s v="1+ Failures"/>
    <n v="1"/>
    <x v="1"/>
  </r>
  <r>
    <n v="613"/>
    <d v="2024-05-14T00:00:00"/>
    <s v="Premium"/>
    <n v="699"/>
    <n v="18.5"/>
    <n v="7"/>
    <n v="2"/>
    <n v="10"/>
    <n v="2"/>
    <s v="Yes"/>
    <s v="No"/>
    <s v="Yes"/>
    <s v="Yes"/>
    <s v="No"/>
    <s v="No"/>
    <m/>
    <s v="1+ Failures"/>
    <n v="1"/>
    <x v="1"/>
  </r>
  <r>
    <n v="614"/>
    <d v="2024-01-05T00:00:00"/>
    <s v="Basic"/>
    <n v="199"/>
    <n v="7"/>
    <n v="3"/>
    <n v="0"/>
    <n v="5"/>
    <n v="42"/>
    <s v="Yes"/>
    <s v="No"/>
    <s v="No"/>
    <s v="No"/>
    <s v="Yes"/>
    <s v="Yes"/>
    <m/>
    <s v="0 Failures"/>
    <n v="1"/>
    <x v="2"/>
  </r>
  <r>
    <n v="615"/>
    <d v="2024-12-21T00:00:00"/>
    <s v="Standard"/>
    <n v="399"/>
    <n v="23"/>
    <n v="0"/>
    <n v="0"/>
    <n v="31"/>
    <n v="41"/>
    <s v="Yes"/>
    <s v="No"/>
    <s v="No"/>
    <s v="No"/>
    <s v="Yes"/>
    <s v="No"/>
    <m/>
    <s v="0 Failures"/>
    <n v="1"/>
    <x v="3"/>
  </r>
  <r>
    <n v="616"/>
    <d v="2024-01-21T00:00:00"/>
    <s v="Premium"/>
    <n v="699"/>
    <n v="21"/>
    <n v="4"/>
    <n v="4"/>
    <n v="18"/>
    <n v="34"/>
    <s v="Yes"/>
    <s v="No"/>
    <s v="Yes"/>
    <s v="No"/>
    <s v="Yes"/>
    <s v="No"/>
    <m/>
    <s v="1+ Failures"/>
    <n v="1"/>
    <x v="3"/>
  </r>
  <r>
    <n v="617"/>
    <d v="2023-08-17T00:00:00"/>
    <s v="Premium"/>
    <n v="699"/>
    <n v="9.4"/>
    <n v="1"/>
    <n v="4"/>
    <n v="25"/>
    <n v="16"/>
    <s v="No"/>
    <s v="No"/>
    <s v="Yes"/>
    <s v="No"/>
    <s v="Yes"/>
    <s v="No"/>
    <m/>
    <s v="1+ Failures"/>
    <n v="0"/>
    <x v="2"/>
  </r>
  <r>
    <n v="618"/>
    <d v="2024-09-10T00:00:00"/>
    <s v="Premium"/>
    <n v="699"/>
    <n v="9.1"/>
    <n v="5"/>
    <n v="3"/>
    <n v="26"/>
    <n v="50"/>
    <s v="Yes"/>
    <s v="No"/>
    <s v="Yes"/>
    <s v="Yes"/>
    <s v="Yes"/>
    <s v="No"/>
    <m/>
    <s v="1+ Failures"/>
    <n v="1"/>
    <x v="2"/>
  </r>
  <r>
    <n v="619"/>
    <d v="2024-10-20T00:00:00"/>
    <s v="Basic"/>
    <n v="199"/>
    <n v="22.1"/>
    <n v="7"/>
    <n v="1"/>
    <n v="33"/>
    <n v="14"/>
    <s v="Yes"/>
    <s v="No"/>
    <s v="Yes"/>
    <s v="Yes"/>
    <s v="No"/>
    <s v="No"/>
    <m/>
    <s v="1+ Failures"/>
    <n v="1"/>
    <x v="3"/>
  </r>
  <r>
    <n v="620"/>
    <d v="2023-05-02T00:00:00"/>
    <s v="Standard"/>
    <n v="399"/>
    <n v="4.2"/>
    <n v="2"/>
    <n v="2"/>
    <n v="14"/>
    <n v="38"/>
    <s v="Yes"/>
    <s v="Yes"/>
    <s v="Yes"/>
    <s v="No"/>
    <s v="Yes"/>
    <s v="No"/>
    <m/>
    <s v="1+ Failures"/>
    <n v="1"/>
    <x v="0"/>
  </r>
  <r>
    <n v="621"/>
    <d v="2024-05-05T00:00:00"/>
    <s v="Premium"/>
    <n v="699"/>
    <n v="10.7"/>
    <n v="5"/>
    <n v="5"/>
    <n v="15"/>
    <n v="7"/>
    <s v="Yes"/>
    <s v="No"/>
    <s v="Yes"/>
    <s v="Yes"/>
    <s v="No"/>
    <s v="No"/>
    <m/>
    <s v="1+ Failures"/>
    <n v="1"/>
    <x v="1"/>
  </r>
  <r>
    <n v="622"/>
    <d v="2024-08-10T00:00:00"/>
    <s v="Standard"/>
    <n v="399"/>
    <n v="15"/>
    <n v="6"/>
    <n v="0"/>
    <n v="14"/>
    <n v="15"/>
    <s v="Yes"/>
    <s v="No"/>
    <s v="No"/>
    <s v="Yes"/>
    <s v="Yes"/>
    <s v="No"/>
    <m/>
    <s v="0 Failures"/>
    <n v="1"/>
    <x v="1"/>
  </r>
  <r>
    <n v="623"/>
    <d v="2023-02-27T00:00:00"/>
    <s v="Premium"/>
    <n v="699"/>
    <n v="3.8"/>
    <n v="8"/>
    <n v="0"/>
    <n v="11"/>
    <n v="57"/>
    <s v="Yes"/>
    <s v="Yes"/>
    <s v="No"/>
    <s v="Yes"/>
    <s v="Yes"/>
    <s v="No"/>
    <m/>
    <s v="0 Failures"/>
    <n v="1"/>
    <x v="0"/>
  </r>
  <r>
    <n v="624"/>
    <d v="2024-10-14T00:00:00"/>
    <s v="Basic"/>
    <n v="199"/>
    <n v="23.1"/>
    <n v="8"/>
    <n v="3"/>
    <n v="17"/>
    <n v="38"/>
    <s v="No"/>
    <s v="No"/>
    <s v="Yes"/>
    <s v="Yes"/>
    <s v="Yes"/>
    <s v="No"/>
    <m/>
    <s v="1+ Failures"/>
    <n v="0"/>
    <x v="3"/>
  </r>
  <r>
    <n v="625"/>
    <d v="2024-05-08T00:00:00"/>
    <s v="Basic"/>
    <n v="199"/>
    <n v="23.7"/>
    <n v="3"/>
    <n v="3"/>
    <n v="19"/>
    <n v="38"/>
    <s v="No"/>
    <s v="No"/>
    <s v="Yes"/>
    <s v="No"/>
    <s v="Yes"/>
    <s v="No"/>
    <m/>
    <s v="1+ Failures"/>
    <n v="0"/>
    <x v="3"/>
  </r>
  <r>
    <n v="626"/>
    <d v="2024-09-30T00:00:00"/>
    <s v="Basic"/>
    <n v="199"/>
    <n v="20.8"/>
    <n v="2"/>
    <n v="4"/>
    <n v="15"/>
    <n v="52"/>
    <s v="No"/>
    <s v="No"/>
    <s v="Yes"/>
    <s v="No"/>
    <s v="Yes"/>
    <s v="No"/>
    <m/>
    <s v="1+ Failures"/>
    <n v="0"/>
    <x v="3"/>
  </r>
  <r>
    <n v="627"/>
    <d v="2023-08-24T00:00:00"/>
    <s v="Premium"/>
    <n v="699"/>
    <n v="7"/>
    <n v="5"/>
    <n v="3"/>
    <n v="33"/>
    <n v="38"/>
    <s v="Yes"/>
    <s v="No"/>
    <s v="Yes"/>
    <s v="Yes"/>
    <s v="Yes"/>
    <s v="No"/>
    <m/>
    <s v="1+ Failures"/>
    <n v="1"/>
    <x v="2"/>
  </r>
  <r>
    <n v="628"/>
    <d v="2024-05-31T00:00:00"/>
    <s v="Standard"/>
    <n v="399"/>
    <n v="3.7"/>
    <n v="0"/>
    <n v="1"/>
    <n v="25"/>
    <n v="33"/>
    <s v="No"/>
    <s v="Yes"/>
    <s v="Yes"/>
    <s v="No"/>
    <s v="Yes"/>
    <s v="No"/>
    <m/>
    <s v="1+ Failures"/>
    <n v="0"/>
    <x v="0"/>
  </r>
  <r>
    <n v="629"/>
    <d v="2024-09-06T00:00:00"/>
    <s v="Premium"/>
    <n v="699"/>
    <n v="20.7"/>
    <n v="1"/>
    <n v="1"/>
    <n v="27"/>
    <n v="30"/>
    <s v="No"/>
    <s v="No"/>
    <s v="Yes"/>
    <s v="No"/>
    <s v="Yes"/>
    <s v="No"/>
    <m/>
    <s v="1+ Failures"/>
    <n v="0"/>
    <x v="3"/>
  </r>
  <r>
    <n v="630"/>
    <d v="2024-09-09T00:00:00"/>
    <s v="Basic"/>
    <n v="199"/>
    <n v="12.8"/>
    <n v="1"/>
    <n v="0"/>
    <n v="35"/>
    <n v="30"/>
    <s v="No"/>
    <s v="No"/>
    <s v="No"/>
    <s v="No"/>
    <s v="Yes"/>
    <s v="No"/>
    <m/>
    <s v="0 Failures"/>
    <n v="0"/>
    <x v="1"/>
  </r>
  <r>
    <n v="631"/>
    <d v="2023-02-14T00:00:00"/>
    <s v="Premium"/>
    <n v="699"/>
    <n v="22.5"/>
    <n v="6"/>
    <n v="4"/>
    <n v="1"/>
    <n v="26"/>
    <s v="Yes"/>
    <s v="No"/>
    <s v="Yes"/>
    <s v="Yes"/>
    <s v="Yes"/>
    <s v="Yes"/>
    <m/>
    <s v="1+ Failures"/>
    <n v="1"/>
    <x v="3"/>
  </r>
  <r>
    <n v="632"/>
    <d v="2024-12-14T00:00:00"/>
    <s v="Premium"/>
    <n v="699"/>
    <n v="11"/>
    <n v="7"/>
    <n v="3"/>
    <n v="34"/>
    <n v="22"/>
    <s v="Yes"/>
    <s v="No"/>
    <s v="Yes"/>
    <s v="Yes"/>
    <s v="Yes"/>
    <s v="No"/>
    <m/>
    <s v="1+ Failures"/>
    <n v="1"/>
    <x v="1"/>
  </r>
  <r>
    <n v="633"/>
    <d v="2023-03-27T00:00:00"/>
    <s v="Premium"/>
    <n v="699"/>
    <n v="10.9"/>
    <n v="4"/>
    <n v="3"/>
    <n v="7"/>
    <n v="49"/>
    <s v="Yes"/>
    <s v="No"/>
    <s v="Yes"/>
    <s v="No"/>
    <s v="Yes"/>
    <s v="No"/>
    <m/>
    <s v="1+ Failures"/>
    <n v="1"/>
    <x v="1"/>
  </r>
  <r>
    <n v="634"/>
    <d v="2023-01-08T00:00:00"/>
    <s v="Standard"/>
    <n v="399"/>
    <n v="10.5"/>
    <n v="3"/>
    <n v="0"/>
    <n v="35"/>
    <n v="45"/>
    <s v="No"/>
    <s v="No"/>
    <s v="No"/>
    <s v="No"/>
    <s v="Yes"/>
    <s v="No"/>
    <m/>
    <s v="0 Failures"/>
    <n v="0"/>
    <x v="1"/>
  </r>
  <r>
    <n v="635"/>
    <d v="2023-11-20T00:00:00"/>
    <s v="Premium"/>
    <n v="699"/>
    <n v="3.4"/>
    <n v="0"/>
    <n v="3"/>
    <n v="34"/>
    <n v="41"/>
    <s v="Yes"/>
    <s v="Yes"/>
    <s v="Yes"/>
    <s v="No"/>
    <s v="Yes"/>
    <s v="No"/>
    <m/>
    <s v="1+ Failures"/>
    <n v="1"/>
    <x v="0"/>
  </r>
  <r>
    <n v="636"/>
    <d v="2024-07-02T00:00:00"/>
    <s v="Standard"/>
    <n v="399"/>
    <n v="3.1"/>
    <n v="6"/>
    <n v="5"/>
    <n v="24"/>
    <n v="37"/>
    <s v="Yes"/>
    <s v="Yes"/>
    <s v="Yes"/>
    <s v="Yes"/>
    <s v="Yes"/>
    <s v="No"/>
    <m/>
    <s v="1+ Failures"/>
    <n v="1"/>
    <x v="0"/>
  </r>
  <r>
    <n v="637"/>
    <d v="2024-07-24T00:00:00"/>
    <s v="Standard"/>
    <n v="399"/>
    <n v="15.5"/>
    <n v="6"/>
    <n v="1"/>
    <n v="24"/>
    <n v="26"/>
    <s v="No"/>
    <s v="No"/>
    <s v="Yes"/>
    <s v="Yes"/>
    <s v="Yes"/>
    <s v="No"/>
    <m/>
    <s v="1+ Failures"/>
    <n v="0"/>
    <x v="1"/>
  </r>
  <r>
    <n v="638"/>
    <d v="2024-08-14T00:00:00"/>
    <s v="Standard"/>
    <n v="399"/>
    <n v="9.6"/>
    <n v="8"/>
    <n v="3"/>
    <n v="12"/>
    <n v="16"/>
    <s v="No"/>
    <s v="No"/>
    <s v="Yes"/>
    <s v="Yes"/>
    <s v="Yes"/>
    <s v="No"/>
    <m/>
    <s v="1+ Failures"/>
    <n v="0"/>
    <x v="2"/>
  </r>
  <r>
    <n v="639"/>
    <d v="2024-12-17T00:00:00"/>
    <s v="Standard"/>
    <n v="399"/>
    <n v="18.5"/>
    <n v="1"/>
    <n v="5"/>
    <n v="26"/>
    <n v="14"/>
    <s v="No"/>
    <s v="No"/>
    <s v="Yes"/>
    <s v="No"/>
    <s v="No"/>
    <s v="No"/>
    <m/>
    <s v="1+ Failures"/>
    <n v="0"/>
    <x v="1"/>
  </r>
  <r>
    <n v="640"/>
    <d v="2024-12-14T00:00:00"/>
    <s v="Basic"/>
    <n v="199"/>
    <n v="5.8"/>
    <n v="6"/>
    <n v="2"/>
    <n v="7"/>
    <n v="51"/>
    <s v="Yes"/>
    <s v="No"/>
    <s v="Yes"/>
    <s v="Yes"/>
    <s v="Yes"/>
    <s v="No"/>
    <m/>
    <s v="1+ Failures"/>
    <n v="1"/>
    <x v="2"/>
  </r>
  <r>
    <n v="641"/>
    <d v="2024-09-06T00:00:00"/>
    <s v="Premium"/>
    <n v="699"/>
    <n v="4.4000000000000004"/>
    <n v="0"/>
    <n v="0"/>
    <n v="4"/>
    <n v="52"/>
    <s v="Yes"/>
    <s v="Yes"/>
    <s v="No"/>
    <s v="No"/>
    <s v="Yes"/>
    <s v="Yes"/>
    <m/>
    <s v="0 Failures"/>
    <n v="1"/>
    <x v="0"/>
  </r>
  <r>
    <n v="642"/>
    <d v="2024-01-29T00:00:00"/>
    <s v="Standard"/>
    <n v="399"/>
    <n v="2.1"/>
    <n v="3"/>
    <n v="2"/>
    <n v="6"/>
    <n v="5"/>
    <s v="No"/>
    <s v="Yes"/>
    <s v="Yes"/>
    <s v="No"/>
    <s v="No"/>
    <s v="No"/>
    <m/>
    <s v="1+ Failures"/>
    <n v="0"/>
    <x v="0"/>
  </r>
  <r>
    <n v="643"/>
    <d v="2023-01-11T00:00:00"/>
    <s v="Standard"/>
    <n v="399"/>
    <n v="7.5"/>
    <n v="0"/>
    <n v="1"/>
    <n v="34"/>
    <n v="40"/>
    <s v="No"/>
    <s v="No"/>
    <s v="Yes"/>
    <s v="No"/>
    <s v="Yes"/>
    <s v="No"/>
    <m/>
    <s v="1+ Failures"/>
    <n v="0"/>
    <x v="2"/>
  </r>
  <r>
    <n v="644"/>
    <d v="2023-08-26T00:00:00"/>
    <s v="Basic"/>
    <n v="199"/>
    <n v="7.5"/>
    <n v="0"/>
    <n v="4"/>
    <n v="34"/>
    <n v="32"/>
    <s v="Yes"/>
    <s v="No"/>
    <s v="Yes"/>
    <s v="No"/>
    <s v="Yes"/>
    <s v="No"/>
    <m/>
    <s v="1+ Failures"/>
    <n v="1"/>
    <x v="2"/>
  </r>
  <r>
    <n v="645"/>
    <d v="2023-06-11T00:00:00"/>
    <s v="Premium"/>
    <n v="699"/>
    <n v="17"/>
    <n v="5"/>
    <n v="1"/>
    <n v="11"/>
    <n v="41"/>
    <s v="Yes"/>
    <s v="No"/>
    <s v="Yes"/>
    <s v="Yes"/>
    <s v="Yes"/>
    <s v="No"/>
    <m/>
    <s v="1+ Failures"/>
    <n v="1"/>
    <x v="1"/>
  </r>
  <r>
    <n v="646"/>
    <d v="2023-07-25T00:00:00"/>
    <s v="Basic"/>
    <n v="199"/>
    <n v="19.600000000000001"/>
    <n v="5"/>
    <n v="5"/>
    <n v="18"/>
    <n v="25"/>
    <s v="Yes"/>
    <s v="No"/>
    <s v="Yes"/>
    <s v="Yes"/>
    <s v="Yes"/>
    <s v="No"/>
    <m/>
    <s v="1+ Failures"/>
    <n v="1"/>
    <x v="1"/>
  </r>
  <r>
    <n v="647"/>
    <d v="2024-07-26T00:00:00"/>
    <s v="Premium"/>
    <n v="699"/>
    <n v="18.600000000000001"/>
    <n v="1"/>
    <n v="0"/>
    <n v="1"/>
    <n v="35"/>
    <s v="Yes"/>
    <s v="No"/>
    <s v="No"/>
    <s v="No"/>
    <s v="Yes"/>
    <s v="Yes"/>
    <m/>
    <s v="0 Failures"/>
    <n v="1"/>
    <x v="1"/>
  </r>
  <r>
    <n v="648"/>
    <d v="2024-04-10T00:00:00"/>
    <s v="Premium"/>
    <n v="699"/>
    <n v="9"/>
    <n v="4"/>
    <n v="1"/>
    <n v="23"/>
    <n v="38"/>
    <s v="No"/>
    <s v="No"/>
    <s v="Yes"/>
    <s v="No"/>
    <s v="Yes"/>
    <s v="No"/>
    <m/>
    <s v="1+ Failures"/>
    <n v="0"/>
    <x v="2"/>
  </r>
  <r>
    <n v="649"/>
    <d v="2024-05-30T00:00:00"/>
    <s v="Standard"/>
    <n v="399"/>
    <n v="6.9"/>
    <n v="6"/>
    <n v="4"/>
    <n v="1"/>
    <n v="6"/>
    <s v="No"/>
    <s v="No"/>
    <s v="Yes"/>
    <s v="Yes"/>
    <s v="No"/>
    <s v="Yes"/>
    <m/>
    <s v="1+ Failures"/>
    <n v="0"/>
    <x v="2"/>
  </r>
  <r>
    <n v="650"/>
    <d v="2024-08-11T00:00:00"/>
    <s v="Standard"/>
    <n v="399"/>
    <n v="23.7"/>
    <n v="8"/>
    <n v="2"/>
    <n v="22"/>
    <n v="56"/>
    <s v="Yes"/>
    <s v="No"/>
    <s v="Yes"/>
    <s v="Yes"/>
    <s v="Yes"/>
    <s v="No"/>
    <m/>
    <s v="1+ Failures"/>
    <n v="1"/>
    <x v="3"/>
  </r>
  <r>
    <n v="651"/>
    <d v="2024-04-14T00:00:00"/>
    <s v="Standard"/>
    <n v="399"/>
    <n v="24.2"/>
    <n v="7"/>
    <n v="1"/>
    <n v="29"/>
    <n v="48"/>
    <s v="Yes"/>
    <s v="No"/>
    <s v="Yes"/>
    <s v="Yes"/>
    <s v="Yes"/>
    <s v="No"/>
    <m/>
    <s v="1+ Failures"/>
    <n v="1"/>
    <x v="3"/>
  </r>
  <r>
    <n v="652"/>
    <d v="2024-01-27T00:00:00"/>
    <s v="Premium"/>
    <n v="699"/>
    <n v="22.5"/>
    <n v="0"/>
    <n v="3"/>
    <n v="30"/>
    <n v="7"/>
    <s v="Yes"/>
    <s v="No"/>
    <s v="Yes"/>
    <s v="No"/>
    <s v="No"/>
    <s v="No"/>
    <m/>
    <s v="1+ Failures"/>
    <n v="1"/>
    <x v="3"/>
  </r>
  <r>
    <n v="653"/>
    <d v="2024-06-12T00:00:00"/>
    <s v="Premium"/>
    <n v="699"/>
    <n v="17.100000000000001"/>
    <n v="3"/>
    <n v="2"/>
    <n v="15"/>
    <n v="26"/>
    <s v="No"/>
    <s v="No"/>
    <s v="Yes"/>
    <s v="No"/>
    <s v="Yes"/>
    <s v="No"/>
    <m/>
    <s v="1+ Failures"/>
    <n v="0"/>
    <x v="1"/>
  </r>
  <r>
    <n v="654"/>
    <d v="2024-11-20T00:00:00"/>
    <s v="Premium"/>
    <n v="699"/>
    <n v="17.7"/>
    <n v="4"/>
    <n v="1"/>
    <n v="1"/>
    <n v="18"/>
    <s v="Yes"/>
    <s v="No"/>
    <s v="Yes"/>
    <s v="No"/>
    <s v="Yes"/>
    <s v="Yes"/>
    <m/>
    <s v="1+ Failures"/>
    <n v="1"/>
    <x v="1"/>
  </r>
  <r>
    <n v="655"/>
    <d v="2024-08-10T00:00:00"/>
    <s v="Premium"/>
    <n v="699"/>
    <n v="2.4"/>
    <n v="2"/>
    <n v="3"/>
    <n v="22"/>
    <n v="20"/>
    <s v="Yes"/>
    <s v="Yes"/>
    <s v="Yes"/>
    <s v="No"/>
    <s v="Yes"/>
    <s v="No"/>
    <m/>
    <s v="1+ Failures"/>
    <n v="1"/>
    <x v="0"/>
  </r>
  <r>
    <n v="656"/>
    <d v="2023-09-05T00:00:00"/>
    <s v="Standard"/>
    <n v="399"/>
    <n v="23.7"/>
    <n v="3"/>
    <n v="3"/>
    <n v="12"/>
    <n v="47"/>
    <s v="Yes"/>
    <s v="No"/>
    <s v="Yes"/>
    <s v="No"/>
    <s v="Yes"/>
    <s v="No"/>
    <m/>
    <s v="1+ Failures"/>
    <n v="1"/>
    <x v="3"/>
  </r>
  <r>
    <n v="657"/>
    <d v="2023-04-20T00:00:00"/>
    <s v="Standard"/>
    <n v="399"/>
    <n v="6.1"/>
    <n v="3"/>
    <n v="4"/>
    <n v="14"/>
    <n v="22"/>
    <s v="Yes"/>
    <s v="No"/>
    <s v="Yes"/>
    <s v="No"/>
    <s v="Yes"/>
    <s v="No"/>
    <m/>
    <s v="1+ Failures"/>
    <n v="1"/>
    <x v="2"/>
  </r>
  <r>
    <n v="658"/>
    <d v="2024-07-08T00:00:00"/>
    <s v="Basic"/>
    <n v="199"/>
    <n v="17.100000000000001"/>
    <n v="7"/>
    <n v="4"/>
    <n v="6"/>
    <n v="0"/>
    <s v="No"/>
    <s v="No"/>
    <s v="Yes"/>
    <s v="Yes"/>
    <s v="No"/>
    <s v="No"/>
    <m/>
    <s v="1+ Failures"/>
    <n v="0"/>
    <x v="1"/>
  </r>
  <r>
    <n v="659"/>
    <d v="2024-08-11T00:00:00"/>
    <s v="Basic"/>
    <n v="199"/>
    <n v="9.6"/>
    <n v="5"/>
    <n v="3"/>
    <n v="31"/>
    <n v="57"/>
    <s v="No"/>
    <s v="No"/>
    <s v="Yes"/>
    <s v="Yes"/>
    <s v="Yes"/>
    <s v="No"/>
    <m/>
    <s v="1+ Failures"/>
    <n v="0"/>
    <x v="2"/>
  </r>
  <r>
    <n v="660"/>
    <d v="2024-08-13T00:00:00"/>
    <s v="Standard"/>
    <n v="399"/>
    <n v="5"/>
    <n v="8"/>
    <n v="2"/>
    <n v="32"/>
    <n v="25"/>
    <s v="Yes"/>
    <s v="No"/>
    <s v="Yes"/>
    <s v="Yes"/>
    <s v="Yes"/>
    <s v="No"/>
    <m/>
    <s v="1+ Failures"/>
    <n v="1"/>
    <x v="0"/>
  </r>
  <r>
    <n v="661"/>
    <d v="2024-05-29T00:00:00"/>
    <s v="Basic"/>
    <n v="199"/>
    <n v="13.4"/>
    <n v="6"/>
    <n v="3"/>
    <n v="4"/>
    <n v="60"/>
    <s v="Yes"/>
    <s v="No"/>
    <s v="Yes"/>
    <s v="Yes"/>
    <s v="Yes"/>
    <s v="Yes"/>
    <m/>
    <s v="1+ Failures"/>
    <n v="1"/>
    <x v="1"/>
  </r>
  <r>
    <n v="662"/>
    <d v="2024-04-16T00:00:00"/>
    <s v="Standard"/>
    <n v="399"/>
    <n v="21.6"/>
    <n v="2"/>
    <n v="3"/>
    <n v="26"/>
    <n v="7"/>
    <s v="No"/>
    <s v="No"/>
    <s v="Yes"/>
    <s v="No"/>
    <s v="No"/>
    <s v="No"/>
    <m/>
    <s v="1+ Failures"/>
    <n v="0"/>
    <x v="3"/>
  </r>
  <r>
    <n v="663"/>
    <d v="2024-01-06T00:00:00"/>
    <s v="Standard"/>
    <n v="399"/>
    <n v="0.8"/>
    <n v="3"/>
    <n v="3"/>
    <n v="1"/>
    <n v="37"/>
    <s v="Yes"/>
    <s v="Yes"/>
    <s v="Yes"/>
    <s v="No"/>
    <s v="Yes"/>
    <s v="Yes"/>
    <m/>
    <s v="1+ Failures"/>
    <n v="1"/>
    <x v="0"/>
  </r>
  <r>
    <n v="664"/>
    <d v="2024-09-19T00:00:00"/>
    <s v="Premium"/>
    <n v="699"/>
    <n v="5.0999999999999996"/>
    <n v="4"/>
    <n v="1"/>
    <n v="17"/>
    <n v="17"/>
    <s v="No"/>
    <s v="No"/>
    <s v="Yes"/>
    <s v="No"/>
    <s v="Yes"/>
    <s v="No"/>
    <m/>
    <s v="1+ Failures"/>
    <n v="0"/>
    <x v="2"/>
  </r>
  <r>
    <n v="665"/>
    <d v="2024-01-17T00:00:00"/>
    <s v="Standard"/>
    <n v="399"/>
    <n v="5"/>
    <n v="6"/>
    <n v="1"/>
    <n v="24"/>
    <n v="26"/>
    <s v="No"/>
    <s v="No"/>
    <s v="Yes"/>
    <s v="Yes"/>
    <s v="Yes"/>
    <s v="No"/>
    <m/>
    <s v="1+ Failures"/>
    <n v="0"/>
    <x v="0"/>
  </r>
  <r>
    <n v="666"/>
    <d v="2024-12-03T00:00:00"/>
    <s v="Standard"/>
    <n v="399"/>
    <n v="7.4"/>
    <n v="2"/>
    <n v="4"/>
    <n v="26"/>
    <n v="8"/>
    <s v="No"/>
    <s v="No"/>
    <s v="Yes"/>
    <s v="No"/>
    <s v="No"/>
    <s v="No"/>
    <m/>
    <s v="1+ Failures"/>
    <n v="0"/>
    <x v="2"/>
  </r>
  <r>
    <n v="667"/>
    <d v="2023-07-20T00:00:00"/>
    <s v="Basic"/>
    <n v="199"/>
    <n v="18.2"/>
    <n v="3"/>
    <n v="4"/>
    <n v="7"/>
    <n v="27"/>
    <s v="No"/>
    <s v="No"/>
    <s v="Yes"/>
    <s v="No"/>
    <s v="Yes"/>
    <s v="No"/>
    <m/>
    <s v="1+ Failures"/>
    <n v="0"/>
    <x v="1"/>
  </r>
  <r>
    <n v="668"/>
    <d v="2024-10-07T00:00:00"/>
    <s v="Basic"/>
    <n v="199"/>
    <n v="12.1"/>
    <n v="0"/>
    <n v="1"/>
    <n v="10"/>
    <n v="26"/>
    <s v="No"/>
    <s v="No"/>
    <s v="Yes"/>
    <s v="No"/>
    <s v="Yes"/>
    <s v="No"/>
    <m/>
    <s v="1+ Failures"/>
    <n v="0"/>
    <x v="1"/>
  </r>
  <r>
    <n v="669"/>
    <d v="2024-08-04T00:00:00"/>
    <s v="Premium"/>
    <n v="699"/>
    <n v="18.2"/>
    <n v="7"/>
    <n v="2"/>
    <n v="35"/>
    <n v="16"/>
    <s v="No"/>
    <s v="No"/>
    <s v="Yes"/>
    <s v="Yes"/>
    <s v="Yes"/>
    <s v="No"/>
    <m/>
    <s v="1+ Failures"/>
    <n v="0"/>
    <x v="1"/>
  </r>
  <r>
    <n v="670"/>
    <d v="2024-05-02T00:00:00"/>
    <s v="Basic"/>
    <n v="199"/>
    <n v="2.9"/>
    <n v="2"/>
    <n v="0"/>
    <n v="26"/>
    <n v="13"/>
    <s v="No"/>
    <s v="Yes"/>
    <s v="No"/>
    <s v="No"/>
    <s v="No"/>
    <s v="No"/>
    <m/>
    <s v="0 Failures"/>
    <n v="0"/>
    <x v="0"/>
  </r>
  <r>
    <n v="671"/>
    <d v="2024-07-24T00:00:00"/>
    <s v="Premium"/>
    <n v="699"/>
    <n v="11.5"/>
    <n v="5"/>
    <n v="2"/>
    <n v="7"/>
    <n v="23"/>
    <s v="Yes"/>
    <s v="No"/>
    <s v="Yes"/>
    <s v="Yes"/>
    <s v="Yes"/>
    <s v="No"/>
    <m/>
    <s v="1+ Failures"/>
    <n v="1"/>
    <x v="1"/>
  </r>
  <r>
    <n v="672"/>
    <d v="2024-09-12T00:00:00"/>
    <s v="Standard"/>
    <n v="399"/>
    <n v="1"/>
    <n v="1"/>
    <n v="2"/>
    <n v="23"/>
    <n v="55"/>
    <s v="Yes"/>
    <s v="Yes"/>
    <s v="Yes"/>
    <s v="No"/>
    <s v="Yes"/>
    <s v="No"/>
    <m/>
    <s v="1+ Failures"/>
    <n v="1"/>
    <x v="0"/>
  </r>
  <r>
    <n v="673"/>
    <d v="2024-05-14T00:00:00"/>
    <s v="Basic"/>
    <n v="199"/>
    <n v="4.8"/>
    <n v="4"/>
    <n v="2"/>
    <n v="35"/>
    <n v="20"/>
    <s v="Yes"/>
    <s v="Yes"/>
    <s v="Yes"/>
    <s v="No"/>
    <s v="Yes"/>
    <s v="No"/>
    <m/>
    <s v="1+ Failures"/>
    <n v="1"/>
    <x v="0"/>
  </r>
  <r>
    <n v="674"/>
    <d v="2023-05-29T00:00:00"/>
    <s v="Premium"/>
    <n v="699"/>
    <n v="22.3"/>
    <n v="6"/>
    <n v="4"/>
    <n v="29"/>
    <n v="18"/>
    <s v="Yes"/>
    <s v="No"/>
    <s v="Yes"/>
    <s v="Yes"/>
    <s v="Yes"/>
    <s v="No"/>
    <m/>
    <s v="1+ Failures"/>
    <n v="1"/>
    <x v="3"/>
  </r>
  <r>
    <n v="675"/>
    <d v="2023-08-22T00:00:00"/>
    <s v="Basic"/>
    <n v="199"/>
    <n v="10.8"/>
    <n v="6"/>
    <n v="0"/>
    <n v="22"/>
    <n v="5"/>
    <s v="Yes"/>
    <s v="No"/>
    <s v="No"/>
    <s v="Yes"/>
    <s v="No"/>
    <s v="No"/>
    <m/>
    <s v="0 Failures"/>
    <n v="1"/>
    <x v="1"/>
  </r>
  <r>
    <n v="676"/>
    <d v="2024-03-31T00:00:00"/>
    <s v="Standard"/>
    <n v="399"/>
    <n v="16.5"/>
    <n v="4"/>
    <n v="4"/>
    <n v="21"/>
    <n v="41"/>
    <s v="Yes"/>
    <s v="No"/>
    <s v="Yes"/>
    <s v="No"/>
    <s v="Yes"/>
    <s v="No"/>
    <m/>
    <s v="1+ Failures"/>
    <n v="1"/>
    <x v="1"/>
  </r>
  <r>
    <n v="677"/>
    <d v="2023-05-09T00:00:00"/>
    <s v="Standard"/>
    <n v="399"/>
    <n v="24.2"/>
    <n v="6"/>
    <n v="1"/>
    <n v="34"/>
    <n v="11"/>
    <s v="No"/>
    <s v="No"/>
    <s v="Yes"/>
    <s v="Yes"/>
    <s v="No"/>
    <s v="No"/>
    <m/>
    <s v="1+ Failures"/>
    <n v="0"/>
    <x v="3"/>
  </r>
  <r>
    <n v="678"/>
    <d v="2023-04-08T00:00:00"/>
    <s v="Premium"/>
    <n v="699"/>
    <n v="16.7"/>
    <n v="1"/>
    <n v="1"/>
    <n v="16"/>
    <n v="10"/>
    <s v="No"/>
    <s v="No"/>
    <s v="Yes"/>
    <s v="No"/>
    <s v="No"/>
    <s v="No"/>
    <m/>
    <s v="1+ Failures"/>
    <n v="0"/>
    <x v="1"/>
  </r>
  <r>
    <n v="679"/>
    <d v="2023-03-27T00:00:00"/>
    <s v="Basic"/>
    <n v="199"/>
    <n v="13.9"/>
    <n v="0"/>
    <n v="3"/>
    <n v="31"/>
    <n v="33"/>
    <s v="No"/>
    <s v="No"/>
    <s v="Yes"/>
    <s v="No"/>
    <s v="Yes"/>
    <s v="No"/>
    <m/>
    <s v="1+ Failures"/>
    <n v="0"/>
    <x v="1"/>
  </r>
  <r>
    <n v="680"/>
    <d v="2023-11-13T00:00:00"/>
    <s v="Basic"/>
    <n v="199"/>
    <n v="15.6"/>
    <n v="1"/>
    <n v="5"/>
    <n v="17"/>
    <n v="59"/>
    <s v="No"/>
    <s v="No"/>
    <s v="Yes"/>
    <s v="No"/>
    <s v="Yes"/>
    <s v="No"/>
    <m/>
    <s v="1+ Failures"/>
    <n v="0"/>
    <x v="1"/>
  </r>
  <r>
    <n v="681"/>
    <d v="2023-06-24T00:00:00"/>
    <s v="Basic"/>
    <n v="199"/>
    <n v="18.600000000000001"/>
    <n v="7"/>
    <n v="5"/>
    <n v="16"/>
    <n v="8"/>
    <s v="Yes"/>
    <s v="No"/>
    <s v="Yes"/>
    <s v="Yes"/>
    <s v="No"/>
    <s v="No"/>
    <m/>
    <s v="1+ Failures"/>
    <n v="1"/>
    <x v="1"/>
  </r>
  <r>
    <n v="682"/>
    <d v="2024-07-07T00:00:00"/>
    <s v="Basic"/>
    <n v="199"/>
    <n v="16.8"/>
    <n v="5"/>
    <n v="3"/>
    <n v="3"/>
    <n v="29"/>
    <s v="No"/>
    <s v="No"/>
    <s v="Yes"/>
    <s v="Yes"/>
    <s v="Yes"/>
    <s v="Yes"/>
    <m/>
    <s v="1+ Failures"/>
    <n v="0"/>
    <x v="1"/>
  </r>
  <r>
    <n v="683"/>
    <d v="2024-10-08T00:00:00"/>
    <s v="Standard"/>
    <n v="399"/>
    <n v="11.4"/>
    <n v="8"/>
    <n v="1"/>
    <n v="36"/>
    <n v="37"/>
    <s v="No"/>
    <s v="No"/>
    <s v="Yes"/>
    <s v="Yes"/>
    <s v="Yes"/>
    <s v="No"/>
    <m/>
    <s v="1+ Failures"/>
    <n v="0"/>
    <x v="1"/>
  </r>
  <r>
    <n v="684"/>
    <d v="2024-07-06T00:00:00"/>
    <s v="Premium"/>
    <n v="699"/>
    <n v="13.3"/>
    <n v="8"/>
    <n v="2"/>
    <n v="28"/>
    <n v="58"/>
    <s v="Yes"/>
    <s v="No"/>
    <s v="Yes"/>
    <s v="Yes"/>
    <s v="Yes"/>
    <s v="No"/>
    <m/>
    <s v="1+ Failures"/>
    <n v="1"/>
    <x v="1"/>
  </r>
  <r>
    <n v="685"/>
    <d v="2023-01-11T00:00:00"/>
    <s v="Basic"/>
    <n v="199"/>
    <n v="11.3"/>
    <n v="5"/>
    <n v="3"/>
    <n v="6"/>
    <n v="16"/>
    <s v="Yes"/>
    <s v="No"/>
    <s v="Yes"/>
    <s v="Yes"/>
    <s v="Yes"/>
    <s v="No"/>
    <m/>
    <s v="1+ Failures"/>
    <n v="1"/>
    <x v="1"/>
  </r>
  <r>
    <n v="686"/>
    <d v="2023-01-09T00:00:00"/>
    <s v="Basic"/>
    <n v="199"/>
    <n v="20.5"/>
    <n v="2"/>
    <n v="2"/>
    <n v="34"/>
    <n v="18"/>
    <s v="No"/>
    <s v="No"/>
    <s v="Yes"/>
    <s v="No"/>
    <s v="Yes"/>
    <s v="No"/>
    <m/>
    <s v="1+ Failures"/>
    <n v="0"/>
    <x v="3"/>
  </r>
  <r>
    <n v="687"/>
    <d v="2023-10-27T00:00:00"/>
    <s v="Premium"/>
    <n v="699"/>
    <n v="23.7"/>
    <n v="7"/>
    <n v="2"/>
    <n v="32"/>
    <n v="0"/>
    <s v="No"/>
    <s v="No"/>
    <s v="Yes"/>
    <s v="Yes"/>
    <s v="No"/>
    <s v="No"/>
    <m/>
    <s v="1+ Failures"/>
    <n v="0"/>
    <x v="3"/>
  </r>
  <r>
    <n v="688"/>
    <d v="2024-07-28T00:00:00"/>
    <s v="Premium"/>
    <n v="699"/>
    <n v="20"/>
    <n v="8"/>
    <n v="2"/>
    <n v="15"/>
    <n v="12"/>
    <s v="Yes"/>
    <s v="No"/>
    <s v="Yes"/>
    <s v="Yes"/>
    <s v="No"/>
    <s v="No"/>
    <m/>
    <s v="1+ Failures"/>
    <n v="1"/>
    <x v="1"/>
  </r>
  <r>
    <n v="689"/>
    <d v="2024-03-08T00:00:00"/>
    <s v="Standard"/>
    <n v="399"/>
    <n v="6.6"/>
    <n v="6"/>
    <n v="3"/>
    <n v="26"/>
    <n v="14"/>
    <s v="Yes"/>
    <s v="No"/>
    <s v="Yes"/>
    <s v="Yes"/>
    <s v="No"/>
    <s v="No"/>
    <m/>
    <s v="1+ Failures"/>
    <n v="1"/>
    <x v="2"/>
  </r>
  <r>
    <n v="690"/>
    <d v="2023-10-03T00:00:00"/>
    <s v="Premium"/>
    <n v="699"/>
    <n v="13.2"/>
    <n v="4"/>
    <n v="2"/>
    <n v="16"/>
    <n v="41"/>
    <s v="Yes"/>
    <s v="No"/>
    <s v="Yes"/>
    <s v="No"/>
    <s v="Yes"/>
    <s v="No"/>
    <m/>
    <s v="1+ Failures"/>
    <n v="1"/>
    <x v="1"/>
  </r>
  <r>
    <n v="691"/>
    <d v="2024-04-11T00:00:00"/>
    <s v="Standard"/>
    <n v="399"/>
    <n v="21.4"/>
    <n v="2"/>
    <n v="1"/>
    <n v="13"/>
    <n v="18"/>
    <s v="No"/>
    <s v="No"/>
    <s v="Yes"/>
    <s v="No"/>
    <s v="Yes"/>
    <s v="No"/>
    <m/>
    <s v="1+ Failures"/>
    <n v="0"/>
    <x v="3"/>
  </r>
  <r>
    <n v="692"/>
    <d v="2023-02-20T00:00:00"/>
    <s v="Premium"/>
    <n v="699"/>
    <n v="7.2"/>
    <n v="7"/>
    <n v="1"/>
    <n v="29"/>
    <n v="20"/>
    <s v="Yes"/>
    <s v="No"/>
    <s v="Yes"/>
    <s v="Yes"/>
    <s v="Yes"/>
    <s v="No"/>
    <m/>
    <s v="1+ Failures"/>
    <n v="1"/>
    <x v="2"/>
  </r>
  <r>
    <n v="693"/>
    <d v="2024-03-24T00:00:00"/>
    <s v="Premium"/>
    <n v="699"/>
    <n v="5.0999999999999996"/>
    <n v="1"/>
    <n v="2"/>
    <n v="2"/>
    <n v="17"/>
    <s v="Yes"/>
    <s v="No"/>
    <s v="Yes"/>
    <s v="No"/>
    <s v="Yes"/>
    <s v="Yes"/>
    <m/>
    <s v="1+ Failures"/>
    <n v="1"/>
    <x v="2"/>
  </r>
  <r>
    <n v="694"/>
    <d v="2024-03-06T00:00:00"/>
    <s v="Premium"/>
    <n v="699"/>
    <n v="6.2"/>
    <n v="2"/>
    <n v="0"/>
    <n v="1"/>
    <n v="31"/>
    <s v="Yes"/>
    <s v="No"/>
    <s v="No"/>
    <s v="No"/>
    <s v="Yes"/>
    <s v="Yes"/>
    <m/>
    <s v="0 Failures"/>
    <n v="1"/>
    <x v="2"/>
  </r>
  <r>
    <n v="695"/>
    <d v="2023-03-24T00:00:00"/>
    <s v="Standard"/>
    <n v="399"/>
    <n v="25"/>
    <n v="7"/>
    <n v="5"/>
    <n v="32"/>
    <n v="50"/>
    <s v="Yes"/>
    <s v="No"/>
    <s v="Yes"/>
    <s v="Yes"/>
    <s v="Yes"/>
    <s v="No"/>
    <m/>
    <s v="1+ Failures"/>
    <n v="1"/>
    <x v="3"/>
  </r>
  <r>
    <n v="696"/>
    <d v="2023-07-16T00:00:00"/>
    <s v="Basic"/>
    <n v="199"/>
    <n v="7"/>
    <n v="6"/>
    <n v="0"/>
    <n v="4"/>
    <n v="34"/>
    <s v="Yes"/>
    <s v="No"/>
    <s v="No"/>
    <s v="Yes"/>
    <s v="Yes"/>
    <s v="Yes"/>
    <m/>
    <s v="0 Failures"/>
    <n v="1"/>
    <x v="2"/>
  </r>
  <r>
    <n v="697"/>
    <d v="2024-03-29T00:00:00"/>
    <s v="Standard"/>
    <n v="399"/>
    <n v="20.8"/>
    <n v="1"/>
    <n v="5"/>
    <n v="25"/>
    <n v="15"/>
    <s v="No"/>
    <s v="No"/>
    <s v="Yes"/>
    <s v="No"/>
    <s v="Yes"/>
    <s v="No"/>
    <m/>
    <s v="1+ Failures"/>
    <n v="0"/>
    <x v="3"/>
  </r>
  <r>
    <n v="698"/>
    <d v="2024-04-29T00:00:00"/>
    <s v="Basic"/>
    <n v="199"/>
    <n v="5.4"/>
    <n v="1"/>
    <n v="4"/>
    <n v="3"/>
    <n v="42"/>
    <s v="No"/>
    <s v="No"/>
    <s v="Yes"/>
    <s v="No"/>
    <s v="Yes"/>
    <s v="Yes"/>
    <m/>
    <s v="1+ Failures"/>
    <n v="0"/>
    <x v="2"/>
  </r>
  <r>
    <n v="699"/>
    <d v="2024-07-16T00:00:00"/>
    <s v="Standard"/>
    <n v="399"/>
    <n v="23.4"/>
    <n v="2"/>
    <n v="5"/>
    <n v="20"/>
    <n v="46"/>
    <s v="Yes"/>
    <s v="No"/>
    <s v="Yes"/>
    <s v="No"/>
    <s v="Yes"/>
    <s v="No"/>
    <m/>
    <s v="1+ Failures"/>
    <n v="1"/>
    <x v="3"/>
  </r>
  <r>
    <n v="700"/>
    <d v="2024-11-13T00:00:00"/>
    <s v="Premium"/>
    <n v="699"/>
    <n v="6.7"/>
    <n v="4"/>
    <n v="1"/>
    <n v="8"/>
    <n v="23"/>
    <s v="No"/>
    <s v="No"/>
    <s v="Yes"/>
    <s v="No"/>
    <s v="Yes"/>
    <s v="No"/>
    <m/>
    <s v="1+ Failures"/>
    <n v="0"/>
    <x v="2"/>
  </r>
  <r>
    <n v="701"/>
    <d v="2023-10-10T00:00:00"/>
    <s v="Basic"/>
    <n v="199"/>
    <n v="6.3"/>
    <n v="6"/>
    <n v="2"/>
    <n v="8"/>
    <n v="0"/>
    <s v="Yes"/>
    <s v="No"/>
    <s v="Yes"/>
    <s v="Yes"/>
    <s v="No"/>
    <s v="No"/>
    <m/>
    <s v="1+ Failures"/>
    <n v="1"/>
    <x v="2"/>
  </r>
  <r>
    <n v="702"/>
    <d v="2024-12-08T00:00:00"/>
    <s v="Premium"/>
    <n v="699"/>
    <n v="10.199999999999999"/>
    <n v="3"/>
    <n v="0"/>
    <n v="8"/>
    <n v="2"/>
    <s v="No"/>
    <s v="No"/>
    <s v="No"/>
    <s v="No"/>
    <s v="No"/>
    <s v="No"/>
    <m/>
    <s v="0 Failures"/>
    <n v="0"/>
    <x v="1"/>
  </r>
  <r>
    <n v="703"/>
    <d v="2024-12-03T00:00:00"/>
    <s v="Standard"/>
    <n v="399"/>
    <n v="9.6"/>
    <n v="1"/>
    <n v="1"/>
    <n v="10"/>
    <n v="10"/>
    <s v="No"/>
    <s v="No"/>
    <s v="Yes"/>
    <s v="No"/>
    <s v="No"/>
    <s v="No"/>
    <m/>
    <s v="1+ Failures"/>
    <n v="0"/>
    <x v="2"/>
  </r>
  <r>
    <n v="704"/>
    <d v="2024-12-19T00:00:00"/>
    <s v="Premium"/>
    <n v="699"/>
    <n v="23.3"/>
    <n v="0"/>
    <n v="0"/>
    <n v="22"/>
    <n v="22"/>
    <s v="No"/>
    <s v="No"/>
    <s v="No"/>
    <s v="No"/>
    <s v="Yes"/>
    <s v="No"/>
    <m/>
    <s v="0 Failures"/>
    <n v="0"/>
    <x v="3"/>
  </r>
  <r>
    <n v="705"/>
    <d v="2023-12-22T00:00:00"/>
    <s v="Premium"/>
    <n v="699"/>
    <n v="3.6"/>
    <n v="3"/>
    <n v="2"/>
    <n v="7"/>
    <n v="35"/>
    <s v="Yes"/>
    <s v="Yes"/>
    <s v="Yes"/>
    <s v="No"/>
    <s v="Yes"/>
    <s v="No"/>
    <m/>
    <s v="1+ Failures"/>
    <n v="1"/>
    <x v="0"/>
  </r>
  <r>
    <n v="706"/>
    <d v="2023-02-10T00:00:00"/>
    <s v="Standard"/>
    <n v="399"/>
    <n v="1"/>
    <n v="6"/>
    <n v="2"/>
    <n v="13"/>
    <n v="46"/>
    <s v="Yes"/>
    <s v="Yes"/>
    <s v="Yes"/>
    <s v="Yes"/>
    <s v="Yes"/>
    <s v="No"/>
    <m/>
    <s v="1+ Failures"/>
    <n v="1"/>
    <x v="0"/>
  </r>
  <r>
    <n v="707"/>
    <d v="2023-07-11T00:00:00"/>
    <s v="Standard"/>
    <n v="399"/>
    <n v="14.2"/>
    <n v="8"/>
    <n v="5"/>
    <n v="29"/>
    <n v="31"/>
    <s v="Yes"/>
    <s v="No"/>
    <s v="Yes"/>
    <s v="Yes"/>
    <s v="Yes"/>
    <s v="No"/>
    <m/>
    <s v="1+ Failures"/>
    <n v="1"/>
    <x v="1"/>
  </r>
  <r>
    <n v="708"/>
    <d v="2024-07-21T00:00:00"/>
    <s v="Premium"/>
    <n v="699"/>
    <n v="8.4"/>
    <n v="7"/>
    <n v="2"/>
    <n v="23"/>
    <n v="55"/>
    <s v="No"/>
    <s v="No"/>
    <s v="Yes"/>
    <s v="Yes"/>
    <s v="Yes"/>
    <s v="No"/>
    <m/>
    <s v="1+ Failures"/>
    <n v="0"/>
    <x v="2"/>
  </r>
  <r>
    <n v="709"/>
    <d v="2024-01-11T00:00:00"/>
    <s v="Basic"/>
    <n v="199"/>
    <n v="13.5"/>
    <n v="7"/>
    <n v="2"/>
    <n v="5"/>
    <n v="52"/>
    <s v="Yes"/>
    <s v="No"/>
    <s v="Yes"/>
    <s v="Yes"/>
    <s v="Yes"/>
    <s v="Yes"/>
    <m/>
    <s v="1+ Failures"/>
    <n v="1"/>
    <x v="1"/>
  </r>
  <r>
    <n v="710"/>
    <d v="2023-01-20T00:00:00"/>
    <s v="Standard"/>
    <n v="399"/>
    <n v="19.5"/>
    <n v="8"/>
    <n v="3"/>
    <n v="1"/>
    <n v="46"/>
    <s v="Yes"/>
    <s v="No"/>
    <s v="Yes"/>
    <s v="Yes"/>
    <s v="Yes"/>
    <s v="Yes"/>
    <m/>
    <s v="1+ Failures"/>
    <n v="1"/>
    <x v="1"/>
  </r>
  <r>
    <n v="711"/>
    <d v="2024-07-05T00:00:00"/>
    <s v="Premium"/>
    <n v="699"/>
    <n v="19.5"/>
    <n v="3"/>
    <n v="2"/>
    <n v="24"/>
    <n v="46"/>
    <s v="Yes"/>
    <s v="No"/>
    <s v="Yes"/>
    <s v="No"/>
    <s v="Yes"/>
    <s v="No"/>
    <m/>
    <s v="1+ Failures"/>
    <n v="1"/>
    <x v="1"/>
  </r>
  <r>
    <n v="712"/>
    <d v="2023-11-27T00:00:00"/>
    <s v="Standard"/>
    <n v="399"/>
    <n v="13.3"/>
    <n v="7"/>
    <n v="4"/>
    <n v="13"/>
    <n v="9"/>
    <s v="No"/>
    <s v="No"/>
    <s v="Yes"/>
    <s v="Yes"/>
    <s v="No"/>
    <s v="No"/>
    <m/>
    <s v="1+ Failures"/>
    <n v="0"/>
    <x v="1"/>
  </r>
  <r>
    <n v="713"/>
    <d v="2023-05-13T00:00:00"/>
    <s v="Standard"/>
    <n v="399"/>
    <n v="3.2"/>
    <n v="8"/>
    <n v="5"/>
    <n v="21"/>
    <n v="4"/>
    <s v="Yes"/>
    <s v="Yes"/>
    <s v="Yes"/>
    <s v="Yes"/>
    <s v="No"/>
    <s v="No"/>
    <m/>
    <s v="1+ Failures"/>
    <n v="1"/>
    <x v="0"/>
  </r>
  <r>
    <n v="714"/>
    <d v="2024-10-19T00:00:00"/>
    <s v="Basic"/>
    <n v="199"/>
    <n v="5.5"/>
    <n v="7"/>
    <n v="1"/>
    <n v="3"/>
    <n v="6"/>
    <s v="Yes"/>
    <s v="No"/>
    <s v="Yes"/>
    <s v="Yes"/>
    <s v="No"/>
    <s v="Yes"/>
    <m/>
    <s v="1+ Failures"/>
    <n v="1"/>
    <x v="2"/>
  </r>
  <r>
    <n v="715"/>
    <d v="2023-03-14T00:00:00"/>
    <s v="Standard"/>
    <n v="399"/>
    <n v="13.4"/>
    <n v="4"/>
    <n v="0"/>
    <n v="32"/>
    <n v="23"/>
    <s v="Yes"/>
    <s v="No"/>
    <s v="No"/>
    <s v="No"/>
    <s v="Yes"/>
    <s v="No"/>
    <m/>
    <s v="0 Failures"/>
    <n v="1"/>
    <x v="1"/>
  </r>
  <r>
    <n v="716"/>
    <d v="2024-01-05T00:00:00"/>
    <s v="Basic"/>
    <n v="199"/>
    <n v="16.600000000000001"/>
    <n v="1"/>
    <n v="3"/>
    <n v="14"/>
    <n v="51"/>
    <s v="No"/>
    <s v="No"/>
    <s v="Yes"/>
    <s v="No"/>
    <s v="Yes"/>
    <s v="No"/>
    <m/>
    <s v="1+ Failures"/>
    <n v="0"/>
    <x v="1"/>
  </r>
  <r>
    <n v="717"/>
    <d v="2023-03-14T00:00:00"/>
    <s v="Premium"/>
    <n v="699"/>
    <n v="20.6"/>
    <n v="0"/>
    <n v="4"/>
    <n v="27"/>
    <n v="17"/>
    <s v="No"/>
    <s v="No"/>
    <s v="Yes"/>
    <s v="No"/>
    <s v="Yes"/>
    <s v="No"/>
    <m/>
    <s v="1+ Failures"/>
    <n v="0"/>
    <x v="3"/>
  </r>
  <r>
    <n v="718"/>
    <d v="2024-06-28T00:00:00"/>
    <s v="Standard"/>
    <n v="399"/>
    <n v="23.6"/>
    <n v="8"/>
    <n v="0"/>
    <n v="5"/>
    <n v="6"/>
    <s v="No"/>
    <s v="No"/>
    <s v="No"/>
    <s v="Yes"/>
    <s v="No"/>
    <s v="Yes"/>
    <m/>
    <s v="0 Failures"/>
    <n v="0"/>
    <x v="3"/>
  </r>
  <r>
    <n v="719"/>
    <d v="2024-07-25T00:00:00"/>
    <s v="Standard"/>
    <n v="399"/>
    <n v="5.2"/>
    <n v="3"/>
    <n v="4"/>
    <n v="13"/>
    <n v="40"/>
    <s v="No"/>
    <s v="No"/>
    <s v="Yes"/>
    <s v="No"/>
    <s v="Yes"/>
    <s v="No"/>
    <m/>
    <s v="1+ Failures"/>
    <n v="0"/>
    <x v="2"/>
  </r>
  <r>
    <n v="720"/>
    <d v="2024-04-14T00:00:00"/>
    <s v="Premium"/>
    <n v="699"/>
    <n v="10.7"/>
    <n v="1"/>
    <n v="5"/>
    <n v="36"/>
    <n v="36"/>
    <s v="Yes"/>
    <s v="No"/>
    <s v="Yes"/>
    <s v="No"/>
    <s v="Yes"/>
    <s v="No"/>
    <m/>
    <s v="1+ Failures"/>
    <n v="1"/>
    <x v="1"/>
  </r>
  <r>
    <n v="721"/>
    <d v="2023-12-12T00:00:00"/>
    <s v="Premium"/>
    <n v="699"/>
    <n v="22.1"/>
    <n v="2"/>
    <n v="1"/>
    <n v="28"/>
    <n v="35"/>
    <s v="No"/>
    <s v="No"/>
    <s v="Yes"/>
    <s v="No"/>
    <s v="Yes"/>
    <s v="No"/>
    <m/>
    <s v="1+ Failures"/>
    <n v="0"/>
    <x v="3"/>
  </r>
  <r>
    <n v="722"/>
    <d v="2023-11-29T00:00:00"/>
    <s v="Premium"/>
    <n v="699"/>
    <n v="13.6"/>
    <n v="7"/>
    <n v="2"/>
    <n v="11"/>
    <n v="57"/>
    <s v="Yes"/>
    <s v="No"/>
    <s v="Yes"/>
    <s v="Yes"/>
    <s v="Yes"/>
    <s v="No"/>
    <m/>
    <s v="1+ Failures"/>
    <n v="1"/>
    <x v="1"/>
  </r>
  <r>
    <n v="723"/>
    <d v="2024-07-30T00:00:00"/>
    <s v="Standard"/>
    <n v="399"/>
    <n v="19.2"/>
    <n v="6"/>
    <n v="5"/>
    <n v="27"/>
    <n v="20"/>
    <s v="No"/>
    <s v="No"/>
    <s v="Yes"/>
    <s v="Yes"/>
    <s v="Yes"/>
    <s v="No"/>
    <m/>
    <s v="1+ Failures"/>
    <n v="0"/>
    <x v="1"/>
  </r>
  <r>
    <n v="724"/>
    <d v="2024-04-08T00:00:00"/>
    <s v="Premium"/>
    <n v="699"/>
    <n v="9.6999999999999993"/>
    <n v="8"/>
    <n v="5"/>
    <n v="14"/>
    <n v="16"/>
    <s v="Yes"/>
    <s v="No"/>
    <s v="Yes"/>
    <s v="Yes"/>
    <s v="Yes"/>
    <s v="No"/>
    <m/>
    <s v="1+ Failures"/>
    <n v="1"/>
    <x v="2"/>
  </r>
  <r>
    <n v="725"/>
    <d v="2023-05-19T00:00:00"/>
    <s v="Standard"/>
    <n v="399"/>
    <n v="0.5"/>
    <n v="0"/>
    <n v="2"/>
    <n v="26"/>
    <n v="38"/>
    <s v="Yes"/>
    <s v="Yes"/>
    <s v="Yes"/>
    <s v="No"/>
    <s v="Yes"/>
    <s v="No"/>
    <m/>
    <s v="1+ Failures"/>
    <n v="1"/>
    <x v="0"/>
  </r>
  <r>
    <n v="726"/>
    <d v="2024-12-07T00:00:00"/>
    <s v="Standard"/>
    <n v="399"/>
    <n v="7.9"/>
    <n v="3"/>
    <n v="1"/>
    <n v="1"/>
    <n v="54"/>
    <s v="Yes"/>
    <s v="No"/>
    <s v="Yes"/>
    <s v="No"/>
    <s v="Yes"/>
    <s v="Yes"/>
    <m/>
    <s v="1+ Failures"/>
    <n v="1"/>
    <x v="2"/>
  </r>
  <r>
    <n v="727"/>
    <d v="2023-06-09T00:00:00"/>
    <s v="Standard"/>
    <n v="399"/>
    <n v="13"/>
    <n v="2"/>
    <n v="0"/>
    <n v="36"/>
    <n v="2"/>
    <s v="No"/>
    <s v="No"/>
    <s v="No"/>
    <s v="No"/>
    <s v="No"/>
    <s v="No"/>
    <m/>
    <s v="0 Failures"/>
    <n v="0"/>
    <x v="1"/>
  </r>
  <r>
    <n v="728"/>
    <d v="2023-04-05T00:00:00"/>
    <s v="Basic"/>
    <n v="199"/>
    <n v="9.5"/>
    <n v="3"/>
    <n v="1"/>
    <n v="17"/>
    <n v="16"/>
    <s v="No"/>
    <s v="No"/>
    <s v="Yes"/>
    <s v="No"/>
    <s v="Yes"/>
    <s v="No"/>
    <m/>
    <s v="1+ Failures"/>
    <n v="0"/>
    <x v="2"/>
  </r>
  <r>
    <n v="729"/>
    <d v="2024-05-09T00:00:00"/>
    <s v="Premium"/>
    <n v="699"/>
    <n v="14.4"/>
    <n v="3"/>
    <n v="5"/>
    <n v="26"/>
    <n v="4"/>
    <s v="No"/>
    <s v="No"/>
    <s v="Yes"/>
    <s v="No"/>
    <s v="No"/>
    <s v="No"/>
    <m/>
    <s v="1+ Failures"/>
    <n v="0"/>
    <x v="1"/>
  </r>
  <r>
    <n v="730"/>
    <d v="2024-08-13T00:00:00"/>
    <s v="Basic"/>
    <n v="199"/>
    <n v="20.7"/>
    <n v="1"/>
    <n v="4"/>
    <n v="32"/>
    <n v="41"/>
    <s v="Yes"/>
    <s v="No"/>
    <s v="Yes"/>
    <s v="No"/>
    <s v="Yes"/>
    <s v="No"/>
    <m/>
    <s v="1+ Failures"/>
    <n v="1"/>
    <x v="3"/>
  </r>
  <r>
    <n v="731"/>
    <d v="2024-03-02T00:00:00"/>
    <s v="Standard"/>
    <n v="399"/>
    <n v="19.600000000000001"/>
    <n v="5"/>
    <n v="2"/>
    <n v="6"/>
    <n v="56"/>
    <s v="No"/>
    <s v="No"/>
    <s v="Yes"/>
    <s v="Yes"/>
    <s v="Yes"/>
    <s v="No"/>
    <m/>
    <s v="1+ Failures"/>
    <n v="0"/>
    <x v="1"/>
  </r>
  <r>
    <n v="732"/>
    <d v="2023-02-25T00:00:00"/>
    <s v="Basic"/>
    <n v="199"/>
    <n v="18.8"/>
    <n v="0"/>
    <n v="5"/>
    <n v="15"/>
    <n v="49"/>
    <s v="No"/>
    <s v="No"/>
    <s v="Yes"/>
    <s v="No"/>
    <s v="Yes"/>
    <s v="No"/>
    <m/>
    <s v="1+ Failures"/>
    <n v="0"/>
    <x v="1"/>
  </r>
  <r>
    <n v="733"/>
    <d v="2024-12-15T00:00:00"/>
    <s v="Standard"/>
    <n v="399"/>
    <n v="1.5"/>
    <n v="8"/>
    <n v="4"/>
    <n v="34"/>
    <n v="9"/>
    <s v="Yes"/>
    <s v="Yes"/>
    <s v="Yes"/>
    <s v="Yes"/>
    <s v="No"/>
    <s v="No"/>
    <m/>
    <s v="1+ Failures"/>
    <n v="1"/>
    <x v="0"/>
  </r>
  <r>
    <n v="734"/>
    <d v="2024-05-31T00:00:00"/>
    <s v="Basic"/>
    <n v="199"/>
    <n v="1.7"/>
    <n v="6"/>
    <n v="3"/>
    <n v="10"/>
    <n v="48"/>
    <s v="Yes"/>
    <s v="Yes"/>
    <s v="Yes"/>
    <s v="Yes"/>
    <s v="Yes"/>
    <s v="No"/>
    <m/>
    <s v="1+ Failures"/>
    <n v="1"/>
    <x v="0"/>
  </r>
  <r>
    <n v="735"/>
    <d v="2024-05-02T00:00:00"/>
    <s v="Basic"/>
    <n v="199"/>
    <n v="11.1"/>
    <n v="6"/>
    <n v="1"/>
    <n v="15"/>
    <n v="8"/>
    <s v="No"/>
    <s v="No"/>
    <s v="Yes"/>
    <s v="Yes"/>
    <s v="No"/>
    <s v="No"/>
    <m/>
    <s v="1+ Failures"/>
    <n v="0"/>
    <x v="1"/>
  </r>
  <r>
    <n v="736"/>
    <d v="2024-12-15T00:00:00"/>
    <s v="Premium"/>
    <n v="699"/>
    <n v="13.9"/>
    <n v="4"/>
    <n v="0"/>
    <n v="4"/>
    <n v="25"/>
    <s v="No"/>
    <s v="No"/>
    <s v="No"/>
    <s v="No"/>
    <s v="Yes"/>
    <s v="Yes"/>
    <m/>
    <s v="0 Failures"/>
    <n v="0"/>
    <x v="1"/>
  </r>
  <r>
    <n v="737"/>
    <d v="2023-07-20T00:00:00"/>
    <s v="Basic"/>
    <n v="199"/>
    <n v="12.3"/>
    <n v="3"/>
    <n v="3"/>
    <n v="9"/>
    <n v="25"/>
    <s v="No"/>
    <s v="No"/>
    <s v="Yes"/>
    <s v="No"/>
    <s v="Yes"/>
    <s v="No"/>
    <m/>
    <s v="1+ Failures"/>
    <n v="0"/>
    <x v="1"/>
  </r>
  <r>
    <n v="738"/>
    <d v="2024-12-02T00:00:00"/>
    <s v="Premium"/>
    <n v="699"/>
    <n v="6.5"/>
    <n v="1"/>
    <n v="2"/>
    <n v="34"/>
    <n v="49"/>
    <s v="Yes"/>
    <s v="No"/>
    <s v="Yes"/>
    <s v="No"/>
    <s v="Yes"/>
    <s v="No"/>
    <m/>
    <s v="1+ Failures"/>
    <n v="1"/>
    <x v="2"/>
  </r>
  <r>
    <n v="739"/>
    <d v="2023-11-25T00:00:00"/>
    <s v="Premium"/>
    <n v="699"/>
    <n v="3.3"/>
    <n v="6"/>
    <n v="3"/>
    <n v="6"/>
    <n v="23"/>
    <s v="Yes"/>
    <s v="Yes"/>
    <s v="Yes"/>
    <s v="Yes"/>
    <s v="Yes"/>
    <s v="No"/>
    <m/>
    <s v="1+ Failures"/>
    <n v="1"/>
    <x v="0"/>
  </r>
  <r>
    <n v="740"/>
    <d v="2024-03-28T00:00:00"/>
    <s v="Standard"/>
    <n v="399"/>
    <n v="19.399999999999999"/>
    <n v="2"/>
    <n v="2"/>
    <n v="2"/>
    <n v="39"/>
    <s v="No"/>
    <s v="No"/>
    <s v="Yes"/>
    <s v="No"/>
    <s v="Yes"/>
    <s v="Yes"/>
    <m/>
    <s v="1+ Failures"/>
    <n v="0"/>
    <x v="1"/>
  </r>
  <r>
    <n v="741"/>
    <d v="2023-03-29T00:00:00"/>
    <s v="Premium"/>
    <n v="699"/>
    <n v="11.3"/>
    <n v="3"/>
    <n v="1"/>
    <n v="10"/>
    <n v="43"/>
    <s v="No"/>
    <s v="No"/>
    <s v="Yes"/>
    <s v="No"/>
    <s v="Yes"/>
    <s v="No"/>
    <m/>
    <s v="1+ Failures"/>
    <n v="0"/>
    <x v="1"/>
  </r>
  <r>
    <n v="742"/>
    <d v="2023-04-24T00:00:00"/>
    <s v="Basic"/>
    <n v="199"/>
    <n v="6.5"/>
    <n v="2"/>
    <n v="2"/>
    <n v="4"/>
    <n v="0"/>
    <s v="Yes"/>
    <s v="No"/>
    <s v="Yes"/>
    <s v="No"/>
    <s v="No"/>
    <s v="Yes"/>
    <m/>
    <s v="1+ Failures"/>
    <n v="1"/>
    <x v="2"/>
  </r>
  <r>
    <n v="743"/>
    <d v="2023-07-28T00:00:00"/>
    <s v="Standard"/>
    <n v="399"/>
    <n v="12"/>
    <n v="5"/>
    <n v="1"/>
    <n v="29"/>
    <n v="47"/>
    <s v="No"/>
    <s v="No"/>
    <s v="Yes"/>
    <s v="Yes"/>
    <s v="Yes"/>
    <s v="No"/>
    <m/>
    <s v="1+ Failures"/>
    <n v="0"/>
    <x v="1"/>
  </r>
  <r>
    <n v="744"/>
    <d v="2023-05-25T00:00:00"/>
    <s v="Premium"/>
    <n v="699"/>
    <n v="18.899999999999999"/>
    <n v="8"/>
    <n v="3"/>
    <n v="34"/>
    <n v="39"/>
    <s v="Yes"/>
    <s v="No"/>
    <s v="Yes"/>
    <s v="Yes"/>
    <s v="Yes"/>
    <s v="No"/>
    <m/>
    <s v="1+ Failures"/>
    <n v="1"/>
    <x v="1"/>
  </r>
  <r>
    <n v="745"/>
    <d v="2023-10-18T00:00:00"/>
    <s v="Premium"/>
    <n v="699"/>
    <n v="9.6999999999999993"/>
    <n v="8"/>
    <n v="0"/>
    <n v="2"/>
    <n v="16"/>
    <s v="Yes"/>
    <s v="No"/>
    <s v="No"/>
    <s v="Yes"/>
    <s v="Yes"/>
    <s v="Yes"/>
    <m/>
    <s v="0 Failures"/>
    <n v="1"/>
    <x v="2"/>
  </r>
  <r>
    <n v="746"/>
    <d v="2024-11-09T00:00:00"/>
    <s v="Basic"/>
    <n v="199"/>
    <n v="1.8"/>
    <n v="0"/>
    <n v="0"/>
    <n v="18"/>
    <n v="24"/>
    <s v="No"/>
    <s v="Yes"/>
    <s v="No"/>
    <s v="No"/>
    <s v="Yes"/>
    <s v="No"/>
    <m/>
    <s v="0 Failures"/>
    <n v="0"/>
    <x v="0"/>
  </r>
  <r>
    <n v="747"/>
    <d v="2024-01-31T00:00:00"/>
    <s v="Premium"/>
    <n v="699"/>
    <n v="21.7"/>
    <n v="0"/>
    <n v="2"/>
    <n v="24"/>
    <n v="55"/>
    <s v="No"/>
    <s v="No"/>
    <s v="Yes"/>
    <s v="No"/>
    <s v="Yes"/>
    <s v="No"/>
    <m/>
    <s v="1+ Failures"/>
    <n v="0"/>
    <x v="3"/>
  </r>
  <r>
    <n v="748"/>
    <d v="2024-06-28T00:00:00"/>
    <s v="Basic"/>
    <n v="199"/>
    <n v="13"/>
    <n v="1"/>
    <n v="2"/>
    <n v="25"/>
    <n v="31"/>
    <s v="No"/>
    <s v="No"/>
    <s v="Yes"/>
    <s v="No"/>
    <s v="Yes"/>
    <s v="No"/>
    <m/>
    <s v="1+ Failures"/>
    <n v="0"/>
    <x v="1"/>
  </r>
  <r>
    <n v="749"/>
    <d v="2023-02-10T00:00:00"/>
    <s v="Basic"/>
    <n v="199"/>
    <n v="5.4"/>
    <n v="7"/>
    <n v="4"/>
    <n v="12"/>
    <n v="59"/>
    <s v="Yes"/>
    <s v="No"/>
    <s v="Yes"/>
    <s v="Yes"/>
    <s v="Yes"/>
    <s v="No"/>
    <m/>
    <s v="1+ Failures"/>
    <n v="1"/>
    <x v="2"/>
  </r>
  <r>
    <n v="750"/>
    <d v="2023-12-22T00:00:00"/>
    <s v="Basic"/>
    <n v="199"/>
    <n v="8"/>
    <n v="7"/>
    <n v="3"/>
    <n v="34"/>
    <n v="47"/>
    <s v="Yes"/>
    <s v="No"/>
    <s v="Yes"/>
    <s v="Yes"/>
    <s v="Yes"/>
    <s v="No"/>
    <m/>
    <s v="1+ Failures"/>
    <n v="1"/>
    <x v="2"/>
  </r>
  <r>
    <n v="751"/>
    <d v="2023-03-05T00:00:00"/>
    <s v="Premium"/>
    <n v="699"/>
    <n v="9.1999999999999993"/>
    <n v="4"/>
    <n v="1"/>
    <n v="23"/>
    <n v="32"/>
    <s v="Yes"/>
    <s v="No"/>
    <s v="Yes"/>
    <s v="No"/>
    <s v="Yes"/>
    <s v="No"/>
    <m/>
    <s v="1+ Failures"/>
    <n v="1"/>
    <x v="2"/>
  </r>
  <r>
    <n v="752"/>
    <d v="2023-06-05T00:00:00"/>
    <s v="Premium"/>
    <n v="699"/>
    <n v="22"/>
    <n v="0"/>
    <n v="4"/>
    <n v="17"/>
    <n v="60"/>
    <s v="Yes"/>
    <s v="No"/>
    <s v="Yes"/>
    <s v="No"/>
    <s v="Yes"/>
    <s v="No"/>
    <m/>
    <s v="1+ Failures"/>
    <n v="1"/>
    <x v="3"/>
  </r>
  <r>
    <n v="753"/>
    <d v="2024-11-25T00:00:00"/>
    <s v="Standard"/>
    <n v="399"/>
    <n v="16.600000000000001"/>
    <n v="1"/>
    <n v="5"/>
    <n v="26"/>
    <n v="24"/>
    <s v="Yes"/>
    <s v="No"/>
    <s v="Yes"/>
    <s v="No"/>
    <s v="Yes"/>
    <s v="No"/>
    <m/>
    <s v="1+ Failures"/>
    <n v="1"/>
    <x v="1"/>
  </r>
  <r>
    <n v="754"/>
    <d v="2023-12-04T00:00:00"/>
    <s v="Premium"/>
    <n v="699"/>
    <n v="10.7"/>
    <n v="2"/>
    <n v="3"/>
    <n v="15"/>
    <n v="19"/>
    <s v="No"/>
    <s v="No"/>
    <s v="Yes"/>
    <s v="No"/>
    <s v="Yes"/>
    <s v="No"/>
    <m/>
    <s v="1+ Failures"/>
    <n v="0"/>
    <x v="1"/>
  </r>
  <r>
    <n v="755"/>
    <d v="2023-07-27T00:00:00"/>
    <s v="Standard"/>
    <n v="399"/>
    <n v="3.7"/>
    <n v="2"/>
    <n v="4"/>
    <n v="35"/>
    <n v="34"/>
    <s v="Yes"/>
    <s v="Yes"/>
    <s v="Yes"/>
    <s v="No"/>
    <s v="Yes"/>
    <s v="No"/>
    <m/>
    <s v="1+ Failures"/>
    <n v="1"/>
    <x v="0"/>
  </r>
  <r>
    <n v="756"/>
    <d v="2023-05-29T00:00:00"/>
    <s v="Basic"/>
    <n v="199"/>
    <n v="17.399999999999999"/>
    <n v="8"/>
    <n v="1"/>
    <n v="20"/>
    <n v="27"/>
    <s v="No"/>
    <s v="No"/>
    <s v="Yes"/>
    <s v="Yes"/>
    <s v="Yes"/>
    <s v="No"/>
    <m/>
    <s v="1+ Failures"/>
    <n v="0"/>
    <x v="1"/>
  </r>
  <r>
    <n v="757"/>
    <d v="2023-07-08T00:00:00"/>
    <s v="Premium"/>
    <n v="699"/>
    <n v="8.3000000000000007"/>
    <n v="8"/>
    <n v="4"/>
    <n v="11"/>
    <n v="60"/>
    <s v="Yes"/>
    <s v="No"/>
    <s v="Yes"/>
    <s v="Yes"/>
    <s v="Yes"/>
    <s v="No"/>
    <m/>
    <s v="1+ Failures"/>
    <n v="1"/>
    <x v="2"/>
  </r>
  <r>
    <n v="758"/>
    <d v="2024-10-14T00:00:00"/>
    <s v="Standard"/>
    <n v="399"/>
    <n v="18.3"/>
    <n v="5"/>
    <n v="3"/>
    <n v="10"/>
    <n v="26"/>
    <s v="Yes"/>
    <s v="No"/>
    <s v="Yes"/>
    <s v="Yes"/>
    <s v="Yes"/>
    <s v="No"/>
    <m/>
    <s v="1+ Failures"/>
    <n v="1"/>
    <x v="1"/>
  </r>
  <r>
    <n v="759"/>
    <d v="2024-09-18T00:00:00"/>
    <s v="Premium"/>
    <n v="699"/>
    <n v="4.2"/>
    <n v="3"/>
    <n v="0"/>
    <n v="18"/>
    <n v="8"/>
    <s v="Yes"/>
    <s v="Yes"/>
    <s v="No"/>
    <s v="No"/>
    <s v="No"/>
    <s v="No"/>
    <m/>
    <s v="0 Failures"/>
    <n v="1"/>
    <x v="0"/>
  </r>
  <r>
    <n v="760"/>
    <d v="2023-01-27T00:00:00"/>
    <s v="Premium"/>
    <n v="699"/>
    <n v="15.3"/>
    <n v="3"/>
    <n v="4"/>
    <n v="18"/>
    <n v="14"/>
    <s v="Yes"/>
    <s v="No"/>
    <s v="Yes"/>
    <s v="No"/>
    <s v="No"/>
    <s v="No"/>
    <m/>
    <s v="1+ Failures"/>
    <n v="1"/>
    <x v="1"/>
  </r>
  <r>
    <n v="761"/>
    <d v="2024-04-25T00:00:00"/>
    <s v="Standard"/>
    <n v="399"/>
    <n v="17.399999999999999"/>
    <n v="7"/>
    <n v="1"/>
    <n v="6"/>
    <n v="32"/>
    <s v="No"/>
    <s v="No"/>
    <s v="Yes"/>
    <s v="Yes"/>
    <s v="Yes"/>
    <s v="No"/>
    <m/>
    <s v="1+ Failures"/>
    <n v="0"/>
    <x v="1"/>
  </r>
  <r>
    <n v="762"/>
    <d v="2023-07-17T00:00:00"/>
    <s v="Premium"/>
    <n v="699"/>
    <n v="5"/>
    <n v="6"/>
    <n v="3"/>
    <n v="24"/>
    <n v="30"/>
    <s v="Yes"/>
    <s v="No"/>
    <s v="Yes"/>
    <s v="Yes"/>
    <s v="Yes"/>
    <s v="No"/>
    <m/>
    <s v="1+ Failures"/>
    <n v="1"/>
    <x v="0"/>
  </r>
  <r>
    <n v="763"/>
    <d v="2024-11-18T00:00:00"/>
    <s v="Basic"/>
    <n v="199"/>
    <n v="10.5"/>
    <n v="0"/>
    <n v="2"/>
    <n v="3"/>
    <n v="60"/>
    <s v="Yes"/>
    <s v="No"/>
    <s v="Yes"/>
    <s v="No"/>
    <s v="Yes"/>
    <s v="Yes"/>
    <m/>
    <s v="1+ Failures"/>
    <n v="1"/>
    <x v="1"/>
  </r>
  <r>
    <n v="764"/>
    <d v="2024-04-13T00:00:00"/>
    <s v="Basic"/>
    <n v="199"/>
    <n v="2.1"/>
    <n v="7"/>
    <n v="4"/>
    <n v="14"/>
    <n v="31"/>
    <s v="Yes"/>
    <s v="Yes"/>
    <s v="Yes"/>
    <s v="Yes"/>
    <s v="Yes"/>
    <s v="No"/>
    <m/>
    <s v="1+ Failures"/>
    <n v="1"/>
    <x v="0"/>
  </r>
  <r>
    <n v="765"/>
    <d v="2023-11-17T00:00:00"/>
    <s v="Basic"/>
    <n v="199"/>
    <n v="10.4"/>
    <n v="0"/>
    <n v="4"/>
    <n v="28"/>
    <n v="47"/>
    <s v="No"/>
    <s v="No"/>
    <s v="Yes"/>
    <s v="No"/>
    <s v="Yes"/>
    <s v="No"/>
    <m/>
    <s v="1+ Failures"/>
    <n v="0"/>
    <x v="1"/>
  </r>
  <r>
    <n v="766"/>
    <d v="2023-02-13T00:00:00"/>
    <s v="Standard"/>
    <n v="399"/>
    <n v="13.4"/>
    <n v="0"/>
    <n v="4"/>
    <n v="35"/>
    <n v="6"/>
    <s v="No"/>
    <s v="No"/>
    <s v="Yes"/>
    <s v="No"/>
    <s v="No"/>
    <s v="No"/>
    <m/>
    <s v="1+ Failures"/>
    <n v="0"/>
    <x v="1"/>
  </r>
  <r>
    <n v="767"/>
    <d v="2024-10-07T00:00:00"/>
    <s v="Basic"/>
    <n v="199"/>
    <n v="13.7"/>
    <n v="0"/>
    <n v="4"/>
    <n v="34"/>
    <n v="24"/>
    <s v="Yes"/>
    <s v="No"/>
    <s v="Yes"/>
    <s v="No"/>
    <s v="Yes"/>
    <s v="No"/>
    <m/>
    <s v="1+ Failures"/>
    <n v="1"/>
    <x v="1"/>
  </r>
  <r>
    <n v="768"/>
    <d v="2024-04-17T00:00:00"/>
    <s v="Basic"/>
    <n v="199"/>
    <n v="7.6"/>
    <n v="6"/>
    <n v="2"/>
    <n v="13"/>
    <n v="49"/>
    <s v="No"/>
    <s v="No"/>
    <s v="Yes"/>
    <s v="Yes"/>
    <s v="Yes"/>
    <s v="No"/>
    <m/>
    <s v="1+ Failures"/>
    <n v="0"/>
    <x v="2"/>
  </r>
  <r>
    <n v="769"/>
    <d v="2024-04-19T00:00:00"/>
    <s v="Basic"/>
    <n v="199"/>
    <n v="7.7"/>
    <n v="0"/>
    <n v="5"/>
    <n v="28"/>
    <n v="33"/>
    <s v="No"/>
    <s v="No"/>
    <s v="Yes"/>
    <s v="No"/>
    <s v="Yes"/>
    <s v="No"/>
    <m/>
    <s v="1+ Failures"/>
    <n v="0"/>
    <x v="2"/>
  </r>
  <r>
    <n v="770"/>
    <d v="2024-12-13T00:00:00"/>
    <s v="Premium"/>
    <n v="699"/>
    <n v="2.7"/>
    <n v="8"/>
    <n v="0"/>
    <n v="29"/>
    <n v="11"/>
    <s v="No"/>
    <s v="Yes"/>
    <s v="No"/>
    <s v="Yes"/>
    <s v="No"/>
    <s v="No"/>
    <m/>
    <s v="0 Failures"/>
    <n v="0"/>
    <x v="0"/>
  </r>
  <r>
    <n v="771"/>
    <d v="2024-08-27T00:00:00"/>
    <s v="Premium"/>
    <n v="699"/>
    <n v="10.1"/>
    <n v="5"/>
    <n v="3"/>
    <n v="9"/>
    <n v="1"/>
    <s v="Yes"/>
    <s v="No"/>
    <s v="Yes"/>
    <s v="Yes"/>
    <s v="No"/>
    <s v="No"/>
    <m/>
    <s v="1+ Failures"/>
    <n v="1"/>
    <x v="1"/>
  </r>
  <r>
    <n v="772"/>
    <d v="2024-12-29T00:00:00"/>
    <s v="Premium"/>
    <n v="699"/>
    <n v="22.1"/>
    <n v="1"/>
    <n v="2"/>
    <n v="13"/>
    <n v="20"/>
    <s v="No"/>
    <s v="No"/>
    <s v="Yes"/>
    <s v="No"/>
    <s v="Yes"/>
    <s v="No"/>
    <m/>
    <s v="1+ Failures"/>
    <n v="0"/>
    <x v="3"/>
  </r>
  <r>
    <n v="773"/>
    <d v="2024-12-25T00:00:00"/>
    <s v="Basic"/>
    <n v="199"/>
    <n v="2.7"/>
    <n v="7"/>
    <n v="5"/>
    <n v="8"/>
    <n v="23"/>
    <s v="Yes"/>
    <s v="Yes"/>
    <s v="Yes"/>
    <s v="Yes"/>
    <s v="Yes"/>
    <s v="No"/>
    <m/>
    <s v="1+ Failures"/>
    <n v="1"/>
    <x v="0"/>
  </r>
  <r>
    <n v="774"/>
    <d v="2023-06-24T00:00:00"/>
    <s v="Standard"/>
    <n v="399"/>
    <n v="15.5"/>
    <n v="2"/>
    <n v="3"/>
    <n v="33"/>
    <n v="35"/>
    <s v="Yes"/>
    <s v="No"/>
    <s v="Yes"/>
    <s v="No"/>
    <s v="Yes"/>
    <s v="No"/>
    <m/>
    <s v="1+ Failures"/>
    <n v="1"/>
    <x v="1"/>
  </r>
  <r>
    <n v="775"/>
    <d v="2024-03-05T00:00:00"/>
    <s v="Standard"/>
    <n v="399"/>
    <n v="4.5"/>
    <n v="2"/>
    <n v="1"/>
    <n v="10"/>
    <n v="49"/>
    <s v="No"/>
    <s v="Yes"/>
    <s v="Yes"/>
    <s v="No"/>
    <s v="Yes"/>
    <s v="No"/>
    <m/>
    <s v="1+ Failures"/>
    <n v="0"/>
    <x v="0"/>
  </r>
  <r>
    <n v="776"/>
    <d v="2023-05-15T00:00:00"/>
    <s v="Standard"/>
    <n v="399"/>
    <n v="18.399999999999999"/>
    <n v="7"/>
    <n v="2"/>
    <n v="20"/>
    <n v="40"/>
    <s v="Yes"/>
    <s v="No"/>
    <s v="Yes"/>
    <s v="Yes"/>
    <s v="Yes"/>
    <s v="No"/>
    <m/>
    <s v="1+ Failures"/>
    <n v="1"/>
    <x v="1"/>
  </r>
  <r>
    <n v="777"/>
    <d v="2024-05-25T00:00:00"/>
    <s v="Basic"/>
    <n v="199"/>
    <n v="15.8"/>
    <n v="4"/>
    <n v="0"/>
    <n v="1"/>
    <n v="29"/>
    <s v="Yes"/>
    <s v="No"/>
    <s v="No"/>
    <s v="No"/>
    <s v="Yes"/>
    <s v="Yes"/>
    <m/>
    <s v="0 Failures"/>
    <n v="1"/>
    <x v="1"/>
  </r>
  <r>
    <n v="778"/>
    <d v="2024-05-02T00:00:00"/>
    <s v="Premium"/>
    <n v="699"/>
    <n v="15.4"/>
    <n v="7"/>
    <n v="1"/>
    <n v="1"/>
    <n v="13"/>
    <s v="No"/>
    <s v="No"/>
    <s v="Yes"/>
    <s v="Yes"/>
    <s v="No"/>
    <s v="Yes"/>
    <m/>
    <s v="1+ Failures"/>
    <n v="0"/>
    <x v="1"/>
  </r>
  <r>
    <n v="779"/>
    <d v="2024-09-26T00:00:00"/>
    <s v="Standard"/>
    <n v="399"/>
    <n v="11.3"/>
    <n v="0"/>
    <n v="1"/>
    <n v="27"/>
    <n v="56"/>
    <s v="No"/>
    <s v="No"/>
    <s v="Yes"/>
    <s v="No"/>
    <s v="Yes"/>
    <s v="No"/>
    <m/>
    <s v="1+ Failures"/>
    <n v="0"/>
    <x v="1"/>
  </r>
  <r>
    <n v="780"/>
    <d v="2024-10-30T00:00:00"/>
    <s v="Premium"/>
    <n v="699"/>
    <n v="20.6"/>
    <n v="3"/>
    <n v="0"/>
    <n v="36"/>
    <n v="11"/>
    <s v="No"/>
    <s v="No"/>
    <s v="No"/>
    <s v="No"/>
    <s v="No"/>
    <s v="No"/>
    <m/>
    <s v="0 Failures"/>
    <n v="0"/>
    <x v="3"/>
  </r>
  <r>
    <n v="781"/>
    <d v="2023-11-02T00:00:00"/>
    <s v="Standard"/>
    <n v="399"/>
    <n v="4.0999999999999996"/>
    <n v="0"/>
    <n v="5"/>
    <n v="3"/>
    <n v="36"/>
    <s v="Yes"/>
    <s v="Yes"/>
    <s v="Yes"/>
    <s v="No"/>
    <s v="Yes"/>
    <s v="Yes"/>
    <m/>
    <s v="1+ Failures"/>
    <n v="1"/>
    <x v="0"/>
  </r>
  <r>
    <n v="782"/>
    <d v="2024-09-17T00:00:00"/>
    <s v="Standard"/>
    <n v="399"/>
    <n v="1.7"/>
    <n v="6"/>
    <n v="1"/>
    <n v="6"/>
    <n v="10"/>
    <s v="No"/>
    <s v="Yes"/>
    <s v="Yes"/>
    <s v="Yes"/>
    <s v="No"/>
    <s v="No"/>
    <m/>
    <s v="1+ Failures"/>
    <n v="0"/>
    <x v="0"/>
  </r>
  <r>
    <n v="783"/>
    <d v="2023-02-06T00:00:00"/>
    <s v="Premium"/>
    <n v="699"/>
    <n v="4.8"/>
    <n v="7"/>
    <n v="5"/>
    <n v="36"/>
    <n v="37"/>
    <s v="Yes"/>
    <s v="Yes"/>
    <s v="Yes"/>
    <s v="Yes"/>
    <s v="Yes"/>
    <s v="No"/>
    <m/>
    <s v="1+ Failures"/>
    <n v="1"/>
    <x v="0"/>
  </r>
  <r>
    <n v="784"/>
    <d v="2024-07-17T00:00:00"/>
    <s v="Basic"/>
    <n v="199"/>
    <n v="8.4"/>
    <n v="6"/>
    <n v="0"/>
    <n v="20"/>
    <n v="48"/>
    <s v="Yes"/>
    <s v="No"/>
    <s v="No"/>
    <s v="Yes"/>
    <s v="Yes"/>
    <s v="No"/>
    <m/>
    <s v="0 Failures"/>
    <n v="1"/>
    <x v="2"/>
  </r>
  <r>
    <n v="785"/>
    <d v="2024-06-23T00:00:00"/>
    <s v="Basic"/>
    <n v="199"/>
    <n v="12"/>
    <n v="1"/>
    <n v="5"/>
    <n v="19"/>
    <n v="55"/>
    <s v="Yes"/>
    <s v="No"/>
    <s v="Yes"/>
    <s v="No"/>
    <s v="Yes"/>
    <s v="No"/>
    <m/>
    <s v="1+ Failures"/>
    <n v="1"/>
    <x v="1"/>
  </r>
  <r>
    <n v="786"/>
    <d v="2024-10-06T00:00:00"/>
    <s v="Standard"/>
    <n v="399"/>
    <n v="5.6"/>
    <n v="3"/>
    <n v="4"/>
    <n v="34"/>
    <n v="3"/>
    <s v="Yes"/>
    <s v="No"/>
    <s v="Yes"/>
    <s v="No"/>
    <s v="No"/>
    <s v="No"/>
    <m/>
    <s v="1+ Failures"/>
    <n v="1"/>
    <x v="2"/>
  </r>
  <r>
    <n v="787"/>
    <d v="2023-09-23T00:00:00"/>
    <s v="Premium"/>
    <n v="699"/>
    <n v="12.3"/>
    <n v="4"/>
    <n v="3"/>
    <n v="6"/>
    <n v="38"/>
    <s v="No"/>
    <s v="No"/>
    <s v="Yes"/>
    <s v="No"/>
    <s v="Yes"/>
    <s v="No"/>
    <m/>
    <s v="1+ Failures"/>
    <n v="0"/>
    <x v="1"/>
  </r>
  <r>
    <n v="788"/>
    <d v="2024-05-19T00:00:00"/>
    <s v="Premium"/>
    <n v="699"/>
    <n v="23.2"/>
    <n v="7"/>
    <n v="4"/>
    <n v="23"/>
    <n v="46"/>
    <s v="Yes"/>
    <s v="No"/>
    <s v="Yes"/>
    <s v="Yes"/>
    <s v="Yes"/>
    <s v="No"/>
    <m/>
    <s v="1+ Failures"/>
    <n v="1"/>
    <x v="3"/>
  </r>
  <r>
    <n v="789"/>
    <d v="2024-10-02T00:00:00"/>
    <s v="Basic"/>
    <n v="199"/>
    <n v="17.899999999999999"/>
    <n v="3"/>
    <n v="0"/>
    <n v="15"/>
    <n v="7"/>
    <s v="Yes"/>
    <s v="No"/>
    <s v="No"/>
    <s v="No"/>
    <s v="No"/>
    <s v="No"/>
    <m/>
    <s v="0 Failures"/>
    <n v="1"/>
    <x v="1"/>
  </r>
  <r>
    <n v="790"/>
    <d v="2024-07-27T00:00:00"/>
    <s v="Basic"/>
    <n v="199"/>
    <n v="20.100000000000001"/>
    <n v="6"/>
    <n v="3"/>
    <n v="14"/>
    <n v="2"/>
    <s v="Yes"/>
    <s v="No"/>
    <s v="Yes"/>
    <s v="Yes"/>
    <s v="No"/>
    <s v="No"/>
    <m/>
    <s v="1+ Failures"/>
    <n v="1"/>
    <x v="3"/>
  </r>
  <r>
    <n v="791"/>
    <d v="2023-03-11T00:00:00"/>
    <s v="Premium"/>
    <n v="699"/>
    <n v="0.8"/>
    <n v="3"/>
    <n v="5"/>
    <n v="14"/>
    <n v="18"/>
    <s v="Yes"/>
    <s v="Yes"/>
    <s v="Yes"/>
    <s v="No"/>
    <s v="Yes"/>
    <s v="No"/>
    <m/>
    <s v="1+ Failures"/>
    <n v="1"/>
    <x v="0"/>
  </r>
  <r>
    <n v="792"/>
    <d v="2023-12-16T00:00:00"/>
    <s v="Standard"/>
    <n v="399"/>
    <n v="12.9"/>
    <n v="5"/>
    <n v="0"/>
    <n v="20"/>
    <n v="7"/>
    <s v="No"/>
    <s v="No"/>
    <s v="No"/>
    <s v="Yes"/>
    <s v="No"/>
    <s v="No"/>
    <m/>
    <s v="0 Failures"/>
    <n v="0"/>
    <x v="1"/>
  </r>
  <r>
    <n v="793"/>
    <d v="2024-11-19T00:00:00"/>
    <s v="Standard"/>
    <n v="399"/>
    <n v="20.9"/>
    <n v="3"/>
    <n v="2"/>
    <n v="2"/>
    <n v="53"/>
    <s v="Yes"/>
    <s v="No"/>
    <s v="Yes"/>
    <s v="No"/>
    <s v="Yes"/>
    <s v="Yes"/>
    <m/>
    <s v="1+ Failures"/>
    <n v="1"/>
    <x v="3"/>
  </r>
  <r>
    <n v="794"/>
    <d v="2024-07-03T00:00:00"/>
    <s v="Standard"/>
    <n v="399"/>
    <n v="20"/>
    <n v="2"/>
    <n v="3"/>
    <n v="31"/>
    <n v="9"/>
    <s v="No"/>
    <s v="No"/>
    <s v="Yes"/>
    <s v="No"/>
    <s v="No"/>
    <s v="No"/>
    <m/>
    <s v="1+ Failures"/>
    <n v="0"/>
    <x v="1"/>
  </r>
  <r>
    <n v="795"/>
    <d v="2023-11-03T00:00:00"/>
    <s v="Standard"/>
    <n v="399"/>
    <n v="19.7"/>
    <n v="6"/>
    <n v="5"/>
    <n v="30"/>
    <n v="3"/>
    <s v="No"/>
    <s v="No"/>
    <s v="Yes"/>
    <s v="Yes"/>
    <s v="No"/>
    <s v="No"/>
    <m/>
    <s v="1+ Failures"/>
    <n v="0"/>
    <x v="1"/>
  </r>
  <r>
    <n v="796"/>
    <d v="2023-12-29T00:00:00"/>
    <s v="Premium"/>
    <n v="699"/>
    <n v="14.1"/>
    <n v="0"/>
    <n v="1"/>
    <n v="21"/>
    <n v="36"/>
    <s v="No"/>
    <s v="No"/>
    <s v="Yes"/>
    <s v="No"/>
    <s v="Yes"/>
    <s v="No"/>
    <m/>
    <s v="1+ Failures"/>
    <n v="0"/>
    <x v="1"/>
  </r>
  <r>
    <n v="797"/>
    <d v="2023-06-19T00:00:00"/>
    <s v="Basic"/>
    <n v="199"/>
    <n v="7.4"/>
    <n v="0"/>
    <n v="2"/>
    <n v="10"/>
    <n v="24"/>
    <s v="No"/>
    <s v="No"/>
    <s v="Yes"/>
    <s v="No"/>
    <s v="Yes"/>
    <s v="No"/>
    <m/>
    <s v="1+ Failures"/>
    <n v="0"/>
    <x v="2"/>
  </r>
  <r>
    <n v="798"/>
    <d v="2024-12-27T00:00:00"/>
    <s v="Premium"/>
    <n v="699"/>
    <n v="5.0999999999999996"/>
    <n v="1"/>
    <n v="2"/>
    <n v="25"/>
    <n v="45"/>
    <s v="No"/>
    <s v="No"/>
    <s v="Yes"/>
    <s v="No"/>
    <s v="Yes"/>
    <s v="No"/>
    <m/>
    <s v="1+ Failures"/>
    <n v="0"/>
    <x v="2"/>
  </r>
  <r>
    <n v="799"/>
    <d v="2023-11-06T00:00:00"/>
    <s v="Basic"/>
    <n v="199"/>
    <n v="10.6"/>
    <n v="7"/>
    <n v="1"/>
    <n v="18"/>
    <n v="23"/>
    <s v="Yes"/>
    <s v="No"/>
    <s v="Yes"/>
    <s v="Yes"/>
    <s v="Yes"/>
    <s v="No"/>
    <m/>
    <s v="1+ Failures"/>
    <n v="1"/>
    <x v="1"/>
  </r>
  <r>
    <n v="800"/>
    <d v="2023-07-26T00:00:00"/>
    <s v="Basic"/>
    <n v="199"/>
    <n v="7.9"/>
    <n v="1"/>
    <n v="2"/>
    <n v="34"/>
    <n v="50"/>
    <s v="Yes"/>
    <s v="No"/>
    <s v="Yes"/>
    <s v="No"/>
    <s v="Yes"/>
    <s v="No"/>
    <m/>
    <s v="1+ Failures"/>
    <n v="1"/>
    <x v="2"/>
  </r>
  <r>
    <n v="801"/>
    <d v="2024-05-10T00:00:00"/>
    <s v="Basic"/>
    <n v="199"/>
    <n v="12.9"/>
    <n v="7"/>
    <n v="4"/>
    <n v="29"/>
    <n v="9"/>
    <s v="Yes"/>
    <s v="No"/>
    <s v="Yes"/>
    <s v="Yes"/>
    <s v="No"/>
    <s v="No"/>
    <m/>
    <s v="1+ Failures"/>
    <n v="1"/>
    <x v="1"/>
  </r>
  <r>
    <n v="802"/>
    <d v="2024-06-12T00:00:00"/>
    <s v="Premium"/>
    <n v="699"/>
    <n v="8.1"/>
    <n v="5"/>
    <n v="1"/>
    <n v="34"/>
    <n v="49"/>
    <s v="No"/>
    <s v="No"/>
    <s v="Yes"/>
    <s v="Yes"/>
    <s v="Yes"/>
    <s v="No"/>
    <m/>
    <s v="1+ Failures"/>
    <n v="0"/>
    <x v="2"/>
  </r>
  <r>
    <n v="803"/>
    <d v="2024-06-18T00:00:00"/>
    <s v="Premium"/>
    <n v="699"/>
    <n v="5.5"/>
    <n v="0"/>
    <n v="3"/>
    <n v="9"/>
    <n v="24"/>
    <s v="No"/>
    <s v="No"/>
    <s v="Yes"/>
    <s v="No"/>
    <s v="Yes"/>
    <s v="No"/>
    <m/>
    <s v="1+ Failures"/>
    <n v="0"/>
    <x v="2"/>
  </r>
  <r>
    <n v="804"/>
    <d v="2023-03-31T00:00:00"/>
    <s v="Basic"/>
    <n v="199"/>
    <n v="8.1"/>
    <n v="0"/>
    <n v="5"/>
    <n v="1"/>
    <n v="54"/>
    <s v="Yes"/>
    <s v="No"/>
    <s v="Yes"/>
    <s v="No"/>
    <s v="Yes"/>
    <s v="Yes"/>
    <m/>
    <s v="1+ Failures"/>
    <n v="1"/>
    <x v="2"/>
  </r>
  <r>
    <n v="805"/>
    <d v="2023-11-16T00:00:00"/>
    <s v="Standard"/>
    <n v="399"/>
    <n v="22.3"/>
    <n v="1"/>
    <n v="4"/>
    <n v="30"/>
    <n v="49"/>
    <s v="No"/>
    <s v="No"/>
    <s v="Yes"/>
    <s v="No"/>
    <s v="Yes"/>
    <s v="No"/>
    <m/>
    <s v="1+ Failures"/>
    <n v="0"/>
    <x v="3"/>
  </r>
  <r>
    <n v="806"/>
    <d v="2023-10-11T00:00:00"/>
    <s v="Basic"/>
    <n v="199"/>
    <n v="16.2"/>
    <n v="3"/>
    <n v="2"/>
    <n v="20"/>
    <n v="12"/>
    <s v="Yes"/>
    <s v="No"/>
    <s v="Yes"/>
    <s v="No"/>
    <s v="No"/>
    <s v="No"/>
    <m/>
    <s v="1+ Failures"/>
    <n v="1"/>
    <x v="1"/>
  </r>
  <r>
    <n v="807"/>
    <d v="2023-04-28T00:00:00"/>
    <s v="Premium"/>
    <n v="699"/>
    <n v="19.399999999999999"/>
    <n v="1"/>
    <n v="2"/>
    <n v="21"/>
    <n v="9"/>
    <s v="Yes"/>
    <s v="No"/>
    <s v="Yes"/>
    <s v="No"/>
    <s v="No"/>
    <s v="No"/>
    <m/>
    <s v="1+ Failures"/>
    <n v="1"/>
    <x v="1"/>
  </r>
  <r>
    <n v="808"/>
    <d v="2023-10-05T00:00:00"/>
    <s v="Basic"/>
    <n v="199"/>
    <n v="13.1"/>
    <n v="3"/>
    <n v="4"/>
    <n v="36"/>
    <n v="22"/>
    <s v="Yes"/>
    <s v="No"/>
    <s v="Yes"/>
    <s v="No"/>
    <s v="Yes"/>
    <s v="No"/>
    <m/>
    <s v="1+ Failures"/>
    <n v="1"/>
    <x v="1"/>
  </r>
  <r>
    <n v="809"/>
    <d v="2023-12-13T00:00:00"/>
    <s v="Basic"/>
    <n v="199"/>
    <n v="14.6"/>
    <n v="2"/>
    <n v="0"/>
    <n v="19"/>
    <n v="19"/>
    <s v="No"/>
    <s v="No"/>
    <s v="No"/>
    <s v="No"/>
    <s v="Yes"/>
    <s v="No"/>
    <m/>
    <s v="0 Failures"/>
    <n v="0"/>
    <x v="1"/>
  </r>
  <r>
    <n v="810"/>
    <d v="2023-04-19T00:00:00"/>
    <s v="Premium"/>
    <n v="699"/>
    <n v="1.7"/>
    <n v="0"/>
    <n v="3"/>
    <n v="29"/>
    <n v="57"/>
    <s v="Yes"/>
    <s v="Yes"/>
    <s v="Yes"/>
    <s v="No"/>
    <s v="Yes"/>
    <s v="No"/>
    <m/>
    <s v="1+ Failures"/>
    <n v="1"/>
    <x v="0"/>
  </r>
  <r>
    <n v="811"/>
    <d v="2024-08-29T00:00:00"/>
    <s v="Standard"/>
    <n v="399"/>
    <n v="2.6"/>
    <n v="6"/>
    <n v="1"/>
    <n v="4"/>
    <n v="45"/>
    <s v="Yes"/>
    <s v="Yes"/>
    <s v="Yes"/>
    <s v="Yes"/>
    <s v="Yes"/>
    <s v="Yes"/>
    <m/>
    <s v="1+ Failures"/>
    <n v="1"/>
    <x v="0"/>
  </r>
  <r>
    <n v="812"/>
    <d v="2024-11-17T00:00:00"/>
    <s v="Premium"/>
    <n v="699"/>
    <n v="15.6"/>
    <n v="4"/>
    <n v="2"/>
    <n v="29"/>
    <n v="52"/>
    <s v="Yes"/>
    <s v="No"/>
    <s v="Yes"/>
    <s v="No"/>
    <s v="Yes"/>
    <s v="No"/>
    <m/>
    <s v="1+ Failures"/>
    <n v="1"/>
    <x v="1"/>
  </r>
  <r>
    <n v="813"/>
    <d v="2024-12-16T00:00:00"/>
    <s v="Premium"/>
    <n v="699"/>
    <n v="24.4"/>
    <n v="7"/>
    <n v="4"/>
    <n v="6"/>
    <n v="8"/>
    <s v="Yes"/>
    <s v="No"/>
    <s v="Yes"/>
    <s v="Yes"/>
    <s v="No"/>
    <s v="No"/>
    <m/>
    <s v="1+ Failures"/>
    <n v="1"/>
    <x v="3"/>
  </r>
  <r>
    <n v="814"/>
    <d v="2023-05-28T00:00:00"/>
    <s v="Standard"/>
    <n v="399"/>
    <n v="11.7"/>
    <n v="7"/>
    <n v="3"/>
    <n v="7"/>
    <n v="14"/>
    <s v="No"/>
    <s v="No"/>
    <s v="Yes"/>
    <s v="Yes"/>
    <s v="No"/>
    <s v="No"/>
    <m/>
    <s v="1+ Failures"/>
    <n v="0"/>
    <x v="1"/>
  </r>
  <r>
    <n v="815"/>
    <d v="2023-12-05T00:00:00"/>
    <s v="Premium"/>
    <n v="699"/>
    <n v="22.9"/>
    <n v="6"/>
    <n v="1"/>
    <n v="17"/>
    <n v="44"/>
    <s v="No"/>
    <s v="No"/>
    <s v="Yes"/>
    <s v="Yes"/>
    <s v="Yes"/>
    <s v="No"/>
    <m/>
    <s v="1+ Failures"/>
    <n v="0"/>
    <x v="3"/>
  </r>
  <r>
    <n v="816"/>
    <d v="2024-04-17T00:00:00"/>
    <s v="Standard"/>
    <n v="399"/>
    <n v="12.4"/>
    <n v="1"/>
    <n v="3"/>
    <n v="30"/>
    <n v="7"/>
    <s v="No"/>
    <s v="No"/>
    <s v="Yes"/>
    <s v="No"/>
    <s v="No"/>
    <s v="No"/>
    <m/>
    <s v="1+ Failures"/>
    <n v="0"/>
    <x v="1"/>
  </r>
  <r>
    <n v="817"/>
    <d v="2023-04-20T00:00:00"/>
    <s v="Basic"/>
    <n v="199"/>
    <n v="19.3"/>
    <n v="2"/>
    <n v="4"/>
    <n v="19"/>
    <n v="6"/>
    <s v="No"/>
    <s v="No"/>
    <s v="Yes"/>
    <s v="No"/>
    <s v="No"/>
    <s v="No"/>
    <m/>
    <s v="1+ Failures"/>
    <n v="0"/>
    <x v="1"/>
  </r>
  <r>
    <n v="818"/>
    <d v="2024-02-28T00:00:00"/>
    <s v="Standard"/>
    <n v="399"/>
    <n v="16.399999999999999"/>
    <n v="4"/>
    <n v="4"/>
    <n v="36"/>
    <n v="29"/>
    <s v="Yes"/>
    <s v="No"/>
    <s v="Yes"/>
    <s v="No"/>
    <s v="Yes"/>
    <s v="No"/>
    <m/>
    <s v="1+ Failures"/>
    <n v="1"/>
    <x v="1"/>
  </r>
  <r>
    <n v="819"/>
    <d v="2024-12-11T00:00:00"/>
    <s v="Basic"/>
    <n v="199"/>
    <n v="13.9"/>
    <n v="7"/>
    <n v="3"/>
    <n v="16"/>
    <n v="4"/>
    <s v="Yes"/>
    <s v="No"/>
    <s v="Yes"/>
    <s v="Yes"/>
    <s v="No"/>
    <s v="No"/>
    <m/>
    <s v="1+ Failures"/>
    <n v="1"/>
    <x v="1"/>
  </r>
  <r>
    <n v="820"/>
    <d v="2024-12-11T00:00:00"/>
    <s v="Premium"/>
    <n v="699"/>
    <n v="19.7"/>
    <n v="6"/>
    <n v="4"/>
    <n v="28"/>
    <n v="50"/>
    <s v="Yes"/>
    <s v="No"/>
    <s v="Yes"/>
    <s v="Yes"/>
    <s v="Yes"/>
    <s v="No"/>
    <m/>
    <s v="1+ Failures"/>
    <n v="1"/>
    <x v="1"/>
  </r>
  <r>
    <n v="821"/>
    <d v="2024-05-13T00:00:00"/>
    <s v="Basic"/>
    <n v="199"/>
    <n v="16.7"/>
    <n v="1"/>
    <n v="5"/>
    <n v="12"/>
    <n v="59"/>
    <s v="No"/>
    <s v="No"/>
    <s v="Yes"/>
    <s v="No"/>
    <s v="Yes"/>
    <s v="No"/>
    <m/>
    <s v="1+ Failures"/>
    <n v="0"/>
    <x v="1"/>
  </r>
  <r>
    <n v="822"/>
    <d v="2024-02-20T00:00:00"/>
    <s v="Basic"/>
    <n v="199"/>
    <n v="8.5"/>
    <n v="1"/>
    <n v="3"/>
    <n v="30"/>
    <n v="11"/>
    <s v="Yes"/>
    <s v="No"/>
    <s v="Yes"/>
    <s v="No"/>
    <s v="No"/>
    <s v="No"/>
    <m/>
    <s v="1+ Failures"/>
    <n v="1"/>
    <x v="2"/>
  </r>
  <r>
    <n v="823"/>
    <d v="2023-03-04T00:00:00"/>
    <s v="Basic"/>
    <n v="199"/>
    <n v="17.3"/>
    <n v="6"/>
    <n v="2"/>
    <n v="7"/>
    <n v="31"/>
    <s v="Yes"/>
    <s v="No"/>
    <s v="Yes"/>
    <s v="Yes"/>
    <s v="Yes"/>
    <s v="No"/>
    <m/>
    <s v="1+ Failures"/>
    <n v="1"/>
    <x v="1"/>
  </r>
  <r>
    <n v="824"/>
    <d v="2024-06-28T00:00:00"/>
    <s v="Basic"/>
    <n v="199"/>
    <n v="20.5"/>
    <n v="0"/>
    <n v="1"/>
    <n v="14"/>
    <n v="42"/>
    <s v="Yes"/>
    <s v="No"/>
    <s v="Yes"/>
    <s v="No"/>
    <s v="Yes"/>
    <s v="No"/>
    <m/>
    <s v="1+ Failures"/>
    <n v="1"/>
    <x v="3"/>
  </r>
  <r>
    <n v="825"/>
    <d v="2023-11-21T00:00:00"/>
    <s v="Standard"/>
    <n v="399"/>
    <n v="15.6"/>
    <n v="7"/>
    <n v="1"/>
    <n v="25"/>
    <n v="13"/>
    <s v="No"/>
    <s v="No"/>
    <s v="Yes"/>
    <s v="Yes"/>
    <s v="No"/>
    <s v="No"/>
    <m/>
    <s v="1+ Failures"/>
    <n v="0"/>
    <x v="1"/>
  </r>
  <r>
    <n v="826"/>
    <d v="2023-04-02T00:00:00"/>
    <s v="Standard"/>
    <n v="399"/>
    <n v="23"/>
    <n v="6"/>
    <n v="5"/>
    <n v="20"/>
    <n v="58"/>
    <s v="Yes"/>
    <s v="No"/>
    <s v="Yes"/>
    <s v="Yes"/>
    <s v="Yes"/>
    <s v="No"/>
    <m/>
    <s v="1+ Failures"/>
    <n v="1"/>
    <x v="3"/>
  </r>
  <r>
    <n v="827"/>
    <d v="2023-10-29T00:00:00"/>
    <s v="Premium"/>
    <n v="699"/>
    <n v="15.5"/>
    <n v="8"/>
    <n v="3"/>
    <n v="1"/>
    <n v="54"/>
    <s v="Yes"/>
    <s v="No"/>
    <s v="Yes"/>
    <s v="Yes"/>
    <s v="Yes"/>
    <s v="Yes"/>
    <m/>
    <s v="1+ Failures"/>
    <n v="1"/>
    <x v="1"/>
  </r>
  <r>
    <n v="828"/>
    <d v="2024-01-03T00:00:00"/>
    <s v="Basic"/>
    <n v="199"/>
    <n v="22.6"/>
    <n v="0"/>
    <n v="0"/>
    <n v="24"/>
    <n v="45"/>
    <s v="No"/>
    <s v="No"/>
    <s v="No"/>
    <s v="No"/>
    <s v="Yes"/>
    <s v="No"/>
    <m/>
    <s v="0 Failures"/>
    <n v="0"/>
    <x v="3"/>
  </r>
  <r>
    <n v="829"/>
    <d v="2024-10-02T00:00:00"/>
    <s v="Basic"/>
    <n v="199"/>
    <n v="21.7"/>
    <n v="3"/>
    <n v="3"/>
    <n v="19"/>
    <n v="44"/>
    <s v="Yes"/>
    <s v="No"/>
    <s v="Yes"/>
    <s v="No"/>
    <s v="Yes"/>
    <s v="No"/>
    <m/>
    <s v="1+ Failures"/>
    <n v="1"/>
    <x v="3"/>
  </r>
  <r>
    <n v="830"/>
    <d v="2024-05-01T00:00:00"/>
    <s v="Standard"/>
    <n v="399"/>
    <n v="10.4"/>
    <n v="6"/>
    <n v="4"/>
    <n v="25"/>
    <n v="13"/>
    <s v="No"/>
    <s v="No"/>
    <s v="Yes"/>
    <s v="Yes"/>
    <s v="No"/>
    <s v="No"/>
    <m/>
    <s v="1+ Failures"/>
    <n v="0"/>
    <x v="1"/>
  </r>
  <r>
    <n v="831"/>
    <d v="2024-11-17T00:00:00"/>
    <s v="Basic"/>
    <n v="199"/>
    <n v="14.1"/>
    <n v="5"/>
    <n v="3"/>
    <n v="13"/>
    <n v="9"/>
    <s v="Yes"/>
    <s v="No"/>
    <s v="Yes"/>
    <s v="Yes"/>
    <s v="No"/>
    <s v="No"/>
    <m/>
    <s v="1+ Failures"/>
    <n v="1"/>
    <x v="1"/>
  </r>
  <r>
    <n v="832"/>
    <d v="2024-11-04T00:00:00"/>
    <s v="Basic"/>
    <n v="199"/>
    <n v="0.8"/>
    <n v="0"/>
    <n v="1"/>
    <n v="9"/>
    <n v="46"/>
    <s v="No"/>
    <s v="Yes"/>
    <s v="Yes"/>
    <s v="No"/>
    <s v="Yes"/>
    <s v="No"/>
    <m/>
    <s v="1+ Failures"/>
    <n v="0"/>
    <x v="0"/>
  </r>
  <r>
    <n v="833"/>
    <d v="2024-09-10T00:00:00"/>
    <s v="Standard"/>
    <n v="399"/>
    <n v="2.6"/>
    <n v="6"/>
    <n v="3"/>
    <n v="9"/>
    <n v="57"/>
    <s v="Yes"/>
    <s v="Yes"/>
    <s v="Yes"/>
    <s v="Yes"/>
    <s v="Yes"/>
    <s v="No"/>
    <m/>
    <s v="1+ Failures"/>
    <n v="1"/>
    <x v="0"/>
  </r>
  <r>
    <n v="834"/>
    <d v="2023-12-30T00:00:00"/>
    <s v="Standard"/>
    <n v="399"/>
    <n v="11.6"/>
    <n v="6"/>
    <n v="4"/>
    <n v="12"/>
    <n v="52"/>
    <s v="Yes"/>
    <s v="No"/>
    <s v="Yes"/>
    <s v="Yes"/>
    <s v="Yes"/>
    <s v="No"/>
    <m/>
    <s v="1+ Failures"/>
    <n v="1"/>
    <x v="1"/>
  </r>
  <r>
    <n v="835"/>
    <d v="2023-08-31T00:00:00"/>
    <s v="Basic"/>
    <n v="199"/>
    <n v="10.9"/>
    <n v="0"/>
    <n v="4"/>
    <n v="12"/>
    <n v="31"/>
    <s v="No"/>
    <s v="No"/>
    <s v="Yes"/>
    <s v="No"/>
    <s v="Yes"/>
    <s v="No"/>
    <m/>
    <s v="1+ Failures"/>
    <n v="0"/>
    <x v="1"/>
  </r>
  <r>
    <n v="836"/>
    <d v="2023-02-08T00:00:00"/>
    <s v="Premium"/>
    <n v="699"/>
    <n v="7.1"/>
    <n v="8"/>
    <n v="4"/>
    <n v="33"/>
    <n v="23"/>
    <s v="Yes"/>
    <s v="No"/>
    <s v="Yes"/>
    <s v="Yes"/>
    <s v="Yes"/>
    <s v="No"/>
    <m/>
    <s v="1+ Failures"/>
    <n v="1"/>
    <x v="2"/>
  </r>
  <r>
    <n v="837"/>
    <d v="2023-03-23T00:00:00"/>
    <s v="Premium"/>
    <n v="699"/>
    <n v="17.8"/>
    <n v="1"/>
    <n v="4"/>
    <n v="31"/>
    <n v="30"/>
    <s v="No"/>
    <s v="No"/>
    <s v="Yes"/>
    <s v="No"/>
    <s v="Yes"/>
    <s v="No"/>
    <m/>
    <s v="1+ Failures"/>
    <n v="0"/>
    <x v="1"/>
  </r>
  <r>
    <n v="838"/>
    <d v="2024-09-16T00:00:00"/>
    <s v="Basic"/>
    <n v="199"/>
    <n v="24.6"/>
    <n v="4"/>
    <n v="3"/>
    <n v="34"/>
    <n v="33"/>
    <s v="Yes"/>
    <s v="No"/>
    <s v="Yes"/>
    <s v="No"/>
    <s v="Yes"/>
    <s v="No"/>
    <m/>
    <s v="1+ Failures"/>
    <n v="1"/>
    <x v="3"/>
  </r>
  <r>
    <n v="839"/>
    <d v="2024-08-16T00:00:00"/>
    <s v="Basic"/>
    <n v="199"/>
    <n v="12.1"/>
    <n v="1"/>
    <n v="5"/>
    <n v="16"/>
    <n v="40"/>
    <s v="Yes"/>
    <s v="No"/>
    <s v="Yes"/>
    <s v="No"/>
    <s v="Yes"/>
    <s v="No"/>
    <m/>
    <s v="1+ Failures"/>
    <n v="1"/>
    <x v="1"/>
  </r>
  <r>
    <n v="840"/>
    <d v="2024-04-25T00:00:00"/>
    <s v="Standard"/>
    <n v="399"/>
    <n v="22.6"/>
    <n v="8"/>
    <n v="0"/>
    <n v="4"/>
    <n v="30"/>
    <s v="Yes"/>
    <s v="No"/>
    <s v="No"/>
    <s v="Yes"/>
    <s v="Yes"/>
    <s v="Yes"/>
    <m/>
    <s v="0 Failures"/>
    <n v="1"/>
    <x v="3"/>
  </r>
  <r>
    <n v="841"/>
    <d v="2024-09-03T00:00:00"/>
    <s v="Premium"/>
    <n v="699"/>
    <n v="10.8"/>
    <n v="4"/>
    <n v="2"/>
    <n v="22"/>
    <n v="10"/>
    <s v="Yes"/>
    <s v="No"/>
    <s v="Yes"/>
    <s v="No"/>
    <s v="No"/>
    <s v="No"/>
    <m/>
    <s v="1+ Failures"/>
    <n v="1"/>
    <x v="1"/>
  </r>
  <r>
    <n v="842"/>
    <d v="2023-06-23T00:00:00"/>
    <s v="Premium"/>
    <n v="699"/>
    <n v="18.3"/>
    <n v="4"/>
    <n v="0"/>
    <n v="20"/>
    <n v="40"/>
    <s v="Yes"/>
    <s v="No"/>
    <s v="No"/>
    <s v="No"/>
    <s v="Yes"/>
    <s v="No"/>
    <m/>
    <s v="0 Failures"/>
    <n v="1"/>
    <x v="1"/>
  </r>
  <r>
    <n v="843"/>
    <d v="2024-05-11T00:00:00"/>
    <s v="Premium"/>
    <n v="699"/>
    <n v="16.600000000000001"/>
    <n v="4"/>
    <n v="5"/>
    <n v="4"/>
    <n v="39"/>
    <s v="Yes"/>
    <s v="No"/>
    <s v="Yes"/>
    <s v="No"/>
    <s v="Yes"/>
    <s v="Yes"/>
    <m/>
    <s v="1+ Failures"/>
    <n v="1"/>
    <x v="1"/>
  </r>
  <r>
    <n v="844"/>
    <d v="2023-10-09T00:00:00"/>
    <s v="Basic"/>
    <n v="199"/>
    <n v="12.9"/>
    <n v="4"/>
    <n v="2"/>
    <n v="9"/>
    <n v="8"/>
    <s v="No"/>
    <s v="No"/>
    <s v="Yes"/>
    <s v="No"/>
    <s v="No"/>
    <s v="No"/>
    <m/>
    <s v="1+ Failures"/>
    <n v="0"/>
    <x v="1"/>
  </r>
  <r>
    <n v="845"/>
    <d v="2024-04-02T00:00:00"/>
    <s v="Standard"/>
    <n v="399"/>
    <n v="18.7"/>
    <n v="2"/>
    <n v="4"/>
    <n v="1"/>
    <n v="47"/>
    <s v="Yes"/>
    <s v="No"/>
    <s v="Yes"/>
    <s v="No"/>
    <s v="Yes"/>
    <s v="Yes"/>
    <m/>
    <s v="1+ Failures"/>
    <n v="1"/>
    <x v="1"/>
  </r>
  <r>
    <n v="846"/>
    <d v="2023-02-03T00:00:00"/>
    <s v="Standard"/>
    <n v="399"/>
    <n v="6.9"/>
    <n v="3"/>
    <n v="3"/>
    <n v="12"/>
    <n v="11"/>
    <s v="No"/>
    <s v="No"/>
    <s v="Yes"/>
    <s v="No"/>
    <s v="No"/>
    <s v="No"/>
    <m/>
    <s v="1+ Failures"/>
    <n v="0"/>
    <x v="2"/>
  </r>
  <r>
    <n v="847"/>
    <d v="2024-01-28T00:00:00"/>
    <s v="Standard"/>
    <n v="399"/>
    <n v="24.2"/>
    <n v="2"/>
    <n v="3"/>
    <n v="6"/>
    <n v="48"/>
    <s v="No"/>
    <s v="No"/>
    <s v="Yes"/>
    <s v="No"/>
    <s v="Yes"/>
    <s v="No"/>
    <m/>
    <s v="1+ Failures"/>
    <n v="0"/>
    <x v="3"/>
  </r>
  <r>
    <n v="848"/>
    <d v="2023-12-20T00:00:00"/>
    <s v="Basic"/>
    <n v="199"/>
    <n v="18.3"/>
    <n v="2"/>
    <n v="1"/>
    <n v="29"/>
    <n v="36"/>
    <s v="No"/>
    <s v="No"/>
    <s v="Yes"/>
    <s v="No"/>
    <s v="Yes"/>
    <s v="No"/>
    <m/>
    <s v="1+ Failures"/>
    <n v="0"/>
    <x v="1"/>
  </r>
  <r>
    <n v="849"/>
    <d v="2024-05-02T00:00:00"/>
    <s v="Basic"/>
    <n v="199"/>
    <n v="19"/>
    <n v="1"/>
    <n v="0"/>
    <n v="17"/>
    <n v="10"/>
    <s v="No"/>
    <s v="No"/>
    <s v="No"/>
    <s v="No"/>
    <s v="No"/>
    <s v="No"/>
    <m/>
    <s v="0 Failures"/>
    <n v="0"/>
    <x v="1"/>
  </r>
  <r>
    <n v="850"/>
    <d v="2024-02-04T00:00:00"/>
    <s v="Standard"/>
    <n v="399"/>
    <n v="18.8"/>
    <n v="8"/>
    <n v="1"/>
    <n v="31"/>
    <n v="24"/>
    <s v="No"/>
    <s v="No"/>
    <s v="Yes"/>
    <s v="Yes"/>
    <s v="Yes"/>
    <s v="No"/>
    <m/>
    <s v="1+ Failures"/>
    <n v="0"/>
    <x v="1"/>
  </r>
  <r>
    <n v="851"/>
    <d v="2024-04-04T00:00:00"/>
    <s v="Standard"/>
    <n v="399"/>
    <n v="4.0999999999999996"/>
    <n v="6"/>
    <n v="0"/>
    <n v="17"/>
    <n v="18"/>
    <s v="No"/>
    <s v="Yes"/>
    <s v="No"/>
    <s v="Yes"/>
    <s v="Yes"/>
    <s v="No"/>
    <m/>
    <s v="0 Failures"/>
    <n v="0"/>
    <x v="0"/>
  </r>
  <r>
    <n v="852"/>
    <d v="2023-12-29T00:00:00"/>
    <s v="Standard"/>
    <n v="399"/>
    <n v="24.1"/>
    <n v="0"/>
    <n v="0"/>
    <n v="21"/>
    <n v="58"/>
    <s v="No"/>
    <s v="No"/>
    <s v="No"/>
    <s v="No"/>
    <s v="Yes"/>
    <s v="No"/>
    <m/>
    <s v="0 Failures"/>
    <n v="0"/>
    <x v="3"/>
  </r>
  <r>
    <n v="853"/>
    <d v="2024-02-05T00:00:00"/>
    <s v="Standard"/>
    <n v="399"/>
    <n v="8.6999999999999993"/>
    <n v="4"/>
    <n v="0"/>
    <n v="18"/>
    <n v="16"/>
    <s v="No"/>
    <s v="No"/>
    <s v="No"/>
    <s v="No"/>
    <s v="Yes"/>
    <s v="No"/>
    <m/>
    <s v="0 Failures"/>
    <n v="0"/>
    <x v="2"/>
  </r>
  <r>
    <n v="854"/>
    <d v="2023-07-04T00:00:00"/>
    <s v="Standard"/>
    <n v="399"/>
    <n v="18.5"/>
    <n v="3"/>
    <n v="4"/>
    <n v="16"/>
    <n v="21"/>
    <s v="No"/>
    <s v="No"/>
    <s v="Yes"/>
    <s v="No"/>
    <s v="Yes"/>
    <s v="No"/>
    <m/>
    <s v="1+ Failures"/>
    <n v="0"/>
    <x v="1"/>
  </r>
  <r>
    <n v="855"/>
    <d v="2024-06-21T00:00:00"/>
    <s v="Standard"/>
    <n v="399"/>
    <n v="0.8"/>
    <n v="0"/>
    <n v="0"/>
    <n v="36"/>
    <n v="0"/>
    <s v="No"/>
    <s v="Yes"/>
    <s v="No"/>
    <s v="No"/>
    <s v="No"/>
    <s v="No"/>
    <m/>
    <s v="0 Failures"/>
    <n v="0"/>
    <x v="0"/>
  </r>
  <r>
    <n v="856"/>
    <d v="2024-09-26T00:00:00"/>
    <s v="Basic"/>
    <n v="199"/>
    <n v="9.1"/>
    <n v="4"/>
    <n v="2"/>
    <n v="29"/>
    <n v="12"/>
    <s v="Yes"/>
    <s v="No"/>
    <s v="Yes"/>
    <s v="No"/>
    <s v="No"/>
    <s v="No"/>
    <m/>
    <s v="1+ Failures"/>
    <n v="1"/>
    <x v="2"/>
  </r>
  <r>
    <n v="857"/>
    <d v="2023-05-03T00:00:00"/>
    <s v="Basic"/>
    <n v="199"/>
    <n v="23.5"/>
    <n v="3"/>
    <n v="4"/>
    <n v="4"/>
    <n v="40"/>
    <s v="Yes"/>
    <s v="No"/>
    <s v="Yes"/>
    <s v="No"/>
    <s v="Yes"/>
    <s v="Yes"/>
    <m/>
    <s v="1+ Failures"/>
    <n v="1"/>
    <x v="3"/>
  </r>
  <r>
    <n v="858"/>
    <d v="2023-10-29T00:00:00"/>
    <s v="Basic"/>
    <n v="199"/>
    <n v="9.6999999999999993"/>
    <n v="2"/>
    <n v="0"/>
    <n v="9"/>
    <n v="44"/>
    <s v="Yes"/>
    <s v="No"/>
    <s v="No"/>
    <s v="No"/>
    <s v="Yes"/>
    <s v="No"/>
    <m/>
    <s v="0 Failures"/>
    <n v="1"/>
    <x v="2"/>
  </r>
  <r>
    <n v="859"/>
    <d v="2023-11-28T00:00:00"/>
    <s v="Standard"/>
    <n v="399"/>
    <n v="16.2"/>
    <n v="4"/>
    <n v="3"/>
    <n v="5"/>
    <n v="44"/>
    <s v="No"/>
    <s v="No"/>
    <s v="Yes"/>
    <s v="No"/>
    <s v="Yes"/>
    <s v="Yes"/>
    <m/>
    <s v="1+ Failures"/>
    <n v="0"/>
    <x v="1"/>
  </r>
  <r>
    <n v="860"/>
    <d v="2023-03-03T00:00:00"/>
    <s v="Standard"/>
    <n v="399"/>
    <n v="19.600000000000001"/>
    <n v="4"/>
    <n v="0"/>
    <n v="11"/>
    <n v="24"/>
    <s v="Yes"/>
    <s v="No"/>
    <s v="No"/>
    <s v="No"/>
    <s v="Yes"/>
    <s v="No"/>
    <m/>
    <s v="0 Failures"/>
    <n v="1"/>
    <x v="1"/>
  </r>
  <r>
    <n v="861"/>
    <d v="2024-02-07T00:00:00"/>
    <s v="Standard"/>
    <n v="399"/>
    <n v="4.9000000000000004"/>
    <n v="1"/>
    <n v="3"/>
    <n v="17"/>
    <n v="59"/>
    <s v="Yes"/>
    <s v="Yes"/>
    <s v="Yes"/>
    <s v="No"/>
    <s v="Yes"/>
    <s v="No"/>
    <m/>
    <s v="1+ Failures"/>
    <n v="1"/>
    <x v="0"/>
  </r>
  <r>
    <n v="862"/>
    <d v="2023-04-19T00:00:00"/>
    <s v="Basic"/>
    <n v="199"/>
    <n v="3.2"/>
    <n v="8"/>
    <n v="3"/>
    <n v="32"/>
    <n v="13"/>
    <s v="Yes"/>
    <s v="Yes"/>
    <s v="Yes"/>
    <s v="Yes"/>
    <s v="No"/>
    <s v="No"/>
    <m/>
    <s v="1+ Failures"/>
    <n v="1"/>
    <x v="0"/>
  </r>
  <r>
    <n v="863"/>
    <d v="2024-04-01T00:00:00"/>
    <s v="Standard"/>
    <n v="399"/>
    <n v="3"/>
    <n v="1"/>
    <n v="0"/>
    <n v="17"/>
    <n v="36"/>
    <s v="No"/>
    <s v="Yes"/>
    <s v="No"/>
    <s v="No"/>
    <s v="Yes"/>
    <s v="No"/>
    <m/>
    <s v="0 Failures"/>
    <n v="0"/>
    <x v="0"/>
  </r>
  <r>
    <n v="864"/>
    <d v="2023-06-05T00:00:00"/>
    <s v="Basic"/>
    <n v="199"/>
    <n v="4.0999999999999996"/>
    <n v="0"/>
    <n v="0"/>
    <n v="32"/>
    <n v="42"/>
    <s v="Yes"/>
    <s v="Yes"/>
    <s v="No"/>
    <s v="No"/>
    <s v="Yes"/>
    <s v="No"/>
    <m/>
    <s v="0 Failures"/>
    <n v="1"/>
    <x v="0"/>
  </r>
  <r>
    <n v="865"/>
    <d v="2024-05-17T00:00:00"/>
    <s v="Premium"/>
    <n v="699"/>
    <n v="22.7"/>
    <n v="0"/>
    <n v="4"/>
    <n v="22"/>
    <n v="45"/>
    <s v="No"/>
    <s v="No"/>
    <s v="Yes"/>
    <s v="No"/>
    <s v="Yes"/>
    <s v="No"/>
    <m/>
    <s v="1+ Failures"/>
    <n v="0"/>
    <x v="3"/>
  </r>
  <r>
    <n v="866"/>
    <d v="2024-12-06T00:00:00"/>
    <s v="Standard"/>
    <n v="399"/>
    <n v="10.4"/>
    <n v="1"/>
    <n v="4"/>
    <n v="28"/>
    <n v="14"/>
    <s v="Yes"/>
    <s v="No"/>
    <s v="Yes"/>
    <s v="No"/>
    <s v="No"/>
    <s v="No"/>
    <m/>
    <s v="1+ Failures"/>
    <n v="1"/>
    <x v="1"/>
  </r>
  <r>
    <n v="867"/>
    <d v="2023-02-26T00:00:00"/>
    <s v="Standard"/>
    <n v="399"/>
    <n v="14.4"/>
    <n v="5"/>
    <n v="2"/>
    <n v="8"/>
    <n v="43"/>
    <s v="Yes"/>
    <s v="No"/>
    <s v="Yes"/>
    <s v="Yes"/>
    <s v="Yes"/>
    <s v="No"/>
    <m/>
    <s v="1+ Failures"/>
    <n v="1"/>
    <x v="1"/>
  </r>
  <r>
    <n v="868"/>
    <d v="2023-10-24T00:00:00"/>
    <s v="Premium"/>
    <n v="699"/>
    <n v="9.5"/>
    <n v="5"/>
    <n v="0"/>
    <n v="6"/>
    <n v="53"/>
    <s v="Yes"/>
    <s v="No"/>
    <s v="No"/>
    <s v="Yes"/>
    <s v="Yes"/>
    <s v="No"/>
    <m/>
    <s v="0 Failures"/>
    <n v="1"/>
    <x v="2"/>
  </r>
  <r>
    <n v="869"/>
    <d v="2024-12-13T00:00:00"/>
    <s v="Premium"/>
    <n v="699"/>
    <n v="4.8"/>
    <n v="0"/>
    <n v="3"/>
    <n v="13"/>
    <n v="42"/>
    <s v="Yes"/>
    <s v="Yes"/>
    <s v="Yes"/>
    <s v="No"/>
    <s v="Yes"/>
    <s v="No"/>
    <m/>
    <s v="1+ Failures"/>
    <n v="1"/>
    <x v="0"/>
  </r>
  <r>
    <n v="870"/>
    <d v="2024-03-24T00:00:00"/>
    <s v="Standard"/>
    <n v="399"/>
    <n v="16"/>
    <n v="5"/>
    <n v="3"/>
    <n v="7"/>
    <n v="5"/>
    <s v="No"/>
    <s v="No"/>
    <s v="Yes"/>
    <s v="Yes"/>
    <s v="No"/>
    <s v="No"/>
    <m/>
    <s v="1+ Failures"/>
    <n v="0"/>
    <x v="1"/>
  </r>
  <r>
    <n v="871"/>
    <d v="2023-09-02T00:00:00"/>
    <s v="Premium"/>
    <n v="699"/>
    <n v="3.9"/>
    <n v="3"/>
    <n v="0"/>
    <n v="13"/>
    <n v="46"/>
    <s v="No"/>
    <s v="Yes"/>
    <s v="No"/>
    <s v="No"/>
    <s v="Yes"/>
    <s v="No"/>
    <m/>
    <s v="0 Failures"/>
    <n v="0"/>
    <x v="0"/>
  </r>
  <r>
    <n v="872"/>
    <d v="2024-04-05T00:00:00"/>
    <s v="Standard"/>
    <n v="399"/>
    <n v="2"/>
    <n v="8"/>
    <n v="5"/>
    <n v="25"/>
    <n v="19"/>
    <s v="Yes"/>
    <s v="Yes"/>
    <s v="Yes"/>
    <s v="Yes"/>
    <s v="Yes"/>
    <s v="No"/>
    <m/>
    <s v="1+ Failures"/>
    <n v="1"/>
    <x v="0"/>
  </r>
  <r>
    <n v="873"/>
    <d v="2023-08-05T00:00:00"/>
    <s v="Basic"/>
    <n v="199"/>
    <n v="8.8000000000000007"/>
    <n v="5"/>
    <n v="5"/>
    <n v="3"/>
    <n v="2"/>
    <s v="Yes"/>
    <s v="No"/>
    <s v="Yes"/>
    <s v="Yes"/>
    <s v="No"/>
    <s v="Yes"/>
    <m/>
    <s v="1+ Failures"/>
    <n v="1"/>
    <x v="2"/>
  </r>
  <r>
    <n v="874"/>
    <d v="2023-03-15T00:00:00"/>
    <s v="Premium"/>
    <n v="699"/>
    <n v="11.7"/>
    <n v="8"/>
    <n v="1"/>
    <n v="34"/>
    <n v="47"/>
    <s v="No"/>
    <s v="No"/>
    <s v="Yes"/>
    <s v="Yes"/>
    <s v="Yes"/>
    <s v="No"/>
    <m/>
    <s v="1+ Failures"/>
    <n v="0"/>
    <x v="1"/>
  </r>
  <r>
    <n v="875"/>
    <d v="2023-02-16T00:00:00"/>
    <s v="Basic"/>
    <n v="199"/>
    <n v="12.5"/>
    <n v="0"/>
    <n v="3"/>
    <n v="10"/>
    <n v="58"/>
    <s v="No"/>
    <s v="No"/>
    <s v="Yes"/>
    <s v="No"/>
    <s v="Yes"/>
    <s v="No"/>
    <m/>
    <s v="1+ Failures"/>
    <n v="0"/>
    <x v="1"/>
  </r>
  <r>
    <n v="876"/>
    <d v="2024-04-12T00:00:00"/>
    <s v="Basic"/>
    <n v="199"/>
    <n v="0.9"/>
    <n v="0"/>
    <n v="2"/>
    <n v="9"/>
    <n v="52"/>
    <s v="Yes"/>
    <s v="Yes"/>
    <s v="Yes"/>
    <s v="No"/>
    <s v="Yes"/>
    <s v="No"/>
    <m/>
    <s v="1+ Failures"/>
    <n v="1"/>
    <x v="0"/>
  </r>
  <r>
    <n v="877"/>
    <d v="2024-09-22T00:00:00"/>
    <s v="Premium"/>
    <n v="699"/>
    <n v="21"/>
    <n v="1"/>
    <n v="0"/>
    <n v="11"/>
    <n v="7"/>
    <s v="No"/>
    <s v="No"/>
    <s v="No"/>
    <s v="No"/>
    <s v="No"/>
    <s v="No"/>
    <m/>
    <s v="0 Failures"/>
    <n v="0"/>
    <x v="3"/>
  </r>
  <r>
    <n v="878"/>
    <d v="2024-11-25T00:00:00"/>
    <s v="Basic"/>
    <n v="199"/>
    <n v="20.2"/>
    <n v="6"/>
    <n v="2"/>
    <n v="5"/>
    <n v="51"/>
    <s v="No"/>
    <s v="No"/>
    <s v="Yes"/>
    <s v="Yes"/>
    <s v="Yes"/>
    <s v="Yes"/>
    <m/>
    <s v="1+ Failures"/>
    <n v="0"/>
    <x v="3"/>
  </r>
  <r>
    <n v="879"/>
    <d v="2023-08-07T00:00:00"/>
    <s v="Standard"/>
    <n v="399"/>
    <n v="3.5"/>
    <n v="8"/>
    <n v="1"/>
    <n v="21"/>
    <n v="20"/>
    <s v="No"/>
    <s v="Yes"/>
    <s v="Yes"/>
    <s v="Yes"/>
    <s v="Yes"/>
    <s v="No"/>
    <m/>
    <s v="1+ Failures"/>
    <n v="0"/>
    <x v="0"/>
  </r>
  <r>
    <n v="880"/>
    <d v="2023-06-22T00:00:00"/>
    <s v="Basic"/>
    <n v="199"/>
    <n v="8.6999999999999993"/>
    <n v="1"/>
    <n v="2"/>
    <n v="12"/>
    <n v="9"/>
    <s v="No"/>
    <s v="No"/>
    <s v="Yes"/>
    <s v="No"/>
    <s v="No"/>
    <s v="No"/>
    <m/>
    <s v="1+ Failures"/>
    <n v="0"/>
    <x v="2"/>
  </r>
  <r>
    <n v="881"/>
    <d v="2023-05-17T00:00:00"/>
    <s v="Premium"/>
    <n v="699"/>
    <n v="14.1"/>
    <n v="7"/>
    <n v="1"/>
    <n v="24"/>
    <n v="59"/>
    <s v="No"/>
    <s v="No"/>
    <s v="Yes"/>
    <s v="Yes"/>
    <s v="Yes"/>
    <s v="No"/>
    <m/>
    <s v="1+ Failures"/>
    <n v="0"/>
    <x v="1"/>
  </r>
  <r>
    <n v="882"/>
    <d v="2023-07-03T00:00:00"/>
    <s v="Basic"/>
    <n v="199"/>
    <n v="19.600000000000001"/>
    <n v="0"/>
    <n v="3"/>
    <n v="25"/>
    <n v="5"/>
    <s v="Yes"/>
    <s v="No"/>
    <s v="Yes"/>
    <s v="No"/>
    <s v="No"/>
    <s v="No"/>
    <m/>
    <s v="1+ Failures"/>
    <n v="1"/>
    <x v="1"/>
  </r>
  <r>
    <n v="883"/>
    <d v="2024-10-17T00:00:00"/>
    <s v="Basic"/>
    <n v="199"/>
    <n v="10.7"/>
    <n v="7"/>
    <n v="5"/>
    <n v="19"/>
    <n v="8"/>
    <s v="Yes"/>
    <s v="No"/>
    <s v="Yes"/>
    <s v="Yes"/>
    <s v="No"/>
    <s v="No"/>
    <m/>
    <s v="1+ Failures"/>
    <n v="1"/>
    <x v="1"/>
  </r>
  <r>
    <n v="884"/>
    <d v="2024-09-02T00:00:00"/>
    <s v="Standard"/>
    <n v="399"/>
    <n v="11.5"/>
    <n v="3"/>
    <n v="1"/>
    <n v="34"/>
    <n v="39"/>
    <s v="No"/>
    <s v="No"/>
    <s v="Yes"/>
    <s v="No"/>
    <s v="Yes"/>
    <s v="No"/>
    <m/>
    <s v="1+ Failures"/>
    <n v="0"/>
    <x v="1"/>
  </r>
  <r>
    <n v="885"/>
    <d v="2023-12-23T00:00:00"/>
    <s v="Basic"/>
    <n v="199"/>
    <n v="15.5"/>
    <n v="1"/>
    <n v="5"/>
    <n v="32"/>
    <n v="52"/>
    <s v="No"/>
    <s v="No"/>
    <s v="Yes"/>
    <s v="No"/>
    <s v="Yes"/>
    <s v="No"/>
    <m/>
    <s v="1+ Failures"/>
    <n v="0"/>
    <x v="1"/>
  </r>
  <r>
    <n v="886"/>
    <d v="2024-09-25T00:00:00"/>
    <s v="Standard"/>
    <n v="399"/>
    <n v="14.2"/>
    <n v="3"/>
    <n v="0"/>
    <n v="1"/>
    <n v="33"/>
    <s v="No"/>
    <s v="No"/>
    <s v="No"/>
    <s v="No"/>
    <s v="Yes"/>
    <s v="Yes"/>
    <m/>
    <s v="0 Failures"/>
    <n v="0"/>
    <x v="1"/>
  </r>
  <r>
    <n v="887"/>
    <d v="2023-02-24T00:00:00"/>
    <s v="Standard"/>
    <n v="399"/>
    <n v="12.9"/>
    <n v="7"/>
    <n v="5"/>
    <n v="35"/>
    <n v="42"/>
    <s v="Yes"/>
    <s v="No"/>
    <s v="Yes"/>
    <s v="Yes"/>
    <s v="Yes"/>
    <s v="No"/>
    <m/>
    <s v="1+ Failures"/>
    <n v="1"/>
    <x v="1"/>
  </r>
  <r>
    <n v="888"/>
    <d v="2023-02-14T00:00:00"/>
    <s v="Basic"/>
    <n v="199"/>
    <n v="20"/>
    <n v="7"/>
    <n v="3"/>
    <n v="8"/>
    <n v="11"/>
    <s v="Yes"/>
    <s v="No"/>
    <s v="Yes"/>
    <s v="Yes"/>
    <s v="No"/>
    <s v="No"/>
    <m/>
    <s v="1+ Failures"/>
    <n v="1"/>
    <x v="1"/>
  </r>
  <r>
    <n v="889"/>
    <d v="2024-04-09T00:00:00"/>
    <s v="Basic"/>
    <n v="199"/>
    <n v="7.5"/>
    <n v="6"/>
    <n v="2"/>
    <n v="24"/>
    <n v="21"/>
    <s v="Yes"/>
    <s v="No"/>
    <s v="Yes"/>
    <s v="Yes"/>
    <s v="Yes"/>
    <s v="No"/>
    <m/>
    <s v="1+ Failures"/>
    <n v="1"/>
    <x v="2"/>
  </r>
  <r>
    <n v="890"/>
    <d v="2024-05-11T00:00:00"/>
    <s v="Basic"/>
    <n v="199"/>
    <n v="18.600000000000001"/>
    <n v="8"/>
    <n v="1"/>
    <n v="7"/>
    <n v="10"/>
    <s v="No"/>
    <s v="No"/>
    <s v="Yes"/>
    <s v="Yes"/>
    <s v="No"/>
    <s v="No"/>
    <m/>
    <s v="1+ Failures"/>
    <n v="0"/>
    <x v="1"/>
  </r>
  <r>
    <n v="891"/>
    <d v="2023-11-30T00:00:00"/>
    <s v="Premium"/>
    <n v="699"/>
    <n v="2.2000000000000002"/>
    <n v="3"/>
    <n v="5"/>
    <n v="8"/>
    <n v="28"/>
    <s v="Yes"/>
    <s v="Yes"/>
    <s v="Yes"/>
    <s v="No"/>
    <s v="Yes"/>
    <s v="No"/>
    <m/>
    <s v="1+ Failures"/>
    <n v="1"/>
    <x v="0"/>
  </r>
  <r>
    <n v="892"/>
    <d v="2023-08-22T00:00:00"/>
    <s v="Standard"/>
    <n v="399"/>
    <n v="18.8"/>
    <n v="5"/>
    <n v="1"/>
    <n v="13"/>
    <n v="49"/>
    <s v="Yes"/>
    <s v="No"/>
    <s v="Yes"/>
    <s v="Yes"/>
    <s v="Yes"/>
    <s v="No"/>
    <m/>
    <s v="1+ Failures"/>
    <n v="1"/>
    <x v="1"/>
  </r>
  <r>
    <n v="893"/>
    <d v="2024-04-27T00:00:00"/>
    <s v="Basic"/>
    <n v="199"/>
    <n v="18.600000000000001"/>
    <n v="3"/>
    <n v="3"/>
    <n v="16"/>
    <n v="57"/>
    <s v="Yes"/>
    <s v="No"/>
    <s v="Yes"/>
    <s v="No"/>
    <s v="Yes"/>
    <s v="No"/>
    <m/>
    <s v="1+ Failures"/>
    <n v="1"/>
    <x v="1"/>
  </r>
  <r>
    <n v="894"/>
    <d v="2024-04-10T00:00:00"/>
    <s v="Premium"/>
    <n v="699"/>
    <n v="1.8"/>
    <n v="6"/>
    <n v="1"/>
    <n v="32"/>
    <n v="13"/>
    <s v="No"/>
    <s v="Yes"/>
    <s v="Yes"/>
    <s v="Yes"/>
    <s v="No"/>
    <s v="No"/>
    <m/>
    <s v="1+ Failures"/>
    <n v="0"/>
    <x v="0"/>
  </r>
  <r>
    <n v="895"/>
    <d v="2023-10-04T00:00:00"/>
    <s v="Basic"/>
    <n v="199"/>
    <n v="9.6999999999999993"/>
    <n v="7"/>
    <n v="5"/>
    <n v="25"/>
    <n v="12"/>
    <s v="No"/>
    <s v="No"/>
    <s v="Yes"/>
    <s v="Yes"/>
    <s v="No"/>
    <s v="No"/>
    <m/>
    <s v="1+ Failures"/>
    <n v="0"/>
    <x v="2"/>
  </r>
  <r>
    <n v="896"/>
    <d v="2024-04-21T00:00:00"/>
    <s v="Basic"/>
    <n v="199"/>
    <n v="3.6"/>
    <n v="0"/>
    <n v="2"/>
    <n v="22"/>
    <n v="8"/>
    <s v="Yes"/>
    <s v="Yes"/>
    <s v="Yes"/>
    <s v="No"/>
    <s v="No"/>
    <s v="No"/>
    <m/>
    <s v="1+ Failures"/>
    <n v="1"/>
    <x v="0"/>
  </r>
  <r>
    <n v="897"/>
    <d v="2023-06-10T00:00:00"/>
    <s v="Standard"/>
    <n v="399"/>
    <n v="4.7"/>
    <n v="5"/>
    <n v="1"/>
    <n v="27"/>
    <n v="56"/>
    <s v="Yes"/>
    <s v="Yes"/>
    <s v="Yes"/>
    <s v="Yes"/>
    <s v="Yes"/>
    <s v="No"/>
    <m/>
    <s v="1+ Failures"/>
    <n v="1"/>
    <x v="0"/>
  </r>
  <r>
    <n v="898"/>
    <d v="2024-06-18T00:00:00"/>
    <s v="Premium"/>
    <n v="699"/>
    <n v="14.7"/>
    <n v="8"/>
    <n v="1"/>
    <n v="11"/>
    <n v="5"/>
    <s v="No"/>
    <s v="No"/>
    <s v="Yes"/>
    <s v="Yes"/>
    <s v="No"/>
    <s v="No"/>
    <m/>
    <s v="1+ Failures"/>
    <n v="0"/>
    <x v="1"/>
  </r>
  <r>
    <n v="899"/>
    <d v="2023-09-10T00:00:00"/>
    <s v="Standard"/>
    <n v="399"/>
    <n v="15"/>
    <n v="7"/>
    <n v="2"/>
    <n v="14"/>
    <n v="0"/>
    <s v="No"/>
    <s v="No"/>
    <s v="Yes"/>
    <s v="Yes"/>
    <s v="No"/>
    <s v="No"/>
    <m/>
    <s v="1+ Failures"/>
    <n v="0"/>
    <x v="1"/>
  </r>
  <r>
    <n v="900"/>
    <d v="2024-08-10T00:00:00"/>
    <s v="Basic"/>
    <n v="199"/>
    <n v="11.1"/>
    <n v="3"/>
    <n v="4"/>
    <n v="21"/>
    <n v="60"/>
    <s v="Yes"/>
    <s v="No"/>
    <s v="Yes"/>
    <s v="No"/>
    <s v="Yes"/>
    <s v="No"/>
    <m/>
    <s v="1+ Failures"/>
    <n v="1"/>
    <x v="1"/>
  </r>
  <r>
    <n v="901"/>
    <d v="2023-02-04T00:00:00"/>
    <s v="Basic"/>
    <n v="199"/>
    <n v="24.5"/>
    <n v="0"/>
    <n v="3"/>
    <n v="27"/>
    <n v="46"/>
    <s v="No"/>
    <s v="No"/>
    <s v="Yes"/>
    <s v="No"/>
    <s v="Yes"/>
    <s v="No"/>
    <m/>
    <s v="1+ Failures"/>
    <n v="0"/>
    <x v="3"/>
  </r>
  <r>
    <n v="902"/>
    <d v="2024-07-25T00:00:00"/>
    <s v="Standard"/>
    <n v="399"/>
    <n v="10.199999999999999"/>
    <n v="1"/>
    <n v="3"/>
    <n v="34"/>
    <n v="31"/>
    <s v="Yes"/>
    <s v="No"/>
    <s v="Yes"/>
    <s v="No"/>
    <s v="Yes"/>
    <s v="No"/>
    <m/>
    <s v="1+ Failures"/>
    <n v="1"/>
    <x v="1"/>
  </r>
  <r>
    <n v="903"/>
    <d v="2023-04-03T00:00:00"/>
    <s v="Basic"/>
    <n v="199"/>
    <n v="23.8"/>
    <n v="2"/>
    <n v="2"/>
    <n v="27"/>
    <n v="18"/>
    <s v="Yes"/>
    <s v="No"/>
    <s v="Yes"/>
    <s v="No"/>
    <s v="Yes"/>
    <s v="No"/>
    <m/>
    <s v="1+ Failures"/>
    <n v="1"/>
    <x v="3"/>
  </r>
  <r>
    <n v="904"/>
    <d v="2024-08-20T00:00:00"/>
    <s v="Basic"/>
    <n v="199"/>
    <n v="16.899999999999999"/>
    <n v="2"/>
    <n v="5"/>
    <n v="31"/>
    <n v="29"/>
    <s v="No"/>
    <s v="No"/>
    <s v="Yes"/>
    <s v="No"/>
    <s v="Yes"/>
    <s v="No"/>
    <m/>
    <s v="1+ Failures"/>
    <n v="0"/>
    <x v="1"/>
  </r>
  <r>
    <n v="905"/>
    <d v="2024-01-15T00:00:00"/>
    <s v="Basic"/>
    <n v="199"/>
    <n v="11.9"/>
    <n v="2"/>
    <n v="5"/>
    <n v="30"/>
    <n v="25"/>
    <s v="Yes"/>
    <s v="No"/>
    <s v="Yes"/>
    <s v="No"/>
    <s v="Yes"/>
    <s v="No"/>
    <m/>
    <s v="1+ Failures"/>
    <n v="1"/>
    <x v="1"/>
  </r>
  <r>
    <n v="906"/>
    <d v="2024-12-08T00:00:00"/>
    <s v="Premium"/>
    <n v="699"/>
    <n v="17.7"/>
    <n v="0"/>
    <n v="5"/>
    <n v="30"/>
    <n v="4"/>
    <s v="No"/>
    <s v="No"/>
    <s v="Yes"/>
    <s v="No"/>
    <s v="No"/>
    <s v="No"/>
    <m/>
    <s v="1+ Failures"/>
    <n v="0"/>
    <x v="1"/>
  </r>
  <r>
    <n v="907"/>
    <d v="2024-07-09T00:00:00"/>
    <s v="Standard"/>
    <n v="399"/>
    <n v="1.3"/>
    <n v="6"/>
    <n v="2"/>
    <n v="34"/>
    <n v="44"/>
    <s v="Yes"/>
    <s v="Yes"/>
    <s v="Yes"/>
    <s v="Yes"/>
    <s v="Yes"/>
    <s v="No"/>
    <m/>
    <s v="1+ Failures"/>
    <n v="1"/>
    <x v="0"/>
  </r>
  <r>
    <n v="908"/>
    <d v="2023-02-26T00:00:00"/>
    <s v="Premium"/>
    <n v="699"/>
    <n v="19.8"/>
    <n v="1"/>
    <n v="4"/>
    <n v="14"/>
    <n v="56"/>
    <s v="Yes"/>
    <s v="No"/>
    <s v="Yes"/>
    <s v="No"/>
    <s v="Yes"/>
    <s v="No"/>
    <m/>
    <s v="1+ Failures"/>
    <n v="1"/>
    <x v="1"/>
  </r>
  <r>
    <n v="909"/>
    <d v="2023-02-11T00:00:00"/>
    <s v="Premium"/>
    <n v="699"/>
    <n v="22.3"/>
    <n v="1"/>
    <n v="3"/>
    <n v="24"/>
    <n v="23"/>
    <s v="Yes"/>
    <s v="No"/>
    <s v="Yes"/>
    <s v="No"/>
    <s v="Yes"/>
    <s v="No"/>
    <m/>
    <s v="1+ Failures"/>
    <n v="1"/>
    <x v="3"/>
  </r>
  <r>
    <n v="910"/>
    <d v="2023-07-29T00:00:00"/>
    <s v="Standard"/>
    <n v="399"/>
    <n v="4.8"/>
    <n v="8"/>
    <n v="5"/>
    <n v="24"/>
    <n v="4"/>
    <s v="Yes"/>
    <s v="Yes"/>
    <s v="Yes"/>
    <s v="Yes"/>
    <s v="No"/>
    <s v="No"/>
    <m/>
    <s v="1+ Failures"/>
    <n v="1"/>
    <x v="0"/>
  </r>
  <r>
    <n v="911"/>
    <d v="2024-08-17T00:00:00"/>
    <s v="Basic"/>
    <n v="199"/>
    <n v="6.3"/>
    <n v="1"/>
    <n v="5"/>
    <n v="22"/>
    <n v="30"/>
    <s v="No"/>
    <s v="No"/>
    <s v="Yes"/>
    <s v="No"/>
    <s v="Yes"/>
    <s v="No"/>
    <m/>
    <s v="1+ Failures"/>
    <n v="0"/>
    <x v="2"/>
  </r>
  <r>
    <n v="912"/>
    <d v="2024-05-30T00:00:00"/>
    <s v="Premium"/>
    <n v="699"/>
    <n v="19"/>
    <n v="3"/>
    <n v="2"/>
    <n v="14"/>
    <n v="22"/>
    <s v="No"/>
    <s v="No"/>
    <s v="Yes"/>
    <s v="No"/>
    <s v="Yes"/>
    <s v="No"/>
    <m/>
    <s v="1+ Failures"/>
    <n v="0"/>
    <x v="1"/>
  </r>
  <r>
    <n v="913"/>
    <d v="2024-05-28T00:00:00"/>
    <s v="Premium"/>
    <n v="699"/>
    <n v="7.3"/>
    <n v="1"/>
    <n v="2"/>
    <n v="28"/>
    <n v="22"/>
    <s v="Yes"/>
    <s v="No"/>
    <s v="Yes"/>
    <s v="No"/>
    <s v="Yes"/>
    <s v="No"/>
    <m/>
    <s v="1+ Failures"/>
    <n v="1"/>
    <x v="2"/>
  </r>
  <r>
    <n v="914"/>
    <d v="2023-10-27T00:00:00"/>
    <s v="Premium"/>
    <n v="699"/>
    <n v="12"/>
    <n v="8"/>
    <n v="5"/>
    <n v="8"/>
    <n v="52"/>
    <s v="Yes"/>
    <s v="No"/>
    <s v="Yes"/>
    <s v="Yes"/>
    <s v="Yes"/>
    <s v="No"/>
    <m/>
    <s v="1+ Failures"/>
    <n v="1"/>
    <x v="1"/>
  </r>
  <r>
    <n v="915"/>
    <d v="2023-03-31T00:00:00"/>
    <s v="Standard"/>
    <n v="399"/>
    <n v="20.100000000000001"/>
    <n v="1"/>
    <n v="1"/>
    <n v="24"/>
    <n v="57"/>
    <s v="No"/>
    <s v="No"/>
    <s v="Yes"/>
    <s v="No"/>
    <s v="Yes"/>
    <s v="No"/>
    <m/>
    <s v="1+ Failures"/>
    <n v="0"/>
    <x v="3"/>
  </r>
  <r>
    <n v="916"/>
    <d v="2023-04-25T00:00:00"/>
    <s v="Basic"/>
    <n v="199"/>
    <n v="22.5"/>
    <n v="4"/>
    <n v="0"/>
    <n v="26"/>
    <n v="6"/>
    <s v="Yes"/>
    <s v="No"/>
    <s v="No"/>
    <s v="No"/>
    <s v="No"/>
    <s v="No"/>
    <m/>
    <s v="0 Failures"/>
    <n v="1"/>
    <x v="3"/>
  </r>
  <r>
    <n v="917"/>
    <d v="2023-10-28T00:00:00"/>
    <s v="Premium"/>
    <n v="699"/>
    <n v="12.7"/>
    <n v="3"/>
    <n v="4"/>
    <n v="10"/>
    <n v="60"/>
    <s v="No"/>
    <s v="No"/>
    <s v="Yes"/>
    <s v="No"/>
    <s v="Yes"/>
    <s v="No"/>
    <m/>
    <s v="1+ Failures"/>
    <n v="0"/>
    <x v="1"/>
  </r>
  <r>
    <n v="918"/>
    <d v="2024-10-22T00:00:00"/>
    <s v="Standard"/>
    <n v="399"/>
    <n v="23.3"/>
    <n v="7"/>
    <n v="2"/>
    <n v="35"/>
    <n v="26"/>
    <s v="Yes"/>
    <s v="No"/>
    <s v="Yes"/>
    <s v="Yes"/>
    <s v="Yes"/>
    <s v="No"/>
    <m/>
    <s v="1+ Failures"/>
    <n v="1"/>
    <x v="3"/>
  </r>
  <r>
    <n v="919"/>
    <d v="2024-10-22T00:00:00"/>
    <s v="Basic"/>
    <n v="199"/>
    <n v="5.0999999999999996"/>
    <n v="0"/>
    <n v="1"/>
    <n v="19"/>
    <n v="53"/>
    <s v="No"/>
    <s v="No"/>
    <s v="Yes"/>
    <s v="No"/>
    <s v="Yes"/>
    <s v="No"/>
    <m/>
    <s v="1+ Failures"/>
    <n v="0"/>
    <x v="2"/>
  </r>
  <r>
    <n v="920"/>
    <d v="2024-06-26T00:00:00"/>
    <s v="Standard"/>
    <n v="399"/>
    <n v="14.7"/>
    <n v="5"/>
    <n v="3"/>
    <n v="27"/>
    <n v="37"/>
    <s v="Yes"/>
    <s v="No"/>
    <s v="Yes"/>
    <s v="Yes"/>
    <s v="Yes"/>
    <s v="No"/>
    <m/>
    <s v="1+ Failures"/>
    <n v="1"/>
    <x v="1"/>
  </r>
  <r>
    <n v="921"/>
    <d v="2023-08-21T00:00:00"/>
    <s v="Premium"/>
    <n v="699"/>
    <n v="11.7"/>
    <n v="2"/>
    <n v="2"/>
    <n v="29"/>
    <n v="10"/>
    <s v="No"/>
    <s v="No"/>
    <s v="Yes"/>
    <s v="No"/>
    <s v="No"/>
    <s v="No"/>
    <m/>
    <s v="1+ Failures"/>
    <n v="0"/>
    <x v="1"/>
  </r>
  <r>
    <n v="922"/>
    <d v="2023-06-20T00:00:00"/>
    <s v="Standard"/>
    <n v="399"/>
    <n v="24.3"/>
    <n v="0"/>
    <n v="1"/>
    <n v="24"/>
    <n v="22"/>
    <s v="Yes"/>
    <s v="No"/>
    <s v="Yes"/>
    <s v="No"/>
    <s v="Yes"/>
    <s v="No"/>
    <m/>
    <s v="1+ Failures"/>
    <n v="1"/>
    <x v="3"/>
  </r>
  <r>
    <n v="923"/>
    <d v="2024-12-10T00:00:00"/>
    <s v="Premium"/>
    <n v="699"/>
    <n v="17.899999999999999"/>
    <n v="4"/>
    <n v="1"/>
    <n v="11"/>
    <n v="11"/>
    <s v="No"/>
    <s v="No"/>
    <s v="Yes"/>
    <s v="No"/>
    <s v="No"/>
    <s v="No"/>
    <m/>
    <s v="1+ Failures"/>
    <n v="0"/>
    <x v="1"/>
  </r>
  <r>
    <n v="924"/>
    <d v="2024-03-27T00:00:00"/>
    <s v="Premium"/>
    <n v="699"/>
    <n v="4.5"/>
    <n v="1"/>
    <n v="0"/>
    <n v="10"/>
    <n v="20"/>
    <s v="No"/>
    <s v="Yes"/>
    <s v="No"/>
    <s v="No"/>
    <s v="Yes"/>
    <s v="No"/>
    <m/>
    <s v="0 Failures"/>
    <n v="0"/>
    <x v="0"/>
  </r>
  <r>
    <n v="925"/>
    <d v="2023-12-19T00:00:00"/>
    <s v="Standard"/>
    <n v="399"/>
    <n v="5"/>
    <n v="8"/>
    <n v="5"/>
    <n v="24"/>
    <n v="2"/>
    <s v="No"/>
    <s v="No"/>
    <s v="Yes"/>
    <s v="Yes"/>
    <s v="No"/>
    <s v="No"/>
    <m/>
    <s v="1+ Failures"/>
    <n v="0"/>
    <x v="0"/>
  </r>
  <r>
    <n v="926"/>
    <d v="2023-01-26T00:00:00"/>
    <s v="Basic"/>
    <n v="199"/>
    <n v="11.5"/>
    <n v="2"/>
    <n v="4"/>
    <n v="24"/>
    <n v="19"/>
    <s v="Yes"/>
    <s v="No"/>
    <s v="Yes"/>
    <s v="No"/>
    <s v="Yes"/>
    <s v="No"/>
    <m/>
    <s v="1+ Failures"/>
    <n v="1"/>
    <x v="1"/>
  </r>
  <r>
    <n v="927"/>
    <d v="2024-07-13T00:00:00"/>
    <s v="Standard"/>
    <n v="399"/>
    <n v="19.3"/>
    <n v="7"/>
    <n v="2"/>
    <n v="32"/>
    <n v="9"/>
    <s v="Yes"/>
    <s v="No"/>
    <s v="Yes"/>
    <s v="Yes"/>
    <s v="No"/>
    <s v="No"/>
    <m/>
    <s v="1+ Failures"/>
    <n v="1"/>
    <x v="1"/>
  </r>
  <r>
    <n v="928"/>
    <d v="2024-08-10T00:00:00"/>
    <s v="Premium"/>
    <n v="699"/>
    <n v="16.399999999999999"/>
    <n v="4"/>
    <n v="3"/>
    <n v="22"/>
    <n v="57"/>
    <s v="Yes"/>
    <s v="No"/>
    <s v="Yes"/>
    <s v="No"/>
    <s v="Yes"/>
    <s v="No"/>
    <m/>
    <s v="1+ Failures"/>
    <n v="1"/>
    <x v="1"/>
  </r>
  <r>
    <n v="929"/>
    <d v="2024-05-05T00:00:00"/>
    <s v="Premium"/>
    <n v="699"/>
    <n v="20.100000000000001"/>
    <n v="7"/>
    <n v="2"/>
    <n v="10"/>
    <n v="44"/>
    <s v="Yes"/>
    <s v="No"/>
    <s v="Yes"/>
    <s v="Yes"/>
    <s v="Yes"/>
    <s v="No"/>
    <m/>
    <s v="1+ Failures"/>
    <n v="1"/>
    <x v="3"/>
  </r>
  <r>
    <n v="930"/>
    <d v="2023-08-14T00:00:00"/>
    <s v="Basic"/>
    <n v="199"/>
    <n v="17.100000000000001"/>
    <n v="1"/>
    <n v="2"/>
    <n v="9"/>
    <n v="1"/>
    <s v="No"/>
    <s v="No"/>
    <s v="Yes"/>
    <s v="No"/>
    <s v="No"/>
    <s v="No"/>
    <m/>
    <s v="1+ Failures"/>
    <n v="0"/>
    <x v="1"/>
  </r>
  <r>
    <n v="931"/>
    <d v="2024-06-23T00:00:00"/>
    <s v="Standard"/>
    <n v="399"/>
    <n v="2.8"/>
    <n v="0"/>
    <n v="4"/>
    <n v="23"/>
    <n v="41"/>
    <s v="Yes"/>
    <s v="Yes"/>
    <s v="Yes"/>
    <s v="No"/>
    <s v="Yes"/>
    <s v="No"/>
    <m/>
    <s v="1+ Failures"/>
    <n v="1"/>
    <x v="0"/>
  </r>
  <r>
    <n v="932"/>
    <d v="2024-11-18T00:00:00"/>
    <s v="Basic"/>
    <n v="199"/>
    <n v="5.3"/>
    <n v="1"/>
    <n v="4"/>
    <n v="18"/>
    <n v="54"/>
    <s v="Yes"/>
    <s v="No"/>
    <s v="Yes"/>
    <s v="No"/>
    <s v="Yes"/>
    <s v="No"/>
    <m/>
    <s v="1+ Failures"/>
    <n v="1"/>
    <x v="2"/>
  </r>
  <r>
    <n v="933"/>
    <d v="2023-02-27T00:00:00"/>
    <s v="Basic"/>
    <n v="199"/>
    <n v="10.199999999999999"/>
    <n v="7"/>
    <n v="2"/>
    <n v="33"/>
    <n v="38"/>
    <s v="Yes"/>
    <s v="No"/>
    <s v="Yes"/>
    <s v="Yes"/>
    <s v="Yes"/>
    <s v="No"/>
    <m/>
    <s v="1+ Failures"/>
    <n v="1"/>
    <x v="1"/>
  </r>
  <r>
    <n v="934"/>
    <d v="2023-10-19T00:00:00"/>
    <s v="Premium"/>
    <n v="699"/>
    <n v="10.199999999999999"/>
    <n v="6"/>
    <n v="2"/>
    <n v="24"/>
    <n v="24"/>
    <s v="Yes"/>
    <s v="No"/>
    <s v="Yes"/>
    <s v="Yes"/>
    <s v="Yes"/>
    <s v="No"/>
    <m/>
    <s v="1+ Failures"/>
    <n v="1"/>
    <x v="1"/>
  </r>
  <r>
    <n v="935"/>
    <d v="2024-03-30T00:00:00"/>
    <s v="Standard"/>
    <n v="399"/>
    <n v="8"/>
    <n v="7"/>
    <n v="4"/>
    <n v="23"/>
    <n v="5"/>
    <s v="Yes"/>
    <s v="No"/>
    <s v="Yes"/>
    <s v="Yes"/>
    <s v="No"/>
    <s v="No"/>
    <m/>
    <s v="1+ Failures"/>
    <n v="1"/>
    <x v="2"/>
  </r>
  <r>
    <n v="936"/>
    <d v="2024-03-10T00:00:00"/>
    <s v="Premium"/>
    <n v="699"/>
    <n v="20.2"/>
    <n v="4"/>
    <n v="1"/>
    <n v="27"/>
    <n v="51"/>
    <s v="No"/>
    <s v="No"/>
    <s v="Yes"/>
    <s v="No"/>
    <s v="Yes"/>
    <s v="No"/>
    <m/>
    <s v="1+ Failures"/>
    <n v="0"/>
    <x v="3"/>
  </r>
  <r>
    <n v="937"/>
    <d v="2024-06-21T00:00:00"/>
    <s v="Premium"/>
    <n v="699"/>
    <n v="3.9"/>
    <n v="1"/>
    <n v="1"/>
    <n v="27"/>
    <n v="13"/>
    <s v="Yes"/>
    <s v="Yes"/>
    <s v="Yes"/>
    <s v="No"/>
    <s v="No"/>
    <s v="No"/>
    <m/>
    <s v="1+ Failures"/>
    <n v="1"/>
    <x v="0"/>
  </r>
  <r>
    <n v="938"/>
    <d v="2023-10-07T00:00:00"/>
    <s v="Standard"/>
    <n v="399"/>
    <n v="23.4"/>
    <n v="6"/>
    <n v="0"/>
    <n v="5"/>
    <n v="0"/>
    <s v="No"/>
    <s v="No"/>
    <s v="No"/>
    <s v="Yes"/>
    <s v="No"/>
    <s v="Yes"/>
    <m/>
    <s v="0 Failures"/>
    <n v="0"/>
    <x v="3"/>
  </r>
  <r>
    <n v="939"/>
    <d v="2023-10-24T00:00:00"/>
    <s v="Standard"/>
    <n v="399"/>
    <n v="14.1"/>
    <n v="2"/>
    <n v="1"/>
    <n v="12"/>
    <n v="11"/>
    <s v="No"/>
    <s v="No"/>
    <s v="Yes"/>
    <s v="No"/>
    <s v="No"/>
    <s v="No"/>
    <m/>
    <s v="1+ Failures"/>
    <n v="0"/>
    <x v="1"/>
  </r>
  <r>
    <n v="940"/>
    <d v="2024-04-19T00:00:00"/>
    <s v="Premium"/>
    <n v="699"/>
    <n v="1.5"/>
    <n v="4"/>
    <n v="4"/>
    <n v="32"/>
    <n v="19"/>
    <s v="Yes"/>
    <s v="Yes"/>
    <s v="Yes"/>
    <s v="No"/>
    <s v="Yes"/>
    <s v="No"/>
    <m/>
    <s v="1+ Failures"/>
    <n v="1"/>
    <x v="0"/>
  </r>
  <r>
    <n v="941"/>
    <d v="2024-10-13T00:00:00"/>
    <s v="Basic"/>
    <n v="199"/>
    <n v="19.899999999999999"/>
    <n v="2"/>
    <n v="2"/>
    <n v="2"/>
    <n v="19"/>
    <s v="No"/>
    <s v="No"/>
    <s v="Yes"/>
    <s v="No"/>
    <s v="Yes"/>
    <s v="Yes"/>
    <m/>
    <s v="1+ Failures"/>
    <n v="0"/>
    <x v="1"/>
  </r>
  <r>
    <n v="942"/>
    <d v="2024-12-05T00:00:00"/>
    <s v="Standard"/>
    <n v="399"/>
    <n v="16.5"/>
    <n v="4"/>
    <n v="3"/>
    <n v="8"/>
    <n v="11"/>
    <s v="Yes"/>
    <s v="No"/>
    <s v="Yes"/>
    <s v="No"/>
    <s v="No"/>
    <s v="No"/>
    <m/>
    <s v="1+ Failures"/>
    <n v="1"/>
    <x v="1"/>
  </r>
  <r>
    <n v="943"/>
    <d v="2024-01-06T00:00:00"/>
    <s v="Premium"/>
    <n v="699"/>
    <n v="1.2"/>
    <n v="4"/>
    <n v="3"/>
    <n v="16"/>
    <n v="4"/>
    <s v="Yes"/>
    <s v="Yes"/>
    <s v="Yes"/>
    <s v="No"/>
    <s v="No"/>
    <s v="No"/>
    <m/>
    <s v="1+ Failures"/>
    <n v="1"/>
    <x v="0"/>
  </r>
  <r>
    <n v="944"/>
    <d v="2024-12-11T00:00:00"/>
    <s v="Premium"/>
    <n v="699"/>
    <n v="14.4"/>
    <n v="4"/>
    <n v="5"/>
    <n v="31"/>
    <n v="43"/>
    <s v="Yes"/>
    <s v="No"/>
    <s v="Yes"/>
    <s v="No"/>
    <s v="Yes"/>
    <s v="No"/>
    <m/>
    <s v="1+ Failures"/>
    <n v="1"/>
    <x v="1"/>
  </r>
  <r>
    <n v="945"/>
    <d v="2023-05-30T00:00:00"/>
    <s v="Basic"/>
    <n v="199"/>
    <n v="13.1"/>
    <n v="0"/>
    <n v="2"/>
    <n v="24"/>
    <n v="10"/>
    <s v="No"/>
    <s v="No"/>
    <s v="Yes"/>
    <s v="No"/>
    <s v="No"/>
    <s v="No"/>
    <m/>
    <s v="1+ Failures"/>
    <n v="0"/>
    <x v="1"/>
  </r>
  <r>
    <n v="946"/>
    <d v="2024-01-05T00:00:00"/>
    <s v="Standard"/>
    <n v="399"/>
    <n v="22"/>
    <n v="2"/>
    <n v="2"/>
    <n v="30"/>
    <n v="10"/>
    <s v="Yes"/>
    <s v="No"/>
    <s v="Yes"/>
    <s v="No"/>
    <s v="No"/>
    <s v="No"/>
    <m/>
    <s v="1+ Failures"/>
    <n v="1"/>
    <x v="3"/>
  </r>
  <r>
    <n v="947"/>
    <d v="2024-06-10T00:00:00"/>
    <s v="Standard"/>
    <n v="399"/>
    <n v="1.7"/>
    <n v="4"/>
    <n v="4"/>
    <n v="23"/>
    <n v="40"/>
    <s v="Yes"/>
    <s v="Yes"/>
    <s v="Yes"/>
    <s v="No"/>
    <s v="Yes"/>
    <s v="No"/>
    <m/>
    <s v="1+ Failures"/>
    <n v="1"/>
    <x v="0"/>
  </r>
  <r>
    <n v="948"/>
    <d v="2024-12-02T00:00:00"/>
    <s v="Basic"/>
    <n v="199"/>
    <n v="19.2"/>
    <n v="2"/>
    <n v="4"/>
    <n v="12"/>
    <n v="20"/>
    <s v="No"/>
    <s v="No"/>
    <s v="Yes"/>
    <s v="No"/>
    <s v="Yes"/>
    <s v="No"/>
    <m/>
    <s v="1+ Failures"/>
    <n v="0"/>
    <x v="1"/>
  </r>
  <r>
    <n v="949"/>
    <d v="2023-05-28T00:00:00"/>
    <s v="Standard"/>
    <n v="399"/>
    <n v="17.3"/>
    <n v="5"/>
    <n v="0"/>
    <n v="18"/>
    <n v="34"/>
    <s v="No"/>
    <s v="No"/>
    <s v="No"/>
    <s v="Yes"/>
    <s v="Yes"/>
    <s v="No"/>
    <m/>
    <s v="0 Failures"/>
    <n v="0"/>
    <x v="1"/>
  </r>
  <r>
    <n v="950"/>
    <d v="2023-06-16T00:00:00"/>
    <s v="Basic"/>
    <n v="199"/>
    <n v="13.2"/>
    <n v="5"/>
    <n v="3"/>
    <n v="9"/>
    <n v="26"/>
    <s v="Yes"/>
    <s v="No"/>
    <s v="Yes"/>
    <s v="Yes"/>
    <s v="Yes"/>
    <s v="No"/>
    <m/>
    <s v="1+ Failures"/>
    <n v="1"/>
    <x v="1"/>
  </r>
  <r>
    <n v="951"/>
    <d v="2024-09-20T00:00:00"/>
    <s v="Basic"/>
    <n v="199"/>
    <n v="4.3"/>
    <n v="3"/>
    <n v="1"/>
    <n v="14"/>
    <n v="50"/>
    <s v="No"/>
    <s v="Yes"/>
    <s v="Yes"/>
    <s v="No"/>
    <s v="Yes"/>
    <s v="No"/>
    <m/>
    <s v="1+ Failures"/>
    <n v="0"/>
    <x v="0"/>
  </r>
  <r>
    <n v="952"/>
    <d v="2024-03-03T00:00:00"/>
    <s v="Premium"/>
    <n v="699"/>
    <n v="21.2"/>
    <n v="8"/>
    <n v="5"/>
    <n v="34"/>
    <n v="48"/>
    <s v="No"/>
    <s v="No"/>
    <s v="Yes"/>
    <s v="Yes"/>
    <s v="Yes"/>
    <s v="No"/>
    <m/>
    <s v="1+ Failures"/>
    <n v="0"/>
    <x v="3"/>
  </r>
  <r>
    <n v="953"/>
    <d v="2024-12-08T00:00:00"/>
    <s v="Standard"/>
    <n v="399"/>
    <n v="3.4"/>
    <n v="2"/>
    <n v="0"/>
    <n v="5"/>
    <n v="30"/>
    <s v="Yes"/>
    <s v="Yes"/>
    <s v="No"/>
    <s v="No"/>
    <s v="Yes"/>
    <s v="Yes"/>
    <m/>
    <s v="0 Failures"/>
    <n v="1"/>
    <x v="0"/>
  </r>
  <r>
    <n v="954"/>
    <d v="2023-01-30T00:00:00"/>
    <s v="Standard"/>
    <n v="399"/>
    <n v="20.5"/>
    <n v="8"/>
    <n v="2"/>
    <n v="9"/>
    <n v="11"/>
    <s v="No"/>
    <s v="No"/>
    <s v="Yes"/>
    <s v="Yes"/>
    <s v="No"/>
    <s v="No"/>
    <m/>
    <s v="1+ Failures"/>
    <n v="0"/>
    <x v="3"/>
  </r>
  <r>
    <n v="955"/>
    <d v="2023-08-03T00:00:00"/>
    <s v="Premium"/>
    <n v="699"/>
    <n v="5.9"/>
    <n v="2"/>
    <n v="5"/>
    <n v="8"/>
    <n v="14"/>
    <s v="Yes"/>
    <s v="No"/>
    <s v="Yes"/>
    <s v="No"/>
    <s v="No"/>
    <s v="No"/>
    <m/>
    <s v="1+ Failures"/>
    <n v="1"/>
    <x v="2"/>
  </r>
  <r>
    <n v="956"/>
    <d v="2024-03-17T00:00:00"/>
    <s v="Basic"/>
    <n v="199"/>
    <n v="10.9"/>
    <n v="1"/>
    <n v="0"/>
    <n v="6"/>
    <n v="1"/>
    <s v="No"/>
    <s v="No"/>
    <s v="No"/>
    <s v="No"/>
    <s v="No"/>
    <s v="No"/>
    <m/>
    <s v="0 Failures"/>
    <n v="0"/>
    <x v="1"/>
  </r>
  <r>
    <n v="957"/>
    <d v="2023-09-17T00:00:00"/>
    <s v="Basic"/>
    <n v="199"/>
    <n v="3.1"/>
    <n v="8"/>
    <n v="4"/>
    <n v="13"/>
    <n v="3"/>
    <s v="Yes"/>
    <s v="Yes"/>
    <s v="Yes"/>
    <s v="Yes"/>
    <s v="No"/>
    <s v="No"/>
    <m/>
    <s v="1+ Failures"/>
    <n v="1"/>
    <x v="0"/>
  </r>
  <r>
    <n v="958"/>
    <d v="2024-09-08T00:00:00"/>
    <s v="Basic"/>
    <n v="199"/>
    <n v="7.9"/>
    <n v="0"/>
    <n v="0"/>
    <n v="5"/>
    <n v="50"/>
    <s v="Yes"/>
    <s v="No"/>
    <s v="No"/>
    <s v="No"/>
    <s v="Yes"/>
    <s v="Yes"/>
    <m/>
    <s v="0 Failures"/>
    <n v="1"/>
    <x v="2"/>
  </r>
  <r>
    <n v="959"/>
    <d v="2023-10-12T00:00:00"/>
    <s v="Basic"/>
    <n v="199"/>
    <n v="5"/>
    <n v="5"/>
    <n v="0"/>
    <n v="13"/>
    <n v="5"/>
    <s v="Yes"/>
    <s v="No"/>
    <s v="No"/>
    <s v="Yes"/>
    <s v="No"/>
    <s v="No"/>
    <m/>
    <s v="0 Failures"/>
    <n v="1"/>
    <x v="0"/>
  </r>
  <r>
    <n v="960"/>
    <d v="2024-08-06T00:00:00"/>
    <s v="Premium"/>
    <n v="699"/>
    <n v="9.1"/>
    <n v="8"/>
    <n v="5"/>
    <n v="23"/>
    <n v="39"/>
    <s v="Yes"/>
    <s v="No"/>
    <s v="Yes"/>
    <s v="Yes"/>
    <s v="Yes"/>
    <s v="No"/>
    <m/>
    <s v="1+ Failures"/>
    <n v="1"/>
    <x v="2"/>
  </r>
  <r>
    <n v="961"/>
    <d v="2023-10-16T00:00:00"/>
    <s v="Basic"/>
    <n v="199"/>
    <n v="20.6"/>
    <n v="0"/>
    <n v="4"/>
    <n v="7"/>
    <n v="13"/>
    <s v="No"/>
    <s v="No"/>
    <s v="Yes"/>
    <s v="No"/>
    <s v="No"/>
    <s v="No"/>
    <m/>
    <s v="1+ Failures"/>
    <n v="0"/>
    <x v="3"/>
  </r>
  <r>
    <n v="962"/>
    <d v="2024-12-25T00:00:00"/>
    <s v="Basic"/>
    <n v="199"/>
    <n v="0.6"/>
    <n v="1"/>
    <n v="1"/>
    <n v="35"/>
    <n v="58"/>
    <s v="Yes"/>
    <s v="Yes"/>
    <s v="Yes"/>
    <s v="No"/>
    <s v="Yes"/>
    <s v="No"/>
    <m/>
    <s v="1+ Failures"/>
    <n v="1"/>
    <x v="0"/>
  </r>
  <r>
    <n v="963"/>
    <d v="2023-07-05T00:00:00"/>
    <s v="Standard"/>
    <n v="399"/>
    <n v="17.600000000000001"/>
    <n v="2"/>
    <n v="3"/>
    <n v="24"/>
    <n v="43"/>
    <s v="No"/>
    <s v="No"/>
    <s v="Yes"/>
    <s v="No"/>
    <s v="Yes"/>
    <s v="No"/>
    <m/>
    <s v="1+ Failures"/>
    <n v="0"/>
    <x v="1"/>
  </r>
  <r>
    <n v="964"/>
    <d v="2023-11-18T00:00:00"/>
    <s v="Standard"/>
    <n v="399"/>
    <n v="10.9"/>
    <n v="8"/>
    <n v="1"/>
    <n v="25"/>
    <n v="26"/>
    <s v="Yes"/>
    <s v="No"/>
    <s v="Yes"/>
    <s v="Yes"/>
    <s v="Yes"/>
    <s v="No"/>
    <m/>
    <s v="1+ Failures"/>
    <n v="1"/>
    <x v="1"/>
  </r>
  <r>
    <n v="965"/>
    <d v="2023-10-23T00:00:00"/>
    <s v="Basic"/>
    <n v="199"/>
    <n v="3.2"/>
    <n v="2"/>
    <n v="3"/>
    <n v="30"/>
    <n v="48"/>
    <s v="Yes"/>
    <s v="Yes"/>
    <s v="Yes"/>
    <s v="No"/>
    <s v="Yes"/>
    <s v="No"/>
    <m/>
    <s v="1+ Failures"/>
    <n v="1"/>
    <x v="0"/>
  </r>
  <r>
    <n v="966"/>
    <d v="2024-09-06T00:00:00"/>
    <s v="Premium"/>
    <n v="699"/>
    <n v="2.5"/>
    <n v="7"/>
    <n v="0"/>
    <n v="3"/>
    <n v="24"/>
    <s v="Yes"/>
    <s v="Yes"/>
    <s v="No"/>
    <s v="Yes"/>
    <s v="Yes"/>
    <s v="Yes"/>
    <m/>
    <s v="0 Failures"/>
    <n v="1"/>
    <x v="0"/>
  </r>
  <r>
    <n v="967"/>
    <d v="2024-03-14T00:00:00"/>
    <s v="Premium"/>
    <n v="699"/>
    <n v="17.3"/>
    <n v="7"/>
    <n v="1"/>
    <n v="20"/>
    <n v="35"/>
    <s v="Yes"/>
    <s v="No"/>
    <s v="Yes"/>
    <s v="Yes"/>
    <s v="Yes"/>
    <s v="No"/>
    <m/>
    <s v="1+ Failures"/>
    <n v="1"/>
    <x v="1"/>
  </r>
  <r>
    <n v="968"/>
    <d v="2024-11-21T00:00:00"/>
    <s v="Basic"/>
    <n v="199"/>
    <n v="22.4"/>
    <n v="7"/>
    <n v="5"/>
    <n v="5"/>
    <n v="23"/>
    <s v="Yes"/>
    <s v="No"/>
    <s v="Yes"/>
    <s v="Yes"/>
    <s v="Yes"/>
    <s v="Yes"/>
    <m/>
    <s v="1+ Failures"/>
    <n v="1"/>
    <x v="3"/>
  </r>
  <r>
    <n v="969"/>
    <d v="2023-05-27T00:00:00"/>
    <s v="Standard"/>
    <n v="399"/>
    <n v="10.199999999999999"/>
    <n v="8"/>
    <n v="5"/>
    <n v="7"/>
    <n v="43"/>
    <s v="Yes"/>
    <s v="No"/>
    <s v="Yes"/>
    <s v="Yes"/>
    <s v="Yes"/>
    <s v="No"/>
    <m/>
    <s v="1+ Failures"/>
    <n v="1"/>
    <x v="1"/>
  </r>
  <r>
    <n v="970"/>
    <d v="2023-06-22T00:00:00"/>
    <s v="Standard"/>
    <n v="399"/>
    <n v="17.5"/>
    <n v="1"/>
    <n v="5"/>
    <n v="26"/>
    <n v="59"/>
    <s v="No"/>
    <s v="No"/>
    <s v="Yes"/>
    <s v="No"/>
    <s v="Yes"/>
    <s v="No"/>
    <m/>
    <s v="1+ Failures"/>
    <n v="0"/>
    <x v="1"/>
  </r>
  <r>
    <n v="971"/>
    <d v="2024-02-18T00:00:00"/>
    <s v="Basic"/>
    <n v="199"/>
    <n v="24.4"/>
    <n v="5"/>
    <n v="1"/>
    <n v="24"/>
    <n v="38"/>
    <s v="No"/>
    <s v="No"/>
    <s v="Yes"/>
    <s v="Yes"/>
    <s v="Yes"/>
    <s v="No"/>
    <m/>
    <s v="1+ Failures"/>
    <n v="0"/>
    <x v="3"/>
  </r>
  <r>
    <n v="972"/>
    <d v="2024-08-18T00:00:00"/>
    <s v="Basic"/>
    <n v="199"/>
    <n v="21"/>
    <n v="7"/>
    <n v="2"/>
    <n v="15"/>
    <n v="48"/>
    <s v="Yes"/>
    <s v="No"/>
    <s v="Yes"/>
    <s v="Yes"/>
    <s v="Yes"/>
    <s v="No"/>
    <m/>
    <s v="1+ Failures"/>
    <n v="1"/>
    <x v="3"/>
  </r>
  <r>
    <n v="973"/>
    <d v="2024-02-19T00:00:00"/>
    <s v="Premium"/>
    <n v="699"/>
    <n v="19"/>
    <n v="6"/>
    <n v="2"/>
    <n v="18"/>
    <n v="30"/>
    <s v="Yes"/>
    <s v="No"/>
    <s v="Yes"/>
    <s v="Yes"/>
    <s v="Yes"/>
    <s v="No"/>
    <m/>
    <s v="1+ Failures"/>
    <n v="1"/>
    <x v="1"/>
  </r>
  <r>
    <n v="974"/>
    <d v="2024-05-24T00:00:00"/>
    <s v="Standard"/>
    <n v="399"/>
    <n v="7.3"/>
    <n v="7"/>
    <n v="0"/>
    <n v="33"/>
    <n v="7"/>
    <s v="No"/>
    <s v="No"/>
    <s v="No"/>
    <s v="Yes"/>
    <s v="No"/>
    <s v="No"/>
    <m/>
    <s v="0 Failures"/>
    <n v="0"/>
    <x v="2"/>
  </r>
  <r>
    <n v="975"/>
    <d v="2023-07-03T00:00:00"/>
    <s v="Basic"/>
    <n v="199"/>
    <n v="1.2"/>
    <n v="0"/>
    <n v="0"/>
    <n v="9"/>
    <n v="31"/>
    <s v="No"/>
    <s v="Yes"/>
    <s v="No"/>
    <s v="No"/>
    <s v="Yes"/>
    <s v="No"/>
    <m/>
    <s v="0 Failures"/>
    <n v="0"/>
    <x v="0"/>
  </r>
  <r>
    <n v="976"/>
    <d v="2024-05-19T00:00:00"/>
    <s v="Standard"/>
    <n v="399"/>
    <n v="4.2"/>
    <n v="1"/>
    <n v="0"/>
    <n v="21"/>
    <n v="42"/>
    <s v="No"/>
    <s v="Yes"/>
    <s v="No"/>
    <s v="No"/>
    <s v="Yes"/>
    <s v="No"/>
    <m/>
    <s v="0 Failures"/>
    <n v="0"/>
    <x v="0"/>
  </r>
  <r>
    <n v="977"/>
    <d v="2023-12-18T00:00:00"/>
    <s v="Standard"/>
    <n v="399"/>
    <n v="7.7"/>
    <n v="7"/>
    <n v="3"/>
    <n v="13"/>
    <n v="32"/>
    <s v="Yes"/>
    <s v="No"/>
    <s v="Yes"/>
    <s v="Yes"/>
    <s v="Yes"/>
    <s v="No"/>
    <m/>
    <s v="1+ Failures"/>
    <n v="1"/>
    <x v="2"/>
  </r>
  <r>
    <n v="978"/>
    <d v="2024-01-28T00:00:00"/>
    <s v="Premium"/>
    <n v="699"/>
    <n v="0.9"/>
    <n v="0"/>
    <n v="3"/>
    <n v="35"/>
    <n v="56"/>
    <s v="No"/>
    <s v="Yes"/>
    <s v="Yes"/>
    <s v="No"/>
    <s v="Yes"/>
    <s v="No"/>
    <m/>
    <s v="1+ Failures"/>
    <n v="0"/>
    <x v="0"/>
  </r>
  <r>
    <n v="979"/>
    <d v="2024-07-24T00:00:00"/>
    <s v="Standard"/>
    <n v="399"/>
    <n v="21.4"/>
    <n v="7"/>
    <n v="3"/>
    <n v="21"/>
    <n v="2"/>
    <s v="Yes"/>
    <s v="No"/>
    <s v="Yes"/>
    <s v="Yes"/>
    <s v="No"/>
    <s v="No"/>
    <m/>
    <s v="1+ Failures"/>
    <n v="1"/>
    <x v="3"/>
  </r>
  <r>
    <n v="980"/>
    <d v="2024-02-03T00:00:00"/>
    <s v="Premium"/>
    <n v="699"/>
    <n v="22.2"/>
    <n v="2"/>
    <n v="3"/>
    <n v="20"/>
    <n v="27"/>
    <s v="Yes"/>
    <s v="No"/>
    <s v="Yes"/>
    <s v="No"/>
    <s v="Yes"/>
    <s v="No"/>
    <m/>
    <s v="1+ Failures"/>
    <n v="1"/>
    <x v="3"/>
  </r>
  <r>
    <n v="981"/>
    <d v="2024-08-08T00:00:00"/>
    <s v="Standard"/>
    <n v="399"/>
    <n v="14.4"/>
    <n v="7"/>
    <n v="5"/>
    <n v="8"/>
    <n v="35"/>
    <s v="Yes"/>
    <s v="No"/>
    <s v="Yes"/>
    <s v="Yes"/>
    <s v="Yes"/>
    <s v="No"/>
    <m/>
    <s v="1+ Failures"/>
    <n v="1"/>
    <x v="1"/>
  </r>
  <r>
    <n v="982"/>
    <d v="2024-05-21T00:00:00"/>
    <s v="Standard"/>
    <n v="399"/>
    <n v="14.3"/>
    <n v="2"/>
    <n v="4"/>
    <n v="31"/>
    <n v="3"/>
    <s v="No"/>
    <s v="No"/>
    <s v="Yes"/>
    <s v="No"/>
    <s v="No"/>
    <s v="No"/>
    <m/>
    <s v="1+ Failures"/>
    <n v="0"/>
    <x v="1"/>
  </r>
  <r>
    <n v="983"/>
    <d v="2024-08-27T00:00:00"/>
    <s v="Premium"/>
    <n v="699"/>
    <n v="15.6"/>
    <n v="5"/>
    <n v="2"/>
    <n v="25"/>
    <n v="20"/>
    <s v="Yes"/>
    <s v="No"/>
    <s v="Yes"/>
    <s v="Yes"/>
    <s v="Yes"/>
    <s v="No"/>
    <m/>
    <s v="1+ Failures"/>
    <n v="1"/>
    <x v="1"/>
  </r>
  <r>
    <n v="984"/>
    <d v="2024-10-02T00:00:00"/>
    <s v="Basic"/>
    <n v="199"/>
    <n v="21"/>
    <n v="5"/>
    <n v="5"/>
    <n v="9"/>
    <n v="37"/>
    <s v="Yes"/>
    <s v="No"/>
    <s v="Yes"/>
    <s v="Yes"/>
    <s v="Yes"/>
    <s v="No"/>
    <m/>
    <s v="1+ Failures"/>
    <n v="1"/>
    <x v="3"/>
  </r>
  <r>
    <n v="985"/>
    <d v="2024-11-08T00:00:00"/>
    <s v="Standard"/>
    <n v="399"/>
    <n v="2.9"/>
    <n v="5"/>
    <n v="2"/>
    <n v="25"/>
    <n v="26"/>
    <s v="Yes"/>
    <s v="Yes"/>
    <s v="Yes"/>
    <s v="Yes"/>
    <s v="Yes"/>
    <s v="No"/>
    <m/>
    <s v="1+ Failures"/>
    <n v="1"/>
    <x v="0"/>
  </r>
  <r>
    <n v="986"/>
    <d v="2023-03-09T00:00:00"/>
    <s v="Basic"/>
    <n v="199"/>
    <n v="6.2"/>
    <n v="4"/>
    <n v="4"/>
    <n v="16"/>
    <n v="5"/>
    <s v="No"/>
    <s v="No"/>
    <s v="Yes"/>
    <s v="No"/>
    <s v="No"/>
    <s v="No"/>
    <m/>
    <s v="1+ Failures"/>
    <n v="0"/>
    <x v="2"/>
  </r>
  <r>
    <n v="987"/>
    <d v="2024-11-04T00:00:00"/>
    <s v="Standard"/>
    <n v="399"/>
    <n v="8.8000000000000007"/>
    <n v="0"/>
    <n v="4"/>
    <n v="8"/>
    <n v="20"/>
    <s v="Yes"/>
    <s v="No"/>
    <s v="Yes"/>
    <s v="No"/>
    <s v="Yes"/>
    <s v="No"/>
    <m/>
    <s v="1+ Failures"/>
    <n v="1"/>
    <x v="2"/>
  </r>
  <r>
    <n v="988"/>
    <d v="2023-01-23T00:00:00"/>
    <s v="Standard"/>
    <n v="399"/>
    <n v="22.6"/>
    <n v="4"/>
    <n v="0"/>
    <n v="33"/>
    <n v="44"/>
    <s v="Yes"/>
    <s v="No"/>
    <s v="No"/>
    <s v="No"/>
    <s v="Yes"/>
    <s v="No"/>
    <m/>
    <s v="0 Failures"/>
    <n v="1"/>
    <x v="3"/>
  </r>
  <r>
    <n v="989"/>
    <d v="2023-04-13T00:00:00"/>
    <s v="Standard"/>
    <n v="399"/>
    <n v="14.5"/>
    <n v="5"/>
    <n v="4"/>
    <n v="25"/>
    <n v="6"/>
    <s v="No"/>
    <s v="No"/>
    <s v="Yes"/>
    <s v="Yes"/>
    <s v="No"/>
    <s v="No"/>
    <m/>
    <s v="1+ Failures"/>
    <n v="0"/>
    <x v="1"/>
  </r>
  <r>
    <n v="990"/>
    <d v="2023-11-03T00:00:00"/>
    <s v="Premium"/>
    <n v="699"/>
    <n v="8.6999999999999993"/>
    <n v="8"/>
    <n v="5"/>
    <n v="14"/>
    <n v="21"/>
    <s v="Yes"/>
    <s v="No"/>
    <s v="Yes"/>
    <s v="Yes"/>
    <s v="Yes"/>
    <s v="No"/>
    <m/>
    <s v="1+ Failures"/>
    <n v="1"/>
    <x v="2"/>
  </r>
  <r>
    <n v="991"/>
    <d v="2023-02-18T00:00:00"/>
    <s v="Standard"/>
    <n v="399"/>
    <n v="5.4"/>
    <n v="1"/>
    <n v="4"/>
    <n v="28"/>
    <n v="13"/>
    <s v="Yes"/>
    <s v="No"/>
    <s v="Yes"/>
    <s v="No"/>
    <s v="No"/>
    <s v="No"/>
    <m/>
    <s v="1+ Failures"/>
    <n v="1"/>
    <x v="2"/>
  </r>
  <r>
    <n v="992"/>
    <d v="2024-08-29T00:00:00"/>
    <s v="Standard"/>
    <n v="399"/>
    <n v="20.2"/>
    <n v="1"/>
    <n v="5"/>
    <n v="26"/>
    <n v="54"/>
    <s v="Yes"/>
    <s v="No"/>
    <s v="Yes"/>
    <s v="No"/>
    <s v="Yes"/>
    <s v="No"/>
    <m/>
    <s v="1+ Failures"/>
    <n v="1"/>
    <x v="3"/>
  </r>
  <r>
    <n v="993"/>
    <d v="2023-03-20T00:00:00"/>
    <s v="Standard"/>
    <n v="399"/>
    <n v="2.1"/>
    <n v="8"/>
    <n v="3"/>
    <n v="18"/>
    <n v="27"/>
    <s v="Yes"/>
    <s v="Yes"/>
    <s v="Yes"/>
    <s v="Yes"/>
    <s v="Yes"/>
    <s v="No"/>
    <m/>
    <s v="1+ Failures"/>
    <n v="1"/>
    <x v="0"/>
  </r>
  <r>
    <n v="994"/>
    <d v="2023-07-24T00:00:00"/>
    <s v="Premium"/>
    <n v="699"/>
    <n v="12.9"/>
    <n v="4"/>
    <n v="3"/>
    <n v="20"/>
    <n v="42"/>
    <s v="Yes"/>
    <s v="No"/>
    <s v="Yes"/>
    <s v="No"/>
    <s v="Yes"/>
    <s v="No"/>
    <m/>
    <s v="1+ Failures"/>
    <n v="1"/>
    <x v="1"/>
  </r>
  <r>
    <n v="995"/>
    <d v="2023-07-04T00:00:00"/>
    <s v="Standard"/>
    <n v="399"/>
    <n v="6.7"/>
    <n v="8"/>
    <n v="3"/>
    <n v="26"/>
    <n v="42"/>
    <s v="No"/>
    <s v="No"/>
    <s v="Yes"/>
    <s v="Yes"/>
    <s v="Yes"/>
    <s v="No"/>
    <m/>
    <s v="1+ Failures"/>
    <n v="0"/>
    <x v="2"/>
  </r>
  <r>
    <n v="996"/>
    <d v="2024-04-23T00:00:00"/>
    <s v="Basic"/>
    <n v="199"/>
    <n v="21.6"/>
    <n v="7"/>
    <n v="1"/>
    <n v="34"/>
    <n v="42"/>
    <s v="No"/>
    <s v="No"/>
    <s v="Yes"/>
    <s v="Yes"/>
    <s v="Yes"/>
    <s v="No"/>
    <m/>
    <s v="1+ Failures"/>
    <n v="0"/>
    <x v="3"/>
  </r>
  <r>
    <n v="997"/>
    <d v="2024-06-18T00:00:00"/>
    <s v="Standard"/>
    <n v="399"/>
    <n v="20.3"/>
    <n v="6"/>
    <n v="4"/>
    <n v="35"/>
    <n v="46"/>
    <s v="Yes"/>
    <s v="No"/>
    <s v="Yes"/>
    <s v="Yes"/>
    <s v="Yes"/>
    <s v="No"/>
    <m/>
    <s v="1+ Failures"/>
    <n v="1"/>
    <x v="3"/>
  </r>
  <r>
    <n v="998"/>
    <d v="2023-11-04T00:00:00"/>
    <s v="Basic"/>
    <n v="199"/>
    <n v="11.8"/>
    <n v="3"/>
    <n v="1"/>
    <n v="24"/>
    <n v="47"/>
    <s v="No"/>
    <s v="No"/>
    <s v="Yes"/>
    <s v="No"/>
    <s v="Yes"/>
    <s v="No"/>
    <m/>
    <s v="1+ Failures"/>
    <n v="0"/>
    <x v="1"/>
  </r>
  <r>
    <n v="999"/>
    <d v="2023-10-01T00:00:00"/>
    <s v="Standard"/>
    <n v="399"/>
    <n v="8.3000000000000007"/>
    <n v="1"/>
    <n v="5"/>
    <n v="27"/>
    <n v="13"/>
    <s v="No"/>
    <s v="No"/>
    <s v="Yes"/>
    <s v="No"/>
    <s v="No"/>
    <s v="No"/>
    <m/>
    <s v="1+ Failures"/>
    <n v="0"/>
    <x v="2"/>
  </r>
  <r>
    <n v="1000"/>
    <d v="2023-07-16T00:00:00"/>
    <s v="Standard"/>
    <n v="399"/>
    <n v="6.8"/>
    <n v="3"/>
    <n v="3"/>
    <n v="11"/>
    <n v="15"/>
    <s v="Yes"/>
    <s v="No"/>
    <s v="Yes"/>
    <s v="No"/>
    <s v="Yes"/>
    <s v="No"/>
    <m/>
    <s v="1+ Failures"/>
    <n v="1"/>
    <x v="2"/>
  </r>
  <r>
    <n v="1001"/>
    <d v="2024-03-22T00:00:00"/>
    <s v="Basic"/>
    <n v="199"/>
    <n v="20"/>
    <n v="4"/>
    <n v="3"/>
    <n v="16"/>
    <n v="31"/>
    <s v="Yes"/>
    <s v="No"/>
    <s v="Yes"/>
    <s v="No"/>
    <s v="Yes"/>
    <s v="No"/>
    <m/>
    <s v="1+ Failures"/>
    <n v="1"/>
    <x v="1"/>
  </r>
  <r>
    <n v="1002"/>
    <d v="2023-10-12T00:00:00"/>
    <s v="Standard"/>
    <n v="399"/>
    <n v="5.4"/>
    <n v="4"/>
    <n v="1"/>
    <n v="3"/>
    <n v="1"/>
    <s v="No"/>
    <s v="No"/>
    <s v="Yes"/>
    <s v="No"/>
    <s v="No"/>
    <s v="Yes"/>
    <m/>
    <s v="1+ Failures"/>
    <n v="0"/>
    <x v="2"/>
  </r>
  <r>
    <n v="1003"/>
    <d v="2023-02-26T00:00:00"/>
    <s v="Premium"/>
    <n v="699"/>
    <n v="4.8"/>
    <n v="0"/>
    <n v="5"/>
    <n v="36"/>
    <n v="31"/>
    <s v="Yes"/>
    <s v="Yes"/>
    <s v="Yes"/>
    <s v="No"/>
    <s v="Yes"/>
    <s v="No"/>
    <m/>
    <s v="1+ Failures"/>
    <n v="1"/>
    <x v="0"/>
  </r>
  <r>
    <n v="1004"/>
    <d v="2024-11-04T00:00:00"/>
    <s v="Basic"/>
    <n v="199"/>
    <n v="15.2"/>
    <n v="1"/>
    <n v="3"/>
    <n v="21"/>
    <n v="57"/>
    <s v="Yes"/>
    <s v="No"/>
    <s v="Yes"/>
    <s v="No"/>
    <s v="Yes"/>
    <s v="No"/>
    <m/>
    <s v="1+ Failures"/>
    <n v="1"/>
    <x v="1"/>
  </r>
  <r>
    <n v="1005"/>
    <d v="2024-05-27T00:00:00"/>
    <s v="Basic"/>
    <n v="199"/>
    <n v="23.6"/>
    <n v="2"/>
    <n v="1"/>
    <n v="26"/>
    <n v="7"/>
    <s v="No"/>
    <s v="No"/>
    <s v="Yes"/>
    <s v="No"/>
    <s v="No"/>
    <s v="No"/>
    <m/>
    <s v="1+ Failures"/>
    <n v="0"/>
    <x v="3"/>
  </r>
  <r>
    <n v="1006"/>
    <d v="2023-09-01T00:00:00"/>
    <s v="Basic"/>
    <n v="199"/>
    <n v="16.8"/>
    <n v="8"/>
    <n v="2"/>
    <n v="34"/>
    <n v="31"/>
    <s v="No"/>
    <s v="No"/>
    <s v="Yes"/>
    <s v="Yes"/>
    <s v="Yes"/>
    <s v="No"/>
    <m/>
    <s v="1+ Failures"/>
    <n v="0"/>
    <x v="1"/>
  </r>
  <r>
    <n v="1007"/>
    <d v="2024-02-04T00:00:00"/>
    <s v="Premium"/>
    <n v="699"/>
    <n v="19.399999999999999"/>
    <n v="5"/>
    <n v="2"/>
    <n v="8"/>
    <n v="53"/>
    <s v="Yes"/>
    <s v="No"/>
    <s v="Yes"/>
    <s v="Yes"/>
    <s v="Yes"/>
    <s v="No"/>
    <m/>
    <s v="1+ Failures"/>
    <n v="1"/>
    <x v="1"/>
  </r>
  <r>
    <n v="1008"/>
    <d v="2023-10-09T00:00:00"/>
    <s v="Premium"/>
    <n v="699"/>
    <n v="23.4"/>
    <n v="3"/>
    <n v="1"/>
    <n v="16"/>
    <n v="6"/>
    <s v="No"/>
    <s v="No"/>
    <s v="Yes"/>
    <s v="No"/>
    <s v="No"/>
    <s v="No"/>
    <m/>
    <s v="1+ Failures"/>
    <n v="0"/>
    <x v="3"/>
  </r>
  <r>
    <n v="1009"/>
    <d v="2023-04-26T00:00:00"/>
    <s v="Standard"/>
    <n v="399"/>
    <n v="6.7"/>
    <n v="0"/>
    <n v="3"/>
    <n v="27"/>
    <n v="34"/>
    <s v="Yes"/>
    <s v="No"/>
    <s v="Yes"/>
    <s v="No"/>
    <s v="Yes"/>
    <s v="No"/>
    <m/>
    <s v="1+ Failures"/>
    <n v="1"/>
    <x v="2"/>
  </r>
  <r>
    <n v="1010"/>
    <d v="2023-05-29T00:00:00"/>
    <s v="Standard"/>
    <n v="399"/>
    <n v="10.9"/>
    <n v="3"/>
    <n v="2"/>
    <n v="35"/>
    <n v="56"/>
    <s v="No"/>
    <s v="No"/>
    <s v="Yes"/>
    <s v="No"/>
    <s v="Yes"/>
    <s v="No"/>
    <m/>
    <s v="1+ Failures"/>
    <n v="0"/>
    <x v="1"/>
  </r>
  <r>
    <n v="1011"/>
    <d v="2024-09-12T00:00:00"/>
    <s v="Standard"/>
    <n v="399"/>
    <n v="18"/>
    <n v="4"/>
    <n v="0"/>
    <n v="31"/>
    <n v="41"/>
    <s v="No"/>
    <s v="No"/>
    <s v="No"/>
    <s v="No"/>
    <s v="Yes"/>
    <s v="No"/>
    <m/>
    <s v="0 Failures"/>
    <n v="0"/>
    <x v="1"/>
  </r>
  <r>
    <n v="1012"/>
    <d v="2024-10-16T00:00:00"/>
    <s v="Basic"/>
    <n v="199"/>
    <n v="17.399999999999999"/>
    <n v="3"/>
    <n v="2"/>
    <n v="4"/>
    <n v="35"/>
    <s v="Yes"/>
    <s v="No"/>
    <s v="Yes"/>
    <s v="No"/>
    <s v="Yes"/>
    <s v="Yes"/>
    <m/>
    <s v="1+ Failures"/>
    <n v="1"/>
    <x v="1"/>
  </r>
  <r>
    <n v="1013"/>
    <d v="2024-03-29T00:00:00"/>
    <s v="Premium"/>
    <n v="699"/>
    <n v="22.6"/>
    <n v="1"/>
    <n v="4"/>
    <n v="24"/>
    <n v="55"/>
    <s v="Yes"/>
    <s v="No"/>
    <s v="Yes"/>
    <s v="No"/>
    <s v="Yes"/>
    <s v="No"/>
    <m/>
    <s v="1+ Failures"/>
    <n v="1"/>
    <x v="3"/>
  </r>
  <r>
    <n v="1014"/>
    <d v="2023-08-30T00:00:00"/>
    <s v="Standard"/>
    <n v="399"/>
    <n v="22.8"/>
    <n v="6"/>
    <n v="2"/>
    <n v="1"/>
    <n v="19"/>
    <s v="Yes"/>
    <s v="No"/>
    <s v="Yes"/>
    <s v="Yes"/>
    <s v="Yes"/>
    <s v="Yes"/>
    <m/>
    <s v="1+ Failures"/>
    <n v="1"/>
    <x v="3"/>
  </r>
  <r>
    <n v="1015"/>
    <d v="2024-10-21T00:00:00"/>
    <s v="Standard"/>
    <n v="399"/>
    <n v="21.6"/>
    <n v="2"/>
    <n v="3"/>
    <n v="14"/>
    <n v="40"/>
    <s v="Yes"/>
    <s v="No"/>
    <s v="Yes"/>
    <s v="No"/>
    <s v="Yes"/>
    <s v="No"/>
    <m/>
    <s v="1+ Failures"/>
    <n v="1"/>
    <x v="3"/>
  </r>
  <r>
    <n v="1016"/>
    <d v="2023-12-07T00:00:00"/>
    <s v="Standard"/>
    <n v="399"/>
    <n v="7.2"/>
    <n v="1"/>
    <n v="3"/>
    <n v="3"/>
    <n v="30"/>
    <s v="No"/>
    <s v="No"/>
    <s v="Yes"/>
    <s v="No"/>
    <s v="Yes"/>
    <s v="Yes"/>
    <m/>
    <s v="1+ Failures"/>
    <n v="0"/>
    <x v="2"/>
  </r>
  <r>
    <n v="1017"/>
    <d v="2023-03-09T00:00:00"/>
    <s v="Premium"/>
    <n v="699"/>
    <n v="22"/>
    <n v="1"/>
    <n v="1"/>
    <n v="28"/>
    <n v="44"/>
    <s v="Yes"/>
    <s v="No"/>
    <s v="Yes"/>
    <s v="No"/>
    <s v="Yes"/>
    <s v="No"/>
    <m/>
    <s v="1+ Failures"/>
    <n v="1"/>
    <x v="3"/>
  </r>
  <r>
    <n v="1018"/>
    <d v="2023-01-29T00:00:00"/>
    <s v="Standard"/>
    <n v="399"/>
    <n v="15.3"/>
    <n v="8"/>
    <n v="5"/>
    <n v="27"/>
    <n v="20"/>
    <s v="Yes"/>
    <s v="No"/>
    <s v="Yes"/>
    <s v="Yes"/>
    <s v="Yes"/>
    <s v="No"/>
    <m/>
    <s v="1+ Failures"/>
    <n v="1"/>
    <x v="1"/>
  </r>
  <r>
    <n v="1019"/>
    <d v="2023-11-09T00:00:00"/>
    <s v="Basic"/>
    <n v="199"/>
    <n v="15.9"/>
    <n v="2"/>
    <n v="0"/>
    <n v="12"/>
    <n v="25"/>
    <s v="Yes"/>
    <s v="No"/>
    <s v="No"/>
    <s v="No"/>
    <s v="Yes"/>
    <s v="No"/>
    <m/>
    <s v="0 Failures"/>
    <n v="1"/>
    <x v="1"/>
  </r>
  <r>
    <n v="1020"/>
    <d v="2024-10-26T00:00:00"/>
    <s v="Standard"/>
    <n v="399"/>
    <n v="3.2"/>
    <n v="3"/>
    <n v="4"/>
    <n v="6"/>
    <n v="45"/>
    <s v="No"/>
    <s v="Yes"/>
    <s v="Yes"/>
    <s v="No"/>
    <s v="Yes"/>
    <s v="No"/>
    <m/>
    <s v="1+ Failures"/>
    <n v="0"/>
    <x v="0"/>
  </r>
  <r>
    <n v="1021"/>
    <d v="2023-05-17T00:00:00"/>
    <s v="Basic"/>
    <n v="199"/>
    <n v="19.899999999999999"/>
    <n v="5"/>
    <n v="3"/>
    <n v="27"/>
    <n v="30"/>
    <s v="No"/>
    <s v="No"/>
    <s v="Yes"/>
    <s v="Yes"/>
    <s v="Yes"/>
    <s v="No"/>
    <m/>
    <s v="1+ Failures"/>
    <n v="0"/>
    <x v="1"/>
  </r>
  <r>
    <n v="1022"/>
    <d v="2024-01-12T00:00:00"/>
    <s v="Standard"/>
    <n v="399"/>
    <n v="17.3"/>
    <n v="5"/>
    <n v="2"/>
    <n v="12"/>
    <n v="12"/>
    <s v="Yes"/>
    <s v="No"/>
    <s v="Yes"/>
    <s v="Yes"/>
    <s v="No"/>
    <s v="No"/>
    <m/>
    <s v="1+ Failures"/>
    <n v="1"/>
    <x v="1"/>
  </r>
  <r>
    <n v="1023"/>
    <d v="2024-07-25T00:00:00"/>
    <s v="Basic"/>
    <n v="199"/>
    <n v="22"/>
    <n v="3"/>
    <n v="0"/>
    <n v="26"/>
    <n v="60"/>
    <s v="Yes"/>
    <s v="No"/>
    <s v="No"/>
    <s v="No"/>
    <s v="Yes"/>
    <s v="No"/>
    <m/>
    <s v="0 Failures"/>
    <n v="1"/>
    <x v="3"/>
  </r>
  <r>
    <n v="1024"/>
    <d v="2023-06-22T00:00:00"/>
    <s v="Premium"/>
    <n v="699"/>
    <n v="22.7"/>
    <n v="7"/>
    <n v="1"/>
    <n v="15"/>
    <n v="16"/>
    <s v="No"/>
    <s v="No"/>
    <s v="Yes"/>
    <s v="Yes"/>
    <s v="Yes"/>
    <s v="No"/>
    <m/>
    <s v="1+ Failures"/>
    <n v="0"/>
    <x v="3"/>
  </r>
  <r>
    <n v="1025"/>
    <d v="2023-06-24T00:00:00"/>
    <s v="Basic"/>
    <n v="199"/>
    <n v="15.6"/>
    <n v="4"/>
    <n v="1"/>
    <n v="26"/>
    <n v="5"/>
    <s v="No"/>
    <s v="No"/>
    <s v="Yes"/>
    <s v="No"/>
    <s v="No"/>
    <s v="No"/>
    <m/>
    <s v="1+ Failures"/>
    <n v="0"/>
    <x v="1"/>
  </r>
  <r>
    <n v="1026"/>
    <d v="2024-04-09T00:00:00"/>
    <s v="Premium"/>
    <n v="699"/>
    <n v="0.8"/>
    <n v="8"/>
    <n v="3"/>
    <n v="8"/>
    <n v="49"/>
    <s v="Yes"/>
    <s v="Yes"/>
    <s v="Yes"/>
    <s v="Yes"/>
    <s v="Yes"/>
    <s v="No"/>
    <m/>
    <s v="1+ Failures"/>
    <n v="1"/>
    <x v="0"/>
  </r>
  <r>
    <n v="1027"/>
    <d v="2023-09-30T00:00:00"/>
    <s v="Premium"/>
    <n v="699"/>
    <n v="3.4"/>
    <n v="3"/>
    <n v="1"/>
    <n v="32"/>
    <n v="60"/>
    <s v="No"/>
    <s v="Yes"/>
    <s v="Yes"/>
    <s v="No"/>
    <s v="Yes"/>
    <s v="No"/>
    <m/>
    <s v="1+ Failures"/>
    <n v="0"/>
    <x v="0"/>
  </r>
  <r>
    <n v="1028"/>
    <d v="2023-10-17T00:00:00"/>
    <s v="Standard"/>
    <n v="399"/>
    <n v="9.9"/>
    <n v="6"/>
    <n v="1"/>
    <n v="32"/>
    <n v="38"/>
    <s v="Yes"/>
    <s v="No"/>
    <s v="Yes"/>
    <s v="Yes"/>
    <s v="Yes"/>
    <s v="No"/>
    <m/>
    <s v="1+ Failures"/>
    <n v="1"/>
    <x v="2"/>
  </r>
  <r>
    <n v="1029"/>
    <d v="2023-09-26T00:00:00"/>
    <s v="Premium"/>
    <n v="699"/>
    <n v="10.7"/>
    <n v="6"/>
    <n v="1"/>
    <n v="13"/>
    <n v="1"/>
    <s v="No"/>
    <s v="No"/>
    <s v="Yes"/>
    <s v="Yes"/>
    <s v="No"/>
    <s v="No"/>
    <m/>
    <s v="1+ Failures"/>
    <n v="0"/>
    <x v="1"/>
  </r>
  <r>
    <n v="1030"/>
    <d v="2023-03-29T00:00:00"/>
    <s v="Basic"/>
    <n v="199"/>
    <n v="22.7"/>
    <n v="5"/>
    <n v="4"/>
    <n v="29"/>
    <n v="43"/>
    <s v="Yes"/>
    <s v="No"/>
    <s v="Yes"/>
    <s v="Yes"/>
    <s v="Yes"/>
    <s v="No"/>
    <m/>
    <s v="1+ Failures"/>
    <n v="1"/>
    <x v="3"/>
  </r>
  <r>
    <n v="1031"/>
    <d v="2024-12-31T00:00:00"/>
    <s v="Basic"/>
    <n v="199"/>
    <n v="3.8"/>
    <n v="5"/>
    <n v="5"/>
    <n v="31"/>
    <n v="25"/>
    <s v="Yes"/>
    <s v="Yes"/>
    <s v="Yes"/>
    <s v="Yes"/>
    <s v="Yes"/>
    <s v="No"/>
    <m/>
    <s v="1+ Failures"/>
    <n v="1"/>
    <x v="0"/>
  </r>
  <r>
    <n v="1032"/>
    <d v="2023-02-23T00:00:00"/>
    <s v="Standard"/>
    <n v="399"/>
    <n v="18.5"/>
    <n v="4"/>
    <n v="0"/>
    <n v="28"/>
    <n v="6"/>
    <s v="No"/>
    <s v="No"/>
    <s v="No"/>
    <s v="No"/>
    <s v="No"/>
    <s v="No"/>
    <m/>
    <s v="0 Failures"/>
    <n v="0"/>
    <x v="1"/>
  </r>
  <r>
    <n v="1033"/>
    <d v="2024-09-04T00:00:00"/>
    <s v="Standard"/>
    <n v="399"/>
    <n v="12"/>
    <n v="5"/>
    <n v="4"/>
    <n v="16"/>
    <n v="60"/>
    <s v="Yes"/>
    <s v="No"/>
    <s v="Yes"/>
    <s v="Yes"/>
    <s v="Yes"/>
    <s v="No"/>
    <m/>
    <s v="1+ Failures"/>
    <n v="1"/>
    <x v="1"/>
  </r>
  <r>
    <n v="1034"/>
    <d v="2024-02-09T00:00:00"/>
    <s v="Premium"/>
    <n v="699"/>
    <n v="0.6"/>
    <n v="8"/>
    <n v="4"/>
    <n v="3"/>
    <n v="24"/>
    <s v="Yes"/>
    <s v="Yes"/>
    <s v="Yes"/>
    <s v="Yes"/>
    <s v="Yes"/>
    <s v="Yes"/>
    <m/>
    <s v="1+ Failures"/>
    <n v="1"/>
    <x v="0"/>
  </r>
  <r>
    <n v="1035"/>
    <d v="2023-06-23T00:00:00"/>
    <s v="Premium"/>
    <n v="699"/>
    <n v="3.7"/>
    <n v="8"/>
    <n v="0"/>
    <n v="24"/>
    <n v="37"/>
    <s v="Yes"/>
    <s v="Yes"/>
    <s v="No"/>
    <s v="Yes"/>
    <s v="Yes"/>
    <s v="No"/>
    <m/>
    <s v="0 Failures"/>
    <n v="1"/>
    <x v="0"/>
  </r>
  <r>
    <n v="1036"/>
    <d v="2024-06-27T00:00:00"/>
    <s v="Premium"/>
    <n v="699"/>
    <n v="23.3"/>
    <n v="7"/>
    <n v="1"/>
    <n v="32"/>
    <n v="5"/>
    <s v="No"/>
    <s v="No"/>
    <s v="Yes"/>
    <s v="Yes"/>
    <s v="No"/>
    <s v="No"/>
    <m/>
    <s v="1+ Failures"/>
    <n v="0"/>
    <x v="3"/>
  </r>
  <r>
    <n v="1037"/>
    <d v="2023-10-15T00:00:00"/>
    <s v="Standard"/>
    <n v="399"/>
    <n v="6.9"/>
    <n v="5"/>
    <n v="0"/>
    <n v="10"/>
    <n v="8"/>
    <s v="No"/>
    <s v="No"/>
    <s v="No"/>
    <s v="Yes"/>
    <s v="No"/>
    <s v="No"/>
    <m/>
    <s v="0 Failures"/>
    <n v="0"/>
    <x v="2"/>
  </r>
  <r>
    <n v="1038"/>
    <d v="2023-09-28T00:00:00"/>
    <s v="Premium"/>
    <n v="699"/>
    <n v="23.2"/>
    <n v="4"/>
    <n v="2"/>
    <n v="24"/>
    <n v="39"/>
    <s v="No"/>
    <s v="No"/>
    <s v="Yes"/>
    <s v="No"/>
    <s v="Yes"/>
    <s v="No"/>
    <m/>
    <s v="1+ Failures"/>
    <n v="0"/>
    <x v="3"/>
  </r>
  <r>
    <n v="1039"/>
    <d v="2023-06-04T00:00:00"/>
    <s v="Premium"/>
    <n v="699"/>
    <n v="11.2"/>
    <n v="2"/>
    <n v="2"/>
    <n v="21"/>
    <n v="47"/>
    <s v="No"/>
    <s v="No"/>
    <s v="Yes"/>
    <s v="No"/>
    <s v="Yes"/>
    <s v="No"/>
    <m/>
    <s v="1+ Failures"/>
    <n v="0"/>
    <x v="1"/>
  </r>
  <r>
    <n v="1040"/>
    <d v="2024-04-26T00:00:00"/>
    <s v="Premium"/>
    <n v="699"/>
    <n v="1.8"/>
    <n v="2"/>
    <n v="0"/>
    <n v="29"/>
    <n v="14"/>
    <s v="Yes"/>
    <s v="Yes"/>
    <s v="No"/>
    <s v="No"/>
    <s v="No"/>
    <s v="No"/>
    <m/>
    <s v="0 Failures"/>
    <n v="1"/>
    <x v="0"/>
  </r>
  <r>
    <n v="1041"/>
    <d v="2023-02-11T00:00:00"/>
    <s v="Standard"/>
    <n v="399"/>
    <n v="17.8"/>
    <n v="6"/>
    <n v="0"/>
    <n v="11"/>
    <n v="57"/>
    <s v="No"/>
    <s v="No"/>
    <s v="No"/>
    <s v="Yes"/>
    <s v="Yes"/>
    <s v="No"/>
    <m/>
    <s v="0 Failures"/>
    <n v="0"/>
    <x v="1"/>
  </r>
  <r>
    <n v="1042"/>
    <d v="2023-06-01T00:00:00"/>
    <s v="Standard"/>
    <n v="399"/>
    <n v="24.7"/>
    <n v="8"/>
    <n v="3"/>
    <n v="23"/>
    <n v="29"/>
    <s v="Yes"/>
    <s v="No"/>
    <s v="Yes"/>
    <s v="Yes"/>
    <s v="Yes"/>
    <s v="No"/>
    <m/>
    <s v="1+ Failures"/>
    <n v="1"/>
    <x v="3"/>
  </r>
  <r>
    <n v="1043"/>
    <d v="2024-06-04T00:00:00"/>
    <s v="Basic"/>
    <n v="199"/>
    <n v="2.8"/>
    <n v="4"/>
    <n v="1"/>
    <n v="23"/>
    <n v="53"/>
    <s v="Yes"/>
    <s v="Yes"/>
    <s v="Yes"/>
    <s v="No"/>
    <s v="Yes"/>
    <s v="No"/>
    <m/>
    <s v="1+ Failures"/>
    <n v="1"/>
    <x v="0"/>
  </r>
  <r>
    <n v="1044"/>
    <d v="2024-03-02T00:00:00"/>
    <s v="Standard"/>
    <n v="399"/>
    <n v="14.8"/>
    <n v="0"/>
    <n v="4"/>
    <n v="14"/>
    <n v="49"/>
    <s v="Yes"/>
    <s v="No"/>
    <s v="Yes"/>
    <s v="No"/>
    <s v="Yes"/>
    <s v="No"/>
    <m/>
    <s v="1+ Failures"/>
    <n v="1"/>
    <x v="1"/>
  </r>
  <r>
    <n v="1045"/>
    <d v="2024-11-27T00:00:00"/>
    <s v="Basic"/>
    <n v="199"/>
    <n v="19.3"/>
    <n v="1"/>
    <n v="2"/>
    <n v="16"/>
    <n v="1"/>
    <s v="Yes"/>
    <s v="No"/>
    <s v="Yes"/>
    <s v="No"/>
    <s v="No"/>
    <s v="No"/>
    <m/>
    <s v="1+ Failures"/>
    <n v="1"/>
    <x v="1"/>
  </r>
  <r>
    <n v="1046"/>
    <d v="2024-04-16T00:00:00"/>
    <s v="Basic"/>
    <n v="199"/>
    <n v="9.6999999999999993"/>
    <n v="1"/>
    <n v="2"/>
    <n v="26"/>
    <n v="9"/>
    <s v="Yes"/>
    <s v="No"/>
    <s v="Yes"/>
    <s v="No"/>
    <s v="No"/>
    <s v="No"/>
    <m/>
    <s v="1+ Failures"/>
    <n v="1"/>
    <x v="2"/>
  </r>
  <r>
    <n v="1047"/>
    <d v="2023-02-14T00:00:00"/>
    <s v="Premium"/>
    <n v="699"/>
    <n v="11.6"/>
    <n v="4"/>
    <n v="4"/>
    <n v="31"/>
    <n v="42"/>
    <s v="Yes"/>
    <s v="No"/>
    <s v="Yes"/>
    <s v="No"/>
    <s v="Yes"/>
    <s v="No"/>
    <m/>
    <s v="1+ Failures"/>
    <n v="1"/>
    <x v="1"/>
  </r>
  <r>
    <n v="1048"/>
    <d v="2024-10-21T00:00:00"/>
    <s v="Premium"/>
    <n v="699"/>
    <n v="8.5"/>
    <n v="2"/>
    <n v="1"/>
    <n v="29"/>
    <n v="55"/>
    <s v="Yes"/>
    <s v="No"/>
    <s v="Yes"/>
    <s v="No"/>
    <s v="Yes"/>
    <s v="No"/>
    <m/>
    <s v="1+ Failures"/>
    <n v="1"/>
    <x v="2"/>
  </r>
  <r>
    <n v="1049"/>
    <d v="2023-04-05T00:00:00"/>
    <s v="Standard"/>
    <n v="399"/>
    <n v="20.100000000000001"/>
    <n v="1"/>
    <n v="4"/>
    <n v="21"/>
    <n v="60"/>
    <s v="No"/>
    <s v="No"/>
    <s v="Yes"/>
    <s v="No"/>
    <s v="Yes"/>
    <s v="No"/>
    <m/>
    <s v="1+ Failures"/>
    <n v="0"/>
    <x v="3"/>
  </r>
  <r>
    <n v="1050"/>
    <d v="2023-06-16T00:00:00"/>
    <s v="Standard"/>
    <n v="399"/>
    <n v="4.9000000000000004"/>
    <n v="6"/>
    <n v="0"/>
    <n v="17"/>
    <n v="1"/>
    <s v="No"/>
    <s v="Yes"/>
    <s v="No"/>
    <s v="Yes"/>
    <s v="No"/>
    <s v="No"/>
    <m/>
    <s v="0 Failures"/>
    <n v="0"/>
    <x v="0"/>
  </r>
  <r>
    <n v="1051"/>
    <d v="2024-03-18T00:00:00"/>
    <s v="Standard"/>
    <n v="399"/>
    <n v="7.5"/>
    <n v="2"/>
    <n v="0"/>
    <n v="26"/>
    <n v="19"/>
    <s v="No"/>
    <s v="No"/>
    <s v="No"/>
    <s v="No"/>
    <s v="Yes"/>
    <s v="No"/>
    <m/>
    <s v="0 Failures"/>
    <n v="0"/>
    <x v="2"/>
  </r>
  <r>
    <n v="1052"/>
    <d v="2024-01-12T00:00:00"/>
    <s v="Premium"/>
    <n v="699"/>
    <n v="22.6"/>
    <n v="2"/>
    <n v="2"/>
    <n v="20"/>
    <n v="42"/>
    <s v="Yes"/>
    <s v="No"/>
    <s v="Yes"/>
    <s v="No"/>
    <s v="Yes"/>
    <s v="No"/>
    <m/>
    <s v="1+ Failures"/>
    <n v="1"/>
    <x v="3"/>
  </r>
  <r>
    <n v="1053"/>
    <d v="2024-03-09T00:00:00"/>
    <s v="Premium"/>
    <n v="699"/>
    <n v="12.5"/>
    <n v="6"/>
    <n v="3"/>
    <n v="13"/>
    <n v="17"/>
    <s v="No"/>
    <s v="No"/>
    <s v="Yes"/>
    <s v="Yes"/>
    <s v="Yes"/>
    <s v="No"/>
    <m/>
    <s v="1+ Failures"/>
    <n v="0"/>
    <x v="1"/>
  </r>
  <r>
    <n v="1054"/>
    <d v="2023-02-11T00:00:00"/>
    <s v="Basic"/>
    <n v="199"/>
    <n v="20.399999999999999"/>
    <n v="2"/>
    <n v="3"/>
    <n v="28"/>
    <n v="40"/>
    <s v="Yes"/>
    <s v="No"/>
    <s v="Yes"/>
    <s v="No"/>
    <s v="Yes"/>
    <s v="No"/>
    <m/>
    <s v="1+ Failures"/>
    <n v="1"/>
    <x v="3"/>
  </r>
  <r>
    <n v="1055"/>
    <d v="2024-05-22T00:00:00"/>
    <s v="Premium"/>
    <n v="699"/>
    <n v="24.3"/>
    <n v="3"/>
    <n v="5"/>
    <n v="22"/>
    <n v="43"/>
    <s v="No"/>
    <s v="No"/>
    <s v="Yes"/>
    <s v="No"/>
    <s v="Yes"/>
    <s v="No"/>
    <m/>
    <s v="1+ Failures"/>
    <n v="0"/>
    <x v="3"/>
  </r>
  <r>
    <n v="1056"/>
    <d v="2024-05-04T00:00:00"/>
    <s v="Premium"/>
    <n v="699"/>
    <n v="2.6"/>
    <n v="7"/>
    <n v="3"/>
    <n v="34"/>
    <n v="5"/>
    <s v="No"/>
    <s v="Yes"/>
    <s v="Yes"/>
    <s v="Yes"/>
    <s v="No"/>
    <s v="No"/>
    <m/>
    <s v="1+ Failures"/>
    <n v="0"/>
    <x v="0"/>
  </r>
  <r>
    <n v="1057"/>
    <d v="2024-08-05T00:00:00"/>
    <s v="Standard"/>
    <n v="399"/>
    <n v="24.6"/>
    <n v="4"/>
    <n v="1"/>
    <n v="10"/>
    <n v="33"/>
    <s v="Yes"/>
    <s v="No"/>
    <s v="Yes"/>
    <s v="No"/>
    <s v="Yes"/>
    <s v="No"/>
    <m/>
    <s v="1+ Failures"/>
    <n v="1"/>
    <x v="3"/>
  </r>
  <r>
    <n v="1058"/>
    <d v="2024-02-27T00:00:00"/>
    <s v="Basic"/>
    <n v="199"/>
    <n v="2.4"/>
    <n v="0"/>
    <n v="4"/>
    <n v="36"/>
    <n v="6"/>
    <s v="Yes"/>
    <s v="Yes"/>
    <s v="Yes"/>
    <s v="No"/>
    <s v="No"/>
    <s v="No"/>
    <m/>
    <s v="1+ Failures"/>
    <n v="1"/>
    <x v="0"/>
  </r>
  <r>
    <n v="1059"/>
    <d v="2024-05-30T00:00:00"/>
    <s v="Basic"/>
    <n v="199"/>
    <n v="16.7"/>
    <n v="4"/>
    <n v="2"/>
    <n v="30"/>
    <n v="16"/>
    <s v="No"/>
    <s v="No"/>
    <s v="Yes"/>
    <s v="No"/>
    <s v="Yes"/>
    <s v="No"/>
    <m/>
    <s v="1+ Failures"/>
    <n v="0"/>
    <x v="1"/>
  </r>
  <r>
    <n v="1060"/>
    <d v="2024-02-07T00:00:00"/>
    <s v="Basic"/>
    <n v="199"/>
    <n v="18.600000000000001"/>
    <n v="7"/>
    <n v="1"/>
    <n v="8"/>
    <n v="50"/>
    <s v="Yes"/>
    <s v="No"/>
    <s v="Yes"/>
    <s v="Yes"/>
    <s v="Yes"/>
    <s v="No"/>
    <m/>
    <s v="1+ Failures"/>
    <n v="1"/>
    <x v="1"/>
  </r>
  <r>
    <n v="1061"/>
    <d v="2024-11-17T00:00:00"/>
    <s v="Basic"/>
    <n v="199"/>
    <n v="10.7"/>
    <n v="4"/>
    <n v="2"/>
    <n v="6"/>
    <n v="37"/>
    <s v="Yes"/>
    <s v="No"/>
    <s v="Yes"/>
    <s v="No"/>
    <s v="Yes"/>
    <s v="No"/>
    <m/>
    <s v="1+ Failures"/>
    <n v="1"/>
    <x v="1"/>
  </r>
  <r>
    <n v="1062"/>
    <d v="2024-09-10T00:00:00"/>
    <s v="Standard"/>
    <n v="399"/>
    <n v="8.9"/>
    <n v="2"/>
    <n v="1"/>
    <n v="17"/>
    <n v="11"/>
    <s v="Yes"/>
    <s v="No"/>
    <s v="Yes"/>
    <s v="No"/>
    <s v="No"/>
    <s v="No"/>
    <m/>
    <s v="1+ Failures"/>
    <n v="1"/>
    <x v="2"/>
  </r>
  <r>
    <n v="1063"/>
    <d v="2023-06-25T00:00:00"/>
    <s v="Standard"/>
    <n v="399"/>
    <n v="11.1"/>
    <n v="0"/>
    <n v="0"/>
    <n v="7"/>
    <n v="25"/>
    <s v="Yes"/>
    <s v="No"/>
    <s v="No"/>
    <s v="No"/>
    <s v="Yes"/>
    <s v="No"/>
    <m/>
    <s v="0 Failures"/>
    <n v="1"/>
    <x v="1"/>
  </r>
  <r>
    <n v="1064"/>
    <d v="2024-05-13T00:00:00"/>
    <s v="Premium"/>
    <n v="699"/>
    <n v="11.8"/>
    <n v="6"/>
    <n v="5"/>
    <n v="31"/>
    <n v="47"/>
    <s v="Yes"/>
    <s v="No"/>
    <s v="Yes"/>
    <s v="Yes"/>
    <s v="Yes"/>
    <s v="No"/>
    <m/>
    <s v="1+ Failures"/>
    <n v="1"/>
    <x v="1"/>
  </r>
  <r>
    <n v="1065"/>
    <d v="2023-01-15T00:00:00"/>
    <s v="Standard"/>
    <n v="399"/>
    <n v="17.399999999999999"/>
    <n v="6"/>
    <n v="2"/>
    <n v="24"/>
    <n v="5"/>
    <s v="Yes"/>
    <s v="No"/>
    <s v="Yes"/>
    <s v="Yes"/>
    <s v="No"/>
    <s v="No"/>
    <m/>
    <s v="1+ Failures"/>
    <n v="1"/>
    <x v="1"/>
  </r>
  <r>
    <n v="1066"/>
    <d v="2023-05-29T00:00:00"/>
    <s v="Basic"/>
    <n v="199"/>
    <n v="20.5"/>
    <n v="3"/>
    <n v="0"/>
    <n v="8"/>
    <n v="13"/>
    <s v="No"/>
    <s v="No"/>
    <s v="No"/>
    <s v="No"/>
    <s v="No"/>
    <s v="No"/>
    <m/>
    <s v="0 Failures"/>
    <n v="0"/>
    <x v="3"/>
  </r>
  <r>
    <n v="1067"/>
    <d v="2024-04-19T00:00:00"/>
    <s v="Premium"/>
    <n v="699"/>
    <n v="11.2"/>
    <n v="8"/>
    <n v="1"/>
    <n v="16"/>
    <n v="5"/>
    <s v="No"/>
    <s v="No"/>
    <s v="Yes"/>
    <s v="Yes"/>
    <s v="No"/>
    <s v="No"/>
    <m/>
    <s v="1+ Failures"/>
    <n v="0"/>
    <x v="1"/>
  </r>
  <r>
    <n v="1068"/>
    <d v="2024-12-20T00:00:00"/>
    <s v="Basic"/>
    <n v="199"/>
    <n v="10.8"/>
    <n v="1"/>
    <n v="1"/>
    <n v="31"/>
    <n v="57"/>
    <s v="Yes"/>
    <s v="No"/>
    <s v="Yes"/>
    <s v="No"/>
    <s v="Yes"/>
    <s v="No"/>
    <m/>
    <s v="1+ Failures"/>
    <n v="1"/>
    <x v="1"/>
  </r>
  <r>
    <n v="1069"/>
    <d v="2024-08-06T00:00:00"/>
    <s v="Standard"/>
    <n v="399"/>
    <n v="12.1"/>
    <n v="7"/>
    <n v="4"/>
    <n v="32"/>
    <n v="15"/>
    <s v="Yes"/>
    <s v="No"/>
    <s v="Yes"/>
    <s v="Yes"/>
    <s v="Yes"/>
    <s v="No"/>
    <m/>
    <s v="1+ Failures"/>
    <n v="1"/>
    <x v="1"/>
  </r>
  <r>
    <n v="1070"/>
    <d v="2024-03-01T00:00:00"/>
    <s v="Standard"/>
    <n v="399"/>
    <n v="8.6999999999999993"/>
    <n v="1"/>
    <n v="5"/>
    <n v="4"/>
    <n v="54"/>
    <s v="No"/>
    <s v="No"/>
    <s v="Yes"/>
    <s v="No"/>
    <s v="Yes"/>
    <s v="Yes"/>
    <m/>
    <s v="1+ Failures"/>
    <n v="0"/>
    <x v="2"/>
  </r>
  <r>
    <n v="1071"/>
    <d v="2024-08-28T00:00:00"/>
    <s v="Standard"/>
    <n v="399"/>
    <n v="25"/>
    <n v="0"/>
    <n v="3"/>
    <n v="36"/>
    <n v="25"/>
    <s v="Yes"/>
    <s v="No"/>
    <s v="Yes"/>
    <s v="No"/>
    <s v="Yes"/>
    <s v="No"/>
    <m/>
    <s v="1+ Failures"/>
    <n v="1"/>
    <x v="3"/>
  </r>
  <r>
    <n v="1072"/>
    <d v="2023-11-20T00:00:00"/>
    <s v="Premium"/>
    <n v="699"/>
    <n v="6.2"/>
    <n v="0"/>
    <n v="4"/>
    <n v="32"/>
    <n v="1"/>
    <s v="No"/>
    <s v="No"/>
    <s v="Yes"/>
    <s v="No"/>
    <s v="No"/>
    <s v="No"/>
    <m/>
    <s v="1+ Failures"/>
    <n v="0"/>
    <x v="2"/>
  </r>
  <r>
    <n v="1073"/>
    <d v="2024-10-23T00:00:00"/>
    <s v="Premium"/>
    <n v="699"/>
    <n v="7.1"/>
    <n v="6"/>
    <n v="3"/>
    <n v="5"/>
    <n v="7"/>
    <s v="Yes"/>
    <s v="No"/>
    <s v="Yes"/>
    <s v="Yes"/>
    <s v="No"/>
    <s v="Yes"/>
    <m/>
    <s v="1+ Failures"/>
    <n v="1"/>
    <x v="2"/>
  </r>
  <r>
    <n v="1074"/>
    <d v="2024-04-25T00:00:00"/>
    <s v="Standard"/>
    <n v="399"/>
    <n v="17.600000000000001"/>
    <n v="0"/>
    <n v="1"/>
    <n v="29"/>
    <n v="18"/>
    <s v="No"/>
    <s v="No"/>
    <s v="Yes"/>
    <s v="No"/>
    <s v="Yes"/>
    <s v="No"/>
    <m/>
    <s v="1+ Failures"/>
    <n v="0"/>
    <x v="1"/>
  </r>
  <r>
    <n v="1075"/>
    <d v="2024-09-08T00:00:00"/>
    <s v="Standard"/>
    <n v="399"/>
    <n v="6.2"/>
    <n v="3"/>
    <n v="4"/>
    <n v="29"/>
    <n v="58"/>
    <s v="No"/>
    <s v="No"/>
    <s v="Yes"/>
    <s v="No"/>
    <s v="Yes"/>
    <s v="No"/>
    <m/>
    <s v="1+ Failures"/>
    <n v="0"/>
    <x v="2"/>
  </r>
  <r>
    <n v="1076"/>
    <d v="2024-03-02T00:00:00"/>
    <s v="Premium"/>
    <n v="699"/>
    <n v="3.7"/>
    <n v="4"/>
    <n v="5"/>
    <n v="30"/>
    <n v="45"/>
    <s v="Yes"/>
    <s v="Yes"/>
    <s v="Yes"/>
    <s v="No"/>
    <s v="Yes"/>
    <s v="No"/>
    <m/>
    <s v="1+ Failures"/>
    <n v="1"/>
    <x v="0"/>
  </r>
  <r>
    <n v="1077"/>
    <d v="2023-03-30T00:00:00"/>
    <s v="Premium"/>
    <n v="699"/>
    <n v="20"/>
    <n v="2"/>
    <n v="4"/>
    <n v="24"/>
    <n v="13"/>
    <s v="Yes"/>
    <s v="No"/>
    <s v="Yes"/>
    <s v="No"/>
    <s v="No"/>
    <s v="No"/>
    <m/>
    <s v="1+ Failures"/>
    <n v="1"/>
    <x v="1"/>
  </r>
  <r>
    <n v="1078"/>
    <d v="2024-03-01T00:00:00"/>
    <s v="Premium"/>
    <n v="699"/>
    <n v="3.7"/>
    <n v="3"/>
    <n v="1"/>
    <n v="31"/>
    <n v="38"/>
    <s v="Yes"/>
    <s v="Yes"/>
    <s v="Yes"/>
    <s v="No"/>
    <s v="Yes"/>
    <s v="No"/>
    <m/>
    <s v="1+ Failures"/>
    <n v="1"/>
    <x v="0"/>
  </r>
  <r>
    <n v="1079"/>
    <d v="2023-09-25T00:00:00"/>
    <s v="Standard"/>
    <n v="399"/>
    <n v="6.3"/>
    <n v="8"/>
    <n v="0"/>
    <n v="20"/>
    <n v="1"/>
    <s v="No"/>
    <s v="No"/>
    <s v="No"/>
    <s v="Yes"/>
    <s v="No"/>
    <s v="No"/>
    <m/>
    <s v="0 Failures"/>
    <n v="0"/>
    <x v="2"/>
  </r>
  <r>
    <n v="1080"/>
    <d v="2024-03-16T00:00:00"/>
    <s v="Standard"/>
    <n v="399"/>
    <n v="4.8"/>
    <n v="8"/>
    <n v="0"/>
    <n v="11"/>
    <n v="51"/>
    <s v="Yes"/>
    <s v="Yes"/>
    <s v="No"/>
    <s v="Yes"/>
    <s v="Yes"/>
    <s v="No"/>
    <m/>
    <s v="0 Failures"/>
    <n v="1"/>
    <x v="0"/>
  </r>
  <r>
    <n v="1081"/>
    <d v="2023-12-30T00:00:00"/>
    <s v="Basic"/>
    <n v="199"/>
    <n v="3.5"/>
    <n v="3"/>
    <n v="3"/>
    <n v="15"/>
    <n v="16"/>
    <s v="No"/>
    <s v="Yes"/>
    <s v="Yes"/>
    <s v="No"/>
    <s v="Yes"/>
    <s v="No"/>
    <m/>
    <s v="1+ Failures"/>
    <n v="0"/>
    <x v="0"/>
  </r>
  <r>
    <n v="1082"/>
    <d v="2024-11-16T00:00:00"/>
    <s v="Basic"/>
    <n v="199"/>
    <n v="7.1"/>
    <n v="2"/>
    <n v="5"/>
    <n v="36"/>
    <n v="55"/>
    <s v="Yes"/>
    <s v="No"/>
    <s v="Yes"/>
    <s v="No"/>
    <s v="Yes"/>
    <s v="No"/>
    <m/>
    <s v="1+ Failures"/>
    <n v="1"/>
    <x v="2"/>
  </r>
  <r>
    <n v="1083"/>
    <d v="2023-04-19T00:00:00"/>
    <s v="Basic"/>
    <n v="199"/>
    <n v="23.2"/>
    <n v="7"/>
    <n v="3"/>
    <n v="4"/>
    <n v="53"/>
    <s v="No"/>
    <s v="No"/>
    <s v="Yes"/>
    <s v="Yes"/>
    <s v="Yes"/>
    <s v="Yes"/>
    <m/>
    <s v="1+ Failures"/>
    <n v="0"/>
    <x v="3"/>
  </r>
  <r>
    <n v="1084"/>
    <d v="2023-05-01T00:00:00"/>
    <s v="Premium"/>
    <n v="699"/>
    <n v="20.7"/>
    <n v="0"/>
    <n v="4"/>
    <n v="7"/>
    <n v="6"/>
    <s v="Yes"/>
    <s v="No"/>
    <s v="Yes"/>
    <s v="No"/>
    <s v="No"/>
    <s v="No"/>
    <m/>
    <s v="1+ Failures"/>
    <n v="1"/>
    <x v="3"/>
  </r>
  <r>
    <n v="1085"/>
    <d v="2024-05-25T00:00:00"/>
    <s v="Basic"/>
    <n v="199"/>
    <n v="4.3"/>
    <n v="4"/>
    <n v="5"/>
    <n v="24"/>
    <n v="28"/>
    <s v="Yes"/>
    <s v="Yes"/>
    <s v="Yes"/>
    <s v="No"/>
    <s v="Yes"/>
    <s v="No"/>
    <m/>
    <s v="1+ Failures"/>
    <n v="1"/>
    <x v="0"/>
  </r>
  <r>
    <n v="1086"/>
    <d v="2023-07-26T00:00:00"/>
    <s v="Premium"/>
    <n v="699"/>
    <n v="4.3"/>
    <n v="5"/>
    <n v="2"/>
    <n v="7"/>
    <n v="52"/>
    <s v="Yes"/>
    <s v="Yes"/>
    <s v="Yes"/>
    <s v="Yes"/>
    <s v="Yes"/>
    <s v="No"/>
    <m/>
    <s v="1+ Failures"/>
    <n v="1"/>
    <x v="0"/>
  </r>
  <r>
    <n v="1087"/>
    <d v="2023-12-16T00:00:00"/>
    <s v="Standard"/>
    <n v="399"/>
    <n v="19.3"/>
    <n v="0"/>
    <n v="1"/>
    <n v="27"/>
    <n v="53"/>
    <s v="No"/>
    <s v="No"/>
    <s v="Yes"/>
    <s v="No"/>
    <s v="Yes"/>
    <s v="No"/>
    <m/>
    <s v="1+ Failures"/>
    <n v="0"/>
    <x v="1"/>
  </r>
  <r>
    <n v="1088"/>
    <d v="2024-01-05T00:00:00"/>
    <s v="Standard"/>
    <n v="399"/>
    <n v="4.7"/>
    <n v="4"/>
    <n v="2"/>
    <n v="33"/>
    <n v="45"/>
    <s v="Yes"/>
    <s v="Yes"/>
    <s v="Yes"/>
    <s v="No"/>
    <s v="Yes"/>
    <s v="No"/>
    <m/>
    <s v="1+ Failures"/>
    <n v="1"/>
    <x v="0"/>
  </r>
  <r>
    <n v="1089"/>
    <d v="2024-03-15T00:00:00"/>
    <s v="Premium"/>
    <n v="699"/>
    <n v="4.2"/>
    <n v="8"/>
    <n v="3"/>
    <n v="16"/>
    <n v="50"/>
    <s v="Yes"/>
    <s v="Yes"/>
    <s v="Yes"/>
    <s v="Yes"/>
    <s v="Yes"/>
    <s v="No"/>
    <m/>
    <s v="1+ Failures"/>
    <n v="1"/>
    <x v="0"/>
  </r>
  <r>
    <n v="1090"/>
    <d v="2024-03-29T00:00:00"/>
    <s v="Standard"/>
    <n v="399"/>
    <n v="22.5"/>
    <n v="8"/>
    <n v="5"/>
    <n v="27"/>
    <n v="23"/>
    <s v="No"/>
    <s v="No"/>
    <s v="Yes"/>
    <s v="Yes"/>
    <s v="Yes"/>
    <s v="No"/>
    <m/>
    <s v="1+ Failures"/>
    <n v="0"/>
    <x v="3"/>
  </r>
  <r>
    <n v="1091"/>
    <d v="2024-02-16T00:00:00"/>
    <s v="Basic"/>
    <n v="199"/>
    <n v="18.100000000000001"/>
    <n v="8"/>
    <n v="0"/>
    <n v="1"/>
    <n v="5"/>
    <s v="No"/>
    <s v="No"/>
    <s v="No"/>
    <s v="Yes"/>
    <s v="No"/>
    <s v="Yes"/>
    <m/>
    <s v="0 Failures"/>
    <n v="0"/>
    <x v="1"/>
  </r>
  <r>
    <n v="1092"/>
    <d v="2024-08-11T00:00:00"/>
    <s v="Basic"/>
    <n v="199"/>
    <n v="2"/>
    <n v="0"/>
    <n v="5"/>
    <n v="28"/>
    <n v="59"/>
    <s v="Yes"/>
    <s v="Yes"/>
    <s v="Yes"/>
    <s v="No"/>
    <s v="Yes"/>
    <s v="No"/>
    <m/>
    <s v="1+ Failures"/>
    <n v="1"/>
    <x v="0"/>
  </r>
  <r>
    <n v="1093"/>
    <d v="2024-07-20T00:00:00"/>
    <s v="Basic"/>
    <n v="199"/>
    <n v="24.3"/>
    <n v="6"/>
    <n v="3"/>
    <n v="34"/>
    <n v="56"/>
    <s v="Yes"/>
    <s v="No"/>
    <s v="Yes"/>
    <s v="Yes"/>
    <s v="Yes"/>
    <s v="No"/>
    <m/>
    <s v="1+ Failures"/>
    <n v="1"/>
    <x v="3"/>
  </r>
  <r>
    <n v="1094"/>
    <d v="2023-05-31T00:00:00"/>
    <s v="Standard"/>
    <n v="399"/>
    <n v="22.8"/>
    <n v="0"/>
    <n v="2"/>
    <n v="21"/>
    <n v="57"/>
    <s v="Yes"/>
    <s v="No"/>
    <s v="Yes"/>
    <s v="No"/>
    <s v="Yes"/>
    <s v="No"/>
    <m/>
    <s v="1+ Failures"/>
    <n v="1"/>
    <x v="3"/>
  </r>
  <r>
    <n v="1095"/>
    <d v="2024-10-29T00:00:00"/>
    <s v="Premium"/>
    <n v="699"/>
    <n v="11.4"/>
    <n v="3"/>
    <n v="4"/>
    <n v="26"/>
    <n v="39"/>
    <s v="No"/>
    <s v="No"/>
    <s v="Yes"/>
    <s v="No"/>
    <s v="Yes"/>
    <s v="No"/>
    <m/>
    <s v="1+ Failures"/>
    <n v="0"/>
    <x v="1"/>
  </r>
  <r>
    <n v="1096"/>
    <d v="2023-02-07T00:00:00"/>
    <s v="Standard"/>
    <n v="399"/>
    <n v="22.2"/>
    <n v="6"/>
    <n v="1"/>
    <n v="23"/>
    <n v="56"/>
    <s v="Yes"/>
    <s v="No"/>
    <s v="Yes"/>
    <s v="Yes"/>
    <s v="Yes"/>
    <s v="No"/>
    <m/>
    <s v="1+ Failures"/>
    <n v="1"/>
    <x v="3"/>
  </r>
  <r>
    <n v="1097"/>
    <d v="2023-04-06T00:00:00"/>
    <s v="Premium"/>
    <n v="699"/>
    <n v="10.1"/>
    <n v="2"/>
    <n v="4"/>
    <n v="22"/>
    <n v="34"/>
    <s v="Yes"/>
    <s v="No"/>
    <s v="Yes"/>
    <s v="No"/>
    <s v="Yes"/>
    <s v="No"/>
    <m/>
    <s v="1+ Failures"/>
    <n v="1"/>
    <x v="1"/>
  </r>
  <r>
    <n v="1098"/>
    <d v="2024-07-06T00:00:00"/>
    <s v="Premium"/>
    <n v="699"/>
    <n v="8.1999999999999993"/>
    <n v="5"/>
    <n v="5"/>
    <n v="36"/>
    <n v="10"/>
    <s v="Yes"/>
    <s v="No"/>
    <s v="Yes"/>
    <s v="Yes"/>
    <s v="No"/>
    <s v="No"/>
    <m/>
    <s v="1+ Failures"/>
    <n v="1"/>
    <x v="2"/>
  </r>
  <r>
    <n v="1099"/>
    <d v="2023-04-24T00:00:00"/>
    <s v="Premium"/>
    <n v="699"/>
    <n v="6.4"/>
    <n v="4"/>
    <n v="5"/>
    <n v="17"/>
    <n v="27"/>
    <s v="No"/>
    <s v="No"/>
    <s v="Yes"/>
    <s v="No"/>
    <s v="Yes"/>
    <s v="No"/>
    <m/>
    <s v="1+ Failures"/>
    <n v="0"/>
    <x v="2"/>
  </r>
  <r>
    <n v="1100"/>
    <d v="2023-02-18T00:00:00"/>
    <s v="Premium"/>
    <n v="699"/>
    <n v="21.1"/>
    <n v="4"/>
    <n v="5"/>
    <n v="4"/>
    <n v="32"/>
    <s v="Yes"/>
    <s v="No"/>
    <s v="Yes"/>
    <s v="No"/>
    <s v="Yes"/>
    <s v="Yes"/>
    <m/>
    <s v="1+ Failures"/>
    <n v="1"/>
    <x v="3"/>
  </r>
  <r>
    <n v="1101"/>
    <d v="2024-08-18T00:00:00"/>
    <s v="Premium"/>
    <n v="699"/>
    <n v="11.5"/>
    <n v="0"/>
    <n v="3"/>
    <n v="8"/>
    <n v="21"/>
    <s v="No"/>
    <s v="No"/>
    <s v="Yes"/>
    <s v="No"/>
    <s v="Yes"/>
    <s v="No"/>
    <m/>
    <s v="1+ Failures"/>
    <n v="0"/>
    <x v="1"/>
  </r>
  <r>
    <n v="1102"/>
    <d v="2024-08-09T00:00:00"/>
    <s v="Premium"/>
    <n v="699"/>
    <n v="21.2"/>
    <n v="3"/>
    <n v="2"/>
    <n v="35"/>
    <n v="19"/>
    <s v="Yes"/>
    <s v="No"/>
    <s v="Yes"/>
    <s v="No"/>
    <s v="Yes"/>
    <s v="No"/>
    <m/>
    <s v="1+ Failures"/>
    <n v="1"/>
    <x v="3"/>
  </r>
  <r>
    <n v="1103"/>
    <d v="2024-06-12T00:00:00"/>
    <s v="Premium"/>
    <n v="699"/>
    <n v="18"/>
    <n v="8"/>
    <n v="5"/>
    <n v="9"/>
    <n v="15"/>
    <s v="Yes"/>
    <s v="No"/>
    <s v="Yes"/>
    <s v="Yes"/>
    <s v="Yes"/>
    <s v="No"/>
    <m/>
    <s v="1+ Failures"/>
    <n v="1"/>
    <x v="1"/>
  </r>
  <r>
    <n v="1104"/>
    <d v="2024-03-11T00:00:00"/>
    <s v="Premium"/>
    <n v="699"/>
    <n v="20.7"/>
    <n v="5"/>
    <n v="3"/>
    <n v="13"/>
    <n v="6"/>
    <s v="Yes"/>
    <s v="No"/>
    <s v="Yes"/>
    <s v="Yes"/>
    <s v="No"/>
    <s v="No"/>
    <m/>
    <s v="1+ Failures"/>
    <n v="1"/>
    <x v="3"/>
  </r>
  <r>
    <n v="1105"/>
    <d v="2023-03-21T00:00:00"/>
    <s v="Standard"/>
    <n v="399"/>
    <n v="2.8"/>
    <n v="6"/>
    <n v="1"/>
    <n v="6"/>
    <n v="30"/>
    <s v="Yes"/>
    <s v="Yes"/>
    <s v="Yes"/>
    <s v="Yes"/>
    <s v="Yes"/>
    <s v="No"/>
    <m/>
    <s v="1+ Failures"/>
    <n v="1"/>
    <x v="0"/>
  </r>
  <r>
    <n v="1106"/>
    <d v="2023-09-28T00:00:00"/>
    <s v="Standard"/>
    <n v="399"/>
    <n v="10.4"/>
    <n v="8"/>
    <n v="4"/>
    <n v="34"/>
    <n v="49"/>
    <s v="Yes"/>
    <s v="No"/>
    <s v="Yes"/>
    <s v="Yes"/>
    <s v="Yes"/>
    <s v="No"/>
    <m/>
    <s v="1+ Failures"/>
    <n v="1"/>
    <x v="1"/>
  </r>
  <r>
    <n v="1107"/>
    <d v="2024-03-02T00:00:00"/>
    <s v="Premium"/>
    <n v="699"/>
    <n v="16.100000000000001"/>
    <n v="7"/>
    <n v="5"/>
    <n v="32"/>
    <n v="59"/>
    <s v="No"/>
    <s v="No"/>
    <s v="Yes"/>
    <s v="Yes"/>
    <s v="Yes"/>
    <s v="No"/>
    <m/>
    <s v="1+ Failures"/>
    <n v="0"/>
    <x v="1"/>
  </r>
  <r>
    <n v="1108"/>
    <d v="2024-12-22T00:00:00"/>
    <s v="Basic"/>
    <n v="199"/>
    <n v="12.9"/>
    <n v="7"/>
    <n v="5"/>
    <n v="10"/>
    <n v="29"/>
    <s v="Yes"/>
    <s v="No"/>
    <s v="Yes"/>
    <s v="Yes"/>
    <s v="Yes"/>
    <s v="No"/>
    <m/>
    <s v="1+ Failures"/>
    <n v="1"/>
    <x v="1"/>
  </r>
  <r>
    <n v="1109"/>
    <d v="2023-06-10T00:00:00"/>
    <s v="Premium"/>
    <n v="699"/>
    <n v="3.4"/>
    <n v="3"/>
    <n v="3"/>
    <n v="34"/>
    <n v="30"/>
    <s v="Yes"/>
    <s v="Yes"/>
    <s v="Yes"/>
    <s v="No"/>
    <s v="Yes"/>
    <s v="No"/>
    <m/>
    <s v="1+ Failures"/>
    <n v="1"/>
    <x v="0"/>
  </r>
  <r>
    <n v="1110"/>
    <d v="2023-05-04T00:00:00"/>
    <s v="Premium"/>
    <n v="699"/>
    <n v="23.1"/>
    <n v="1"/>
    <n v="4"/>
    <n v="24"/>
    <n v="54"/>
    <s v="Yes"/>
    <s v="No"/>
    <s v="Yes"/>
    <s v="No"/>
    <s v="Yes"/>
    <s v="No"/>
    <m/>
    <s v="1+ Failures"/>
    <n v="1"/>
    <x v="3"/>
  </r>
  <r>
    <n v="1111"/>
    <d v="2024-01-19T00:00:00"/>
    <s v="Standard"/>
    <n v="399"/>
    <n v="1.5"/>
    <n v="2"/>
    <n v="0"/>
    <n v="19"/>
    <n v="23"/>
    <s v="Yes"/>
    <s v="Yes"/>
    <s v="No"/>
    <s v="No"/>
    <s v="Yes"/>
    <s v="No"/>
    <m/>
    <s v="0 Failures"/>
    <n v="1"/>
    <x v="0"/>
  </r>
  <r>
    <n v="1112"/>
    <d v="2023-02-19T00:00:00"/>
    <s v="Standard"/>
    <n v="399"/>
    <n v="12.4"/>
    <n v="2"/>
    <n v="1"/>
    <n v="19"/>
    <n v="50"/>
    <s v="No"/>
    <s v="No"/>
    <s v="Yes"/>
    <s v="No"/>
    <s v="Yes"/>
    <s v="No"/>
    <m/>
    <s v="1+ Failures"/>
    <n v="0"/>
    <x v="1"/>
  </r>
  <r>
    <n v="1113"/>
    <d v="2023-03-11T00:00:00"/>
    <s v="Standard"/>
    <n v="399"/>
    <n v="5.8"/>
    <n v="7"/>
    <n v="0"/>
    <n v="19"/>
    <n v="7"/>
    <s v="No"/>
    <s v="No"/>
    <s v="No"/>
    <s v="Yes"/>
    <s v="No"/>
    <s v="No"/>
    <m/>
    <s v="0 Failures"/>
    <n v="0"/>
    <x v="2"/>
  </r>
  <r>
    <n v="1114"/>
    <d v="2024-01-22T00:00:00"/>
    <s v="Basic"/>
    <n v="199"/>
    <n v="12.3"/>
    <n v="4"/>
    <n v="4"/>
    <n v="27"/>
    <n v="28"/>
    <s v="No"/>
    <s v="No"/>
    <s v="Yes"/>
    <s v="No"/>
    <s v="Yes"/>
    <s v="No"/>
    <m/>
    <s v="1+ Failures"/>
    <n v="0"/>
    <x v="1"/>
  </r>
  <r>
    <n v="1115"/>
    <d v="2024-11-14T00:00:00"/>
    <s v="Standard"/>
    <n v="399"/>
    <n v="19.2"/>
    <n v="8"/>
    <n v="5"/>
    <n v="9"/>
    <n v="29"/>
    <s v="No"/>
    <s v="No"/>
    <s v="Yes"/>
    <s v="Yes"/>
    <s v="Yes"/>
    <s v="No"/>
    <m/>
    <s v="1+ Failures"/>
    <n v="0"/>
    <x v="1"/>
  </r>
  <r>
    <n v="1116"/>
    <d v="2024-09-30T00:00:00"/>
    <s v="Standard"/>
    <n v="399"/>
    <n v="21.7"/>
    <n v="5"/>
    <n v="0"/>
    <n v="10"/>
    <n v="51"/>
    <s v="No"/>
    <s v="No"/>
    <s v="No"/>
    <s v="Yes"/>
    <s v="Yes"/>
    <s v="No"/>
    <m/>
    <s v="0 Failures"/>
    <n v="0"/>
    <x v="3"/>
  </r>
  <r>
    <n v="1117"/>
    <d v="2024-11-17T00:00:00"/>
    <s v="Standard"/>
    <n v="399"/>
    <n v="6.2"/>
    <n v="6"/>
    <n v="2"/>
    <n v="25"/>
    <n v="34"/>
    <s v="Yes"/>
    <s v="No"/>
    <s v="Yes"/>
    <s v="Yes"/>
    <s v="Yes"/>
    <s v="No"/>
    <m/>
    <s v="1+ Failures"/>
    <n v="1"/>
    <x v="2"/>
  </r>
  <r>
    <n v="1118"/>
    <d v="2024-12-25T00:00:00"/>
    <s v="Standard"/>
    <n v="399"/>
    <n v="16.3"/>
    <n v="2"/>
    <n v="5"/>
    <n v="18"/>
    <n v="1"/>
    <s v="No"/>
    <s v="No"/>
    <s v="Yes"/>
    <s v="No"/>
    <s v="No"/>
    <s v="No"/>
    <m/>
    <s v="1+ Failures"/>
    <n v="0"/>
    <x v="1"/>
  </r>
  <r>
    <n v="1119"/>
    <d v="2024-07-08T00:00:00"/>
    <s v="Standard"/>
    <n v="399"/>
    <n v="16.3"/>
    <n v="8"/>
    <n v="0"/>
    <n v="36"/>
    <n v="12"/>
    <s v="No"/>
    <s v="No"/>
    <s v="No"/>
    <s v="Yes"/>
    <s v="No"/>
    <s v="No"/>
    <m/>
    <s v="0 Failures"/>
    <n v="0"/>
    <x v="1"/>
  </r>
  <r>
    <n v="1120"/>
    <d v="2023-01-20T00:00:00"/>
    <s v="Premium"/>
    <n v="699"/>
    <n v="24"/>
    <n v="8"/>
    <n v="1"/>
    <n v="4"/>
    <n v="48"/>
    <s v="Yes"/>
    <s v="No"/>
    <s v="Yes"/>
    <s v="Yes"/>
    <s v="Yes"/>
    <s v="Yes"/>
    <m/>
    <s v="1+ Failures"/>
    <n v="1"/>
    <x v="3"/>
  </r>
  <r>
    <n v="1121"/>
    <d v="2024-12-23T00:00:00"/>
    <s v="Basic"/>
    <n v="199"/>
    <n v="4.9000000000000004"/>
    <n v="0"/>
    <n v="2"/>
    <n v="35"/>
    <n v="50"/>
    <s v="Yes"/>
    <s v="Yes"/>
    <s v="Yes"/>
    <s v="No"/>
    <s v="Yes"/>
    <s v="No"/>
    <m/>
    <s v="1+ Failures"/>
    <n v="1"/>
    <x v="0"/>
  </r>
  <r>
    <n v="1122"/>
    <d v="2023-02-16T00:00:00"/>
    <s v="Premium"/>
    <n v="699"/>
    <n v="2.6"/>
    <n v="8"/>
    <n v="4"/>
    <n v="29"/>
    <n v="20"/>
    <s v="Yes"/>
    <s v="Yes"/>
    <s v="Yes"/>
    <s v="Yes"/>
    <s v="Yes"/>
    <s v="No"/>
    <m/>
    <s v="1+ Failures"/>
    <n v="1"/>
    <x v="0"/>
  </r>
  <r>
    <n v="1123"/>
    <d v="2023-11-21T00:00:00"/>
    <s v="Standard"/>
    <n v="399"/>
    <n v="8.8000000000000007"/>
    <n v="2"/>
    <n v="3"/>
    <n v="2"/>
    <n v="1"/>
    <s v="No"/>
    <s v="No"/>
    <s v="Yes"/>
    <s v="No"/>
    <s v="No"/>
    <s v="Yes"/>
    <m/>
    <s v="1+ Failures"/>
    <n v="0"/>
    <x v="2"/>
  </r>
  <r>
    <n v="1124"/>
    <d v="2023-07-07T00:00:00"/>
    <s v="Standard"/>
    <n v="399"/>
    <n v="2.7"/>
    <n v="1"/>
    <n v="4"/>
    <n v="17"/>
    <n v="10"/>
    <s v="Yes"/>
    <s v="Yes"/>
    <s v="Yes"/>
    <s v="No"/>
    <s v="No"/>
    <s v="No"/>
    <m/>
    <s v="1+ Failures"/>
    <n v="1"/>
    <x v="0"/>
  </r>
  <r>
    <n v="1125"/>
    <d v="2023-11-30T00:00:00"/>
    <s v="Standard"/>
    <n v="399"/>
    <n v="4.3"/>
    <n v="6"/>
    <n v="5"/>
    <n v="6"/>
    <n v="10"/>
    <s v="Yes"/>
    <s v="Yes"/>
    <s v="Yes"/>
    <s v="Yes"/>
    <s v="No"/>
    <s v="No"/>
    <m/>
    <s v="1+ Failures"/>
    <n v="1"/>
    <x v="0"/>
  </r>
  <r>
    <n v="1126"/>
    <d v="2024-02-27T00:00:00"/>
    <s v="Basic"/>
    <n v="199"/>
    <n v="18"/>
    <n v="4"/>
    <n v="3"/>
    <n v="2"/>
    <n v="6"/>
    <s v="Yes"/>
    <s v="No"/>
    <s v="Yes"/>
    <s v="No"/>
    <s v="No"/>
    <s v="Yes"/>
    <m/>
    <s v="1+ Failures"/>
    <n v="1"/>
    <x v="1"/>
  </r>
  <r>
    <n v="1127"/>
    <d v="2024-09-03T00:00:00"/>
    <s v="Standard"/>
    <n v="399"/>
    <n v="9.6999999999999993"/>
    <n v="1"/>
    <n v="0"/>
    <n v="17"/>
    <n v="12"/>
    <s v="No"/>
    <s v="No"/>
    <s v="No"/>
    <s v="No"/>
    <s v="No"/>
    <s v="No"/>
    <m/>
    <s v="0 Failures"/>
    <n v="0"/>
    <x v="2"/>
  </r>
  <r>
    <n v="1128"/>
    <d v="2023-03-04T00:00:00"/>
    <s v="Premium"/>
    <n v="699"/>
    <n v="12.6"/>
    <n v="8"/>
    <n v="3"/>
    <n v="16"/>
    <n v="60"/>
    <s v="Yes"/>
    <s v="No"/>
    <s v="Yes"/>
    <s v="Yes"/>
    <s v="Yes"/>
    <s v="No"/>
    <m/>
    <s v="1+ Failures"/>
    <n v="1"/>
    <x v="1"/>
  </r>
  <r>
    <n v="1129"/>
    <d v="2023-08-28T00:00:00"/>
    <s v="Standard"/>
    <n v="399"/>
    <n v="14.1"/>
    <n v="1"/>
    <n v="3"/>
    <n v="30"/>
    <n v="1"/>
    <s v="No"/>
    <s v="No"/>
    <s v="Yes"/>
    <s v="No"/>
    <s v="No"/>
    <s v="No"/>
    <m/>
    <s v="1+ Failures"/>
    <n v="0"/>
    <x v="1"/>
  </r>
  <r>
    <n v="1130"/>
    <d v="2023-05-09T00:00:00"/>
    <s v="Basic"/>
    <n v="199"/>
    <n v="14.1"/>
    <n v="1"/>
    <n v="1"/>
    <n v="18"/>
    <n v="48"/>
    <s v="No"/>
    <s v="No"/>
    <s v="Yes"/>
    <s v="No"/>
    <s v="Yes"/>
    <s v="No"/>
    <m/>
    <s v="1+ Failures"/>
    <n v="0"/>
    <x v="1"/>
  </r>
  <r>
    <n v="1131"/>
    <d v="2024-01-18T00:00:00"/>
    <s v="Standard"/>
    <n v="399"/>
    <n v="11.4"/>
    <n v="8"/>
    <n v="1"/>
    <n v="27"/>
    <n v="50"/>
    <s v="No"/>
    <s v="No"/>
    <s v="Yes"/>
    <s v="Yes"/>
    <s v="Yes"/>
    <s v="No"/>
    <m/>
    <s v="1+ Failures"/>
    <n v="0"/>
    <x v="1"/>
  </r>
  <r>
    <n v="1132"/>
    <d v="2023-02-12T00:00:00"/>
    <s v="Premium"/>
    <n v="699"/>
    <n v="19.7"/>
    <n v="8"/>
    <n v="3"/>
    <n v="11"/>
    <n v="58"/>
    <s v="Yes"/>
    <s v="No"/>
    <s v="Yes"/>
    <s v="Yes"/>
    <s v="Yes"/>
    <s v="No"/>
    <m/>
    <s v="1+ Failures"/>
    <n v="1"/>
    <x v="1"/>
  </r>
  <r>
    <n v="1133"/>
    <d v="2024-05-08T00:00:00"/>
    <s v="Basic"/>
    <n v="199"/>
    <n v="24"/>
    <n v="4"/>
    <n v="5"/>
    <n v="30"/>
    <n v="10"/>
    <s v="Yes"/>
    <s v="No"/>
    <s v="Yes"/>
    <s v="No"/>
    <s v="No"/>
    <s v="No"/>
    <m/>
    <s v="1+ Failures"/>
    <n v="1"/>
    <x v="3"/>
  </r>
  <r>
    <n v="1134"/>
    <d v="2024-08-22T00:00:00"/>
    <s v="Standard"/>
    <n v="399"/>
    <n v="21.1"/>
    <n v="6"/>
    <n v="2"/>
    <n v="17"/>
    <n v="53"/>
    <s v="Yes"/>
    <s v="No"/>
    <s v="Yes"/>
    <s v="Yes"/>
    <s v="Yes"/>
    <s v="No"/>
    <m/>
    <s v="1+ Failures"/>
    <n v="1"/>
    <x v="3"/>
  </r>
  <r>
    <n v="1135"/>
    <d v="2024-02-09T00:00:00"/>
    <s v="Premium"/>
    <n v="699"/>
    <n v="1.6"/>
    <n v="8"/>
    <n v="4"/>
    <n v="19"/>
    <n v="4"/>
    <s v="Yes"/>
    <s v="Yes"/>
    <s v="Yes"/>
    <s v="Yes"/>
    <s v="No"/>
    <s v="No"/>
    <m/>
    <s v="1+ Failures"/>
    <n v="1"/>
    <x v="0"/>
  </r>
  <r>
    <n v="1136"/>
    <d v="2024-09-17T00:00:00"/>
    <s v="Premium"/>
    <n v="699"/>
    <n v="20.8"/>
    <n v="8"/>
    <n v="2"/>
    <n v="8"/>
    <n v="56"/>
    <s v="Yes"/>
    <s v="No"/>
    <s v="Yes"/>
    <s v="Yes"/>
    <s v="Yes"/>
    <s v="No"/>
    <m/>
    <s v="1+ Failures"/>
    <n v="1"/>
    <x v="3"/>
  </r>
  <r>
    <n v="1137"/>
    <d v="2024-12-25T00:00:00"/>
    <s v="Premium"/>
    <n v="699"/>
    <n v="22.2"/>
    <n v="5"/>
    <n v="5"/>
    <n v="21"/>
    <n v="16"/>
    <s v="No"/>
    <s v="No"/>
    <s v="Yes"/>
    <s v="Yes"/>
    <s v="Yes"/>
    <s v="No"/>
    <m/>
    <s v="1+ Failures"/>
    <n v="0"/>
    <x v="3"/>
  </r>
  <r>
    <n v="1138"/>
    <d v="2024-09-05T00:00:00"/>
    <s v="Standard"/>
    <n v="399"/>
    <n v="6.5"/>
    <n v="5"/>
    <n v="2"/>
    <n v="18"/>
    <n v="13"/>
    <s v="Yes"/>
    <s v="No"/>
    <s v="Yes"/>
    <s v="Yes"/>
    <s v="No"/>
    <s v="No"/>
    <m/>
    <s v="1+ Failures"/>
    <n v="1"/>
    <x v="2"/>
  </r>
  <r>
    <n v="1139"/>
    <d v="2024-05-02T00:00:00"/>
    <s v="Standard"/>
    <n v="399"/>
    <n v="22.9"/>
    <n v="2"/>
    <n v="5"/>
    <n v="2"/>
    <n v="59"/>
    <s v="Yes"/>
    <s v="No"/>
    <s v="Yes"/>
    <s v="No"/>
    <s v="Yes"/>
    <s v="Yes"/>
    <m/>
    <s v="1+ Failures"/>
    <n v="1"/>
    <x v="3"/>
  </r>
  <r>
    <n v="1140"/>
    <d v="2024-05-15T00:00:00"/>
    <s v="Basic"/>
    <n v="199"/>
    <n v="17"/>
    <n v="6"/>
    <n v="4"/>
    <n v="1"/>
    <n v="57"/>
    <s v="Yes"/>
    <s v="No"/>
    <s v="Yes"/>
    <s v="Yes"/>
    <s v="Yes"/>
    <s v="Yes"/>
    <m/>
    <s v="1+ Failures"/>
    <n v="1"/>
    <x v="1"/>
  </r>
  <r>
    <n v="1141"/>
    <d v="2024-11-18T00:00:00"/>
    <s v="Standard"/>
    <n v="399"/>
    <n v="2.5"/>
    <n v="1"/>
    <n v="4"/>
    <n v="35"/>
    <n v="1"/>
    <s v="No"/>
    <s v="Yes"/>
    <s v="Yes"/>
    <s v="No"/>
    <s v="No"/>
    <s v="No"/>
    <m/>
    <s v="1+ Failures"/>
    <n v="0"/>
    <x v="0"/>
  </r>
  <r>
    <n v="1142"/>
    <d v="2024-12-14T00:00:00"/>
    <s v="Standard"/>
    <n v="399"/>
    <n v="9.1"/>
    <n v="6"/>
    <n v="4"/>
    <n v="8"/>
    <n v="22"/>
    <s v="Yes"/>
    <s v="No"/>
    <s v="Yes"/>
    <s v="Yes"/>
    <s v="Yes"/>
    <s v="No"/>
    <m/>
    <s v="1+ Failures"/>
    <n v="1"/>
    <x v="2"/>
  </r>
  <r>
    <n v="1143"/>
    <d v="2023-01-21T00:00:00"/>
    <s v="Basic"/>
    <n v="199"/>
    <n v="11.8"/>
    <n v="3"/>
    <n v="3"/>
    <n v="8"/>
    <n v="0"/>
    <s v="Yes"/>
    <s v="No"/>
    <s v="Yes"/>
    <s v="No"/>
    <s v="No"/>
    <s v="No"/>
    <m/>
    <s v="1+ Failures"/>
    <n v="1"/>
    <x v="1"/>
  </r>
  <r>
    <n v="1144"/>
    <d v="2024-05-20T00:00:00"/>
    <s v="Standard"/>
    <n v="399"/>
    <n v="5.2"/>
    <n v="4"/>
    <n v="5"/>
    <n v="23"/>
    <n v="14"/>
    <s v="Yes"/>
    <s v="No"/>
    <s v="Yes"/>
    <s v="No"/>
    <s v="No"/>
    <s v="No"/>
    <m/>
    <s v="1+ Failures"/>
    <n v="1"/>
    <x v="2"/>
  </r>
  <r>
    <n v="1145"/>
    <d v="2024-10-15T00:00:00"/>
    <s v="Standard"/>
    <n v="399"/>
    <n v="7.4"/>
    <n v="3"/>
    <n v="0"/>
    <n v="3"/>
    <n v="12"/>
    <s v="No"/>
    <s v="No"/>
    <s v="No"/>
    <s v="No"/>
    <s v="No"/>
    <s v="Yes"/>
    <m/>
    <s v="0 Failures"/>
    <n v="0"/>
    <x v="2"/>
  </r>
  <r>
    <n v="1146"/>
    <d v="2024-11-06T00:00:00"/>
    <s v="Standard"/>
    <n v="399"/>
    <n v="21.8"/>
    <n v="8"/>
    <n v="3"/>
    <n v="8"/>
    <n v="10"/>
    <s v="No"/>
    <s v="No"/>
    <s v="Yes"/>
    <s v="Yes"/>
    <s v="No"/>
    <s v="No"/>
    <m/>
    <s v="1+ Failures"/>
    <n v="0"/>
    <x v="3"/>
  </r>
  <r>
    <n v="1147"/>
    <d v="2024-08-06T00:00:00"/>
    <s v="Premium"/>
    <n v="699"/>
    <n v="2.1"/>
    <n v="2"/>
    <n v="5"/>
    <n v="12"/>
    <n v="4"/>
    <s v="Yes"/>
    <s v="Yes"/>
    <s v="Yes"/>
    <s v="No"/>
    <s v="No"/>
    <s v="No"/>
    <m/>
    <s v="1+ Failures"/>
    <n v="1"/>
    <x v="0"/>
  </r>
  <r>
    <n v="1148"/>
    <d v="2024-12-10T00:00:00"/>
    <s v="Basic"/>
    <n v="199"/>
    <n v="18.399999999999999"/>
    <n v="4"/>
    <n v="1"/>
    <n v="34"/>
    <n v="54"/>
    <s v="No"/>
    <s v="No"/>
    <s v="Yes"/>
    <s v="No"/>
    <s v="Yes"/>
    <s v="No"/>
    <m/>
    <s v="1+ Failures"/>
    <n v="0"/>
    <x v="1"/>
  </r>
  <r>
    <n v="1149"/>
    <d v="2024-10-18T00:00:00"/>
    <s v="Premium"/>
    <n v="699"/>
    <n v="15.6"/>
    <n v="8"/>
    <n v="3"/>
    <n v="35"/>
    <n v="0"/>
    <s v="No"/>
    <s v="No"/>
    <s v="Yes"/>
    <s v="Yes"/>
    <s v="No"/>
    <s v="No"/>
    <m/>
    <s v="1+ Failures"/>
    <n v="0"/>
    <x v="1"/>
  </r>
  <r>
    <n v="1150"/>
    <d v="2023-10-08T00:00:00"/>
    <s v="Premium"/>
    <n v="699"/>
    <n v="21.4"/>
    <n v="5"/>
    <n v="3"/>
    <n v="4"/>
    <n v="54"/>
    <s v="No"/>
    <s v="No"/>
    <s v="Yes"/>
    <s v="Yes"/>
    <s v="Yes"/>
    <s v="Yes"/>
    <m/>
    <s v="1+ Failures"/>
    <n v="0"/>
    <x v="3"/>
  </r>
  <r>
    <n v="1151"/>
    <d v="2023-08-18T00:00:00"/>
    <s v="Basic"/>
    <n v="199"/>
    <n v="11.9"/>
    <n v="5"/>
    <n v="4"/>
    <n v="34"/>
    <n v="48"/>
    <s v="Yes"/>
    <s v="No"/>
    <s v="Yes"/>
    <s v="Yes"/>
    <s v="Yes"/>
    <s v="No"/>
    <m/>
    <s v="1+ Failures"/>
    <n v="1"/>
    <x v="1"/>
  </r>
  <r>
    <n v="1152"/>
    <d v="2023-07-19T00:00:00"/>
    <s v="Basic"/>
    <n v="199"/>
    <n v="23"/>
    <n v="8"/>
    <n v="3"/>
    <n v="18"/>
    <n v="20"/>
    <s v="Yes"/>
    <s v="No"/>
    <s v="Yes"/>
    <s v="Yes"/>
    <s v="Yes"/>
    <s v="No"/>
    <m/>
    <s v="1+ Failures"/>
    <n v="1"/>
    <x v="3"/>
  </r>
  <r>
    <n v="1153"/>
    <d v="2024-03-09T00:00:00"/>
    <s v="Standard"/>
    <n v="399"/>
    <n v="22.1"/>
    <n v="0"/>
    <n v="5"/>
    <n v="6"/>
    <n v="14"/>
    <s v="No"/>
    <s v="No"/>
    <s v="Yes"/>
    <s v="No"/>
    <s v="No"/>
    <s v="No"/>
    <m/>
    <s v="1+ Failures"/>
    <n v="0"/>
    <x v="3"/>
  </r>
  <r>
    <n v="1154"/>
    <d v="2023-04-10T00:00:00"/>
    <s v="Basic"/>
    <n v="199"/>
    <n v="5.3"/>
    <n v="5"/>
    <n v="2"/>
    <n v="16"/>
    <n v="4"/>
    <s v="No"/>
    <s v="No"/>
    <s v="Yes"/>
    <s v="Yes"/>
    <s v="No"/>
    <s v="No"/>
    <m/>
    <s v="1+ Failures"/>
    <n v="0"/>
    <x v="2"/>
  </r>
  <r>
    <n v="1155"/>
    <d v="2023-12-09T00:00:00"/>
    <s v="Basic"/>
    <n v="199"/>
    <n v="11.1"/>
    <n v="0"/>
    <n v="4"/>
    <n v="31"/>
    <n v="51"/>
    <s v="No"/>
    <s v="No"/>
    <s v="Yes"/>
    <s v="No"/>
    <s v="Yes"/>
    <s v="No"/>
    <m/>
    <s v="1+ Failures"/>
    <n v="0"/>
    <x v="1"/>
  </r>
  <r>
    <n v="1156"/>
    <d v="2023-12-08T00:00:00"/>
    <s v="Standard"/>
    <n v="399"/>
    <n v="3.1"/>
    <n v="3"/>
    <n v="2"/>
    <n v="16"/>
    <n v="53"/>
    <s v="Yes"/>
    <s v="Yes"/>
    <s v="Yes"/>
    <s v="No"/>
    <s v="Yes"/>
    <s v="No"/>
    <m/>
    <s v="1+ Failures"/>
    <n v="1"/>
    <x v="0"/>
  </r>
  <r>
    <n v="1157"/>
    <d v="2023-05-08T00:00:00"/>
    <s v="Premium"/>
    <n v="699"/>
    <n v="23.6"/>
    <n v="7"/>
    <n v="0"/>
    <n v="16"/>
    <n v="40"/>
    <s v="Yes"/>
    <s v="No"/>
    <s v="No"/>
    <s v="Yes"/>
    <s v="Yes"/>
    <s v="No"/>
    <m/>
    <s v="0 Failures"/>
    <n v="1"/>
    <x v="3"/>
  </r>
  <r>
    <n v="1158"/>
    <d v="2023-03-08T00:00:00"/>
    <s v="Basic"/>
    <n v="199"/>
    <n v="23"/>
    <n v="6"/>
    <n v="2"/>
    <n v="4"/>
    <n v="56"/>
    <s v="No"/>
    <s v="No"/>
    <s v="Yes"/>
    <s v="Yes"/>
    <s v="Yes"/>
    <s v="Yes"/>
    <m/>
    <s v="1+ Failures"/>
    <n v="0"/>
    <x v="3"/>
  </r>
  <r>
    <n v="1159"/>
    <d v="2024-03-18T00:00:00"/>
    <s v="Basic"/>
    <n v="199"/>
    <n v="23"/>
    <n v="7"/>
    <n v="0"/>
    <n v="4"/>
    <n v="19"/>
    <s v="No"/>
    <s v="No"/>
    <s v="No"/>
    <s v="Yes"/>
    <s v="Yes"/>
    <s v="Yes"/>
    <m/>
    <s v="0 Failures"/>
    <n v="0"/>
    <x v="3"/>
  </r>
  <r>
    <n v="1160"/>
    <d v="2024-02-16T00:00:00"/>
    <s v="Basic"/>
    <n v="199"/>
    <n v="17.100000000000001"/>
    <n v="8"/>
    <n v="0"/>
    <n v="7"/>
    <n v="18"/>
    <s v="No"/>
    <s v="No"/>
    <s v="No"/>
    <s v="Yes"/>
    <s v="Yes"/>
    <s v="No"/>
    <m/>
    <s v="0 Failures"/>
    <n v="0"/>
    <x v="1"/>
  </r>
  <r>
    <n v="1161"/>
    <d v="2024-03-14T00:00:00"/>
    <s v="Basic"/>
    <n v="199"/>
    <n v="6.2"/>
    <n v="0"/>
    <n v="3"/>
    <n v="27"/>
    <n v="24"/>
    <s v="Yes"/>
    <s v="No"/>
    <s v="Yes"/>
    <s v="No"/>
    <s v="Yes"/>
    <s v="No"/>
    <m/>
    <s v="1+ Failures"/>
    <n v="1"/>
    <x v="2"/>
  </r>
  <r>
    <n v="1162"/>
    <d v="2023-07-17T00:00:00"/>
    <s v="Premium"/>
    <n v="699"/>
    <n v="8.8000000000000007"/>
    <n v="0"/>
    <n v="3"/>
    <n v="7"/>
    <n v="33"/>
    <s v="Yes"/>
    <s v="No"/>
    <s v="Yes"/>
    <s v="No"/>
    <s v="Yes"/>
    <s v="No"/>
    <m/>
    <s v="1+ Failures"/>
    <n v="1"/>
    <x v="2"/>
  </r>
  <r>
    <n v="1163"/>
    <d v="2024-08-09T00:00:00"/>
    <s v="Basic"/>
    <n v="199"/>
    <n v="0.8"/>
    <n v="1"/>
    <n v="4"/>
    <n v="7"/>
    <n v="50"/>
    <s v="Yes"/>
    <s v="Yes"/>
    <s v="Yes"/>
    <s v="No"/>
    <s v="Yes"/>
    <s v="No"/>
    <m/>
    <s v="1+ Failures"/>
    <n v="1"/>
    <x v="0"/>
  </r>
  <r>
    <n v="1164"/>
    <d v="2023-07-10T00:00:00"/>
    <s v="Basic"/>
    <n v="199"/>
    <n v="6.8"/>
    <n v="6"/>
    <n v="3"/>
    <n v="33"/>
    <n v="46"/>
    <s v="Yes"/>
    <s v="No"/>
    <s v="Yes"/>
    <s v="Yes"/>
    <s v="Yes"/>
    <s v="No"/>
    <m/>
    <s v="1+ Failures"/>
    <n v="1"/>
    <x v="2"/>
  </r>
  <r>
    <n v="1165"/>
    <d v="2024-06-09T00:00:00"/>
    <s v="Basic"/>
    <n v="199"/>
    <n v="20"/>
    <n v="0"/>
    <n v="1"/>
    <n v="9"/>
    <n v="19"/>
    <s v="No"/>
    <s v="No"/>
    <s v="Yes"/>
    <s v="No"/>
    <s v="Yes"/>
    <s v="No"/>
    <m/>
    <s v="1+ Failures"/>
    <n v="0"/>
    <x v="1"/>
  </r>
  <r>
    <n v="1166"/>
    <d v="2024-09-09T00:00:00"/>
    <s v="Premium"/>
    <n v="699"/>
    <n v="8.1"/>
    <n v="8"/>
    <n v="1"/>
    <n v="23"/>
    <n v="9"/>
    <s v="No"/>
    <s v="No"/>
    <s v="Yes"/>
    <s v="Yes"/>
    <s v="No"/>
    <s v="No"/>
    <m/>
    <s v="1+ Failures"/>
    <n v="0"/>
    <x v="2"/>
  </r>
  <r>
    <n v="1167"/>
    <d v="2023-05-29T00:00:00"/>
    <s v="Standard"/>
    <n v="399"/>
    <n v="9.5"/>
    <n v="0"/>
    <n v="4"/>
    <n v="19"/>
    <n v="37"/>
    <s v="No"/>
    <s v="No"/>
    <s v="Yes"/>
    <s v="No"/>
    <s v="Yes"/>
    <s v="No"/>
    <m/>
    <s v="1+ Failures"/>
    <n v="0"/>
    <x v="2"/>
  </r>
  <r>
    <n v="1168"/>
    <d v="2023-07-25T00:00:00"/>
    <s v="Basic"/>
    <n v="199"/>
    <n v="12.9"/>
    <n v="8"/>
    <n v="0"/>
    <n v="16"/>
    <n v="27"/>
    <s v="Yes"/>
    <s v="No"/>
    <s v="No"/>
    <s v="Yes"/>
    <s v="Yes"/>
    <s v="No"/>
    <m/>
    <s v="0 Failures"/>
    <n v="1"/>
    <x v="1"/>
  </r>
  <r>
    <n v="1169"/>
    <d v="2024-12-09T00:00:00"/>
    <s v="Premium"/>
    <n v="699"/>
    <n v="19.7"/>
    <n v="5"/>
    <n v="1"/>
    <n v="13"/>
    <n v="42"/>
    <s v="Yes"/>
    <s v="No"/>
    <s v="Yes"/>
    <s v="Yes"/>
    <s v="Yes"/>
    <s v="No"/>
    <m/>
    <s v="1+ Failures"/>
    <n v="1"/>
    <x v="1"/>
  </r>
  <r>
    <n v="1170"/>
    <d v="2023-06-16T00:00:00"/>
    <s v="Standard"/>
    <n v="399"/>
    <n v="21.4"/>
    <n v="5"/>
    <n v="4"/>
    <n v="22"/>
    <n v="19"/>
    <s v="Yes"/>
    <s v="No"/>
    <s v="Yes"/>
    <s v="Yes"/>
    <s v="Yes"/>
    <s v="No"/>
    <m/>
    <s v="1+ Failures"/>
    <n v="1"/>
    <x v="3"/>
  </r>
  <r>
    <n v="1171"/>
    <d v="2024-10-16T00:00:00"/>
    <s v="Basic"/>
    <n v="199"/>
    <n v="22"/>
    <n v="0"/>
    <n v="3"/>
    <n v="30"/>
    <n v="14"/>
    <s v="No"/>
    <s v="No"/>
    <s v="Yes"/>
    <s v="No"/>
    <s v="No"/>
    <s v="No"/>
    <m/>
    <s v="1+ Failures"/>
    <n v="0"/>
    <x v="3"/>
  </r>
  <r>
    <n v="1172"/>
    <d v="2023-12-06T00:00:00"/>
    <s v="Basic"/>
    <n v="199"/>
    <n v="11.9"/>
    <n v="3"/>
    <n v="1"/>
    <n v="15"/>
    <n v="30"/>
    <s v="No"/>
    <s v="No"/>
    <s v="Yes"/>
    <s v="No"/>
    <s v="Yes"/>
    <s v="No"/>
    <m/>
    <s v="1+ Failures"/>
    <n v="0"/>
    <x v="1"/>
  </r>
  <r>
    <n v="1173"/>
    <d v="2024-01-02T00:00:00"/>
    <s v="Premium"/>
    <n v="699"/>
    <n v="5.5"/>
    <n v="2"/>
    <n v="0"/>
    <n v="25"/>
    <n v="23"/>
    <s v="Yes"/>
    <s v="No"/>
    <s v="No"/>
    <s v="No"/>
    <s v="Yes"/>
    <s v="No"/>
    <m/>
    <s v="0 Failures"/>
    <n v="1"/>
    <x v="2"/>
  </r>
  <r>
    <n v="1174"/>
    <d v="2024-01-04T00:00:00"/>
    <s v="Basic"/>
    <n v="199"/>
    <n v="3.3"/>
    <n v="4"/>
    <n v="3"/>
    <n v="36"/>
    <n v="12"/>
    <s v="Yes"/>
    <s v="Yes"/>
    <s v="Yes"/>
    <s v="No"/>
    <s v="No"/>
    <s v="No"/>
    <m/>
    <s v="1+ Failures"/>
    <n v="1"/>
    <x v="0"/>
  </r>
  <r>
    <n v="1175"/>
    <d v="2023-06-28T00:00:00"/>
    <s v="Basic"/>
    <n v="199"/>
    <n v="5.4"/>
    <n v="4"/>
    <n v="1"/>
    <n v="2"/>
    <n v="14"/>
    <s v="No"/>
    <s v="No"/>
    <s v="Yes"/>
    <s v="No"/>
    <s v="No"/>
    <s v="Yes"/>
    <m/>
    <s v="1+ Failures"/>
    <n v="0"/>
    <x v="2"/>
  </r>
  <r>
    <n v="1176"/>
    <d v="2023-04-14T00:00:00"/>
    <s v="Standard"/>
    <n v="399"/>
    <n v="6.5"/>
    <n v="3"/>
    <n v="0"/>
    <n v="36"/>
    <n v="11"/>
    <s v="No"/>
    <s v="No"/>
    <s v="No"/>
    <s v="No"/>
    <s v="No"/>
    <s v="No"/>
    <m/>
    <s v="0 Failures"/>
    <n v="0"/>
    <x v="2"/>
  </r>
  <r>
    <n v="1177"/>
    <d v="2024-04-12T00:00:00"/>
    <s v="Basic"/>
    <n v="199"/>
    <n v="9.8000000000000007"/>
    <n v="1"/>
    <n v="2"/>
    <n v="9"/>
    <n v="59"/>
    <s v="Yes"/>
    <s v="No"/>
    <s v="Yes"/>
    <s v="No"/>
    <s v="Yes"/>
    <s v="No"/>
    <m/>
    <s v="1+ Failures"/>
    <n v="1"/>
    <x v="2"/>
  </r>
  <r>
    <n v="1178"/>
    <d v="2024-03-20T00:00:00"/>
    <s v="Basic"/>
    <n v="199"/>
    <n v="20.3"/>
    <n v="2"/>
    <n v="4"/>
    <n v="24"/>
    <n v="51"/>
    <s v="No"/>
    <s v="No"/>
    <s v="Yes"/>
    <s v="No"/>
    <s v="Yes"/>
    <s v="No"/>
    <m/>
    <s v="1+ Failures"/>
    <n v="0"/>
    <x v="3"/>
  </r>
  <r>
    <n v="1179"/>
    <d v="2024-12-12T00:00:00"/>
    <s v="Premium"/>
    <n v="699"/>
    <n v="3.4"/>
    <n v="2"/>
    <n v="1"/>
    <n v="5"/>
    <n v="12"/>
    <s v="No"/>
    <s v="Yes"/>
    <s v="Yes"/>
    <s v="No"/>
    <s v="No"/>
    <s v="Yes"/>
    <m/>
    <s v="1+ Failures"/>
    <n v="0"/>
    <x v="0"/>
  </r>
  <r>
    <n v="1180"/>
    <d v="2023-07-13T00:00:00"/>
    <s v="Standard"/>
    <n v="399"/>
    <n v="15.2"/>
    <n v="3"/>
    <n v="0"/>
    <n v="21"/>
    <n v="48"/>
    <s v="No"/>
    <s v="No"/>
    <s v="No"/>
    <s v="No"/>
    <s v="Yes"/>
    <s v="No"/>
    <m/>
    <s v="0 Failures"/>
    <n v="0"/>
    <x v="1"/>
  </r>
  <r>
    <n v="1181"/>
    <d v="2023-10-14T00:00:00"/>
    <s v="Premium"/>
    <n v="699"/>
    <n v="19.8"/>
    <n v="5"/>
    <n v="1"/>
    <n v="19"/>
    <n v="3"/>
    <s v="No"/>
    <s v="No"/>
    <s v="Yes"/>
    <s v="Yes"/>
    <s v="No"/>
    <s v="No"/>
    <m/>
    <s v="1+ Failures"/>
    <n v="0"/>
    <x v="1"/>
  </r>
  <r>
    <n v="1182"/>
    <d v="2024-04-26T00:00:00"/>
    <s v="Basic"/>
    <n v="199"/>
    <n v="24.2"/>
    <n v="7"/>
    <n v="1"/>
    <n v="33"/>
    <n v="46"/>
    <s v="Yes"/>
    <s v="No"/>
    <s v="Yes"/>
    <s v="Yes"/>
    <s v="Yes"/>
    <s v="No"/>
    <m/>
    <s v="1+ Failures"/>
    <n v="1"/>
    <x v="3"/>
  </r>
  <r>
    <n v="1183"/>
    <d v="2024-05-25T00:00:00"/>
    <s v="Premium"/>
    <n v="699"/>
    <n v="4.5999999999999996"/>
    <n v="6"/>
    <n v="5"/>
    <n v="5"/>
    <n v="48"/>
    <s v="Yes"/>
    <s v="Yes"/>
    <s v="Yes"/>
    <s v="Yes"/>
    <s v="Yes"/>
    <s v="Yes"/>
    <m/>
    <s v="1+ Failures"/>
    <n v="1"/>
    <x v="0"/>
  </r>
  <r>
    <n v="1184"/>
    <d v="2024-05-21T00:00:00"/>
    <s v="Premium"/>
    <n v="699"/>
    <n v="4.9000000000000004"/>
    <n v="5"/>
    <n v="4"/>
    <n v="30"/>
    <n v="44"/>
    <s v="Yes"/>
    <s v="Yes"/>
    <s v="Yes"/>
    <s v="Yes"/>
    <s v="Yes"/>
    <s v="No"/>
    <m/>
    <s v="1+ Failures"/>
    <n v="1"/>
    <x v="0"/>
  </r>
  <r>
    <n v="1185"/>
    <d v="2024-04-07T00:00:00"/>
    <s v="Standard"/>
    <n v="399"/>
    <n v="14.7"/>
    <n v="0"/>
    <n v="1"/>
    <n v="18"/>
    <n v="14"/>
    <s v="No"/>
    <s v="No"/>
    <s v="Yes"/>
    <s v="No"/>
    <s v="No"/>
    <s v="No"/>
    <m/>
    <s v="1+ Failures"/>
    <n v="0"/>
    <x v="1"/>
  </r>
  <r>
    <n v="1186"/>
    <d v="2024-01-19T00:00:00"/>
    <s v="Basic"/>
    <n v="199"/>
    <n v="5.9"/>
    <n v="6"/>
    <n v="3"/>
    <n v="26"/>
    <n v="36"/>
    <s v="Yes"/>
    <s v="No"/>
    <s v="Yes"/>
    <s v="Yes"/>
    <s v="Yes"/>
    <s v="No"/>
    <m/>
    <s v="1+ Failures"/>
    <n v="1"/>
    <x v="2"/>
  </r>
  <r>
    <n v="1187"/>
    <d v="2023-08-24T00:00:00"/>
    <s v="Standard"/>
    <n v="399"/>
    <n v="2.6"/>
    <n v="1"/>
    <n v="2"/>
    <n v="36"/>
    <n v="28"/>
    <s v="Yes"/>
    <s v="Yes"/>
    <s v="Yes"/>
    <s v="No"/>
    <s v="Yes"/>
    <s v="No"/>
    <m/>
    <s v="1+ Failures"/>
    <n v="1"/>
    <x v="0"/>
  </r>
  <r>
    <n v="1188"/>
    <d v="2024-02-23T00:00:00"/>
    <s v="Premium"/>
    <n v="699"/>
    <n v="11.9"/>
    <n v="5"/>
    <n v="3"/>
    <n v="3"/>
    <n v="28"/>
    <s v="Yes"/>
    <s v="No"/>
    <s v="Yes"/>
    <s v="Yes"/>
    <s v="Yes"/>
    <s v="Yes"/>
    <m/>
    <s v="1+ Failures"/>
    <n v="1"/>
    <x v="1"/>
  </r>
  <r>
    <n v="1189"/>
    <d v="2023-09-29T00:00:00"/>
    <s v="Standard"/>
    <n v="399"/>
    <n v="8.3000000000000007"/>
    <n v="6"/>
    <n v="0"/>
    <n v="32"/>
    <n v="11"/>
    <s v="No"/>
    <s v="No"/>
    <s v="No"/>
    <s v="Yes"/>
    <s v="No"/>
    <s v="No"/>
    <m/>
    <s v="0 Failures"/>
    <n v="0"/>
    <x v="2"/>
  </r>
  <r>
    <n v="1190"/>
    <d v="2024-07-13T00:00:00"/>
    <s v="Premium"/>
    <n v="699"/>
    <n v="9.3000000000000007"/>
    <n v="1"/>
    <n v="2"/>
    <n v="5"/>
    <n v="53"/>
    <s v="Yes"/>
    <s v="No"/>
    <s v="Yes"/>
    <s v="No"/>
    <s v="Yes"/>
    <s v="Yes"/>
    <m/>
    <s v="1+ Failures"/>
    <n v="1"/>
    <x v="2"/>
  </r>
  <r>
    <n v="1191"/>
    <d v="2023-02-09T00:00:00"/>
    <s v="Premium"/>
    <n v="699"/>
    <n v="19.8"/>
    <n v="3"/>
    <n v="0"/>
    <n v="6"/>
    <n v="7"/>
    <s v="Yes"/>
    <s v="No"/>
    <s v="No"/>
    <s v="No"/>
    <s v="No"/>
    <s v="No"/>
    <m/>
    <s v="0 Failures"/>
    <n v="1"/>
    <x v="1"/>
  </r>
  <r>
    <n v="1192"/>
    <d v="2024-11-30T00:00:00"/>
    <s v="Premium"/>
    <n v="699"/>
    <n v="8.6999999999999993"/>
    <n v="5"/>
    <n v="2"/>
    <n v="13"/>
    <n v="19"/>
    <s v="No"/>
    <s v="No"/>
    <s v="Yes"/>
    <s v="Yes"/>
    <s v="Yes"/>
    <s v="No"/>
    <m/>
    <s v="1+ Failures"/>
    <n v="0"/>
    <x v="2"/>
  </r>
  <r>
    <n v="1193"/>
    <d v="2023-09-25T00:00:00"/>
    <s v="Standard"/>
    <n v="399"/>
    <n v="17.8"/>
    <n v="2"/>
    <n v="5"/>
    <n v="13"/>
    <n v="47"/>
    <s v="Yes"/>
    <s v="No"/>
    <s v="Yes"/>
    <s v="No"/>
    <s v="Yes"/>
    <s v="No"/>
    <m/>
    <s v="1+ Failures"/>
    <n v="1"/>
    <x v="1"/>
  </r>
  <r>
    <n v="1194"/>
    <d v="2024-08-16T00:00:00"/>
    <s v="Basic"/>
    <n v="199"/>
    <n v="7.4"/>
    <n v="5"/>
    <n v="3"/>
    <n v="20"/>
    <n v="60"/>
    <s v="Yes"/>
    <s v="No"/>
    <s v="Yes"/>
    <s v="Yes"/>
    <s v="Yes"/>
    <s v="No"/>
    <m/>
    <s v="1+ Failures"/>
    <n v="1"/>
    <x v="2"/>
  </r>
  <r>
    <n v="1195"/>
    <d v="2023-08-21T00:00:00"/>
    <s v="Premium"/>
    <n v="699"/>
    <n v="12.1"/>
    <n v="8"/>
    <n v="1"/>
    <n v="1"/>
    <n v="55"/>
    <s v="Yes"/>
    <s v="No"/>
    <s v="Yes"/>
    <s v="Yes"/>
    <s v="Yes"/>
    <s v="Yes"/>
    <m/>
    <s v="1+ Failures"/>
    <n v="1"/>
    <x v="1"/>
  </r>
  <r>
    <n v="1196"/>
    <d v="2024-04-24T00:00:00"/>
    <s v="Premium"/>
    <n v="699"/>
    <n v="12.1"/>
    <n v="8"/>
    <n v="4"/>
    <n v="14"/>
    <n v="50"/>
    <s v="Yes"/>
    <s v="No"/>
    <s v="Yes"/>
    <s v="Yes"/>
    <s v="Yes"/>
    <s v="No"/>
    <m/>
    <s v="1+ Failures"/>
    <n v="1"/>
    <x v="1"/>
  </r>
  <r>
    <n v="1197"/>
    <d v="2024-12-15T00:00:00"/>
    <s v="Premium"/>
    <n v="699"/>
    <n v="8.8000000000000007"/>
    <n v="1"/>
    <n v="2"/>
    <n v="30"/>
    <n v="54"/>
    <s v="Yes"/>
    <s v="No"/>
    <s v="Yes"/>
    <s v="No"/>
    <s v="Yes"/>
    <s v="No"/>
    <m/>
    <s v="1+ Failures"/>
    <n v="1"/>
    <x v="2"/>
  </r>
  <r>
    <n v="1198"/>
    <d v="2023-05-12T00:00:00"/>
    <s v="Standard"/>
    <n v="399"/>
    <n v="11.2"/>
    <n v="8"/>
    <n v="0"/>
    <n v="14"/>
    <n v="23"/>
    <s v="Yes"/>
    <s v="No"/>
    <s v="No"/>
    <s v="Yes"/>
    <s v="Yes"/>
    <s v="No"/>
    <m/>
    <s v="0 Failures"/>
    <n v="1"/>
    <x v="1"/>
  </r>
  <r>
    <n v="1199"/>
    <d v="2024-12-03T00:00:00"/>
    <s v="Standard"/>
    <n v="399"/>
    <n v="12.7"/>
    <n v="5"/>
    <n v="2"/>
    <n v="1"/>
    <n v="14"/>
    <s v="Yes"/>
    <s v="No"/>
    <s v="Yes"/>
    <s v="Yes"/>
    <s v="No"/>
    <s v="Yes"/>
    <m/>
    <s v="1+ Failures"/>
    <n v="1"/>
    <x v="1"/>
  </r>
  <r>
    <n v="1200"/>
    <d v="2023-05-23T00:00:00"/>
    <s v="Standard"/>
    <n v="399"/>
    <n v="7.8"/>
    <n v="0"/>
    <n v="4"/>
    <n v="35"/>
    <n v="50"/>
    <s v="Yes"/>
    <s v="No"/>
    <s v="Yes"/>
    <s v="No"/>
    <s v="Yes"/>
    <s v="No"/>
    <m/>
    <s v="1+ Failures"/>
    <n v="1"/>
    <x v="2"/>
  </r>
  <r>
    <n v="1201"/>
    <d v="2023-03-07T00:00:00"/>
    <s v="Basic"/>
    <n v="199"/>
    <n v="14.4"/>
    <n v="6"/>
    <n v="3"/>
    <n v="22"/>
    <n v="13"/>
    <s v="No"/>
    <s v="No"/>
    <s v="Yes"/>
    <s v="Yes"/>
    <s v="No"/>
    <s v="No"/>
    <m/>
    <s v="1+ Failures"/>
    <n v="0"/>
    <x v="1"/>
  </r>
  <r>
    <n v="1202"/>
    <d v="2024-10-16T00:00:00"/>
    <s v="Premium"/>
    <n v="699"/>
    <n v="5.0999999999999996"/>
    <n v="1"/>
    <n v="2"/>
    <n v="25"/>
    <n v="36"/>
    <s v="No"/>
    <s v="No"/>
    <s v="Yes"/>
    <s v="No"/>
    <s v="Yes"/>
    <s v="No"/>
    <m/>
    <s v="1+ Failures"/>
    <n v="0"/>
    <x v="2"/>
  </r>
  <r>
    <n v="1203"/>
    <d v="2024-09-09T00:00:00"/>
    <s v="Standard"/>
    <n v="399"/>
    <n v="4.7"/>
    <n v="8"/>
    <n v="1"/>
    <n v="6"/>
    <n v="2"/>
    <s v="No"/>
    <s v="Yes"/>
    <s v="Yes"/>
    <s v="Yes"/>
    <s v="No"/>
    <s v="No"/>
    <m/>
    <s v="1+ Failures"/>
    <n v="0"/>
    <x v="0"/>
  </r>
  <r>
    <n v="1204"/>
    <d v="2023-10-26T00:00:00"/>
    <s v="Standard"/>
    <n v="399"/>
    <n v="5.0999999999999996"/>
    <n v="1"/>
    <n v="3"/>
    <n v="2"/>
    <n v="18"/>
    <s v="Yes"/>
    <s v="No"/>
    <s v="Yes"/>
    <s v="No"/>
    <s v="Yes"/>
    <s v="Yes"/>
    <m/>
    <s v="1+ Failures"/>
    <n v="1"/>
    <x v="2"/>
  </r>
  <r>
    <n v="1205"/>
    <d v="2023-12-01T00:00:00"/>
    <s v="Premium"/>
    <n v="699"/>
    <n v="2.2000000000000002"/>
    <n v="0"/>
    <n v="2"/>
    <n v="34"/>
    <n v="33"/>
    <s v="Yes"/>
    <s v="Yes"/>
    <s v="Yes"/>
    <s v="No"/>
    <s v="Yes"/>
    <s v="No"/>
    <m/>
    <s v="1+ Failures"/>
    <n v="1"/>
    <x v="0"/>
  </r>
  <r>
    <n v="1206"/>
    <d v="2023-03-12T00:00:00"/>
    <s v="Standard"/>
    <n v="399"/>
    <n v="4.3"/>
    <n v="1"/>
    <n v="1"/>
    <n v="26"/>
    <n v="34"/>
    <s v="Yes"/>
    <s v="Yes"/>
    <s v="Yes"/>
    <s v="No"/>
    <s v="Yes"/>
    <s v="No"/>
    <m/>
    <s v="1+ Failures"/>
    <n v="1"/>
    <x v="0"/>
  </r>
  <r>
    <n v="1207"/>
    <d v="2024-11-11T00:00:00"/>
    <s v="Standard"/>
    <n v="399"/>
    <n v="3.7"/>
    <n v="3"/>
    <n v="2"/>
    <n v="14"/>
    <n v="27"/>
    <s v="Yes"/>
    <s v="Yes"/>
    <s v="Yes"/>
    <s v="No"/>
    <s v="Yes"/>
    <s v="No"/>
    <m/>
    <s v="1+ Failures"/>
    <n v="1"/>
    <x v="0"/>
  </r>
  <r>
    <n v="1208"/>
    <d v="2024-12-02T00:00:00"/>
    <s v="Standard"/>
    <n v="399"/>
    <n v="15.3"/>
    <n v="4"/>
    <n v="4"/>
    <n v="11"/>
    <n v="12"/>
    <s v="No"/>
    <s v="No"/>
    <s v="Yes"/>
    <s v="No"/>
    <s v="No"/>
    <s v="No"/>
    <m/>
    <s v="1+ Failures"/>
    <n v="0"/>
    <x v="1"/>
  </r>
  <r>
    <n v="1209"/>
    <d v="2024-09-11T00:00:00"/>
    <s v="Standard"/>
    <n v="399"/>
    <n v="5.4"/>
    <n v="2"/>
    <n v="3"/>
    <n v="18"/>
    <n v="4"/>
    <s v="No"/>
    <s v="No"/>
    <s v="Yes"/>
    <s v="No"/>
    <s v="No"/>
    <s v="No"/>
    <m/>
    <s v="1+ Failures"/>
    <n v="0"/>
    <x v="2"/>
  </r>
  <r>
    <n v="1210"/>
    <d v="2023-04-04T00:00:00"/>
    <s v="Basic"/>
    <n v="199"/>
    <n v="8.6"/>
    <n v="7"/>
    <n v="3"/>
    <n v="34"/>
    <n v="29"/>
    <s v="Yes"/>
    <s v="No"/>
    <s v="Yes"/>
    <s v="Yes"/>
    <s v="Yes"/>
    <s v="No"/>
    <m/>
    <s v="1+ Failures"/>
    <n v="1"/>
    <x v="2"/>
  </r>
  <r>
    <n v="1211"/>
    <d v="2023-06-29T00:00:00"/>
    <s v="Standard"/>
    <n v="399"/>
    <n v="9"/>
    <n v="4"/>
    <n v="3"/>
    <n v="30"/>
    <n v="39"/>
    <s v="No"/>
    <s v="No"/>
    <s v="Yes"/>
    <s v="No"/>
    <s v="Yes"/>
    <s v="No"/>
    <m/>
    <s v="1+ Failures"/>
    <n v="0"/>
    <x v="2"/>
  </r>
  <r>
    <n v="1212"/>
    <d v="2023-07-07T00:00:00"/>
    <s v="Standard"/>
    <n v="399"/>
    <n v="4.9000000000000004"/>
    <n v="6"/>
    <n v="3"/>
    <n v="16"/>
    <n v="24"/>
    <s v="Yes"/>
    <s v="Yes"/>
    <s v="Yes"/>
    <s v="Yes"/>
    <s v="Yes"/>
    <s v="No"/>
    <m/>
    <s v="1+ Failures"/>
    <n v="1"/>
    <x v="0"/>
  </r>
  <r>
    <n v="1213"/>
    <d v="2023-10-08T00:00:00"/>
    <s v="Premium"/>
    <n v="699"/>
    <n v="10.1"/>
    <n v="0"/>
    <n v="1"/>
    <n v="7"/>
    <n v="56"/>
    <s v="No"/>
    <s v="No"/>
    <s v="Yes"/>
    <s v="No"/>
    <s v="Yes"/>
    <s v="No"/>
    <m/>
    <s v="1+ Failures"/>
    <n v="0"/>
    <x v="1"/>
  </r>
  <r>
    <n v="1214"/>
    <d v="2023-08-11T00:00:00"/>
    <s v="Premium"/>
    <n v="699"/>
    <n v="7.7"/>
    <n v="1"/>
    <n v="5"/>
    <n v="35"/>
    <n v="46"/>
    <s v="No"/>
    <s v="No"/>
    <s v="Yes"/>
    <s v="No"/>
    <s v="Yes"/>
    <s v="No"/>
    <m/>
    <s v="1+ Failures"/>
    <n v="0"/>
    <x v="2"/>
  </r>
  <r>
    <n v="1215"/>
    <d v="2023-04-18T00:00:00"/>
    <s v="Standard"/>
    <n v="399"/>
    <n v="24.8"/>
    <n v="8"/>
    <n v="0"/>
    <n v="27"/>
    <n v="23"/>
    <s v="Yes"/>
    <s v="No"/>
    <s v="No"/>
    <s v="Yes"/>
    <s v="Yes"/>
    <s v="No"/>
    <m/>
    <s v="0 Failures"/>
    <n v="1"/>
    <x v="3"/>
  </r>
  <r>
    <n v="1216"/>
    <d v="2024-04-18T00:00:00"/>
    <s v="Premium"/>
    <n v="699"/>
    <n v="10.5"/>
    <n v="2"/>
    <n v="2"/>
    <n v="21"/>
    <n v="13"/>
    <s v="No"/>
    <s v="No"/>
    <s v="Yes"/>
    <s v="No"/>
    <s v="No"/>
    <s v="No"/>
    <m/>
    <s v="1+ Failures"/>
    <n v="0"/>
    <x v="1"/>
  </r>
  <r>
    <n v="1217"/>
    <d v="2023-07-19T00:00:00"/>
    <s v="Basic"/>
    <n v="199"/>
    <n v="16.2"/>
    <n v="7"/>
    <n v="3"/>
    <n v="5"/>
    <n v="21"/>
    <s v="Yes"/>
    <s v="No"/>
    <s v="Yes"/>
    <s v="Yes"/>
    <s v="Yes"/>
    <s v="Yes"/>
    <m/>
    <s v="1+ Failures"/>
    <n v="1"/>
    <x v="1"/>
  </r>
  <r>
    <n v="1218"/>
    <d v="2024-11-17T00:00:00"/>
    <s v="Standard"/>
    <n v="399"/>
    <n v="0.8"/>
    <n v="1"/>
    <n v="5"/>
    <n v="3"/>
    <n v="58"/>
    <s v="Yes"/>
    <s v="Yes"/>
    <s v="Yes"/>
    <s v="No"/>
    <s v="Yes"/>
    <s v="Yes"/>
    <m/>
    <s v="1+ Failures"/>
    <n v="1"/>
    <x v="0"/>
  </r>
  <r>
    <n v="1219"/>
    <d v="2024-12-31T00:00:00"/>
    <s v="Premium"/>
    <n v="699"/>
    <n v="12.4"/>
    <n v="1"/>
    <n v="0"/>
    <n v="30"/>
    <n v="35"/>
    <s v="No"/>
    <s v="No"/>
    <s v="No"/>
    <s v="No"/>
    <s v="Yes"/>
    <s v="No"/>
    <m/>
    <s v="0 Failures"/>
    <n v="0"/>
    <x v="1"/>
  </r>
  <r>
    <n v="1220"/>
    <d v="2024-09-13T00:00:00"/>
    <s v="Standard"/>
    <n v="399"/>
    <n v="12"/>
    <n v="4"/>
    <n v="1"/>
    <n v="9"/>
    <n v="10"/>
    <s v="No"/>
    <s v="No"/>
    <s v="Yes"/>
    <s v="No"/>
    <s v="No"/>
    <s v="No"/>
    <m/>
    <s v="1+ Failures"/>
    <n v="0"/>
    <x v="1"/>
  </r>
  <r>
    <n v="1221"/>
    <d v="2024-11-18T00:00:00"/>
    <s v="Basic"/>
    <n v="199"/>
    <n v="7.7"/>
    <n v="8"/>
    <n v="5"/>
    <n v="12"/>
    <n v="25"/>
    <s v="Yes"/>
    <s v="No"/>
    <s v="Yes"/>
    <s v="Yes"/>
    <s v="Yes"/>
    <s v="No"/>
    <m/>
    <s v="1+ Failures"/>
    <n v="1"/>
    <x v="2"/>
  </r>
  <r>
    <n v="1222"/>
    <d v="2024-11-22T00:00:00"/>
    <s v="Basic"/>
    <n v="199"/>
    <n v="4.3"/>
    <n v="5"/>
    <n v="1"/>
    <n v="18"/>
    <n v="13"/>
    <s v="No"/>
    <s v="Yes"/>
    <s v="Yes"/>
    <s v="Yes"/>
    <s v="No"/>
    <s v="No"/>
    <m/>
    <s v="1+ Failures"/>
    <n v="0"/>
    <x v="0"/>
  </r>
  <r>
    <n v="1223"/>
    <d v="2024-11-09T00:00:00"/>
    <s v="Premium"/>
    <n v="699"/>
    <n v="11.3"/>
    <n v="0"/>
    <n v="5"/>
    <n v="14"/>
    <n v="51"/>
    <s v="Yes"/>
    <s v="No"/>
    <s v="Yes"/>
    <s v="No"/>
    <s v="Yes"/>
    <s v="No"/>
    <m/>
    <s v="1+ Failures"/>
    <n v="1"/>
    <x v="1"/>
  </r>
  <r>
    <n v="1224"/>
    <d v="2023-02-19T00:00:00"/>
    <s v="Premium"/>
    <n v="699"/>
    <n v="10.1"/>
    <n v="4"/>
    <n v="3"/>
    <n v="7"/>
    <n v="3"/>
    <s v="No"/>
    <s v="No"/>
    <s v="Yes"/>
    <s v="No"/>
    <s v="No"/>
    <s v="No"/>
    <m/>
    <s v="1+ Failures"/>
    <n v="0"/>
    <x v="1"/>
  </r>
  <r>
    <n v="1225"/>
    <d v="2024-03-07T00:00:00"/>
    <s v="Standard"/>
    <n v="399"/>
    <n v="23.3"/>
    <n v="5"/>
    <n v="1"/>
    <n v="13"/>
    <n v="12"/>
    <s v="Yes"/>
    <s v="No"/>
    <s v="Yes"/>
    <s v="Yes"/>
    <s v="No"/>
    <s v="No"/>
    <m/>
    <s v="1+ Failures"/>
    <n v="1"/>
    <x v="3"/>
  </r>
  <r>
    <n v="1226"/>
    <d v="2023-04-09T00:00:00"/>
    <s v="Basic"/>
    <n v="199"/>
    <n v="8.8000000000000007"/>
    <n v="3"/>
    <n v="5"/>
    <n v="1"/>
    <n v="42"/>
    <s v="Yes"/>
    <s v="No"/>
    <s v="Yes"/>
    <s v="No"/>
    <s v="Yes"/>
    <s v="Yes"/>
    <m/>
    <s v="1+ Failures"/>
    <n v="1"/>
    <x v="2"/>
  </r>
  <r>
    <n v="1227"/>
    <d v="2023-12-01T00:00:00"/>
    <s v="Premium"/>
    <n v="699"/>
    <n v="18.2"/>
    <n v="0"/>
    <n v="3"/>
    <n v="11"/>
    <n v="32"/>
    <s v="Yes"/>
    <s v="No"/>
    <s v="Yes"/>
    <s v="No"/>
    <s v="Yes"/>
    <s v="No"/>
    <m/>
    <s v="1+ Failures"/>
    <n v="1"/>
    <x v="1"/>
  </r>
  <r>
    <n v="1228"/>
    <d v="2023-05-04T00:00:00"/>
    <s v="Standard"/>
    <n v="399"/>
    <n v="15.9"/>
    <n v="3"/>
    <n v="4"/>
    <n v="36"/>
    <n v="25"/>
    <s v="No"/>
    <s v="No"/>
    <s v="Yes"/>
    <s v="No"/>
    <s v="Yes"/>
    <s v="No"/>
    <m/>
    <s v="1+ Failures"/>
    <n v="0"/>
    <x v="1"/>
  </r>
  <r>
    <n v="1229"/>
    <d v="2023-11-20T00:00:00"/>
    <s v="Basic"/>
    <n v="199"/>
    <n v="3.1"/>
    <n v="5"/>
    <n v="1"/>
    <n v="14"/>
    <n v="0"/>
    <s v="Yes"/>
    <s v="Yes"/>
    <s v="Yes"/>
    <s v="Yes"/>
    <s v="No"/>
    <s v="No"/>
    <m/>
    <s v="1+ Failures"/>
    <n v="1"/>
    <x v="0"/>
  </r>
  <r>
    <n v="1230"/>
    <d v="2024-10-27T00:00:00"/>
    <s v="Basic"/>
    <n v="199"/>
    <n v="5.7"/>
    <n v="3"/>
    <n v="0"/>
    <n v="25"/>
    <n v="42"/>
    <s v="No"/>
    <s v="No"/>
    <s v="No"/>
    <s v="No"/>
    <s v="Yes"/>
    <s v="No"/>
    <m/>
    <s v="0 Failures"/>
    <n v="0"/>
    <x v="2"/>
  </r>
  <r>
    <n v="1231"/>
    <d v="2024-05-26T00:00:00"/>
    <s v="Premium"/>
    <n v="699"/>
    <n v="1.6"/>
    <n v="3"/>
    <n v="3"/>
    <n v="24"/>
    <n v="19"/>
    <s v="No"/>
    <s v="Yes"/>
    <s v="Yes"/>
    <s v="No"/>
    <s v="Yes"/>
    <s v="No"/>
    <m/>
    <s v="1+ Failures"/>
    <n v="0"/>
    <x v="0"/>
  </r>
  <r>
    <n v="1232"/>
    <d v="2024-10-08T00:00:00"/>
    <s v="Basic"/>
    <n v="199"/>
    <n v="19.899999999999999"/>
    <n v="2"/>
    <n v="2"/>
    <n v="35"/>
    <n v="6"/>
    <s v="No"/>
    <s v="No"/>
    <s v="Yes"/>
    <s v="No"/>
    <s v="No"/>
    <s v="No"/>
    <m/>
    <s v="1+ Failures"/>
    <n v="0"/>
    <x v="1"/>
  </r>
  <r>
    <n v="1233"/>
    <d v="2024-12-05T00:00:00"/>
    <s v="Premium"/>
    <n v="699"/>
    <n v="17.100000000000001"/>
    <n v="2"/>
    <n v="2"/>
    <n v="25"/>
    <n v="11"/>
    <s v="No"/>
    <s v="No"/>
    <s v="Yes"/>
    <s v="No"/>
    <s v="No"/>
    <s v="No"/>
    <m/>
    <s v="1+ Failures"/>
    <n v="0"/>
    <x v="1"/>
  </r>
  <r>
    <n v="1234"/>
    <d v="2024-01-27T00:00:00"/>
    <s v="Standard"/>
    <n v="399"/>
    <n v="2.2000000000000002"/>
    <n v="0"/>
    <n v="4"/>
    <n v="31"/>
    <n v="58"/>
    <s v="Yes"/>
    <s v="Yes"/>
    <s v="Yes"/>
    <s v="No"/>
    <s v="Yes"/>
    <s v="No"/>
    <m/>
    <s v="1+ Failures"/>
    <n v="1"/>
    <x v="0"/>
  </r>
  <r>
    <n v="1235"/>
    <d v="2023-05-08T00:00:00"/>
    <s v="Premium"/>
    <n v="699"/>
    <n v="12.8"/>
    <n v="0"/>
    <n v="1"/>
    <n v="15"/>
    <n v="1"/>
    <s v="No"/>
    <s v="No"/>
    <s v="Yes"/>
    <s v="No"/>
    <s v="No"/>
    <s v="No"/>
    <m/>
    <s v="1+ Failures"/>
    <n v="0"/>
    <x v="1"/>
  </r>
  <r>
    <n v="1236"/>
    <d v="2024-01-19T00:00:00"/>
    <s v="Standard"/>
    <n v="399"/>
    <n v="18.600000000000001"/>
    <n v="3"/>
    <n v="4"/>
    <n v="16"/>
    <n v="5"/>
    <s v="Yes"/>
    <s v="No"/>
    <s v="Yes"/>
    <s v="No"/>
    <s v="No"/>
    <s v="No"/>
    <m/>
    <s v="1+ Failures"/>
    <n v="1"/>
    <x v="1"/>
  </r>
  <r>
    <n v="1237"/>
    <d v="2024-09-04T00:00:00"/>
    <s v="Standard"/>
    <n v="399"/>
    <n v="5.4"/>
    <n v="6"/>
    <n v="1"/>
    <n v="19"/>
    <n v="41"/>
    <s v="Yes"/>
    <s v="No"/>
    <s v="Yes"/>
    <s v="Yes"/>
    <s v="Yes"/>
    <s v="No"/>
    <m/>
    <s v="1+ Failures"/>
    <n v="1"/>
    <x v="2"/>
  </r>
  <r>
    <n v="1238"/>
    <d v="2024-06-17T00:00:00"/>
    <s v="Standard"/>
    <n v="399"/>
    <n v="3.8"/>
    <n v="5"/>
    <n v="5"/>
    <n v="22"/>
    <n v="50"/>
    <s v="Yes"/>
    <s v="Yes"/>
    <s v="Yes"/>
    <s v="Yes"/>
    <s v="Yes"/>
    <s v="No"/>
    <m/>
    <s v="1+ Failures"/>
    <n v="1"/>
    <x v="0"/>
  </r>
  <r>
    <n v="1239"/>
    <d v="2023-07-30T00:00:00"/>
    <s v="Standard"/>
    <n v="399"/>
    <n v="18.899999999999999"/>
    <n v="3"/>
    <n v="5"/>
    <n v="19"/>
    <n v="21"/>
    <s v="Yes"/>
    <s v="No"/>
    <s v="Yes"/>
    <s v="No"/>
    <s v="Yes"/>
    <s v="No"/>
    <m/>
    <s v="1+ Failures"/>
    <n v="1"/>
    <x v="1"/>
  </r>
  <r>
    <n v="1240"/>
    <d v="2024-09-14T00:00:00"/>
    <s v="Premium"/>
    <n v="699"/>
    <n v="22.7"/>
    <n v="3"/>
    <n v="5"/>
    <n v="4"/>
    <n v="44"/>
    <s v="No"/>
    <s v="No"/>
    <s v="Yes"/>
    <s v="No"/>
    <s v="Yes"/>
    <s v="Yes"/>
    <m/>
    <s v="1+ Failures"/>
    <n v="0"/>
    <x v="3"/>
  </r>
  <r>
    <n v="1241"/>
    <d v="2024-05-18T00:00:00"/>
    <s v="Standard"/>
    <n v="399"/>
    <n v="8.4"/>
    <n v="7"/>
    <n v="5"/>
    <n v="34"/>
    <n v="0"/>
    <s v="Yes"/>
    <s v="No"/>
    <s v="Yes"/>
    <s v="Yes"/>
    <s v="No"/>
    <s v="No"/>
    <m/>
    <s v="1+ Failures"/>
    <n v="1"/>
    <x v="2"/>
  </r>
  <r>
    <n v="1242"/>
    <d v="2024-08-29T00:00:00"/>
    <s v="Basic"/>
    <n v="199"/>
    <n v="1.8"/>
    <n v="2"/>
    <n v="1"/>
    <n v="13"/>
    <n v="8"/>
    <s v="Yes"/>
    <s v="Yes"/>
    <s v="Yes"/>
    <s v="No"/>
    <s v="No"/>
    <s v="No"/>
    <m/>
    <s v="1+ Failures"/>
    <n v="1"/>
    <x v="0"/>
  </r>
  <r>
    <n v="1243"/>
    <d v="2023-06-18T00:00:00"/>
    <s v="Premium"/>
    <n v="699"/>
    <n v="6.3"/>
    <n v="1"/>
    <n v="3"/>
    <n v="14"/>
    <n v="46"/>
    <s v="Yes"/>
    <s v="No"/>
    <s v="Yes"/>
    <s v="No"/>
    <s v="Yes"/>
    <s v="No"/>
    <m/>
    <s v="1+ Failures"/>
    <n v="1"/>
    <x v="2"/>
  </r>
  <r>
    <n v="1244"/>
    <d v="2024-08-13T00:00:00"/>
    <s v="Premium"/>
    <n v="699"/>
    <n v="6.5"/>
    <n v="2"/>
    <n v="4"/>
    <n v="13"/>
    <n v="15"/>
    <s v="Yes"/>
    <s v="No"/>
    <s v="Yes"/>
    <s v="No"/>
    <s v="Yes"/>
    <s v="No"/>
    <m/>
    <s v="1+ Failures"/>
    <n v="1"/>
    <x v="2"/>
  </r>
  <r>
    <n v="1245"/>
    <d v="2024-02-12T00:00:00"/>
    <s v="Standard"/>
    <n v="399"/>
    <n v="7.2"/>
    <n v="7"/>
    <n v="0"/>
    <n v="13"/>
    <n v="60"/>
    <s v="No"/>
    <s v="No"/>
    <s v="No"/>
    <s v="Yes"/>
    <s v="Yes"/>
    <s v="No"/>
    <m/>
    <s v="0 Failures"/>
    <n v="0"/>
    <x v="2"/>
  </r>
  <r>
    <n v="1246"/>
    <d v="2023-06-09T00:00:00"/>
    <s v="Standard"/>
    <n v="399"/>
    <n v="12"/>
    <n v="6"/>
    <n v="4"/>
    <n v="11"/>
    <n v="39"/>
    <s v="Yes"/>
    <s v="No"/>
    <s v="Yes"/>
    <s v="Yes"/>
    <s v="Yes"/>
    <s v="No"/>
    <m/>
    <s v="1+ Failures"/>
    <n v="1"/>
    <x v="1"/>
  </r>
  <r>
    <n v="1247"/>
    <d v="2023-11-04T00:00:00"/>
    <s v="Standard"/>
    <n v="399"/>
    <n v="19.2"/>
    <n v="6"/>
    <n v="0"/>
    <n v="2"/>
    <n v="48"/>
    <s v="No"/>
    <s v="No"/>
    <s v="No"/>
    <s v="Yes"/>
    <s v="Yes"/>
    <s v="Yes"/>
    <m/>
    <s v="0 Failures"/>
    <n v="0"/>
    <x v="1"/>
  </r>
  <r>
    <n v="1248"/>
    <d v="2024-04-09T00:00:00"/>
    <s v="Premium"/>
    <n v="699"/>
    <n v="4.2"/>
    <n v="2"/>
    <n v="2"/>
    <n v="35"/>
    <n v="24"/>
    <s v="Yes"/>
    <s v="Yes"/>
    <s v="Yes"/>
    <s v="No"/>
    <s v="Yes"/>
    <s v="No"/>
    <m/>
    <s v="1+ Failures"/>
    <n v="1"/>
    <x v="0"/>
  </r>
  <r>
    <n v="1249"/>
    <d v="2024-04-25T00:00:00"/>
    <s v="Standard"/>
    <n v="399"/>
    <n v="14.3"/>
    <n v="7"/>
    <n v="0"/>
    <n v="25"/>
    <n v="21"/>
    <s v="Yes"/>
    <s v="No"/>
    <s v="No"/>
    <s v="Yes"/>
    <s v="Yes"/>
    <s v="No"/>
    <m/>
    <s v="0 Failures"/>
    <n v="1"/>
    <x v="1"/>
  </r>
  <r>
    <n v="1250"/>
    <d v="2024-01-19T00:00:00"/>
    <s v="Basic"/>
    <n v="199"/>
    <n v="22.9"/>
    <n v="0"/>
    <n v="0"/>
    <n v="10"/>
    <n v="55"/>
    <s v="No"/>
    <s v="No"/>
    <s v="No"/>
    <s v="No"/>
    <s v="Yes"/>
    <s v="No"/>
    <m/>
    <s v="0 Failures"/>
    <n v="0"/>
    <x v="3"/>
  </r>
  <r>
    <n v="1251"/>
    <d v="2023-11-12T00:00:00"/>
    <s v="Standard"/>
    <n v="399"/>
    <n v="23.2"/>
    <n v="6"/>
    <n v="5"/>
    <n v="26"/>
    <n v="23"/>
    <s v="Yes"/>
    <s v="No"/>
    <s v="Yes"/>
    <s v="Yes"/>
    <s v="Yes"/>
    <s v="No"/>
    <m/>
    <s v="1+ Failures"/>
    <n v="1"/>
    <x v="3"/>
  </r>
  <r>
    <n v="1252"/>
    <d v="2023-06-16T00:00:00"/>
    <s v="Premium"/>
    <n v="699"/>
    <n v="10.5"/>
    <n v="0"/>
    <n v="0"/>
    <n v="5"/>
    <n v="24"/>
    <s v="No"/>
    <s v="No"/>
    <s v="No"/>
    <s v="No"/>
    <s v="Yes"/>
    <s v="Yes"/>
    <m/>
    <s v="0 Failures"/>
    <n v="0"/>
    <x v="1"/>
  </r>
  <r>
    <n v="1253"/>
    <d v="2024-12-06T00:00:00"/>
    <s v="Basic"/>
    <n v="199"/>
    <n v="23.9"/>
    <n v="5"/>
    <n v="4"/>
    <n v="28"/>
    <n v="45"/>
    <s v="Yes"/>
    <s v="No"/>
    <s v="Yes"/>
    <s v="Yes"/>
    <s v="Yes"/>
    <s v="No"/>
    <m/>
    <s v="1+ Failures"/>
    <n v="1"/>
    <x v="3"/>
  </r>
  <r>
    <n v="1254"/>
    <d v="2023-02-05T00:00:00"/>
    <s v="Standard"/>
    <n v="399"/>
    <n v="16.399999999999999"/>
    <n v="6"/>
    <n v="5"/>
    <n v="4"/>
    <n v="15"/>
    <s v="Yes"/>
    <s v="No"/>
    <s v="Yes"/>
    <s v="Yes"/>
    <s v="Yes"/>
    <s v="Yes"/>
    <m/>
    <s v="1+ Failures"/>
    <n v="1"/>
    <x v="1"/>
  </r>
  <r>
    <n v="1255"/>
    <d v="2024-11-28T00:00:00"/>
    <s v="Standard"/>
    <n v="399"/>
    <n v="17.600000000000001"/>
    <n v="2"/>
    <n v="2"/>
    <n v="2"/>
    <n v="38"/>
    <s v="Yes"/>
    <s v="No"/>
    <s v="Yes"/>
    <s v="No"/>
    <s v="Yes"/>
    <s v="Yes"/>
    <m/>
    <s v="1+ Failures"/>
    <n v="1"/>
    <x v="1"/>
  </r>
  <r>
    <n v="1256"/>
    <d v="2024-10-21T00:00:00"/>
    <s v="Basic"/>
    <n v="199"/>
    <n v="6.6"/>
    <n v="2"/>
    <n v="0"/>
    <n v="17"/>
    <n v="7"/>
    <s v="No"/>
    <s v="No"/>
    <s v="No"/>
    <s v="No"/>
    <s v="No"/>
    <s v="No"/>
    <m/>
    <s v="0 Failures"/>
    <n v="0"/>
    <x v="2"/>
  </r>
  <r>
    <n v="1257"/>
    <d v="2024-03-09T00:00:00"/>
    <s v="Premium"/>
    <n v="699"/>
    <n v="10.199999999999999"/>
    <n v="1"/>
    <n v="4"/>
    <n v="25"/>
    <n v="58"/>
    <s v="Yes"/>
    <s v="No"/>
    <s v="Yes"/>
    <s v="No"/>
    <s v="Yes"/>
    <s v="No"/>
    <m/>
    <s v="1+ Failures"/>
    <n v="1"/>
    <x v="1"/>
  </r>
  <r>
    <n v="1258"/>
    <d v="2024-01-27T00:00:00"/>
    <s v="Basic"/>
    <n v="199"/>
    <n v="6.7"/>
    <n v="4"/>
    <n v="4"/>
    <n v="28"/>
    <n v="34"/>
    <s v="Yes"/>
    <s v="No"/>
    <s v="Yes"/>
    <s v="No"/>
    <s v="Yes"/>
    <s v="No"/>
    <m/>
    <s v="1+ Failures"/>
    <n v="1"/>
    <x v="2"/>
  </r>
  <r>
    <n v="1259"/>
    <d v="2023-12-19T00:00:00"/>
    <s v="Premium"/>
    <n v="699"/>
    <n v="18.5"/>
    <n v="1"/>
    <n v="0"/>
    <n v="20"/>
    <n v="40"/>
    <s v="No"/>
    <s v="No"/>
    <s v="No"/>
    <s v="No"/>
    <s v="Yes"/>
    <s v="No"/>
    <m/>
    <s v="0 Failures"/>
    <n v="0"/>
    <x v="1"/>
  </r>
  <r>
    <n v="1260"/>
    <d v="2023-06-22T00:00:00"/>
    <s v="Basic"/>
    <n v="199"/>
    <n v="18.8"/>
    <n v="6"/>
    <n v="5"/>
    <n v="18"/>
    <n v="19"/>
    <s v="Yes"/>
    <s v="No"/>
    <s v="Yes"/>
    <s v="Yes"/>
    <s v="Yes"/>
    <s v="No"/>
    <m/>
    <s v="1+ Failures"/>
    <n v="1"/>
    <x v="1"/>
  </r>
  <r>
    <n v="1261"/>
    <d v="2024-03-17T00:00:00"/>
    <s v="Standard"/>
    <n v="399"/>
    <n v="2.9"/>
    <n v="6"/>
    <n v="4"/>
    <n v="1"/>
    <n v="26"/>
    <s v="Yes"/>
    <s v="Yes"/>
    <s v="Yes"/>
    <s v="Yes"/>
    <s v="Yes"/>
    <s v="Yes"/>
    <m/>
    <s v="1+ Failures"/>
    <n v="1"/>
    <x v="0"/>
  </r>
  <r>
    <n v="1262"/>
    <d v="2023-04-23T00:00:00"/>
    <s v="Basic"/>
    <n v="199"/>
    <n v="9.6999999999999993"/>
    <n v="2"/>
    <n v="1"/>
    <n v="12"/>
    <n v="31"/>
    <s v="Yes"/>
    <s v="No"/>
    <s v="Yes"/>
    <s v="No"/>
    <s v="Yes"/>
    <s v="No"/>
    <m/>
    <s v="1+ Failures"/>
    <n v="1"/>
    <x v="2"/>
  </r>
  <r>
    <n v="1263"/>
    <d v="2023-07-16T00:00:00"/>
    <s v="Standard"/>
    <n v="399"/>
    <n v="5"/>
    <n v="0"/>
    <n v="5"/>
    <n v="14"/>
    <n v="11"/>
    <s v="No"/>
    <s v="No"/>
    <s v="Yes"/>
    <s v="No"/>
    <s v="No"/>
    <s v="No"/>
    <m/>
    <s v="1+ Failures"/>
    <n v="0"/>
    <x v="0"/>
  </r>
  <r>
    <n v="1264"/>
    <d v="2023-03-29T00:00:00"/>
    <s v="Standard"/>
    <n v="399"/>
    <n v="11.3"/>
    <n v="1"/>
    <n v="5"/>
    <n v="27"/>
    <n v="10"/>
    <s v="Yes"/>
    <s v="No"/>
    <s v="Yes"/>
    <s v="No"/>
    <s v="No"/>
    <s v="No"/>
    <m/>
    <s v="1+ Failures"/>
    <n v="1"/>
    <x v="1"/>
  </r>
  <r>
    <n v="1265"/>
    <d v="2024-05-11T00:00:00"/>
    <s v="Standard"/>
    <n v="399"/>
    <n v="7.3"/>
    <n v="5"/>
    <n v="0"/>
    <n v="8"/>
    <n v="37"/>
    <s v="Yes"/>
    <s v="No"/>
    <s v="No"/>
    <s v="Yes"/>
    <s v="Yes"/>
    <s v="No"/>
    <m/>
    <s v="0 Failures"/>
    <n v="1"/>
    <x v="2"/>
  </r>
  <r>
    <n v="1266"/>
    <d v="2023-02-12T00:00:00"/>
    <s v="Premium"/>
    <n v="699"/>
    <n v="0.7"/>
    <n v="4"/>
    <n v="0"/>
    <n v="7"/>
    <n v="42"/>
    <s v="Yes"/>
    <s v="Yes"/>
    <s v="No"/>
    <s v="No"/>
    <s v="Yes"/>
    <s v="No"/>
    <m/>
    <s v="0 Failures"/>
    <n v="1"/>
    <x v="0"/>
  </r>
  <r>
    <n v="1267"/>
    <d v="2023-09-30T00:00:00"/>
    <s v="Basic"/>
    <n v="199"/>
    <n v="13.3"/>
    <n v="0"/>
    <n v="3"/>
    <n v="14"/>
    <n v="38"/>
    <s v="Yes"/>
    <s v="No"/>
    <s v="Yes"/>
    <s v="No"/>
    <s v="Yes"/>
    <s v="No"/>
    <m/>
    <s v="1+ Failures"/>
    <n v="1"/>
    <x v="1"/>
  </r>
  <r>
    <n v="1268"/>
    <d v="2023-12-18T00:00:00"/>
    <s v="Standard"/>
    <n v="399"/>
    <n v="19"/>
    <n v="6"/>
    <n v="2"/>
    <n v="31"/>
    <n v="23"/>
    <s v="Yes"/>
    <s v="No"/>
    <s v="Yes"/>
    <s v="Yes"/>
    <s v="Yes"/>
    <s v="No"/>
    <m/>
    <s v="1+ Failures"/>
    <n v="1"/>
    <x v="1"/>
  </r>
  <r>
    <n v="1269"/>
    <d v="2023-12-31T00:00:00"/>
    <s v="Standard"/>
    <n v="399"/>
    <n v="23.6"/>
    <n v="6"/>
    <n v="3"/>
    <n v="16"/>
    <n v="39"/>
    <s v="Yes"/>
    <s v="No"/>
    <s v="Yes"/>
    <s v="Yes"/>
    <s v="Yes"/>
    <s v="No"/>
    <m/>
    <s v="1+ Failures"/>
    <n v="1"/>
    <x v="3"/>
  </r>
  <r>
    <n v="1270"/>
    <d v="2023-05-23T00:00:00"/>
    <s v="Standard"/>
    <n v="399"/>
    <n v="0.6"/>
    <n v="6"/>
    <n v="5"/>
    <n v="7"/>
    <n v="53"/>
    <s v="Yes"/>
    <s v="Yes"/>
    <s v="Yes"/>
    <s v="Yes"/>
    <s v="Yes"/>
    <s v="No"/>
    <m/>
    <s v="1+ Failures"/>
    <n v="1"/>
    <x v="0"/>
  </r>
  <r>
    <n v="1271"/>
    <d v="2024-01-13T00:00:00"/>
    <s v="Basic"/>
    <n v="199"/>
    <n v="21.8"/>
    <n v="4"/>
    <n v="5"/>
    <n v="8"/>
    <n v="48"/>
    <s v="No"/>
    <s v="No"/>
    <s v="Yes"/>
    <s v="No"/>
    <s v="Yes"/>
    <s v="No"/>
    <m/>
    <s v="1+ Failures"/>
    <n v="0"/>
    <x v="3"/>
  </r>
  <r>
    <n v="1272"/>
    <d v="2023-11-26T00:00:00"/>
    <s v="Standard"/>
    <n v="399"/>
    <n v="13.1"/>
    <n v="3"/>
    <n v="0"/>
    <n v="31"/>
    <n v="40"/>
    <s v="No"/>
    <s v="No"/>
    <s v="No"/>
    <s v="No"/>
    <s v="Yes"/>
    <s v="No"/>
    <m/>
    <s v="0 Failures"/>
    <n v="0"/>
    <x v="1"/>
  </r>
  <r>
    <n v="1273"/>
    <d v="2024-05-11T00:00:00"/>
    <s v="Basic"/>
    <n v="199"/>
    <n v="21.9"/>
    <n v="5"/>
    <n v="5"/>
    <n v="24"/>
    <n v="28"/>
    <s v="Yes"/>
    <s v="No"/>
    <s v="Yes"/>
    <s v="Yes"/>
    <s v="Yes"/>
    <s v="No"/>
    <m/>
    <s v="1+ Failures"/>
    <n v="1"/>
    <x v="3"/>
  </r>
  <r>
    <n v="1274"/>
    <d v="2023-04-13T00:00:00"/>
    <s v="Standard"/>
    <n v="399"/>
    <n v="9"/>
    <n v="7"/>
    <n v="5"/>
    <n v="6"/>
    <n v="54"/>
    <s v="Yes"/>
    <s v="No"/>
    <s v="Yes"/>
    <s v="Yes"/>
    <s v="Yes"/>
    <s v="No"/>
    <m/>
    <s v="1+ Failures"/>
    <n v="1"/>
    <x v="2"/>
  </r>
  <r>
    <n v="1275"/>
    <d v="2024-08-08T00:00:00"/>
    <s v="Premium"/>
    <n v="699"/>
    <n v="7.7"/>
    <n v="3"/>
    <n v="5"/>
    <n v="25"/>
    <n v="9"/>
    <s v="No"/>
    <s v="No"/>
    <s v="Yes"/>
    <s v="No"/>
    <s v="No"/>
    <s v="No"/>
    <m/>
    <s v="1+ Failures"/>
    <n v="0"/>
    <x v="2"/>
  </r>
  <r>
    <n v="1276"/>
    <d v="2024-07-15T00:00:00"/>
    <s v="Premium"/>
    <n v="699"/>
    <n v="1.3"/>
    <n v="7"/>
    <n v="0"/>
    <n v="33"/>
    <n v="19"/>
    <s v="No"/>
    <s v="Yes"/>
    <s v="No"/>
    <s v="Yes"/>
    <s v="Yes"/>
    <s v="No"/>
    <m/>
    <s v="0 Failures"/>
    <n v="0"/>
    <x v="0"/>
  </r>
  <r>
    <n v="1277"/>
    <d v="2023-09-07T00:00:00"/>
    <s v="Standard"/>
    <n v="399"/>
    <n v="22.5"/>
    <n v="1"/>
    <n v="3"/>
    <n v="11"/>
    <n v="42"/>
    <s v="Yes"/>
    <s v="No"/>
    <s v="Yes"/>
    <s v="No"/>
    <s v="Yes"/>
    <s v="No"/>
    <m/>
    <s v="1+ Failures"/>
    <n v="1"/>
    <x v="3"/>
  </r>
  <r>
    <n v="1278"/>
    <d v="2023-01-30T00:00:00"/>
    <s v="Basic"/>
    <n v="199"/>
    <n v="19"/>
    <n v="1"/>
    <n v="0"/>
    <n v="11"/>
    <n v="27"/>
    <s v="No"/>
    <s v="No"/>
    <s v="No"/>
    <s v="No"/>
    <s v="Yes"/>
    <s v="No"/>
    <m/>
    <s v="0 Failures"/>
    <n v="0"/>
    <x v="1"/>
  </r>
  <r>
    <n v="1279"/>
    <d v="2024-05-02T00:00:00"/>
    <s v="Basic"/>
    <n v="199"/>
    <n v="22.6"/>
    <n v="4"/>
    <n v="1"/>
    <n v="21"/>
    <n v="46"/>
    <s v="Yes"/>
    <s v="No"/>
    <s v="Yes"/>
    <s v="No"/>
    <s v="Yes"/>
    <s v="No"/>
    <m/>
    <s v="1+ Failures"/>
    <n v="1"/>
    <x v="3"/>
  </r>
  <r>
    <n v="1280"/>
    <d v="2024-12-09T00:00:00"/>
    <s v="Premium"/>
    <n v="699"/>
    <n v="16.8"/>
    <n v="8"/>
    <n v="5"/>
    <n v="8"/>
    <n v="46"/>
    <s v="Yes"/>
    <s v="No"/>
    <s v="Yes"/>
    <s v="Yes"/>
    <s v="Yes"/>
    <s v="No"/>
    <m/>
    <s v="1+ Failures"/>
    <n v="1"/>
    <x v="1"/>
  </r>
  <r>
    <n v="1281"/>
    <d v="2024-01-26T00:00:00"/>
    <s v="Standard"/>
    <n v="399"/>
    <n v="23.3"/>
    <n v="1"/>
    <n v="5"/>
    <n v="15"/>
    <n v="21"/>
    <s v="Yes"/>
    <s v="No"/>
    <s v="Yes"/>
    <s v="No"/>
    <s v="Yes"/>
    <s v="No"/>
    <m/>
    <s v="1+ Failures"/>
    <n v="1"/>
    <x v="3"/>
  </r>
  <r>
    <n v="1282"/>
    <d v="2023-10-25T00:00:00"/>
    <s v="Premium"/>
    <n v="699"/>
    <n v="24.2"/>
    <n v="6"/>
    <n v="1"/>
    <n v="36"/>
    <n v="14"/>
    <s v="No"/>
    <s v="No"/>
    <s v="Yes"/>
    <s v="Yes"/>
    <s v="No"/>
    <s v="No"/>
    <m/>
    <s v="1+ Failures"/>
    <n v="0"/>
    <x v="3"/>
  </r>
  <r>
    <n v="1283"/>
    <d v="2024-01-12T00:00:00"/>
    <s v="Basic"/>
    <n v="199"/>
    <n v="2.7"/>
    <n v="3"/>
    <n v="5"/>
    <n v="8"/>
    <n v="60"/>
    <s v="Yes"/>
    <s v="Yes"/>
    <s v="Yes"/>
    <s v="No"/>
    <s v="Yes"/>
    <s v="No"/>
    <m/>
    <s v="1+ Failures"/>
    <n v="1"/>
    <x v="0"/>
  </r>
  <r>
    <n v="1284"/>
    <d v="2023-07-14T00:00:00"/>
    <s v="Basic"/>
    <n v="199"/>
    <n v="23.9"/>
    <n v="0"/>
    <n v="2"/>
    <n v="21"/>
    <n v="3"/>
    <s v="No"/>
    <s v="No"/>
    <s v="Yes"/>
    <s v="No"/>
    <s v="No"/>
    <s v="No"/>
    <m/>
    <s v="1+ Failures"/>
    <n v="0"/>
    <x v="3"/>
  </r>
  <r>
    <n v="1285"/>
    <d v="2024-06-16T00:00:00"/>
    <s v="Standard"/>
    <n v="399"/>
    <n v="8.3000000000000007"/>
    <n v="5"/>
    <n v="5"/>
    <n v="28"/>
    <n v="59"/>
    <s v="No"/>
    <s v="No"/>
    <s v="Yes"/>
    <s v="Yes"/>
    <s v="Yes"/>
    <s v="No"/>
    <m/>
    <s v="1+ Failures"/>
    <n v="0"/>
    <x v="2"/>
  </r>
  <r>
    <n v="1286"/>
    <d v="2023-05-29T00:00:00"/>
    <s v="Premium"/>
    <n v="699"/>
    <n v="3.1"/>
    <n v="0"/>
    <n v="4"/>
    <n v="15"/>
    <n v="54"/>
    <s v="Yes"/>
    <s v="Yes"/>
    <s v="Yes"/>
    <s v="No"/>
    <s v="Yes"/>
    <s v="No"/>
    <m/>
    <s v="1+ Failures"/>
    <n v="1"/>
    <x v="0"/>
  </r>
  <r>
    <n v="1287"/>
    <d v="2024-11-12T00:00:00"/>
    <s v="Standard"/>
    <n v="399"/>
    <n v="12.7"/>
    <n v="7"/>
    <n v="1"/>
    <n v="15"/>
    <n v="38"/>
    <s v="Yes"/>
    <s v="No"/>
    <s v="Yes"/>
    <s v="Yes"/>
    <s v="Yes"/>
    <s v="No"/>
    <m/>
    <s v="1+ Failures"/>
    <n v="1"/>
    <x v="1"/>
  </r>
  <r>
    <n v="1288"/>
    <d v="2024-12-24T00:00:00"/>
    <s v="Premium"/>
    <n v="699"/>
    <n v="15.2"/>
    <n v="4"/>
    <n v="4"/>
    <n v="3"/>
    <n v="44"/>
    <s v="Yes"/>
    <s v="No"/>
    <s v="Yes"/>
    <s v="No"/>
    <s v="Yes"/>
    <s v="Yes"/>
    <m/>
    <s v="1+ Failures"/>
    <n v="1"/>
    <x v="1"/>
  </r>
  <r>
    <n v="1289"/>
    <d v="2024-01-21T00:00:00"/>
    <s v="Premium"/>
    <n v="699"/>
    <n v="16"/>
    <n v="3"/>
    <n v="3"/>
    <n v="31"/>
    <n v="18"/>
    <s v="No"/>
    <s v="No"/>
    <s v="Yes"/>
    <s v="No"/>
    <s v="Yes"/>
    <s v="No"/>
    <m/>
    <s v="1+ Failures"/>
    <n v="0"/>
    <x v="1"/>
  </r>
  <r>
    <n v="1290"/>
    <d v="2024-12-18T00:00:00"/>
    <s v="Basic"/>
    <n v="199"/>
    <n v="4.2"/>
    <n v="3"/>
    <n v="5"/>
    <n v="22"/>
    <n v="59"/>
    <s v="Yes"/>
    <s v="Yes"/>
    <s v="Yes"/>
    <s v="No"/>
    <s v="Yes"/>
    <s v="No"/>
    <m/>
    <s v="1+ Failures"/>
    <n v="1"/>
    <x v="0"/>
  </r>
  <r>
    <n v="1291"/>
    <d v="2024-11-06T00:00:00"/>
    <s v="Premium"/>
    <n v="699"/>
    <n v="23.1"/>
    <n v="2"/>
    <n v="3"/>
    <n v="4"/>
    <n v="46"/>
    <s v="Yes"/>
    <s v="No"/>
    <s v="Yes"/>
    <s v="No"/>
    <s v="Yes"/>
    <s v="Yes"/>
    <m/>
    <s v="1+ Failures"/>
    <n v="1"/>
    <x v="3"/>
  </r>
  <r>
    <n v="1292"/>
    <d v="2023-12-23T00:00:00"/>
    <s v="Basic"/>
    <n v="199"/>
    <n v="13.9"/>
    <n v="5"/>
    <n v="3"/>
    <n v="2"/>
    <n v="43"/>
    <s v="Yes"/>
    <s v="No"/>
    <s v="Yes"/>
    <s v="Yes"/>
    <s v="Yes"/>
    <s v="Yes"/>
    <m/>
    <s v="1+ Failures"/>
    <n v="1"/>
    <x v="1"/>
  </r>
  <r>
    <n v="1293"/>
    <d v="2024-12-18T00:00:00"/>
    <s v="Standard"/>
    <n v="399"/>
    <n v="2.2999999999999998"/>
    <n v="4"/>
    <n v="2"/>
    <n v="26"/>
    <n v="44"/>
    <s v="Yes"/>
    <s v="Yes"/>
    <s v="Yes"/>
    <s v="No"/>
    <s v="Yes"/>
    <s v="No"/>
    <m/>
    <s v="1+ Failures"/>
    <n v="1"/>
    <x v="0"/>
  </r>
  <r>
    <n v="1294"/>
    <d v="2024-12-27T00:00:00"/>
    <s v="Premium"/>
    <n v="699"/>
    <n v="2.9"/>
    <n v="5"/>
    <n v="4"/>
    <n v="26"/>
    <n v="55"/>
    <s v="Yes"/>
    <s v="Yes"/>
    <s v="Yes"/>
    <s v="Yes"/>
    <s v="Yes"/>
    <s v="No"/>
    <m/>
    <s v="1+ Failures"/>
    <n v="1"/>
    <x v="0"/>
  </r>
  <r>
    <n v="1295"/>
    <d v="2023-05-29T00:00:00"/>
    <s v="Standard"/>
    <n v="399"/>
    <n v="16.5"/>
    <n v="2"/>
    <n v="3"/>
    <n v="30"/>
    <n v="44"/>
    <s v="Yes"/>
    <s v="No"/>
    <s v="Yes"/>
    <s v="No"/>
    <s v="Yes"/>
    <s v="No"/>
    <m/>
    <s v="1+ Failures"/>
    <n v="1"/>
    <x v="1"/>
  </r>
  <r>
    <n v="1296"/>
    <d v="2024-08-12T00:00:00"/>
    <s v="Basic"/>
    <n v="199"/>
    <n v="20.2"/>
    <n v="3"/>
    <n v="5"/>
    <n v="14"/>
    <n v="41"/>
    <s v="Yes"/>
    <s v="No"/>
    <s v="Yes"/>
    <s v="No"/>
    <s v="Yes"/>
    <s v="No"/>
    <m/>
    <s v="1+ Failures"/>
    <n v="1"/>
    <x v="3"/>
  </r>
  <r>
    <n v="1297"/>
    <d v="2023-02-27T00:00:00"/>
    <s v="Basic"/>
    <n v="199"/>
    <n v="9.6999999999999993"/>
    <n v="6"/>
    <n v="5"/>
    <n v="10"/>
    <n v="53"/>
    <s v="Yes"/>
    <s v="No"/>
    <s v="Yes"/>
    <s v="Yes"/>
    <s v="Yes"/>
    <s v="No"/>
    <m/>
    <s v="1+ Failures"/>
    <n v="1"/>
    <x v="2"/>
  </r>
  <r>
    <n v="1298"/>
    <d v="2024-10-27T00:00:00"/>
    <s v="Basic"/>
    <n v="199"/>
    <n v="24.4"/>
    <n v="2"/>
    <n v="0"/>
    <n v="23"/>
    <n v="7"/>
    <s v="No"/>
    <s v="No"/>
    <s v="No"/>
    <s v="No"/>
    <s v="No"/>
    <s v="No"/>
    <m/>
    <s v="0 Failures"/>
    <n v="0"/>
    <x v="3"/>
  </r>
  <r>
    <n v="1299"/>
    <d v="2024-02-11T00:00:00"/>
    <s v="Standard"/>
    <n v="399"/>
    <n v="24.3"/>
    <n v="6"/>
    <n v="1"/>
    <n v="28"/>
    <n v="2"/>
    <s v="Yes"/>
    <s v="No"/>
    <s v="Yes"/>
    <s v="Yes"/>
    <s v="No"/>
    <s v="No"/>
    <m/>
    <s v="1+ Failures"/>
    <n v="1"/>
    <x v="3"/>
  </r>
  <r>
    <n v="1300"/>
    <d v="2024-12-09T00:00:00"/>
    <s v="Standard"/>
    <n v="399"/>
    <n v="17.399999999999999"/>
    <n v="2"/>
    <n v="5"/>
    <n v="20"/>
    <n v="47"/>
    <s v="Yes"/>
    <s v="No"/>
    <s v="Yes"/>
    <s v="No"/>
    <s v="Yes"/>
    <s v="No"/>
    <m/>
    <s v="1+ Failures"/>
    <n v="1"/>
    <x v="1"/>
  </r>
  <r>
    <n v="1301"/>
    <d v="2024-01-12T00:00:00"/>
    <s v="Premium"/>
    <n v="699"/>
    <n v="19.600000000000001"/>
    <n v="6"/>
    <n v="2"/>
    <n v="6"/>
    <n v="40"/>
    <s v="Yes"/>
    <s v="No"/>
    <s v="Yes"/>
    <s v="Yes"/>
    <s v="Yes"/>
    <s v="No"/>
    <m/>
    <s v="1+ Failures"/>
    <n v="1"/>
    <x v="1"/>
  </r>
  <r>
    <n v="1302"/>
    <d v="2024-06-05T00:00:00"/>
    <s v="Basic"/>
    <n v="199"/>
    <n v="3.4"/>
    <n v="1"/>
    <n v="3"/>
    <n v="8"/>
    <n v="41"/>
    <s v="Yes"/>
    <s v="Yes"/>
    <s v="Yes"/>
    <s v="No"/>
    <s v="Yes"/>
    <s v="No"/>
    <m/>
    <s v="1+ Failures"/>
    <n v="1"/>
    <x v="0"/>
  </r>
  <r>
    <n v="1303"/>
    <d v="2024-08-30T00:00:00"/>
    <s v="Basic"/>
    <n v="199"/>
    <n v="14.9"/>
    <n v="7"/>
    <n v="2"/>
    <n v="2"/>
    <n v="44"/>
    <s v="Yes"/>
    <s v="No"/>
    <s v="Yes"/>
    <s v="Yes"/>
    <s v="Yes"/>
    <s v="Yes"/>
    <m/>
    <s v="1+ Failures"/>
    <n v="1"/>
    <x v="1"/>
  </r>
  <r>
    <n v="1304"/>
    <d v="2023-11-30T00:00:00"/>
    <s v="Basic"/>
    <n v="199"/>
    <n v="12.4"/>
    <n v="6"/>
    <n v="2"/>
    <n v="25"/>
    <n v="36"/>
    <s v="Yes"/>
    <s v="No"/>
    <s v="Yes"/>
    <s v="Yes"/>
    <s v="Yes"/>
    <s v="No"/>
    <m/>
    <s v="1+ Failures"/>
    <n v="1"/>
    <x v="1"/>
  </r>
  <r>
    <n v="1305"/>
    <d v="2024-06-26T00:00:00"/>
    <s v="Basic"/>
    <n v="199"/>
    <n v="5"/>
    <n v="0"/>
    <n v="3"/>
    <n v="35"/>
    <n v="35"/>
    <s v="No"/>
    <s v="No"/>
    <s v="Yes"/>
    <s v="No"/>
    <s v="Yes"/>
    <s v="No"/>
    <m/>
    <s v="1+ Failures"/>
    <n v="0"/>
    <x v="0"/>
  </r>
  <r>
    <n v="1306"/>
    <d v="2023-05-08T00:00:00"/>
    <s v="Standard"/>
    <n v="399"/>
    <n v="13.2"/>
    <n v="8"/>
    <n v="5"/>
    <n v="5"/>
    <n v="52"/>
    <s v="No"/>
    <s v="No"/>
    <s v="Yes"/>
    <s v="Yes"/>
    <s v="Yes"/>
    <s v="Yes"/>
    <m/>
    <s v="1+ Failures"/>
    <n v="0"/>
    <x v="1"/>
  </r>
  <r>
    <n v="1307"/>
    <d v="2023-11-18T00:00:00"/>
    <s v="Basic"/>
    <n v="199"/>
    <n v="4.9000000000000004"/>
    <n v="2"/>
    <n v="0"/>
    <n v="8"/>
    <n v="35"/>
    <s v="Yes"/>
    <s v="Yes"/>
    <s v="No"/>
    <s v="No"/>
    <s v="Yes"/>
    <s v="No"/>
    <m/>
    <s v="0 Failures"/>
    <n v="1"/>
    <x v="0"/>
  </r>
  <r>
    <n v="1308"/>
    <d v="2023-09-20T00:00:00"/>
    <s v="Basic"/>
    <n v="199"/>
    <n v="3.7"/>
    <n v="3"/>
    <n v="5"/>
    <n v="3"/>
    <n v="10"/>
    <s v="Yes"/>
    <s v="Yes"/>
    <s v="Yes"/>
    <s v="No"/>
    <s v="No"/>
    <s v="Yes"/>
    <m/>
    <s v="1+ Failures"/>
    <n v="1"/>
    <x v="0"/>
  </r>
  <r>
    <n v="1309"/>
    <d v="2023-06-25T00:00:00"/>
    <s v="Basic"/>
    <n v="199"/>
    <n v="24.5"/>
    <n v="8"/>
    <n v="2"/>
    <n v="6"/>
    <n v="23"/>
    <s v="No"/>
    <s v="No"/>
    <s v="Yes"/>
    <s v="Yes"/>
    <s v="Yes"/>
    <s v="No"/>
    <m/>
    <s v="1+ Failures"/>
    <n v="0"/>
    <x v="3"/>
  </r>
  <r>
    <n v="1310"/>
    <d v="2024-11-05T00:00:00"/>
    <s v="Standard"/>
    <n v="399"/>
    <n v="6.6"/>
    <n v="0"/>
    <n v="4"/>
    <n v="1"/>
    <n v="57"/>
    <s v="No"/>
    <s v="No"/>
    <s v="Yes"/>
    <s v="No"/>
    <s v="Yes"/>
    <s v="Yes"/>
    <m/>
    <s v="1+ Failures"/>
    <n v="0"/>
    <x v="2"/>
  </r>
  <r>
    <n v="1311"/>
    <d v="2023-12-27T00:00:00"/>
    <s v="Premium"/>
    <n v="699"/>
    <n v="3.9"/>
    <n v="7"/>
    <n v="5"/>
    <n v="29"/>
    <n v="20"/>
    <s v="Yes"/>
    <s v="Yes"/>
    <s v="Yes"/>
    <s v="Yes"/>
    <s v="Yes"/>
    <s v="No"/>
    <m/>
    <s v="1+ Failures"/>
    <n v="1"/>
    <x v="0"/>
  </r>
  <r>
    <n v="1312"/>
    <d v="2023-02-07T00:00:00"/>
    <s v="Premium"/>
    <n v="699"/>
    <n v="13"/>
    <n v="1"/>
    <n v="5"/>
    <n v="35"/>
    <n v="52"/>
    <s v="Yes"/>
    <s v="No"/>
    <s v="Yes"/>
    <s v="No"/>
    <s v="Yes"/>
    <s v="No"/>
    <m/>
    <s v="1+ Failures"/>
    <n v="1"/>
    <x v="1"/>
  </r>
  <r>
    <n v="1313"/>
    <d v="2024-08-28T00:00:00"/>
    <s v="Basic"/>
    <n v="199"/>
    <n v="7.8"/>
    <n v="3"/>
    <n v="1"/>
    <n v="10"/>
    <n v="38"/>
    <s v="No"/>
    <s v="No"/>
    <s v="Yes"/>
    <s v="No"/>
    <s v="Yes"/>
    <s v="No"/>
    <m/>
    <s v="1+ Failures"/>
    <n v="0"/>
    <x v="2"/>
  </r>
  <r>
    <n v="1314"/>
    <d v="2024-01-26T00:00:00"/>
    <s v="Standard"/>
    <n v="399"/>
    <n v="3.6"/>
    <n v="6"/>
    <n v="0"/>
    <n v="18"/>
    <n v="35"/>
    <s v="Yes"/>
    <s v="Yes"/>
    <s v="No"/>
    <s v="Yes"/>
    <s v="Yes"/>
    <s v="No"/>
    <m/>
    <s v="0 Failures"/>
    <n v="1"/>
    <x v="0"/>
  </r>
  <r>
    <n v="1315"/>
    <d v="2024-12-12T00:00:00"/>
    <s v="Premium"/>
    <n v="699"/>
    <n v="10.3"/>
    <n v="1"/>
    <n v="2"/>
    <n v="11"/>
    <n v="43"/>
    <s v="Yes"/>
    <s v="No"/>
    <s v="Yes"/>
    <s v="No"/>
    <s v="Yes"/>
    <s v="No"/>
    <m/>
    <s v="1+ Failures"/>
    <n v="1"/>
    <x v="1"/>
  </r>
  <r>
    <n v="1316"/>
    <d v="2024-01-17T00:00:00"/>
    <s v="Basic"/>
    <n v="199"/>
    <n v="5.5"/>
    <n v="4"/>
    <n v="5"/>
    <n v="35"/>
    <n v="44"/>
    <s v="Yes"/>
    <s v="No"/>
    <s v="Yes"/>
    <s v="No"/>
    <s v="Yes"/>
    <s v="No"/>
    <m/>
    <s v="1+ Failures"/>
    <n v="1"/>
    <x v="2"/>
  </r>
  <r>
    <n v="1317"/>
    <d v="2024-03-20T00:00:00"/>
    <s v="Premium"/>
    <n v="699"/>
    <n v="15.3"/>
    <n v="6"/>
    <n v="1"/>
    <n v="33"/>
    <n v="20"/>
    <s v="No"/>
    <s v="No"/>
    <s v="Yes"/>
    <s v="Yes"/>
    <s v="Yes"/>
    <s v="No"/>
    <m/>
    <s v="1+ Failures"/>
    <n v="0"/>
    <x v="1"/>
  </r>
  <r>
    <n v="1318"/>
    <d v="2023-04-23T00:00:00"/>
    <s v="Standard"/>
    <n v="399"/>
    <n v="24.1"/>
    <n v="3"/>
    <n v="0"/>
    <n v="2"/>
    <n v="17"/>
    <s v="No"/>
    <s v="No"/>
    <s v="No"/>
    <s v="No"/>
    <s v="Yes"/>
    <s v="Yes"/>
    <m/>
    <s v="0 Failures"/>
    <n v="0"/>
    <x v="3"/>
  </r>
  <r>
    <n v="1319"/>
    <d v="2023-12-08T00:00:00"/>
    <s v="Premium"/>
    <n v="699"/>
    <n v="10.5"/>
    <n v="5"/>
    <n v="5"/>
    <n v="36"/>
    <n v="5"/>
    <s v="Yes"/>
    <s v="No"/>
    <s v="Yes"/>
    <s v="Yes"/>
    <s v="No"/>
    <s v="No"/>
    <m/>
    <s v="1+ Failures"/>
    <n v="1"/>
    <x v="1"/>
  </r>
  <r>
    <n v="1320"/>
    <d v="2023-08-16T00:00:00"/>
    <s v="Standard"/>
    <n v="399"/>
    <n v="21.8"/>
    <n v="3"/>
    <n v="2"/>
    <n v="10"/>
    <n v="0"/>
    <s v="Yes"/>
    <s v="No"/>
    <s v="Yes"/>
    <s v="No"/>
    <s v="No"/>
    <s v="No"/>
    <m/>
    <s v="1+ Failures"/>
    <n v="1"/>
    <x v="3"/>
  </r>
  <r>
    <n v="1321"/>
    <d v="2023-11-10T00:00:00"/>
    <s v="Standard"/>
    <n v="399"/>
    <n v="19.7"/>
    <n v="1"/>
    <n v="1"/>
    <n v="7"/>
    <n v="33"/>
    <s v="No"/>
    <s v="No"/>
    <s v="Yes"/>
    <s v="No"/>
    <s v="Yes"/>
    <s v="No"/>
    <m/>
    <s v="1+ Failures"/>
    <n v="0"/>
    <x v="1"/>
  </r>
  <r>
    <n v="1322"/>
    <d v="2024-07-18T00:00:00"/>
    <s v="Premium"/>
    <n v="699"/>
    <n v="2.8"/>
    <n v="5"/>
    <n v="5"/>
    <n v="32"/>
    <n v="36"/>
    <s v="Yes"/>
    <s v="Yes"/>
    <s v="Yes"/>
    <s v="Yes"/>
    <s v="Yes"/>
    <s v="No"/>
    <m/>
    <s v="1+ Failures"/>
    <n v="1"/>
    <x v="0"/>
  </r>
  <r>
    <n v="1323"/>
    <d v="2023-07-05T00:00:00"/>
    <s v="Standard"/>
    <n v="399"/>
    <n v="22.5"/>
    <n v="2"/>
    <n v="2"/>
    <n v="7"/>
    <n v="60"/>
    <s v="No"/>
    <s v="No"/>
    <s v="Yes"/>
    <s v="No"/>
    <s v="Yes"/>
    <s v="No"/>
    <m/>
    <s v="1+ Failures"/>
    <n v="0"/>
    <x v="3"/>
  </r>
  <r>
    <n v="1324"/>
    <d v="2023-01-10T00:00:00"/>
    <s v="Standard"/>
    <n v="399"/>
    <n v="14"/>
    <n v="6"/>
    <n v="3"/>
    <n v="35"/>
    <n v="37"/>
    <s v="Yes"/>
    <s v="No"/>
    <s v="Yes"/>
    <s v="Yes"/>
    <s v="Yes"/>
    <s v="No"/>
    <m/>
    <s v="1+ Failures"/>
    <n v="1"/>
    <x v="1"/>
  </r>
  <r>
    <n v="1325"/>
    <d v="2023-10-01T00:00:00"/>
    <s v="Premium"/>
    <n v="699"/>
    <n v="18"/>
    <n v="2"/>
    <n v="1"/>
    <n v="33"/>
    <n v="24"/>
    <s v="No"/>
    <s v="No"/>
    <s v="Yes"/>
    <s v="No"/>
    <s v="Yes"/>
    <s v="No"/>
    <m/>
    <s v="1+ Failures"/>
    <n v="0"/>
    <x v="1"/>
  </r>
  <r>
    <n v="1326"/>
    <d v="2024-04-13T00:00:00"/>
    <s v="Basic"/>
    <n v="199"/>
    <n v="17.8"/>
    <n v="3"/>
    <n v="5"/>
    <n v="24"/>
    <n v="38"/>
    <s v="Yes"/>
    <s v="No"/>
    <s v="Yes"/>
    <s v="No"/>
    <s v="Yes"/>
    <s v="No"/>
    <m/>
    <s v="1+ Failures"/>
    <n v="1"/>
    <x v="1"/>
  </r>
  <r>
    <n v="1327"/>
    <d v="2024-03-14T00:00:00"/>
    <s v="Basic"/>
    <n v="199"/>
    <n v="24.7"/>
    <n v="7"/>
    <n v="4"/>
    <n v="29"/>
    <n v="18"/>
    <s v="Yes"/>
    <s v="No"/>
    <s v="Yes"/>
    <s v="Yes"/>
    <s v="Yes"/>
    <s v="No"/>
    <m/>
    <s v="1+ Failures"/>
    <n v="1"/>
    <x v="3"/>
  </r>
  <r>
    <n v="1328"/>
    <d v="2023-04-03T00:00:00"/>
    <s v="Premium"/>
    <n v="699"/>
    <n v="8"/>
    <n v="1"/>
    <n v="2"/>
    <n v="15"/>
    <n v="26"/>
    <s v="No"/>
    <s v="No"/>
    <s v="Yes"/>
    <s v="No"/>
    <s v="Yes"/>
    <s v="No"/>
    <m/>
    <s v="1+ Failures"/>
    <n v="0"/>
    <x v="2"/>
  </r>
  <r>
    <n v="1329"/>
    <d v="2023-03-28T00:00:00"/>
    <s v="Premium"/>
    <n v="699"/>
    <n v="2.4"/>
    <n v="3"/>
    <n v="0"/>
    <n v="6"/>
    <n v="10"/>
    <s v="No"/>
    <s v="Yes"/>
    <s v="No"/>
    <s v="No"/>
    <s v="No"/>
    <s v="No"/>
    <m/>
    <s v="0 Failures"/>
    <n v="0"/>
    <x v="0"/>
  </r>
  <r>
    <n v="1330"/>
    <d v="2024-06-04T00:00:00"/>
    <s v="Premium"/>
    <n v="699"/>
    <n v="14.1"/>
    <n v="7"/>
    <n v="0"/>
    <n v="19"/>
    <n v="60"/>
    <s v="Yes"/>
    <s v="No"/>
    <s v="No"/>
    <s v="Yes"/>
    <s v="Yes"/>
    <s v="No"/>
    <m/>
    <s v="0 Failures"/>
    <n v="1"/>
    <x v="1"/>
  </r>
  <r>
    <n v="1331"/>
    <d v="2024-12-15T00:00:00"/>
    <s v="Premium"/>
    <n v="699"/>
    <n v="12.3"/>
    <n v="8"/>
    <n v="5"/>
    <n v="9"/>
    <n v="43"/>
    <s v="No"/>
    <s v="No"/>
    <s v="Yes"/>
    <s v="Yes"/>
    <s v="Yes"/>
    <s v="No"/>
    <m/>
    <s v="1+ Failures"/>
    <n v="0"/>
    <x v="1"/>
  </r>
  <r>
    <n v="1332"/>
    <d v="2024-12-20T00:00:00"/>
    <s v="Basic"/>
    <n v="199"/>
    <n v="0.8"/>
    <n v="3"/>
    <n v="5"/>
    <n v="26"/>
    <n v="0"/>
    <s v="No"/>
    <s v="Yes"/>
    <s v="Yes"/>
    <s v="No"/>
    <s v="No"/>
    <s v="No"/>
    <m/>
    <s v="1+ Failures"/>
    <n v="0"/>
    <x v="0"/>
  </r>
  <r>
    <n v="1333"/>
    <d v="2024-04-04T00:00:00"/>
    <s v="Premium"/>
    <n v="699"/>
    <n v="6.5"/>
    <n v="8"/>
    <n v="5"/>
    <n v="23"/>
    <n v="38"/>
    <s v="Yes"/>
    <s v="No"/>
    <s v="Yes"/>
    <s v="Yes"/>
    <s v="Yes"/>
    <s v="No"/>
    <m/>
    <s v="1+ Failures"/>
    <n v="1"/>
    <x v="2"/>
  </r>
  <r>
    <n v="1334"/>
    <d v="2024-06-10T00:00:00"/>
    <s v="Basic"/>
    <n v="199"/>
    <n v="22.6"/>
    <n v="2"/>
    <n v="0"/>
    <n v="34"/>
    <n v="23"/>
    <s v="No"/>
    <s v="No"/>
    <s v="No"/>
    <s v="No"/>
    <s v="Yes"/>
    <s v="No"/>
    <m/>
    <s v="0 Failures"/>
    <n v="0"/>
    <x v="3"/>
  </r>
  <r>
    <n v="1335"/>
    <d v="2023-12-13T00:00:00"/>
    <s v="Standard"/>
    <n v="399"/>
    <n v="10.9"/>
    <n v="6"/>
    <n v="1"/>
    <n v="4"/>
    <n v="23"/>
    <s v="No"/>
    <s v="No"/>
    <s v="Yes"/>
    <s v="Yes"/>
    <s v="Yes"/>
    <s v="Yes"/>
    <m/>
    <s v="1+ Failures"/>
    <n v="0"/>
    <x v="1"/>
  </r>
  <r>
    <n v="1336"/>
    <d v="2023-09-29T00:00:00"/>
    <s v="Premium"/>
    <n v="699"/>
    <n v="20.9"/>
    <n v="1"/>
    <n v="2"/>
    <n v="16"/>
    <n v="19"/>
    <s v="No"/>
    <s v="No"/>
    <s v="Yes"/>
    <s v="No"/>
    <s v="Yes"/>
    <s v="No"/>
    <m/>
    <s v="1+ Failures"/>
    <n v="0"/>
    <x v="3"/>
  </r>
  <r>
    <n v="1337"/>
    <d v="2024-10-20T00:00:00"/>
    <s v="Basic"/>
    <n v="199"/>
    <n v="18.600000000000001"/>
    <n v="6"/>
    <n v="1"/>
    <n v="1"/>
    <n v="59"/>
    <s v="Yes"/>
    <s v="No"/>
    <s v="Yes"/>
    <s v="Yes"/>
    <s v="Yes"/>
    <s v="Yes"/>
    <m/>
    <s v="1+ Failures"/>
    <n v="1"/>
    <x v="1"/>
  </r>
  <r>
    <n v="1338"/>
    <d v="2024-04-16T00:00:00"/>
    <s v="Premium"/>
    <n v="699"/>
    <n v="23.4"/>
    <n v="7"/>
    <n v="0"/>
    <n v="3"/>
    <n v="22"/>
    <s v="Yes"/>
    <s v="No"/>
    <s v="No"/>
    <s v="Yes"/>
    <s v="Yes"/>
    <s v="Yes"/>
    <m/>
    <s v="0 Failures"/>
    <n v="1"/>
    <x v="3"/>
  </r>
  <r>
    <n v="1339"/>
    <d v="2024-02-16T00:00:00"/>
    <s v="Standard"/>
    <n v="399"/>
    <n v="9.1999999999999993"/>
    <n v="0"/>
    <n v="2"/>
    <n v="20"/>
    <n v="56"/>
    <s v="No"/>
    <s v="No"/>
    <s v="Yes"/>
    <s v="No"/>
    <s v="Yes"/>
    <s v="No"/>
    <m/>
    <s v="1+ Failures"/>
    <n v="0"/>
    <x v="2"/>
  </r>
  <r>
    <n v="1340"/>
    <d v="2023-06-07T00:00:00"/>
    <s v="Standard"/>
    <n v="399"/>
    <n v="3"/>
    <n v="7"/>
    <n v="1"/>
    <n v="1"/>
    <n v="5"/>
    <s v="No"/>
    <s v="Yes"/>
    <s v="Yes"/>
    <s v="Yes"/>
    <s v="No"/>
    <s v="Yes"/>
    <m/>
    <s v="1+ Failures"/>
    <n v="0"/>
    <x v="0"/>
  </r>
  <r>
    <n v="1341"/>
    <d v="2023-08-20T00:00:00"/>
    <s v="Standard"/>
    <n v="399"/>
    <n v="22.9"/>
    <n v="0"/>
    <n v="1"/>
    <n v="8"/>
    <n v="49"/>
    <s v="No"/>
    <s v="No"/>
    <s v="Yes"/>
    <s v="No"/>
    <s v="Yes"/>
    <s v="No"/>
    <m/>
    <s v="1+ Failures"/>
    <n v="0"/>
    <x v="3"/>
  </r>
  <r>
    <n v="1342"/>
    <d v="2023-10-03T00:00:00"/>
    <s v="Standard"/>
    <n v="399"/>
    <n v="9.6999999999999993"/>
    <n v="5"/>
    <n v="3"/>
    <n v="26"/>
    <n v="57"/>
    <s v="Yes"/>
    <s v="No"/>
    <s v="Yes"/>
    <s v="Yes"/>
    <s v="Yes"/>
    <s v="No"/>
    <m/>
    <s v="1+ Failures"/>
    <n v="1"/>
    <x v="2"/>
  </r>
  <r>
    <n v="1343"/>
    <d v="2024-03-20T00:00:00"/>
    <s v="Basic"/>
    <n v="199"/>
    <n v="16.600000000000001"/>
    <n v="7"/>
    <n v="1"/>
    <n v="29"/>
    <n v="8"/>
    <s v="No"/>
    <s v="No"/>
    <s v="Yes"/>
    <s v="Yes"/>
    <s v="No"/>
    <s v="No"/>
    <m/>
    <s v="1+ Failures"/>
    <n v="0"/>
    <x v="1"/>
  </r>
  <r>
    <n v="1344"/>
    <d v="2023-05-17T00:00:00"/>
    <s v="Basic"/>
    <n v="199"/>
    <n v="22.1"/>
    <n v="3"/>
    <n v="0"/>
    <n v="23"/>
    <n v="12"/>
    <s v="No"/>
    <s v="No"/>
    <s v="No"/>
    <s v="No"/>
    <s v="No"/>
    <s v="No"/>
    <m/>
    <s v="0 Failures"/>
    <n v="0"/>
    <x v="3"/>
  </r>
  <r>
    <n v="1345"/>
    <d v="2024-05-05T00:00:00"/>
    <s v="Standard"/>
    <n v="399"/>
    <n v="18.7"/>
    <n v="0"/>
    <n v="1"/>
    <n v="27"/>
    <n v="42"/>
    <s v="Yes"/>
    <s v="No"/>
    <s v="Yes"/>
    <s v="No"/>
    <s v="Yes"/>
    <s v="No"/>
    <m/>
    <s v="1+ Failures"/>
    <n v="1"/>
    <x v="1"/>
  </r>
  <r>
    <n v="1346"/>
    <d v="2023-05-11T00:00:00"/>
    <s v="Premium"/>
    <n v="699"/>
    <n v="3.4"/>
    <n v="7"/>
    <n v="4"/>
    <n v="18"/>
    <n v="31"/>
    <s v="Yes"/>
    <s v="Yes"/>
    <s v="Yes"/>
    <s v="Yes"/>
    <s v="Yes"/>
    <s v="No"/>
    <m/>
    <s v="1+ Failures"/>
    <n v="1"/>
    <x v="0"/>
  </r>
  <r>
    <n v="1347"/>
    <d v="2023-01-22T00:00:00"/>
    <s v="Standard"/>
    <n v="399"/>
    <n v="12.8"/>
    <n v="6"/>
    <n v="1"/>
    <n v="26"/>
    <n v="7"/>
    <s v="No"/>
    <s v="No"/>
    <s v="Yes"/>
    <s v="Yes"/>
    <s v="No"/>
    <s v="No"/>
    <m/>
    <s v="1+ Failures"/>
    <n v="0"/>
    <x v="1"/>
  </r>
  <r>
    <n v="1348"/>
    <d v="2023-12-17T00:00:00"/>
    <s v="Basic"/>
    <n v="199"/>
    <n v="8.9"/>
    <n v="0"/>
    <n v="5"/>
    <n v="10"/>
    <n v="15"/>
    <s v="Yes"/>
    <s v="No"/>
    <s v="Yes"/>
    <s v="No"/>
    <s v="Yes"/>
    <s v="No"/>
    <m/>
    <s v="1+ Failures"/>
    <n v="1"/>
    <x v="2"/>
  </r>
  <r>
    <n v="1349"/>
    <d v="2024-03-15T00:00:00"/>
    <s v="Standard"/>
    <n v="399"/>
    <n v="11.1"/>
    <n v="4"/>
    <n v="2"/>
    <n v="1"/>
    <n v="31"/>
    <s v="Yes"/>
    <s v="No"/>
    <s v="Yes"/>
    <s v="No"/>
    <s v="Yes"/>
    <s v="Yes"/>
    <m/>
    <s v="1+ Failures"/>
    <n v="1"/>
    <x v="1"/>
  </r>
  <r>
    <n v="1350"/>
    <d v="2023-09-27T00:00:00"/>
    <s v="Basic"/>
    <n v="199"/>
    <n v="18.399999999999999"/>
    <n v="2"/>
    <n v="1"/>
    <n v="10"/>
    <n v="17"/>
    <s v="No"/>
    <s v="No"/>
    <s v="Yes"/>
    <s v="No"/>
    <s v="Yes"/>
    <s v="No"/>
    <m/>
    <s v="1+ Failures"/>
    <n v="0"/>
    <x v="1"/>
  </r>
  <r>
    <n v="1351"/>
    <d v="2023-04-16T00:00:00"/>
    <s v="Premium"/>
    <n v="699"/>
    <n v="16.8"/>
    <n v="6"/>
    <n v="1"/>
    <n v="16"/>
    <n v="30"/>
    <s v="No"/>
    <s v="No"/>
    <s v="Yes"/>
    <s v="Yes"/>
    <s v="Yes"/>
    <s v="No"/>
    <m/>
    <s v="1+ Failures"/>
    <n v="0"/>
    <x v="1"/>
  </r>
  <r>
    <n v="1352"/>
    <d v="2023-08-23T00:00:00"/>
    <s v="Premium"/>
    <n v="699"/>
    <n v="15.5"/>
    <n v="3"/>
    <n v="4"/>
    <n v="33"/>
    <n v="40"/>
    <s v="No"/>
    <s v="No"/>
    <s v="Yes"/>
    <s v="No"/>
    <s v="Yes"/>
    <s v="No"/>
    <m/>
    <s v="1+ Failures"/>
    <n v="0"/>
    <x v="1"/>
  </r>
  <r>
    <n v="1353"/>
    <d v="2023-01-19T00:00:00"/>
    <s v="Basic"/>
    <n v="199"/>
    <n v="10.3"/>
    <n v="4"/>
    <n v="1"/>
    <n v="9"/>
    <n v="59"/>
    <s v="Yes"/>
    <s v="No"/>
    <s v="Yes"/>
    <s v="No"/>
    <s v="Yes"/>
    <s v="No"/>
    <m/>
    <s v="1+ Failures"/>
    <n v="1"/>
    <x v="1"/>
  </r>
  <r>
    <n v="1354"/>
    <d v="2024-12-17T00:00:00"/>
    <s v="Premium"/>
    <n v="699"/>
    <n v="2.7"/>
    <n v="0"/>
    <n v="3"/>
    <n v="13"/>
    <n v="26"/>
    <s v="Yes"/>
    <s v="Yes"/>
    <s v="Yes"/>
    <s v="No"/>
    <s v="Yes"/>
    <s v="No"/>
    <m/>
    <s v="1+ Failures"/>
    <n v="1"/>
    <x v="0"/>
  </r>
  <r>
    <n v="1355"/>
    <d v="2024-10-21T00:00:00"/>
    <s v="Premium"/>
    <n v="699"/>
    <n v="5.9"/>
    <n v="6"/>
    <n v="3"/>
    <n v="15"/>
    <n v="3"/>
    <s v="No"/>
    <s v="No"/>
    <s v="Yes"/>
    <s v="Yes"/>
    <s v="No"/>
    <s v="No"/>
    <m/>
    <s v="1+ Failures"/>
    <n v="0"/>
    <x v="2"/>
  </r>
  <r>
    <n v="1356"/>
    <d v="2024-03-04T00:00:00"/>
    <s v="Basic"/>
    <n v="199"/>
    <n v="3.2"/>
    <n v="5"/>
    <n v="2"/>
    <n v="20"/>
    <n v="60"/>
    <s v="Yes"/>
    <s v="Yes"/>
    <s v="Yes"/>
    <s v="Yes"/>
    <s v="Yes"/>
    <s v="No"/>
    <m/>
    <s v="1+ Failures"/>
    <n v="1"/>
    <x v="0"/>
  </r>
  <r>
    <n v="1357"/>
    <d v="2023-11-26T00:00:00"/>
    <s v="Basic"/>
    <n v="199"/>
    <n v="22.4"/>
    <n v="2"/>
    <n v="0"/>
    <n v="21"/>
    <n v="0"/>
    <s v="Yes"/>
    <s v="No"/>
    <s v="No"/>
    <s v="No"/>
    <s v="No"/>
    <s v="No"/>
    <m/>
    <s v="0 Failures"/>
    <n v="1"/>
    <x v="3"/>
  </r>
  <r>
    <n v="1358"/>
    <d v="2024-05-18T00:00:00"/>
    <s v="Basic"/>
    <n v="199"/>
    <n v="12.1"/>
    <n v="1"/>
    <n v="3"/>
    <n v="19"/>
    <n v="11"/>
    <s v="Yes"/>
    <s v="No"/>
    <s v="Yes"/>
    <s v="No"/>
    <s v="No"/>
    <s v="No"/>
    <m/>
    <s v="1+ Failures"/>
    <n v="1"/>
    <x v="1"/>
  </r>
  <r>
    <n v="1359"/>
    <d v="2023-05-14T00:00:00"/>
    <s v="Standard"/>
    <n v="399"/>
    <n v="8"/>
    <n v="1"/>
    <n v="5"/>
    <n v="22"/>
    <n v="0"/>
    <s v="No"/>
    <s v="No"/>
    <s v="Yes"/>
    <s v="No"/>
    <s v="No"/>
    <s v="No"/>
    <m/>
    <s v="1+ Failures"/>
    <n v="0"/>
    <x v="2"/>
  </r>
  <r>
    <n v="1360"/>
    <d v="2024-09-11T00:00:00"/>
    <s v="Standard"/>
    <n v="399"/>
    <n v="18.7"/>
    <n v="5"/>
    <n v="5"/>
    <n v="24"/>
    <n v="49"/>
    <s v="Yes"/>
    <s v="No"/>
    <s v="Yes"/>
    <s v="Yes"/>
    <s v="Yes"/>
    <s v="No"/>
    <m/>
    <s v="1+ Failures"/>
    <n v="1"/>
    <x v="1"/>
  </r>
  <r>
    <n v="1361"/>
    <d v="2023-04-19T00:00:00"/>
    <s v="Standard"/>
    <n v="399"/>
    <n v="16.399999999999999"/>
    <n v="3"/>
    <n v="4"/>
    <n v="16"/>
    <n v="24"/>
    <s v="Yes"/>
    <s v="No"/>
    <s v="Yes"/>
    <s v="No"/>
    <s v="Yes"/>
    <s v="No"/>
    <m/>
    <s v="1+ Failures"/>
    <n v="1"/>
    <x v="1"/>
  </r>
  <r>
    <n v="1362"/>
    <d v="2023-04-12T00:00:00"/>
    <s v="Basic"/>
    <n v="199"/>
    <n v="1.5"/>
    <n v="3"/>
    <n v="1"/>
    <n v="8"/>
    <n v="45"/>
    <s v="Yes"/>
    <s v="Yes"/>
    <s v="Yes"/>
    <s v="No"/>
    <s v="Yes"/>
    <s v="No"/>
    <m/>
    <s v="1+ Failures"/>
    <n v="1"/>
    <x v="0"/>
  </r>
  <r>
    <n v="1363"/>
    <d v="2023-07-26T00:00:00"/>
    <s v="Basic"/>
    <n v="199"/>
    <n v="15.7"/>
    <n v="4"/>
    <n v="5"/>
    <n v="35"/>
    <n v="30"/>
    <s v="No"/>
    <s v="No"/>
    <s v="Yes"/>
    <s v="No"/>
    <s v="Yes"/>
    <s v="No"/>
    <m/>
    <s v="1+ Failures"/>
    <n v="0"/>
    <x v="1"/>
  </r>
  <r>
    <n v="1364"/>
    <d v="2024-07-27T00:00:00"/>
    <s v="Premium"/>
    <n v="699"/>
    <n v="1.6"/>
    <n v="3"/>
    <n v="3"/>
    <n v="10"/>
    <n v="35"/>
    <s v="Yes"/>
    <s v="Yes"/>
    <s v="Yes"/>
    <s v="No"/>
    <s v="Yes"/>
    <s v="No"/>
    <m/>
    <s v="1+ Failures"/>
    <n v="1"/>
    <x v="0"/>
  </r>
  <r>
    <n v="1365"/>
    <d v="2024-06-20T00:00:00"/>
    <s v="Standard"/>
    <n v="399"/>
    <n v="11.5"/>
    <n v="1"/>
    <n v="3"/>
    <n v="24"/>
    <n v="4"/>
    <s v="No"/>
    <s v="No"/>
    <s v="Yes"/>
    <s v="No"/>
    <s v="No"/>
    <s v="No"/>
    <m/>
    <s v="1+ Failures"/>
    <n v="0"/>
    <x v="1"/>
  </r>
  <r>
    <n v="1366"/>
    <d v="2024-08-02T00:00:00"/>
    <s v="Premium"/>
    <n v="699"/>
    <n v="4.5999999999999996"/>
    <n v="4"/>
    <n v="5"/>
    <n v="2"/>
    <n v="8"/>
    <s v="Yes"/>
    <s v="Yes"/>
    <s v="Yes"/>
    <s v="No"/>
    <s v="No"/>
    <s v="Yes"/>
    <m/>
    <s v="1+ Failures"/>
    <n v="1"/>
    <x v="0"/>
  </r>
  <r>
    <n v="1367"/>
    <d v="2024-06-09T00:00:00"/>
    <s v="Basic"/>
    <n v="199"/>
    <n v="18.600000000000001"/>
    <n v="6"/>
    <n v="3"/>
    <n v="13"/>
    <n v="43"/>
    <s v="Yes"/>
    <s v="No"/>
    <s v="Yes"/>
    <s v="Yes"/>
    <s v="Yes"/>
    <s v="No"/>
    <m/>
    <s v="1+ Failures"/>
    <n v="1"/>
    <x v="1"/>
  </r>
  <r>
    <n v="1368"/>
    <d v="2024-02-15T00:00:00"/>
    <s v="Basic"/>
    <n v="199"/>
    <n v="11.2"/>
    <n v="8"/>
    <n v="3"/>
    <n v="11"/>
    <n v="35"/>
    <s v="No"/>
    <s v="No"/>
    <s v="Yes"/>
    <s v="Yes"/>
    <s v="Yes"/>
    <s v="No"/>
    <m/>
    <s v="1+ Failures"/>
    <n v="0"/>
    <x v="1"/>
  </r>
  <r>
    <n v="1369"/>
    <d v="2024-12-14T00:00:00"/>
    <s v="Premium"/>
    <n v="699"/>
    <n v="5.6"/>
    <n v="0"/>
    <n v="1"/>
    <n v="18"/>
    <n v="36"/>
    <s v="Yes"/>
    <s v="No"/>
    <s v="Yes"/>
    <s v="No"/>
    <s v="Yes"/>
    <s v="No"/>
    <m/>
    <s v="1+ Failures"/>
    <n v="1"/>
    <x v="2"/>
  </r>
  <r>
    <n v="1370"/>
    <d v="2023-10-31T00:00:00"/>
    <s v="Basic"/>
    <n v="199"/>
    <n v="11.7"/>
    <n v="8"/>
    <n v="2"/>
    <n v="33"/>
    <n v="19"/>
    <s v="No"/>
    <s v="No"/>
    <s v="Yes"/>
    <s v="Yes"/>
    <s v="Yes"/>
    <s v="No"/>
    <m/>
    <s v="1+ Failures"/>
    <n v="0"/>
    <x v="1"/>
  </r>
  <r>
    <n v="1371"/>
    <d v="2023-10-26T00:00:00"/>
    <s v="Premium"/>
    <n v="699"/>
    <n v="14"/>
    <n v="2"/>
    <n v="1"/>
    <n v="18"/>
    <n v="2"/>
    <s v="No"/>
    <s v="No"/>
    <s v="Yes"/>
    <s v="No"/>
    <s v="No"/>
    <s v="No"/>
    <m/>
    <s v="1+ Failures"/>
    <n v="0"/>
    <x v="1"/>
  </r>
  <r>
    <n v="1372"/>
    <d v="2023-02-22T00:00:00"/>
    <s v="Basic"/>
    <n v="199"/>
    <n v="23.6"/>
    <n v="4"/>
    <n v="1"/>
    <n v="10"/>
    <n v="17"/>
    <s v="No"/>
    <s v="No"/>
    <s v="Yes"/>
    <s v="No"/>
    <s v="Yes"/>
    <s v="No"/>
    <m/>
    <s v="1+ Failures"/>
    <n v="0"/>
    <x v="3"/>
  </r>
  <r>
    <n v="1373"/>
    <d v="2023-12-22T00:00:00"/>
    <s v="Premium"/>
    <n v="699"/>
    <n v="24.7"/>
    <n v="3"/>
    <n v="4"/>
    <n v="16"/>
    <n v="7"/>
    <s v="Yes"/>
    <s v="No"/>
    <s v="Yes"/>
    <s v="No"/>
    <s v="No"/>
    <s v="No"/>
    <m/>
    <s v="1+ Failures"/>
    <n v="1"/>
    <x v="3"/>
  </r>
  <r>
    <n v="1374"/>
    <d v="2024-09-18T00:00:00"/>
    <s v="Premium"/>
    <n v="699"/>
    <n v="8.5"/>
    <n v="8"/>
    <n v="2"/>
    <n v="24"/>
    <n v="46"/>
    <s v="Yes"/>
    <s v="No"/>
    <s v="Yes"/>
    <s v="Yes"/>
    <s v="Yes"/>
    <s v="No"/>
    <m/>
    <s v="1+ Failures"/>
    <n v="1"/>
    <x v="2"/>
  </r>
  <r>
    <n v="1375"/>
    <d v="2023-10-14T00:00:00"/>
    <s v="Standard"/>
    <n v="399"/>
    <n v="24.6"/>
    <n v="0"/>
    <n v="2"/>
    <n v="21"/>
    <n v="14"/>
    <s v="No"/>
    <s v="No"/>
    <s v="Yes"/>
    <s v="No"/>
    <s v="No"/>
    <s v="No"/>
    <m/>
    <s v="1+ Failures"/>
    <n v="0"/>
    <x v="3"/>
  </r>
  <r>
    <n v="1376"/>
    <d v="2024-08-20T00:00:00"/>
    <s v="Basic"/>
    <n v="199"/>
    <n v="24.3"/>
    <n v="8"/>
    <n v="5"/>
    <n v="17"/>
    <n v="55"/>
    <s v="No"/>
    <s v="No"/>
    <s v="Yes"/>
    <s v="Yes"/>
    <s v="Yes"/>
    <s v="No"/>
    <m/>
    <s v="1+ Failures"/>
    <n v="0"/>
    <x v="3"/>
  </r>
  <r>
    <n v="1377"/>
    <d v="2023-07-31T00:00:00"/>
    <s v="Basic"/>
    <n v="199"/>
    <n v="23.7"/>
    <n v="4"/>
    <n v="5"/>
    <n v="25"/>
    <n v="40"/>
    <s v="Yes"/>
    <s v="No"/>
    <s v="Yes"/>
    <s v="No"/>
    <s v="Yes"/>
    <s v="No"/>
    <m/>
    <s v="1+ Failures"/>
    <n v="1"/>
    <x v="3"/>
  </r>
  <r>
    <n v="1378"/>
    <d v="2024-02-09T00:00:00"/>
    <s v="Standard"/>
    <n v="399"/>
    <n v="8.4"/>
    <n v="3"/>
    <n v="4"/>
    <n v="15"/>
    <n v="40"/>
    <s v="No"/>
    <s v="No"/>
    <s v="Yes"/>
    <s v="No"/>
    <s v="Yes"/>
    <s v="No"/>
    <m/>
    <s v="1+ Failures"/>
    <n v="0"/>
    <x v="2"/>
  </r>
  <r>
    <n v="1379"/>
    <d v="2023-04-06T00:00:00"/>
    <s v="Basic"/>
    <n v="199"/>
    <n v="6.2"/>
    <n v="6"/>
    <n v="2"/>
    <n v="29"/>
    <n v="9"/>
    <s v="No"/>
    <s v="No"/>
    <s v="Yes"/>
    <s v="Yes"/>
    <s v="No"/>
    <s v="No"/>
    <m/>
    <s v="1+ Failures"/>
    <n v="0"/>
    <x v="2"/>
  </r>
  <r>
    <n v="1380"/>
    <d v="2023-07-04T00:00:00"/>
    <s v="Standard"/>
    <n v="399"/>
    <n v="11.8"/>
    <n v="2"/>
    <n v="1"/>
    <n v="12"/>
    <n v="36"/>
    <s v="No"/>
    <s v="No"/>
    <s v="Yes"/>
    <s v="No"/>
    <s v="Yes"/>
    <s v="No"/>
    <m/>
    <s v="1+ Failures"/>
    <n v="0"/>
    <x v="1"/>
  </r>
  <r>
    <n v="1381"/>
    <d v="2024-09-14T00:00:00"/>
    <s v="Premium"/>
    <n v="699"/>
    <n v="1"/>
    <n v="2"/>
    <n v="1"/>
    <n v="19"/>
    <n v="52"/>
    <s v="Yes"/>
    <s v="Yes"/>
    <s v="Yes"/>
    <s v="No"/>
    <s v="Yes"/>
    <s v="No"/>
    <m/>
    <s v="1+ Failures"/>
    <n v="1"/>
    <x v="0"/>
  </r>
  <r>
    <n v="1382"/>
    <d v="2024-02-17T00:00:00"/>
    <s v="Basic"/>
    <n v="199"/>
    <n v="4"/>
    <n v="6"/>
    <n v="1"/>
    <n v="5"/>
    <n v="29"/>
    <s v="No"/>
    <s v="Yes"/>
    <s v="Yes"/>
    <s v="Yes"/>
    <s v="Yes"/>
    <s v="Yes"/>
    <m/>
    <s v="1+ Failures"/>
    <n v="0"/>
    <x v="0"/>
  </r>
  <r>
    <n v="1383"/>
    <d v="2023-01-22T00:00:00"/>
    <s v="Basic"/>
    <n v="199"/>
    <n v="3.9"/>
    <n v="0"/>
    <n v="4"/>
    <n v="34"/>
    <n v="6"/>
    <s v="Yes"/>
    <s v="Yes"/>
    <s v="Yes"/>
    <s v="No"/>
    <s v="No"/>
    <s v="No"/>
    <m/>
    <s v="1+ Failures"/>
    <n v="1"/>
    <x v="0"/>
  </r>
  <r>
    <n v="1384"/>
    <d v="2023-10-02T00:00:00"/>
    <s v="Basic"/>
    <n v="199"/>
    <n v="19.2"/>
    <n v="0"/>
    <n v="1"/>
    <n v="1"/>
    <n v="15"/>
    <s v="No"/>
    <s v="No"/>
    <s v="Yes"/>
    <s v="No"/>
    <s v="Yes"/>
    <s v="Yes"/>
    <m/>
    <s v="1+ Failures"/>
    <n v="0"/>
    <x v="1"/>
  </r>
  <r>
    <n v="1385"/>
    <d v="2023-12-13T00:00:00"/>
    <s v="Basic"/>
    <n v="199"/>
    <n v="19.899999999999999"/>
    <n v="0"/>
    <n v="0"/>
    <n v="1"/>
    <n v="34"/>
    <s v="No"/>
    <s v="No"/>
    <s v="No"/>
    <s v="No"/>
    <s v="Yes"/>
    <s v="Yes"/>
    <m/>
    <s v="0 Failures"/>
    <n v="0"/>
    <x v="1"/>
  </r>
  <r>
    <n v="1386"/>
    <d v="2023-06-17T00:00:00"/>
    <s v="Premium"/>
    <n v="699"/>
    <n v="5.5"/>
    <n v="7"/>
    <n v="4"/>
    <n v="6"/>
    <n v="57"/>
    <s v="Yes"/>
    <s v="No"/>
    <s v="Yes"/>
    <s v="Yes"/>
    <s v="Yes"/>
    <s v="No"/>
    <m/>
    <s v="1+ Failures"/>
    <n v="1"/>
    <x v="2"/>
  </r>
  <r>
    <n v="1387"/>
    <d v="2024-10-04T00:00:00"/>
    <s v="Standard"/>
    <n v="399"/>
    <n v="12.2"/>
    <n v="3"/>
    <n v="0"/>
    <n v="22"/>
    <n v="34"/>
    <s v="No"/>
    <s v="No"/>
    <s v="No"/>
    <s v="No"/>
    <s v="Yes"/>
    <s v="No"/>
    <m/>
    <s v="0 Failures"/>
    <n v="0"/>
    <x v="1"/>
  </r>
  <r>
    <n v="1388"/>
    <d v="2024-06-07T00:00:00"/>
    <s v="Premium"/>
    <n v="699"/>
    <n v="1"/>
    <n v="0"/>
    <n v="0"/>
    <n v="8"/>
    <n v="34"/>
    <s v="Yes"/>
    <s v="Yes"/>
    <s v="No"/>
    <s v="No"/>
    <s v="Yes"/>
    <s v="No"/>
    <m/>
    <s v="0 Failures"/>
    <n v="1"/>
    <x v="0"/>
  </r>
  <r>
    <n v="1389"/>
    <d v="2023-05-31T00:00:00"/>
    <s v="Standard"/>
    <n v="399"/>
    <n v="0.5"/>
    <n v="3"/>
    <n v="0"/>
    <n v="10"/>
    <n v="14"/>
    <s v="No"/>
    <s v="Yes"/>
    <s v="No"/>
    <s v="No"/>
    <s v="No"/>
    <s v="No"/>
    <m/>
    <s v="0 Failures"/>
    <n v="0"/>
    <x v="0"/>
  </r>
  <r>
    <n v="1390"/>
    <d v="2023-04-26T00:00:00"/>
    <s v="Standard"/>
    <n v="399"/>
    <n v="6"/>
    <n v="6"/>
    <n v="5"/>
    <n v="19"/>
    <n v="56"/>
    <s v="Yes"/>
    <s v="No"/>
    <s v="Yes"/>
    <s v="Yes"/>
    <s v="Yes"/>
    <s v="No"/>
    <m/>
    <s v="1+ Failures"/>
    <n v="1"/>
    <x v="2"/>
  </r>
  <r>
    <n v="1391"/>
    <d v="2024-09-22T00:00:00"/>
    <s v="Standard"/>
    <n v="399"/>
    <n v="24.8"/>
    <n v="3"/>
    <n v="0"/>
    <n v="11"/>
    <n v="18"/>
    <s v="No"/>
    <s v="No"/>
    <s v="No"/>
    <s v="No"/>
    <s v="Yes"/>
    <s v="No"/>
    <m/>
    <s v="0 Failures"/>
    <n v="0"/>
    <x v="3"/>
  </r>
  <r>
    <n v="1392"/>
    <d v="2024-03-14T00:00:00"/>
    <s v="Standard"/>
    <n v="399"/>
    <n v="9.3000000000000007"/>
    <n v="1"/>
    <n v="0"/>
    <n v="8"/>
    <n v="38"/>
    <s v="Yes"/>
    <s v="No"/>
    <s v="No"/>
    <s v="No"/>
    <s v="Yes"/>
    <s v="No"/>
    <m/>
    <s v="0 Failures"/>
    <n v="1"/>
    <x v="2"/>
  </r>
  <r>
    <n v="1393"/>
    <d v="2023-11-05T00:00:00"/>
    <s v="Premium"/>
    <n v="699"/>
    <n v="15.2"/>
    <n v="6"/>
    <n v="1"/>
    <n v="22"/>
    <n v="57"/>
    <s v="No"/>
    <s v="No"/>
    <s v="Yes"/>
    <s v="Yes"/>
    <s v="Yes"/>
    <s v="No"/>
    <m/>
    <s v="1+ Failures"/>
    <n v="0"/>
    <x v="1"/>
  </r>
  <r>
    <n v="1394"/>
    <d v="2024-01-13T00:00:00"/>
    <s v="Premium"/>
    <n v="699"/>
    <n v="9"/>
    <n v="1"/>
    <n v="2"/>
    <n v="19"/>
    <n v="58"/>
    <s v="Yes"/>
    <s v="No"/>
    <s v="Yes"/>
    <s v="No"/>
    <s v="Yes"/>
    <s v="No"/>
    <m/>
    <s v="1+ Failures"/>
    <n v="1"/>
    <x v="2"/>
  </r>
  <r>
    <n v="1395"/>
    <d v="2024-02-04T00:00:00"/>
    <s v="Standard"/>
    <n v="399"/>
    <n v="19.8"/>
    <n v="2"/>
    <n v="5"/>
    <n v="5"/>
    <n v="9"/>
    <s v="Yes"/>
    <s v="No"/>
    <s v="Yes"/>
    <s v="No"/>
    <s v="No"/>
    <s v="Yes"/>
    <m/>
    <s v="1+ Failures"/>
    <n v="1"/>
    <x v="1"/>
  </r>
  <r>
    <n v="1396"/>
    <d v="2023-10-13T00:00:00"/>
    <s v="Standard"/>
    <n v="399"/>
    <n v="20.5"/>
    <n v="1"/>
    <n v="4"/>
    <n v="31"/>
    <n v="27"/>
    <s v="No"/>
    <s v="No"/>
    <s v="Yes"/>
    <s v="No"/>
    <s v="Yes"/>
    <s v="No"/>
    <m/>
    <s v="1+ Failures"/>
    <n v="0"/>
    <x v="3"/>
  </r>
  <r>
    <n v="1397"/>
    <d v="2023-11-23T00:00:00"/>
    <s v="Basic"/>
    <n v="199"/>
    <n v="8.4"/>
    <n v="2"/>
    <n v="1"/>
    <n v="6"/>
    <n v="49"/>
    <s v="No"/>
    <s v="No"/>
    <s v="Yes"/>
    <s v="No"/>
    <s v="Yes"/>
    <s v="No"/>
    <m/>
    <s v="1+ Failures"/>
    <n v="0"/>
    <x v="2"/>
  </r>
  <r>
    <n v="1398"/>
    <d v="2023-05-22T00:00:00"/>
    <s v="Standard"/>
    <n v="399"/>
    <n v="12.3"/>
    <n v="6"/>
    <n v="4"/>
    <n v="28"/>
    <n v="50"/>
    <s v="Yes"/>
    <s v="No"/>
    <s v="Yes"/>
    <s v="Yes"/>
    <s v="Yes"/>
    <s v="No"/>
    <m/>
    <s v="1+ Failures"/>
    <n v="1"/>
    <x v="1"/>
  </r>
  <r>
    <n v="1399"/>
    <d v="2024-06-29T00:00:00"/>
    <s v="Premium"/>
    <n v="699"/>
    <n v="9.9"/>
    <n v="8"/>
    <n v="3"/>
    <n v="16"/>
    <n v="34"/>
    <s v="Yes"/>
    <s v="No"/>
    <s v="Yes"/>
    <s v="Yes"/>
    <s v="Yes"/>
    <s v="No"/>
    <m/>
    <s v="1+ Failures"/>
    <n v="1"/>
    <x v="2"/>
  </r>
  <r>
    <n v="1400"/>
    <d v="2023-08-13T00:00:00"/>
    <s v="Premium"/>
    <n v="699"/>
    <n v="9.9"/>
    <n v="6"/>
    <n v="4"/>
    <n v="15"/>
    <n v="36"/>
    <s v="No"/>
    <s v="No"/>
    <s v="Yes"/>
    <s v="Yes"/>
    <s v="Yes"/>
    <s v="No"/>
    <m/>
    <s v="1+ Failures"/>
    <n v="0"/>
    <x v="2"/>
  </r>
  <r>
    <n v="1401"/>
    <d v="2024-07-25T00:00:00"/>
    <s v="Premium"/>
    <n v="699"/>
    <n v="6.3"/>
    <n v="0"/>
    <n v="1"/>
    <n v="6"/>
    <n v="54"/>
    <s v="Yes"/>
    <s v="No"/>
    <s v="Yes"/>
    <s v="No"/>
    <s v="Yes"/>
    <s v="No"/>
    <m/>
    <s v="1+ Failures"/>
    <n v="1"/>
    <x v="2"/>
  </r>
  <r>
    <n v="1402"/>
    <d v="2023-05-23T00:00:00"/>
    <s v="Standard"/>
    <n v="399"/>
    <n v="23.1"/>
    <n v="0"/>
    <n v="2"/>
    <n v="9"/>
    <n v="23"/>
    <s v="No"/>
    <s v="No"/>
    <s v="Yes"/>
    <s v="No"/>
    <s v="Yes"/>
    <s v="No"/>
    <m/>
    <s v="1+ Failures"/>
    <n v="0"/>
    <x v="3"/>
  </r>
  <r>
    <n v="1403"/>
    <d v="2023-08-18T00:00:00"/>
    <s v="Standard"/>
    <n v="399"/>
    <n v="4"/>
    <n v="8"/>
    <n v="3"/>
    <n v="30"/>
    <n v="15"/>
    <s v="Yes"/>
    <s v="Yes"/>
    <s v="Yes"/>
    <s v="Yes"/>
    <s v="Yes"/>
    <s v="No"/>
    <m/>
    <s v="1+ Failures"/>
    <n v="1"/>
    <x v="0"/>
  </r>
  <r>
    <n v="1404"/>
    <d v="2024-03-10T00:00:00"/>
    <s v="Basic"/>
    <n v="199"/>
    <n v="3.4"/>
    <n v="2"/>
    <n v="3"/>
    <n v="9"/>
    <n v="46"/>
    <s v="Yes"/>
    <s v="Yes"/>
    <s v="Yes"/>
    <s v="No"/>
    <s v="Yes"/>
    <s v="No"/>
    <m/>
    <s v="1+ Failures"/>
    <n v="1"/>
    <x v="0"/>
  </r>
  <r>
    <n v="1405"/>
    <d v="2023-06-11T00:00:00"/>
    <s v="Standard"/>
    <n v="399"/>
    <n v="17.7"/>
    <n v="1"/>
    <n v="3"/>
    <n v="4"/>
    <n v="53"/>
    <s v="Yes"/>
    <s v="No"/>
    <s v="Yes"/>
    <s v="No"/>
    <s v="Yes"/>
    <s v="Yes"/>
    <m/>
    <s v="1+ Failures"/>
    <n v="1"/>
    <x v="1"/>
  </r>
  <r>
    <n v="1406"/>
    <d v="2024-03-02T00:00:00"/>
    <s v="Basic"/>
    <n v="199"/>
    <n v="9.4"/>
    <n v="1"/>
    <n v="1"/>
    <n v="10"/>
    <n v="4"/>
    <s v="Yes"/>
    <s v="No"/>
    <s v="Yes"/>
    <s v="No"/>
    <s v="No"/>
    <s v="No"/>
    <m/>
    <s v="1+ Failures"/>
    <n v="1"/>
    <x v="2"/>
  </r>
  <r>
    <n v="1407"/>
    <d v="2023-11-03T00:00:00"/>
    <s v="Basic"/>
    <n v="199"/>
    <n v="12"/>
    <n v="2"/>
    <n v="5"/>
    <n v="12"/>
    <n v="33"/>
    <s v="No"/>
    <s v="No"/>
    <s v="Yes"/>
    <s v="No"/>
    <s v="Yes"/>
    <s v="No"/>
    <m/>
    <s v="1+ Failures"/>
    <n v="0"/>
    <x v="1"/>
  </r>
  <r>
    <n v="1408"/>
    <d v="2023-04-24T00:00:00"/>
    <s v="Standard"/>
    <n v="399"/>
    <n v="18.2"/>
    <n v="7"/>
    <n v="5"/>
    <n v="27"/>
    <n v="44"/>
    <s v="Yes"/>
    <s v="No"/>
    <s v="Yes"/>
    <s v="Yes"/>
    <s v="Yes"/>
    <s v="No"/>
    <m/>
    <s v="1+ Failures"/>
    <n v="1"/>
    <x v="1"/>
  </r>
  <r>
    <n v="1409"/>
    <d v="2023-06-14T00:00:00"/>
    <s v="Basic"/>
    <n v="199"/>
    <n v="22.1"/>
    <n v="0"/>
    <n v="4"/>
    <n v="4"/>
    <n v="48"/>
    <s v="Yes"/>
    <s v="No"/>
    <s v="Yes"/>
    <s v="No"/>
    <s v="Yes"/>
    <s v="Yes"/>
    <m/>
    <s v="1+ Failures"/>
    <n v="1"/>
    <x v="3"/>
  </r>
  <r>
    <n v="1410"/>
    <d v="2024-08-08T00:00:00"/>
    <s v="Basic"/>
    <n v="199"/>
    <n v="20.9"/>
    <n v="7"/>
    <n v="4"/>
    <n v="26"/>
    <n v="45"/>
    <s v="No"/>
    <s v="No"/>
    <s v="Yes"/>
    <s v="Yes"/>
    <s v="Yes"/>
    <s v="No"/>
    <m/>
    <s v="1+ Failures"/>
    <n v="0"/>
    <x v="3"/>
  </r>
  <r>
    <n v="1411"/>
    <d v="2024-06-18T00:00:00"/>
    <s v="Premium"/>
    <n v="699"/>
    <n v="17.899999999999999"/>
    <n v="6"/>
    <n v="1"/>
    <n v="20"/>
    <n v="17"/>
    <s v="No"/>
    <s v="No"/>
    <s v="Yes"/>
    <s v="Yes"/>
    <s v="Yes"/>
    <s v="No"/>
    <m/>
    <s v="1+ Failures"/>
    <n v="0"/>
    <x v="1"/>
  </r>
  <r>
    <n v="1412"/>
    <d v="2023-07-08T00:00:00"/>
    <s v="Standard"/>
    <n v="399"/>
    <n v="18.7"/>
    <n v="6"/>
    <n v="4"/>
    <n v="9"/>
    <n v="3"/>
    <s v="Yes"/>
    <s v="No"/>
    <s v="Yes"/>
    <s v="Yes"/>
    <s v="No"/>
    <s v="No"/>
    <m/>
    <s v="1+ Failures"/>
    <n v="1"/>
    <x v="1"/>
  </r>
  <r>
    <n v="1413"/>
    <d v="2024-10-30T00:00:00"/>
    <s v="Premium"/>
    <n v="699"/>
    <n v="15.3"/>
    <n v="1"/>
    <n v="5"/>
    <n v="36"/>
    <n v="29"/>
    <s v="Yes"/>
    <s v="No"/>
    <s v="Yes"/>
    <s v="No"/>
    <s v="Yes"/>
    <s v="No"/>
    <m/>
    <s v="1+ Failures"/>
    <n v="1"/>
    <x v="1"/>
  </r>
  <r>
    <n v="1414"/>
    <d v="2024-03-10T00:00:00"/>
    <s v="Premium"/>
    <n v="699"/>
    <n v="20.8"/>
    <n v="2"/>
    <n v="0"/>
    <n v="26"/>
    <n v="51"/>
    <s v="No"/>
    <s v="No"/>
    <s v="No"/>
    <s v="No"/>
    <s v="Yes"/>
    <s v="No"/>
    <m/>
    <s v="0 Failures"/>
    <n v="0"/>
    <x v="3"/>
  </r>
  <r>
    <n v="1415"/>
    <d v="2023-12-10T00:00:00"/>
    <s v="Basic"/>
    <n v="199"/>
    <n v="3.2"/>
    <n v="1"/>
    <n v="2"/>
    <n v="18"/>
    <n v="38"/>
    <s v="Yes"/>
    <s v="Yes"/>
    <s v="Yes"/>
    <s v="No"/>
    <s v="Yes"/>
    <s v="No"/>
    <m/>
    <s v="1+ Failures"/>
    <n v="1"/>
    <x v="0"/>
  </r>
  <r>
    <n v="1416"/>
    <d v="2023-01-12T00:00:00"/>
    <s v="Basic"/>
    <n v="199"/>
    <n v="7.4"/>
    <n v="8"/>
    <n v="0"/>
    <n v="16"/>
    <n v="4"/>
    <s v="Yes"/>
    <s v="No"/>
    <s v="No"/>
    <s v="Yes"/>
    <s v="No"/>
    <s v="No"/>
    <m/>
    <s v="0 Failures"/>
    <n v="1"/>
    <x v="2"/>
  </r>
  <r>
    <n v="1417"/>
    <d v="2024-08-06T00:00:00"/>
    <s v="Standard"/>
    <n v="399"/>
    <n v="14"/>
    <n v="0"/>
    <n v="1"/>
    <n v="13"/>
    <n v="17"/>
    <s v="Yes"/>
    <s v="No"/>
    <s v="Yes"/>
    <s v="No"/>
    <s v="Yes"/>
    <s v="No"/>
    <m/>
    <s v="1+ Failures"/>
    <n v="1"/>
    <x v="1"/>
  </r>
  <r>
    <n v="1418"/>
    <d v="2023-11-13T00:00:00"/>
    <s v="Premium"/>
    <n v="699"/>
    <n v="14.3"/>
    <n v="7"/>
    <n v="0"/>
    <n v="3"/>
    <n v="3"/>
    <s v="No"/>
    <s v="No"/>
    <s v="No"/>
    <s v="Yes"/>
    <s v="No"/>
    <s v="Yes"/>
    <m/>
    <s v="0 Failures"/>
    <n v="0"/>
    <x v="1"/>
  </r>
  <r>
    <n v="1419"/>
    <d v="2024-02-05T00:00:00"/>
    <s v="Basic"/>
    <n v="199"/>
    <n v="18.899999999999999"/>
    <n v="6"/>
    <n v="4"/>
    <n v="23"/>
    <n v="12"/>
    <s v="Yes"/>
    <s v="No"/>
    <s v="Yes"/>
    <s v="Yes"/>
    <s v="No"/>
    <s v="No"/>
    <m/>
    <s v="1+ Failures"/>
    <n v="1"/>
    <x v="1"/>
  </r>
  <r>
    <n v="1420"/>
    <d v="2024-05-30T00:00:00"/>
    <s v="Premium"/>
    <n v="699"/>
    <n v="24.4"/>
    <n v="1"/>
    <n v="2"/>
    <n v="23"/>
    <n v="26"/>
    <s v="No"/>
    <s v="No"/>
    <s v="Yes"/>
    <s v="No"/>
    <s v="Yes"/>
    <s v="No"/>
    <m/>
    <s v="1+ Failures"/>
    <n v="0"/>
    <x v="3"/>
  </r>
  <r>
    <n v="1421"/>
    <d v="2024-05-03T00:00:00"/>
    <s v="Basic"/>
    <n v="199"/>
    <n v="20.3"/>
    <n v="2"/>
    <n v="0"/>
    <n v="33"/>
    <n v="37"/>
    <s v="No"/>
    <s v="No"/>
    <s v="No"/>
    <s v="No"/>
    <s v="Yes"/>
    <s v="No"/>
    <m/>
    <s v="0 Failures"/>
    <n v="0"/>
    <x v="3"/>
  </r>
  <r>
    <n v="1422"/>
    <d v="2024-10-02T00:00:00"/>
    <s v="Premium"/>
    <n v="699"/>
    <n v="7.6"/>
    <n v="2"/>
    <n v="5"/>
    <n v="3"/>
    <n v="29"/>
    <s v="Yes"/>
    <s v="No"/>
    <s v="Yes"/>
    <s v="No"/>
    <s v="Yes"/>
    <s v="Yes"/>
    <m/>
    <s v="1+ Failures"/>
    <n v="1"/>
    <x v="2"/>
  </r>
  <r>
    <n v="1423"/>
    <d v="2024-05-28T00:00:00"/>
    <s v="Basic"/>
    <n v="199"/>
    <n v="22.2"/>
    <n v="2"/>
    <n v="5"/>
    <n v="15"/>
    <n v="10"/>
    <s v="No"/>
    <s v="No"/>
    <s v="Yes"/>
    <s v="No"/>
    <s v="No"/>
    <s v="No"/>
    <m/>
    <s v="1+ Failures"/>
    <n v="0"/>
    <x v="3"/>
  </r>
  <r>
    <n v="1424"/>
    <d v="2023-10-25T00:00:00"/>
    <s v="Premium"/>
    <n v="699"/>
    <n v="23.3"/>
    <n v="5"/>
    <n v="3"/>
    <n v="34"/>
    <n v="50"/>
    <s v="Yes"/>
    <s v="No"/>
    <s v="Yes"/>
    <s v="Yes"/>
    <s v="Yes"/>
    <s v="No"/>
    <m/>
    <s v="1+ Failures"/>
    <n v="1"/>
    <x v="3"/>
  </r>
  <r>
    <n v="1425"/>
    <d v="2024-09-13T00:00:00"/>
    <s v="Standard"/>
    <n v="399"/>
    <n v="1.5"/>
    <n v="6"/>
    <n v="1"/>
    <n v="28"/>
    <n v="13"/>
    <s v="No"/>
    <s v="Yes"/>
    <s v="Yes"/>
    <s v="Yes"/>
    <s v="No"/>
    <s v="No"/>
    <m/>
    <s v="1+ Failures"/>
    <n v="0"/>
    <x v="0"/>
  </r>
  <r>
    <n v="1426"/>
    <d v="2023-11-13T00:00:00"/>
    <s v="Basic"/>
    <n v="199"/>
    <n v="14.4"/>
    <n v="7"/>
    <n v="0"/>
    <n v="10"/>
    <n v="51"/>
    <s v="Yes"/>
    <s v="No"/>
    <s v="No"/>
    <s v="Yes"/>
    <s v="Yes"/>
    <s v="No"/>
    <m/>
    <s v="0 Failures"/>
    <n v="1"/>
    <x v="1"/>
  </r>
  <r>
    <n v="1427"/>
    <d v="2023-06-15T00:00:00"/>
    <s v="Premium"/>
    <n v="699"/>
    <n v="12.7"/>
    <n v="7"/>
    <n v="2"/>
    <n v="6"/>
    <n v="10"/>
    <s v="No"/>
    <s v="No"/>
    <s v="Yes"/>
    <s v="Yes"/>
    <s v="No"/>
    <s v="No"/>
    <m/>
    <s v="1+ Failures"/>
    <n v="0"/>
    <x v="1"/>
  </r>
  <r>
    <n v="1428"/>
    <d v="2024-04-16T00:00:00"/>
    <s v="Basic"/>
    <n v="199"/>
    <n v="14.6"/>
    <n v="5"/>
    <n v="0"/>
    <n v="18"/>
    <n v="4"/>
    <s v="Yes"/>
    <s v="No"/>
    <s v="No"/>
    <s v="Yes"/>
    <s v="No"/>
    <s v="No"/>
    <m/>
    <s v="0 Failures"/>
    <n v="1"/>
    <x v="1"/>
  </r>
  <r>
    <n v="1429"/>
    <d v="2023-05-07T00:00:00"/>
    <s v="Standard"/>
    <n v="399"/>
    <n v="24.5"/>
    <n v="7"/>
    <n v="5"/>
    <n v="31"/>
    <n v="59"/>
    <s v="Yes"/>
    <s v="No"/>
    <s v="Yes"/>
    <s v="Yes"/>
    <s v="Yes"/>
    <s v="No"/>
    <m/>
    <s v="1+ Failures"/>
    <n v="1"/>
    <x v="3"/>
  </r>
  <r>
    <n v="1430"/>
    <d v="2024-11-27T00:00:00"/>
    <s v="Premium"/>
    <n v="699"/>
    <n v="1.5"/>
    <n v="4"/>
    <n v="3"/>
    <n v="32"/>
    <n v="26"/>
    <s v="Yes"/>
    <s v="Yes"/>
    <s v="Yes"/>
    <s v="No"/>
    <s v="Yes"/>
    <s v="No"/>
    <m/>
    <s v="1+ Failures"/>
    <n v="1"/>
    <x v="0"/>
  </r>
  <r>
    <n v="1431"/>
    <d v="2024-06-02T00:00:00"/>
    <s v="Basic"/>
    <n v="199"/>
    <n v="9.5"/>
    <n v="5"/>
    <n v="2"/>
    <n v="29"/>
    <n v="5"/>
    <s v="No"/>
    <s v="No"/>
    <s v="Yes"/>
    <s v="Yes"/>
    <s v="No"/>
    <s v="No"/>
    <m/>
    <s v="1+ Failures"/>
    <n v="0"/>
    <x v="2"/>
  </r>
  <r>
    <n v="1432"/>
    <d v="2023-09-08T00:00:00"/>
    <s v="Standard"/>
    <n v="399"/>
    <n v="22"/>
    <n v="0"/>
    <n v="4"/>
    <n v="17"/>
    <n v="41"/>
    <s v="Yes"/>
    <s v="No"/>
    <s v="Yes"/>
    <s v="No"/>
    <s v="Yes"/>
    <s v="No"/>
    <m/>
    <s v="1+ Failures"/>
    <n v="1"/>
    <x v="3"/>
  </r>
  <r>
    <n v="1433"/>
    <d v="2024-02-13T00:00:00"/>
    <s v="Premium"/>
    <n v="699"/>
    <n v="0.7"/>
    <n v="1"/>
    <n v="2"/>
    <n v="36"/>
    <n v="24"/>
    <s v="Yes"/>
    <s v="Yes"/>
    <s v="Yes"/>
    <s v="No"/>
    <s v="Yes"/>
    <s v="No"/>
    <m/>
    <s v="1+ Failures"/>
    <n v="1"/>
    <x v="0"/>
  </r>
  <r>
    <n v="1434"/>
    <d v="2024-04-24T00:00:00"/>
    <s v="Basic"/>
    <n v="199"/>
    <n v="10"/>
    <n v="7"/>
    <n v="5"/>
    <n v="15"/>
    <n v="5"/>
    <s v="Yes"/>
    <s v="No"/>
    <s v="Yes"/>
    <s v="Yes"/>
    <s v="No"/>
    <s v="No"/>
    <m/>
    <s v="1+ Failures"/>
    <n v="1"/>
    <x v="2"/>
  </r>
  <r>
    <n v="1435"/>
    <d v="2023-04-21T00:00:00"/>
    <s v="Premium"/>
    <n v="699"/>
    <n v="22.6"/>
    <n v="7"/>
    <n v="0"/>
    <n v="35"/>
    <n v="5"/>
    <s v="Yes"/>
    <s v="No"/>
    <s v="No"/>
    <s v="Yes"/>
    <s v="No"/>
    <s v="No"/>
    <m/>
    <s v="0 Failures"/>
    <n v="1"/>
    <x v="3"/>
  </r>
  <r>
    <n v="1436"/>
    <d v="2024-09-10T00:00:00"/>
    <s v="Standard"/>
    <n v="399"/>
    <n v="5.4"/>
    <n v="5"/>
    <n v="0"/>
    <n v="28"/>
    <n v="20"/>
    <s v="No"/>
    <s v="No"/>
    <s v="No"/>
    <s v="Yes"/>
    <s v="Yes"/>
    <s v="No"/>
    <m/>
    <s v="0 Failures"/>
    <n v="0"/>
    <x v="2"/>
  </r>
  <r>
    <n v="1437"/>
    <d v="2024-07-12T00:00:00"/>
    <s v="Standard"/>
    <n v="399"/>
    <n v="17.7"/>
    <n v="7"/>
    <n v="0"/>
    <n v="14"/>
    <n v="17"/>
    <s v="No"/>
    <s v="No"/>
    <s v="No"/>
    <s v="Yes"/>
    <s v="Yes"/>
    <s v="No"/>
    <m/>
    <s v="0 Failures"/>
    <n v="0"/>
    <x v="1"/>
  </r>
  <r>
    <n v="1438"/>
    <d v="2024-09-07T00:00:00"/>
    <s v="Basic"/>
    <n v="199"/>
    <n v="4.0999999999999996"/>
    <n v="3"/>
    <n v="2"/>
    <n v="31"/>
    <n v="36"/>
    <s v="Yes"/>
    <s v="Yes"/>
    <s v="Yes"/>
    <s v="No"/>
    <s v="Yes"/>
    <s v="No"/>
    <m/>
    <s v="1+ Failures"/>
    <n v="1"/>
    <x v="0"/>
  </r>
  <r>
    <n v="1439"/>
    <d v="2023-08-05T00:00:00"/>
    <s v="Standard"/>
    <n v="399"/>
    <n v="23.4"/>
    <n v="5"/>
    <n v="3"/>
    <n v="4"/>
    <n v="30"/>
    <s v="Yes"/>
    <s v="No"/>
    <s v="Yes"/>
    <s v="Yes"/>
    <s v="Yes"/>
    <s v="Yes"/>
    <m/>
    <s v="1+ Failures"/>
    <n v="1"/>
    <x v="3"/>
  </r>
  <r>
    <n v="1440"/>
    <d v="2024-02-19T00:00:00"/>
    <s v="Basic"/>
    <n v="199"/>
    <n v="7.1"/>
    <n v="2"/>
    <n v="0"/>
    <n v="28"/>
    <n v="9"/>
    <s v="Yes"/>
    <s v="No"/>
    <s v="No"/>
    <s v="No"/>
    <s v="No"/>
    <s v="No"/>
    <m/>
    <s v="0 Failures"/>
    <n v="1"/>
    <x v="2"/>
  </r>
  <r>
    <n v="1441"/>
    <d v="2023-09-23T00:00:00"/>
    <s v="Basic"/>
    <n v="199"/>
    <n v="21.9"/>
    <n v="7"/>
    <n v="3"/>
    <n v="20"/>
    <n v="33"/>
    <s v="Yes"/>
    <s v="No"/>
    <s v="Yes"/>
    <s v="Yes"/>
    <s v="Yes"/>
    <s v="No"/>
    <m/>
    <s v="1+ Failures"/>
    <n v="1"/>
    <x v="3"/>
  </r>
  <r>
    <n v="1442"/>
    <d v="2023-07-23T00:00:00"/>
    <s v="Basic"/>
    <n v="199"/>
    <n v="2.8"/>
    <n v="6"/>
    <n v="2"/>
    <n v="4"/>
    <n v="48"/>
    <s v="Yes"/>
    <s v="Yes"/>
    <s v="Yes"/>
    <s v="Yes"/>
    <s v="Yes"/>
    <s v="Yes"/>
    <m/>
    <s v="1+ Failures"/>
    <n v="1"/>
    <x v="0"/>
  </r>
  <r>
    <n v="1443"/>
    <d v="2024-12-14T00:00:00"/>
    <s v="Standard"/>
    <n v="399"/>
    <n v="12.3"/>
    <n v="8"/>
    <n v="5"/>
    <n v="27"/>
    <n v="50"/>
    <s v="Yes"/>
    <s v="No"/>
    <s v="Yes"/>
    <s v="Yes"/>
    <s v="Yes"/>
    <s v="No"/>
    <m/>
    <s v="1+ Failures"/>
    <n v="1"/>
    <x v="1"/>
  </r>
  <r>
    <n v="1444"/>
    <d v="2024-09-03T00:00:00"/>
    <s v="Standard"/>
    <n v="399"/>
    <n v="22.9"/>
    <n v="6"/>
    <n v="0"/>
    <n v="23"/>
    <n v="35"/>
    <s v="No"/>
    <s v="No"/>
    <s v="No"/>
    <s v="Yes"/>
    <s v="Yes"/>
    <s v="No"/>
    <m/>
    <s v="0 Failures"/>
    <n v="0"/>
    <x v="3"/>
  </r>
  <r>
    <n v="1445"/>
    <d v="2023-11-21T00:00:00"/>
    <s v="Basic"/>
    <n v="199"/>
    <n v="18.2"/>
    <n v="2"/>
    <n v="2"/>
    <n v="5"/>
    <n v="42"/>
    <s v="No"/>
    <s v="No"/>
    <s v="Yes"/>
    <s v="No"/>
    <s v="Yes"/>
    <s v="Yes"/>
    <m/>
    <s v="1+ Failures"/>
    <n v="0"/>
    <x v="1"/>
  </r>
  <r>
    <n v="1446"/>
    <d v="2024-11-21T00:00:00"/>
    <s v="Basic"/>
    <n v="199"/>
    <n v="22.5"/>
    <n v="2"/>
    <n v="3"/>
    <n v="10"/>
    <n v="55"/>
    <s v="Yes"/>
    <s v="No"/>
    <s v="Yes"/>
    <s v="No"/>
    <s v="Yes"/>
    <s v="No"/>
    <m/>
    <s v="1+ Failures"/>
    <n v="1"/>
    <x v="3"/>
  </r>
  <r>
    <n v="1447"/>
    <d v="2023-05-09T00:00:00"/>
    <s v="Standard"/>
    <n v="399"/>
    <n v="13.3"/>
    <n v="0"/>
    <n v="3"/>
    <n v="17"/>
    <n v="60"/>
    <s v="No"/>
    <s v="No"/>
    <s v="Yes"/>
    <s v="No"/>
    <s v="Yes"/>
    <s v="No"/>
    <m/>
    <s v="1+ Failures"/>
    <n v="0"/>
    <x v="1"/>
  </r>
  <r>
    <n v="1448"/>
    <d v="2023-07-12T00:00:00"/>
    <s v="Premium"/>
    <n v="699"/>
    <n v="16.2"/>
    <n v="1"/>
    <n v="0"/>
    <n v="29"/>
    <n v="13"/>
    <s v="No"/>
    <s v="No"/>
    <s v="No"/>
    <s v="No"/>
    <s v="No"/>
    <s v="No"/>
    <m/>
    <s v="0 Failures"/>
    <n v="0"/>
    <x v="1"/>
  </r>
  <r>
    <n v="1449"/>
    <d v="2023-07-15T00:00:00"/>
    <s v="Standard"/>
    <n v="399"/>
    <n v="19.5"/>
    <n v="6"/>
    <n v="1"/>
    <n v="35"/>
    <n v="22"/>
    <s v="Yes"/>
    <s v="No"/>
    <s v="Yes"/>
    <s v="Yes"/>
    <s v="Yes"/>
    <s v="No"/>
    <m/>
    <s v="1+ Failures"/>
    <n v="1"/>
    <x v="1"/>
  </r>
  <r>
    <n v="1450"/>
    <d v="2024-05-29T00:00:00"/>
    <s v="Premium"/>
    <n v="699"/>
    <n v="9.6"/>
    <n v="5"/>
    <n v="0"/>
    <n v="1"/>
    <n v="19"/>
    <s v="No"/>
    <s v="No"/>
    <s v="No"/>
    <s v="Yes"/>
    <s v="Yes"/>
    <s v="Yes"/>
    <m/>
    <s v="0 Failures"/>
    <n v="0"/>
    <x v="2"/>
  </r>
  <r>
    <n v="1451"/>
    <d v="2024-07-09T00:00:00"/>
    <s v="Basic"/>
    <n v="199"/>
    <n v="16.399999999999999"/>
    <n v="7"/>
    <n v="3"/>
    <n v="32"/>
    <n v="26"/>
    <s v="Yes"/>
    <s v="No"/>
    <s v="Yes"/>
    <s v="Yes"/>
    <s v="Yes"/>
    <s v="No"/>
    <m/>
    <s v="1+ Failures"/>
    <n v="1"/>
    <x v="1"/>
  </r>
  <r>
    <n v="1452"/>
    <d v="2024-03-14T00:00:00"/>
    <s v="Standard"/>
    <n v="399"/>
    <n v="24.4"/>
    <n v="5"/>
    <n v="0"/>
    <n v="34"/>
    <n v="59"/>
    <s v="Yes"/>
    <s v="No"/>
    <s v="No"/>
    <s v="Yes"/>
    <s v="Yes"/>
    <s v="No"/>
    <m/>
    <s v="0 Failures"/>
    <n v="1"/>
    <x v="3"/>
  </r>
  <r>
    <n v="1453"/>
    <d v="2024-11-06T00:00:00"/>
    <s v="Standard"/>
    <n v="399"/>
    <n v="14"/>
    <n v="2"/>
    <n v="4"/>
    <n v="12"/>
    <n v="27"/>
    <s v="Yes"/>
    <s v="No"/>
    <s v="Yes"/>
    <s v="No"/>
    <s v="Yes"/>
    <s v="No"/>
    <m/>
    <s v="1+ Failures"/>
    <n v="1"/>
    <x v="1"/>
  </r>
  <r>
    <n v="1454"/>
    <d v="2023-04-02T00:00:00"/>
    <s v="Premium"/>
    <n v="699"/>
    <n v="16"/>
    <n v="1"/>
    <n v="0"/>
    <n v="28"/>
    <n v="51"/>
    <s v="No"/>
    <s v="No"/>
    <s v="No"/>
    <s v="No"/>
    <s v="Yes"/>
    <s v="No"/>
    <m/>
    <s v="0 Failures"/>
    <n v="0"/>
    <x v="1"/>
  </r>
  <r>
    <n v="1455"/>
    <d v="2024-09-30T00:00:00"/>
    <s v="Premium"/>
    <n v="699"/>
    <n v="15.6"/>
    <n v="6"/>
    <n v="0"/>
    <n v="2"/>
    <n v="31"/>
    <s v="No"/>
    <s v="No"/>
    <s v="No"/>
    <s v="Yes"/>
    <s v="Yes"/>
    <s v="Yes"/>
    <m/>
    <s v="0 Failures"/>
    <n v="0"/>
    <x v="1"/>
  </r>
  <r>
    <n v="1456"/>
    <d v="2023-10-24T00:00:00"/>
    <s v="Premium"/>
    <n v="699"/>
    <n v="16"/>
    <n v="8"/>
    <n v="4"/>
    <n v="7"/>
    <n v="51"/>
    <s v="Yes"/>
    <s v="No"/>
    <s v="Yes"/>
    <s v="Yes"/>
    <s v="Yes"/>
    <s v="No"/>
    <m/>
    <s v="1+ Failures"/>
    <n v="1"/>
    <x v="1"/>
  </r>
  <r>
    <n v="1457"/>
    <d v="2024-04-25T00:00:00"/>
    <s v="Standard"/>
    <n v="399"/>
    <n v="6"/>
    <n v="7"/>
    <n v="4"/>
    <n v="14"/>
    <n v="24"/>
    <s v="Yes"/>
    <s v="No"/>
    <s v="Yes"/>
    <s v="Yes"/>
    <s v="Yes"/>
    <s v="No"/>
    <m/>
    <s v="1+ Failures"/>
    <n v="1"/>
    <x v="2"/>
  </r>
  <r>
    <n v="1458"/>
    <d v="2024-12-21T00:00:00"/>
    <s v="Basic"/>
    <n v="199"/>
    <n v="24.2"/>
    <n v="7"/>
    <n v="3"/>
    <n v="23"/>
    <n v="58"/>
    <s v="No"/>
    <s v="No"/>
    <s v="Yes"/>
    <s v="Yes"/>
    <s v="Yes"/>
    <s v="No"/>
    <m/>
    <s v="1+ Failures"/>
    <n v="0"/>
    <x v="3"/>
  </r>
  <r>
    <n v="1459"/>
    <d v="2024-11-05T00:00:00"/>
    <s v="Premium"/>
    <n v="699"/>
    <n v="0.7"/>
    <n v="5"/>
    <n v="1"/>
    <n v="26"/>
    <n v="32"/>
    <s v="Yes"/>
    <s v="Yes"/>
    <s v="Yes"/>
    <s v="Yes"/>
    <s v="Yes"/>
    <s v="No"/>
    <m/>
    <s v="1+ Failures"/>
    <n v="1"/>
    <x v="0"/>
  </r>
  <r>
    <n v="1460"/>
    <d v="2024-02-29T00:00:00"/>
    <s v="Standard"/>
    <n v="399"/>
    <n v="21"/>
    <n v="6"/>
    <n v="5"/>
    <n v="20"/>
    <n v="15"/>
    <s v="Yes"/>
    <s v="No"/>
    <s v="Yes"/>
    <s v="Yes"/>
    <s v="Yes"/>
    <s v="No"/>
    <m/>
    <s v="1+ Failures"/>
    <n v="1"/>
    <x v="3"/>
  </r>
  <r>
    <n v="1461"/>
    <d v="2023-11-22T00:00:00"/>
    <s v="Basic"/>
    <n v="199"/>
    <n v="1.1000000000000001"/>
    <n v="5"/>
    <n v="4"/>
    <n v="1"/>
    <n v="52"/>
    <s v="Yes"/>
    <s v="Yes"/>
    <s v="Yes"/>
    <s v="Yes"/>
    <s v="Yes"/>
    <s v="Yes"/>
    <m/>
    <s v="1+ Failures"/>
    <n v="1"/>
    <x v="0"/>
  </r>
  <r>
    <n v="1462"/>
    <d v="2023-07-17T00:00:00"/>
    <s v="Standard"/>
    <n v="399"/>
    <n v="24"/>
    <n v="6"/>
    <n v="1"/>
    <n v="11"/>
    <n v="35"/>
    <s v="No"/>
    <s v="No"/>
    <s v="Yes"/>
    <s v="Yes"/>
    <s v="Yes"/>
    <s v="No"/>
    <m/>
    <s v="1+ Failures"/>
    <n v="0"/>
    <x v="3"/>
  </r>
  <r>
    <n v="1463"/>
    <d v="2023-06-27T00:00:00"/>
    <s v="Premium"/>
    <n v="699"/>
    <n v="20.8"/>
    <n v="6"/>
    <n v="1"/>
    <n v="26"/>
    <n v="60"/>
    <s v="No"/>
    <s v="No"/>
    <s v="Yes"/>
    <s v="Yes"/>
    <s v="Yes"/>
    <s v="No"/>
    <m/>
    <s v="1+ Failures"/>
    <n v="0"/>
    <x v="3"/>
  </r>
  <r>
    <n v="1464"/>
    <d v="2023-05-10T00:00:00"/>
    <s v="Standard"/>
    <n v="399"/>
    <n v="13.2"/>
    <n v="6"/>
    <n v="1"/>
    <n v="21"/>
    <n v="6"/>
    <s v="No"/>
    <s v="No"/>
    <s v="Yes"/>
    <s v="Yes"/>
    <s v="No"/>
    <s v="No"/>
    <m/>
    <s v="1+ Failures"/>
    <n v="0"/>
    <x v="1"/>
  </r>
  <r>
    <n v="1465"/>
    <d v="2024-07-20T00:00:00"/>
    <s v="Premium"/>
    <n v="699"/>
    <n v="16"/>
    <n v="6"/>
    <n v="5"/>
    <n v="8"/>
    <n v="58"/>
    <s v="Yes"/>
    <s v="No"/>
    <s v="Yes"/>
    <s v="Yes"/>
    <s v="Yes"/>
    <s v="No"/>
    <m/>
    <s v="1+ Failures"/>
    <n v="1"/>
    <x v="1"/>
  </r>
  <r>
    <n v="1466"/>
    <d v="2024-08-30T00:00:00"/>
    <s v="Basic"/>
    <n v="199"/>
    <n v="5.5"/>
    <n v="1"/>
    <n v="0"/>
    <n v="21"/>
    <n v="27"/>
    <s v="Yes"/>
    <s v="No"/>
    <s v="No"/>
    <s v="No"/>
    <s v="Yes"/>
    <s v="No"/>
    <m/>
    <s v="0 Failures"/>
    <n v="1"/>
    <x v="2"/>
  </r>
  <r>
    <n v="1467"/>
    <d v="2023-05-14T00:00:00"/>
    <s v="Basic"/>
    <n v="199"/>
    <n v="15.6"/>
    <n v="8"/>
    <n v="0"/>
    <n v="2"/>
    <n v="36"/>
    <s v="Yes"/>
    <s v="No"/>
    <s v="No"/>
    <s v="Yes"/>
    <s v="Yes"/>
    <s v="Yes"/>
    <m/>
    <s v="0 Failures"/>
    <n v="1"/>
    <x v="1"/>
  </r>
  <r>
    <n v="1468"/>
    <d v="2023-09-09T00:00:00"/>
    <s v="Standard"/>
    <n v="399"/>
    <n v="5.0999999999999996"/>
    <n v="3"/>
    <n v="2"/>
    <n v="23"/>
    <n v="12"/>
    <s v="No"/>
    <s v="No"/>
    <s v="Yes"/>
    <s v="No"/>
    <s v="No"/>
    <s v="No"/>
    <m/>
    <s v="1+ Failures"/>
    <n v="0"/>
    <x v="2"/>
  </r>
  <r>
    <n v="1469"/>
    <d v="2024-10-04T00:00:00"/>
    <s v="Premium"/>
    <n v="699"/>
    <n v="19.399999999999999"/>
    <n v="0"/>
    <n v="2"/>
    <n v="25"/>
    <n v="5"/>
    <s v="No"/>
    <s v="No"/>
    <s v="Yes"/>
    <s v="No"/>
    <s v="No"/>
    <s v="No"/>
    <m/>
    <s v="1+ Failures"/>
    <n v="0"/>
    <x v="1"/>
  </r>
  <r>
    <n v="1470"/>
    <d v="2023-07-04T00:00:00"/>
    <s v="Basic"/>
    <n v="199"/>
    <n v="3.2"/>
    <n v="1"/>
    <n v="0"/>
    <n v="7"/>
    <n v="9"/>
    <s v="Yes"/>
    <s v="Yes"/>
    <s v="No"/>
    <s v="No"/>
    <s v="No"/>
    <s v="No"/>
    <m/>
    <s v="0 Failures"/>
    <n v="1"/>
    <x v="0"/>
  </r>
  <r>
    <n v="1471"/>
    <d v="2023-01-23T00:00:00"/>
    <s v="Basic"/>
    <n v="199"/>
    <n v="12.6"/>
    <n v="5"/>
    <n v="1"/>
    <n v="5"/>
    <n v="25"/>
    <s v="Yes"/>
    <s v="No"/>
    <s v="Yes"/>
    <s v="Yes"/>
    <s v="Yes"/>
    <s v="Yes"/>
    <m/>
    <s v="1+ Failures"/>
    <n v="1"/>
    <x v="1"/>
  </r>
  <r>
    <n v="1472"/>
    <d v="2023-11-18T00:00:00"/>
    <s v="Standard"/>
    <n v="399"/>
    <n v="12.4"/>
    <n v="1"/>
    <n v="1"/>
    <n v="5"/>
    <n v="43"/>
    <s v="No"/>
    <s v="No"/>
    <s v="Yes"/>
    <s v="No"/>
    <s v="Yes"/>
    <s v="Yes"/>
    <m/>
    <s v="1+ Failures"/>
    <n v="0"/>
    <x v="1"/>
  </r>
  <r>
    <n v="1473"/>
    <d v="2024-11-06T00:00:00"/>
    <s v="Premium"/>
    <n v="699"/>
    <n v="20.3"/>
    <n v="2"/>
    <n v="2"/>
    <n v="29"/>
    <n v="0"/>
    <s v="No"/>
    <s v="No"/>
    <s v="Yes"/>
    <s v="No"/>
    <s v="No"/>
    <s v="No"/>
    <m/>
    <s v="1+ Failures"/>
    <n v="0"/>
    <x v="3"/>
  </r>
  <r>
    <n v="1474"/>
    <d v="2024-09-06T00:00:00"/>
    <s v="Premium"/>
    <n v="699"/>
    <n v="3.4"/>
    <n v="5"/>
    <n v="2"/>
    <n v="3"/>
    <n v="30"/>
    <s v="Yes"/>
    <s v="Yes"/>
    <s v="Yes"/>
    <s v="Yes"/>
    <s v="Yes"/>
    <s v="Yes"/>
    <m/>
    <s v="1+ Failures"/>
    <n v="1"/>
    <x v="0"/>
  </r>
  <r>
    <n v="1475"/>
    <d v="2024-07-02T00:00:00"/>
    <s v="Premium"/>
    <n v="699"/>
    <n v="4.4000000000000004"/>
    <n v="4"/>
    <n v="0"/>
    <n v="1"/>
    <n v="12"/>
    <s v="No"/>
    <s v="Yes"/>
    <s v="No"/>
    <s v="No"/>
    <s v="No"/>
    <s v="Yes"/>
    <m/>
    <s v="0 Failures"/>
    <n v="0"/>
    <x v="0"/>
  </r>
  <r>
    <n v="1476"/>
    <d v="2023-08-11T00:00:00"/>
    <s v="Basic"/>
    <n v="199"/>
    <n v="13"/>
    <n v="2"/>
    <n v="1"/>
    <n v="34"/>
    <n v="55"/>
    <s v="No"/>
    <s v="No"/>
    <s v="Yes"/>
    <s v="No"/>
    <s v="Yes"/>
    <s v="No"/>
    <m/>
    <s v="1+ Failures"/>
    <n v="0"/>
    <x v="1"/>
  </r>
  <r>
    <n v="1477"/>
    <d v="2023-10-02T00:00:00"/>
    <s v="Basic"/>
    <n v="199"/>
    <n v="3.9"/>
    <n v="1"/>
    <n v="5"/>
    <n v="21"/>
    <n v="44"/>
    <s v="No"/>
    <s v="Yes"/>
    <s v="Yes"/>
    <s v="No"/>
    <s v="Yes"/>
    <s v="No"/>
    <m/>
    <s v="1+ Failures"/>
    <n v="0"/>
    <x v="0"/>
  </r>
  <r>
    <n v="1478"/>
    <d v="2023-10-29T00:00:00"/>
    <s v="Standard"/>
    <n v="399"/>
    <n v="5.4"/>
    <n v="1"/>
    <n v="2"/>
    <n v="31"/>
    <n v="45"/>
    <s v="Yes"/>
    <s v="No"/>
    <s v="Yes"/>
    <s v="No"/>
    <s v="Yes"/>
    <s v="No"/>
    <m/>
    <s v="1+ Failures"/>
    <n v="1"/>
    <x v="2"/>
  </r>
  <r>
    <n v="1479"/>
    <d v="2024-12-04T00:00:00"/>
    <s v="Standard"/>
    <n v="399"/>
    <n v="11.2"/>
    <n v="6"/>
    <n v="1"/>
    <n v="32"/>
    <n v="16"/>
    <s v="Yes"/>
    <s v="No"/>
    <s v="Yes"/>
    <s v="Yes"/>
    <s v="Yes"/>
    <s v="No"/>
    <m/>
    <s v="1+ Failures"/>
    <n v="1"/>
    <x v="1"/>
  </r>
  <r>
    <n v="1480"/>
    <d v="2023-11-16T00:00:00"/>
    <s v="Premium"/>
    <n v="699"/>
    <n v="24.1"/>
    <n v="1"/>
    <n v="4"/>
    <n v="18"/>
    <n v="50"/>
    <s v="No"/>
    <s v="No"/>
    <s v="Yes"/>
    <s v="No"/>
    <s v="Yes"/>
    <s v="No"/>
    <m/>
    <s v="1+ Failures"/>
    <n v="0"/>
    <x v="3"/>
  </r>
  <r>
    <n v="1481"/>
    <d v="2024-09-02T00:00:00"/>
    <s v="Basic"/>
    <n v="199"/>
    <n v="23.9"/>
    <n v="7"/>
    <n v="3"/>
    <n v="14"/>
    <n v="56"/>
    <s v="Yes"/>
    <s v="No"/>
    <s v="Yes"/>
    <s v="Yes"/>
    <s v="Yes"/>
    <s v="No"/>
    <m/>
    <s v="1+ Failures"/>
    <n v="1"/>
    <x v="3"/>
  </r>
  <r>
    <n v="1482"/>
    <d v="2024-08-03T00:00:00"/>
    <s v="Premium"/>
    <n v="699"/>
    <n v="20.5"/>
    <n v="1"/>
    <n v="4"/>
    <n v="18"/>
    <n v="24"/>
    <s v="Yes"/>
    <s v="No"/>
    <s v="Yes"/>
    <s v="No"/>
    <s v="Yes"/>
    <s v="No"/>
    <m/>
    <s v="1+ Failures"/>
    <n v="1"/>
    <x v="3"/>
  </r>
  <r>
    <n v="1483"/>
    <d v="2024-06-07T00:00:00"/>
    <s v="Standard"/>
    <n v="399"/>
    <n v="22.5"/>
    <n v="1"/>
    <n v="3"/>
    <n v="24"/>
    <n v="10"/>
    <s v="No"/>
    <s v="No"/>
    <s v="Yes"/>
    <s v="No"/>
    <s v="No"/>
    <s v="No"/>
    <m/>
    <s v="1+ Failures"/>
    <n v="0"/>
    <x v="3"/>
  </r>
  <r>
    <n v="1484"/>
    <d v="2023-07-04T00:00:00"/>
    <s v="Standard"/>
    <n v="399"/>
    <n v="7.7"/>
    <n v="8"/>
    <n v="2"/>
    <n v="27"/>
    <n v="25"/>
    <s v="Yes"/>
    <s v="No"/>
    <s v="Yes"/>
    <s v="Yes"/>
    <s v="Yes"/>
    <s v="No"/>
    <m/>
    <s v="1+ Failures"/>
    <n v="1"/>
    <x v="2"/>
  </r>
  <r>
    <n v="1485"/>
    <d v="2024-01-16T00:00:00"/>
    <s v="Standard"/>
    <n v="399"/>
    <n v="19.899999999999999"/>
    <n v="5"/>
    <n v="1"/>
    <n v="28"/>
    <n v="4"/>
    <s v="Yes"/>
    <s v="No"/>
    <s v="Yes"/>
    <s v="Yes"/>
    <s v="No"/>
    <s v="No"/>
    <m/>
    <s v="1+ Failures"/>
    <n v="1"/>
    <x v="1"/>
  </r>
  <r>
    <n v="1486"/>
    <d v="2023-12-03T00:00:00"/>
    <s v="Standard"/>
    <n v="399"/>
    <n v="19.600000000000001"/>
    <n v="1"/>
    <n v="0"/>
    <n v="10"/>
    <n v="20"/>
    <s v="No"/>
    <s v="No"/>
    <s v="No"/>
    <s v="No"/>
    <s v="Yes"/>
    <s v="No"/>
    <m/>
    <s v="0 Failures"/>
    <n v="0"/>
    <x v="1"/>
  </r>
  <r>
    <n v="1487"/>
    <d v="2023-10-18T00:00:00"/>
    <s v="Basic"/>
    <n v="199"/>
    <n v="14.4"/>
    <n v="5"/>
    <n v="1"/>
    <n v="30"/>
    <n v="35"/>
    <s v="Yes"/>
    <s v="No"/>
    <s v="Yes"/>
    <s v="Yes"/>
    <s v="Yes"/>
    <s v="No"/>
    <m/>
    <s v="1+ Failures"/>
    <n v="1"/>
    <x v="1"/>
  </r>
  <r>
    <n v="1488"/>
    <d v="2024-11-18T00:00:00"/>
    <s v="Premium"/>
    <n v="699"/>
    <n v="13.4"/>
    <n v="1"/>
    <n v="4"/>
    <n v="14"/>
    <n v="17"/>
    <s v="No"/>
    <s v="No"/>
    <s v="Yes"/>
    <s v="No"/>
    <s v="Yes"/>
    <s v="No"/>
    <m/>
    <s v="1+ Failures"/>
    <n v="0"/>
    <x v="1"/>
  </r>
  <r>
    <n v="1489"/>
    <d v="2023-07-21T00:00:00"/>
    <s v="Basic"/>
    <n v="199"/>
    <n v="17.2"/>
    <n v="6"/>
    <n v="2"/>
    <n v="27"/>
    <n v="52"/>
    <s v="Yes"/>
    <s v="No"/>
    <s v="Yes"/>
    <s v="Yes"/>
    <s v="Yes"/>
    <s v="No"/>
    <m/>
    <s v="1+ Failures"/>
    <n v="1"/>
    <x v="1"/>
  </r>
  <r>
    <n v="1490"/>
    <d v="2023-06-25T00:00:00"/>
    <s v="Basic"/>
    <n v="199"/>
    <n v="12.7"/>
    <n v="4"/>
    <n v="3"/>
    <n v="32"/>
    <n v="7"/>
    <s v="Yes"/>
    <s v="No"/>
    <s v="Yes"/>
    <s v="No"/>
    <s v="No"/>
    <s v="No"/>
    <m/>
    <s v="1+ Failures"/>
    <n v="1"/>
    <x v="1"/>
  </r>
  <r>
    <n v="1491"/>
    <d v="2024-10-21T00:00:00"/>
    <s v="Premium"/>
    <n v="699"/>
    <n v="15"/>
    <n v="3"/>
    <n v="4"/>
    <n v="21"/>
    <n v="1"/>
    <s v="Yes"/>
    <s v="No"/>
    <s v="Yes"/>
    <s v="No"/>
    <s v="No"/>
    <s v="No"/>
    <m/>
    <s v="1+ Failures"/>
    <n v="1"/>
    <x v="1"/>
  </r>
  <r>
    <n v="1492"/>
    <d v="2023-02-07T00:00:00"/>
    <s v="Premium"/>
    <n v="699"/>
    <n v="22.8"/>
    <n v="4"/>
    <n v="1"/>
    <n v="1"/>
    <n v="53"/>
    <s v="No"/>
    <s v="No"/>
    <s v="Yes"/>
    <s v="No"/>
    <s v="Yes"/>
    <s v="Yes"/>
    <m/>
    <s v="1+ Failures"/>
    <n v="0"/>
    <x v="3"/>
  </r>
  <r>
    <n v="1493"/>
    <d v="2024-03-01T00:00:00"/>
    <s v="Premium"/>
    <n v="699"/>
    <n v="1.5"/>
    <n v="0"/>
    <n v="0"/>
    <n v="34"/>
    <n v="30"/>
    <s v="Yes"/>
    <s v="Yes"/>
    <s v="No"/>
    <s v="No"/>
    <s v="Yes"/>
    <s v="No"/>
    <m/>
    <s v="0 Failures"/>
    <n v="1"/>
    <x v="0"/>
  </r>
  <r>
    <n v="1494"/>
    <d v="2023-11-17T00:00:00"/>
    <s v="Premium"/>
    <n v="699"/>
    <n v="7.2"/>
    <n v="5"/>
    <n v="3"/>
    <n v="20"/>
    <n v="5"/>
    <s v="No"/>
    <s v="No"/>
    <s v="Yes"/>
    <s v="Yes"/>
    <s v="No"/>
    <s v="No"/>
    <m/>
    <s v="1+ Failures"/>
    <n v="0"/>
    <x v="2"/>
  </r>
  <r>
    <n v="1495"/>
    <d v="2023-05-05T00:00:00"/>
    <s v="Standard"/>
    <n v="399"/>
    <n v="10.1"/>
    <n v="7"/>
    <n v="3"/>
    <n v="4"/>
    <n v="54"/>
    <s v="Yes"/>
    <s v="No"/>
    <s v="Yes"/>
    <s v="Yes"/>
    <s v="Yes"/>
    <s v="Yes"/>
    <m/>
    <s v="1+ Failures"/>
    <n v="1"/>
    <x v="1"/>
  </r>
  <r>
    <n v="1496"/>
    <d v="2023-11-27T00:00:00"/>
    <s v="Standard"/>
    <n v="399"/>
    <n v="1.2"/>
    <n v="0"/>
    <n v="0"/>
    <n v="7"/>
    <n v="8"/>
    <s v="Yes"/>
    <s v="Yes"/>
    <s v="No"/>
    <s v="No"/>
    <s v="No"/>
    <s v="No"/>
    <m/>
    <s v="0 Failures"/>
    <n v="1"/>
    <x v="0"/>
  </r>
  <r>
    <n v="1497"/>
    <d v="2024-01-13T00:00:00"/>
    <s v="Premium"/>
    <n v="699"/>
    <n v="6"/>
    <n v="1"/>
    <n v="1"/>
    <n v="28"/>
    <n v="46"/>
    <s v="No"/>
    <s v="No"/>
    <s v="Yes"/>
    <s v="No"/>
    <s v="Yes"/>
    <s v="No"/>
    <m/>
    <s v="1+ Failures"/>
    <n v="0"/>
    <x v="2"/>
  </r>
  <r>
    <n v="1498"/>
    <d v="2023-04-24T00:00:00"/>
    <s v="Premium"/>
    <n v="699"/>
    <n v="23.4"/>
    <n v="0"/>
    <n v="2"/>
    <n v="1"/>
    <n v="56"/>
    <s v="No"/>
    <s v="No"/>
    <s v="Yes"/>
    <s v="No"/>
    <s v="Yes"/>
    <s v="Yes"/>
    <m/>
    <s v="1+ Failures"/>
    <n v="0"/>
    <x v="3"/>
  </r>
  <r>
    <n v="1499"/>
    <d v="2024-01-24T00:00:00"/>
    <s v="Basic"/>
    <n v="199"/>
    <n v="2.2999999999999998"/>
    <n v="5"/>
    <n v="5"/>
    <n v="20"/>
    <n v="39"/>
    <s v="Yes"/>
    <s v="Yes"/>
    <s v="Yes"/>
    <s v="Yes"/>
    <s v="Yes"/>
    <s v="No"/>
    <m/>
    <s v="1+ Failures"/>
    <n v="1"/>
    <x v="0"/>
  </r>
  <r>
    <n v="1500"/>
    <d v="2023-06-01T00:00:00"/>
    <s v="Standard"/>
    <n v="399"/>
    <n v="23.2"/>
    <n v="7"/>
    <n v="0"/>
    <n v="11"/>
    <n v="8"/>
    <s v="No"/>
    <s v="No"/>
    <s v="No"/>
    <s v="Yes"/>
    <s v="No"/>
    <s v="No"/>
    <m/>
    <s v="0 Failures"/>
    <n v="0"/>
    <x v="3"/>
  </r>
  <r>
    <n v="1501"/>
    <d v="2024-05-04T00:00:00"/>
    <s v="Premium"/>
    <n v="699"/>
    <n v="16.100000000000001"/>
    <n v="1"/>
    <n v="4"/>
    <n v="27"/>
    <n v="33"/>
    <s v="Yes"/>
    <s v="No"/>
    <s v="Yes"/>
    <s v="No"/>
    <s v="Yes"/>
    <s v="No"/>
    <m/>
    <s v="1+ Failures"/>
    <n v="1"/>
    <x v="1"/>
  </r>
  <r>
    <n v="1502"/>
    <d v="2023-09-28T00:00:00"/>
    <s v="Premium"/>
    <n v="699"/>
    <n v="24.4"/>
    <n v="5"/>
    <n v="5"/>
    <n v="32"/>
    <n v="30"/>
    <s v="Yes"/>
    <s v="No"/>
    <s v="Yes"/>
    <s v="Yes"/>
    <s v="Yes"/>
    <s v="No"/>
    <m/>
    <s v="1+ Failures"/>
    <n v="1"/>
    <x v="3"/>
  </r>
  <r>
    <n v="1503"/>
    <d v="2023-07-30T00:00:00"/>
    <s v="Standard"/>
    <n v="399"/>
    <n v="9.1"/>
    <n v="3"/>
    <n v="5"/>
    <n v="6"/>
    <n v="41"/>
    <s v="No"/>
    <s v="No"/>
    <s v="Yes"/>
    <s v="No"/>
    <s v="Yes"/>
    <s v="No"/>
    <m/>
    <s v="1+ Failures"/>
    <n v="0"/>
    <x v="2"/>
  </r>
  <r>
    <n v="1504"/>
    <d v="2023-08-10T00:00:00"/>
    <s v="Premium"/>
    <n v="699"/>
    <n v="2.2999999999999998"/>
    <n v="7"/>
    <n v="0"/>
    <n v="5"/>
    <n v="13"/>
    <s v="Yes"/>
    <s v="Yes"/>
    <s v="No"/>
    <s v="Yes"/>
    <s v="No"/>
    <s v="Yes"/>
    <m/>
    <s v="0 Failures"/>
    <n v="1"/>
    <x v="0"/>
  </r>
  <r>
    <n v="1505"/>
    <d v="2024-06-24T00:00:00"/>
    <s v="Standard"/>
    <n v="399"/>
    <n v="5.0999999999999996"/>
    <n v="1"/>
    <n v="2"/>
    <n v="25"/>
    <n v="13"/>
    <s v="No"/>
    <s v="No"/>
    <s v="Yes"/>
    <s v="No"/>
    <s v="No"/>
    <s v="No"/>
    <m/>
    <s v="1+ Failures"/>
    <n v="0"/>
    <x v="2"/>
  </r>
  <r>
    <n v="1506"/>
    <d v="2024-05-31T00:00:00"/>
    <s v="Premium"/>
    <n v="699"/>
    <n v="19.100000000000001"/>
    <n v="4"/>
    <n v="5"/>
    <n v="21"/>
    <n v="29"/>
    <s v="Yes"/>
    <s v="No"/>
    <s v="Yes"/>
    <s v="No"/>
    <s v="Yes"/>
    <s v="No"/>
    <m/>
    <s v="1+ Failures"/>
    <n v="1"/>
    <x v="1"/>
  </r>
  <r>
    <n v="1507"/>
    <d v="2024-06-09T00:00:00"/>
    <s v="Basic"/>
    <n v="199"/>
    <n v="5.9"/>
    <n v="5"/>
    <n v="3"/>
    <n v="9"/>
    <n v="28"/>
    <s v="No"/>
    <s v="No"/>
    <s v="Yes"/>
    <s v="Yes"/>
    <s v="Yes"/>
    <s v="No"/>
    <m/>
    <s v="1+ Failures"/>
    <n v="0"/>
    <x v="2"/>
  </r>
  <r>
    <n v="1508"/>
    <d v="2024-08-14T00:00:00"/>
    <s v="Basic"/>
    <n v="199"/>
    <n v="5.0999999999999996"/>
    <n v="4"/>
    <n v="3"/>
    <n v="26"/>
    <n v="10"/>
    <s v="No"/>
    <s v="No"/>
    <s v="Yes"/>
    <s v="No"/>
    <s v="No"/>
    <s v="No"/>
    <m/>
    <s v="1+ Failures"/>
    <n v="0"/>
    <x v="2"/>
  </r>
  <r>
    <n v="1509"/>
    <d v="2024-04-16T00:00:00"/>
    <s v="Premium"/>
    <n v="699"/>
    <n v="4.0999999999999996"/>
    <n v="1"/>
    <n v="5"/>
    <n v="7"/>
    <n v="7"/>
    <s v="Yes"/>
    <s v="Yes"/>
    <s v="Yes"/>
    <s v="No"/>
    <s v="No"/>
    <s v="No"/>
    <m/>
    <s v="1+ Failures"/>
    <n v="1"/>
    <x v="0"/>
  </r>
  <r>
    <n v="1510"/>
    <d v="2024-07-17T00:00:00"/>
    <s v="Basic"/>
    <n v="199"/>
    <n v="1.2"/>
    <n v="8"/>
    <n v="3"/>
    <n v="18"/>
    <n v="22"/>
    <s v="Yes"/>
    <s v="Yes"/>
    <s v="Yes"/>
    <s v="Yes"/>
    <s v="Yes"/>
    <s v="No"/>
    <m/>
    <s v="1+ Failures"/>
    <n v="1"/>
    <x v="0"/>
  </r>
  <r>
    <n v="1511"/>
    <d v="2023-12-08T00:00:00"/>
    <s v="Basic"/>
    <n v="199"/>
    <n v="11.1"/>
    <n v="2"/>
    <n v="3"/>
    <n v="23"/>
    <n v="32"/>
    <s v="Yes"/>
    <s v="No"/>
    <s v="Yes"/>
    <s v="No"/>
    <s v="Yes"/>
    <s v="No"/>
    <m/>
    <s v="1+ Failures"/>
    <n v="1"/>
    <x v="1"/>
  </r>
  <r>
    <n v="1512"/>
    <d v="2024-03-08T00:00:00"/>
    <s v="Basic"/>
    <n v="199"/>
    <n v="7.2"/>
    <n v="1"/>
    <n v="0"/>
    <n v="29"/>
    <n v="41"/>
    <s v="No"/>
    <s v="No"/>
    <s v="No"/>
    <s v="No"/>
    <s v="Yes"/>
    <s v="No"/>
    <m/>
    <s v="0 Failures"/>
    <n v="0"/>
    <x v="2"/>
  </r>
  <r>
    <n v="1513"/>
    <d v="2024-05-20T00:00:00"/>
    <s v="Basic"/>
    <n v="199"/>
    <n v="5.0999999999999996"/>
    <n v="2"/>
    <n v="4"/>
    <n v="19"/>
    <n v="17"/>
    <s v="No"/>
    <s v="No"/>
    <s v="Yes"/>
    <s v="No"/>
    <s v="Yes"/>
    <s v="No"/>
    <m/>
    <s v="1+ Failures"/>
    <n v="0"/>
    <x v="2"/>
  </r>
  <r>
    <n v="1514"/>
    <d v="2023-08-13T00:00:00"/>
    <s v="Premium"/>
    <n v="699"/>
    <n v="3.2"/>
    <n v="0"/>
    <n v="5"/>
    <n v="28"/>
    <n v="15"/>
    <s v="No"/>
    <s v="Yes"/>
    <s v="Yes"/>
    <s v="No"/>
    <s v="Yes"/>
    <s v="No"/>
    <m/>
    <s v="1+ Failures"/>
    <n v="0"/>
    <x v="0"/>
  </r>
  <r>
    <n v="1515"/>
    <d v="2023-10-10T00:00:00"/>
    <s v="Basic"/>
    <n v="199"/>
    <n v="22.4"/>
    <n v="4"/>
    <n v="1"/>
    <n v="4"/>
    <n v="4"/>
    <s v="No"/>
    <s v="No"/>
    <s v="Yes"/>
    <s v="No"/>
    <s v="No"/>
    <s v="Yes"/>
    <m/>
    <s v="1+ Failures"/>
    <n v="0"/>
    <x v="3"/>
  </r>
  <r>
    <n v="1516"/>
    <d v="2024-12-09T00:00:00"/>
    <s v="Basic"/>
    <n v="199"/>
    <n v="10.1"/>
    <n v="1"/>
    <n v="1"/>
    <n v="26"/>
    <n v="46"/>
    <s v="No"/>
    <s v="No"/>
    <s v="Yes"/>
    <s v="No"/>
    <s v="Yes"/>
    <s v="No"/>
    <m/>
    <s v="1+ Failures"/>
    <n v="0"/>
    <x v="1"/>
  </r>
  <r>
    <n v="1517"/>
    <d v="2024-09-02T00:00:00"/>
    <s v="Standard"/>
    <n v="399"/>
    <n v="5.5"/>
    <n v="3"/>
    <n v="2"/>
    <n v="32"/>
    <n v="40"/>
    <s v="Yes"/>
    <s v="No"/>
    <s v="Yes"/>
    <s v="No"/>
    <s v="Yes"/>
    <s v="No"/>
    <m/>
    <s v="1+ Failures"/>
    <n v="1"/>
    <x v="2"/>
  </r>
  <r>
    <n v="1518"/>
    <d v="2023-11-09T00:00:00"/>
    <s v="Standard"/>
    <n v="399"/>
    <n v="2.8"/>
    <n v="8"/>
    <n v="5"/>
    <n v="1"/>
    <n v="39"/>
    <s v="Yes"/>
    <s v="Yes"/>
    <s v="Yes"/>
    <s v="Yes"/>
    <s v="Yes"/>
    <s v="Yes"/>
    <m/>
    <s v="1+ Failures"/>
    <n v="1"/>
    <x v="0"/>
  </r>
  <r>
    <n v="1519"/>
    <d v="2024-04-11T00:00:00"/>
    <s v="Premium"/>
    <n v="699"/>
    <n v="4.7"/>
    <n v="1"/>
    <n v="1"/>
    <n v="16"/>
    <n v="11"/>
    <s v="Yes"/>
    <s v="Yes"/>
    <s v="Yes"/>
    <s v="No"/>
    <s v="No"/>
    <s v="No"/>
    <m/>
    <s v="1+ Failures"/>
    <n v="1"/>
    <x v="0"/>
  </r>
  <r>
    <n v="1520"/>
    <d v="2023-09-28T00:00:00"/>
    <s v="Basic"/>
    <n v="199"/>
    <n v="16.8"/>
    <n v="6"/>
    <n v="2"/>
    <n v="1"/>
    <n v="1"/>
    <s v="Yes"/>
    <s v="No"/>
    <s v="Yes"/>
    <s v="Yes"/>
    <s v="No"/>
    <s v="Yes"/>
    <m/>
    <s v="1+ Failures"/>
    <n v="1"/>
    <x v="1"/>
  </r>
  <r>
    <n v="1521"/>
    <d v="2024-08-20T00:00:00"/>
    <s v="Basic"/>
    <n v="199"/>
    <n v="17.100000000000001"/>
    <n v="0"/>
    <n v="4"/>
    <n v="11"/>
    <n v="22"/>
    <s v="No"/>
    <s v="No"/>
    <s v="Yes"/>
    <s v="No"/>
    <s v="Yes"/>
    <s v="No"/>
    <m/>
    <s v="1+ Failures"/>
    <n v="0"/>
    <x v="1"/>
  </r>
  <r>
    <n v="1522"/>
    <d v="2024-08-03T00:00:00"/>
    <s v="Basic"/>
    <n v="199"/>
    <n v="21.9"/>
    <n v="7"/>
    <n v="0"/>
    <n v="32"/>
    <n v="2"/>
    <s v="No"/>
    <s v="No"/>
    <s v="No"/>
    <s v="Yes"/>
    <s v="No"/>
    <s v="No"/>
    <m/>
    <s v="0 Failures"/>
    <n v="0"/>
    <x v="3"/>
  </r>
  <r>
    <n v="1523"/>
    <d v="2023-04-07T00:00:00"/>
    <s v="Premium"/>
    <n v="699"/>
    <n v="21"/>
    <n v="8"/>
    <n v="4"/>
    <n v="19"/>
    <n v="10"/>
    <s v="No"/>
    <s v="No"/>
    <s v="Yes"/>
    <s v="Yes"/>
    <s v="No"/>
    <s v="No"/>
    <m/>
    <s v="1+ Failures"/>
    <n v="0"/>
    <x v="3"/>
  </r>
  <r>
    <n v="1524"/>
    <d v="2024-07-12T00:00:00"/>
    <s v="Basic"/>
    <n v="199"/>
    <n v="20.2"/>
    <n v="5"/>
    <n v="3"/>
    <n v="20"/>
    <n v="31"/>
    <s v="Yes"/>
    <s v="No"/>
    <s v="Yes"/>
    <s v="Yes"/>
    <s v="Yes"/>
    <s v="No"/>
    <m/>
    <s v="1+ Failures"/>
    <n v="1"/>
    <x v="3"/>
  </r>
  <r>
    <n v="1525"/>
    <d v="2024-12-28T00:00:00"/>
    <s v="Standard"/>
    <n v="399"/>
    <n v="6.7"/>
    <n v="7"/>
    <n v="0"/>
    <n v="32"/>
    <n v="52"/>
    <s v="Yes"/>
    <s v="No"/>
    <s v="No"/>
    <s v="Yes"/>
    <s v="Yes"/>
    <s v="No"/>
    <m/>
    <s v="0 Failures"/>
    <n v="1"/>
    <x v="2"/>
  </r>
  <r>
    <n v="1526"/>
    <d v="2024-10-17T00:00:00"/>
    <s v="Standard"/>
    <n v="399"/>
    <n v="19.5"/>
    <n v="7"/>
    <n v="0"/>
    <n v="34"/>
    <n v="17"/>
    <s v="No"/>
    <s v="No"/>
    <s v="No"/>
    <s v="Yes"/>
    <s v="Yes"/>
    <s v="No"/>
    <m/>
    <s v="0 Failures"/>
    <n v="0"/>
    <x v="1"/>
  </r>
  <r>
    <n v="1527"/>
    <d v="2023-02-01T00:00:00"/>
    <s v="Basic"/>
    <n v="199"/>
    <n v="24.5"/>
    <n v="3"/>
    <n v="5"/>
    <n v="10"/>
    <n v="9"/>
    <s v="No"/>
    <s v="No"/>
    <s v="Yes"/>
    <s v="No"/>
    <s v="No"/>
    <s v="No"/>
    <m/>
    <s v="1+ Failures"/>
    <n v="0"/>
    <x v="3"/>
  </r>
  <r>
    <n v="1528"/>
    <d v="2024-10-16T00:00:00"/>
    <s v="Basic"/>
    <n v="199"/>
    <n v="9.3000000000000007"/>
    <n v="1"/>
    <n v="1"/>
    <n v="28"/>
    <n v="58"/>
    <s v="No"/>
    <s v="No"/>
    <s v="Yes"/>
    <s v="No"/>
    <s v="Yes"/>
    <s v="No"/>
    <m/>
    <s v="1+ Failures"/>
    <n v="0"/>
    <x v="2"/>
  </r>
  <r>
    <n v="1529"/>
    <d v="2023-09-29T00:00:00"/>
    <s v="Basic"/>
    <n v="199"/>
    <n v="22"/>
    <n v="8"/>
    <n v="3"/>
    <n v="18"/>
    <n v="56"/>
    <s v="Yes"/>
    <s v="No"/>
    <s v="Yes"/>
    <s v="Yes"/>
    <s v="Yes"/>
    <s v="No"/>
    <m/>
    <s v="1+ Failures"/>
    <n v="1"/>
    <x v="3"/>
  </r>
  <r>
    <n v="1530"/>
    <d v="2023-10-10T00:00:00"/>
    <s v="Premium"/>
    <n v="699"/>
    <n v="22.3"/>
    <n v="6"/>
    <n v="4"/>
    <n v="23"/>
    <n v="26"/>
    <s v="No"/>
    <s v="No"/>
    <s v="Yes"/>
    <s v="Yes"/>
    <s v="Yes"/>
    <s v="No"/>
    <m/>
    <s v="1+ Failures"/>
    <n v="0"/>
    <x v="3"/>
  </r>
  <r>
    <n v="1531"/>
    <d v="2023-05-06T00:00:00"/>
    <s v="Standard"/>
    <n v="399"/>
    <n v="1.5"/>
    <n v="8"/>
    <n v="5"/>
    <n v="13"/>
    <n v="21"/>
    <s v="Yes"/>
    <s v="Yes"/>
    <s v="Yes"/>
    <s v="Yes"/>
    <s v="Yes"/>
    <s v="No"/>
    <m/>
    <s v="1+ Failures"/>
    <n v="1"/>
    <x v="0"/>
  </r>
  <r>
    <n v="1532"/>
    <d v="2024-05-25T00:00:00"/>
    <s v="Standard"/>
    <n v="399"/>
    <n v="14.4"/>
    <n v="5"/>
    <n v="2"/>
    <n v="30"/>
    <n v="7"/>
    <s v="No"/>
    <s v="No"/>
    <s v="Yes"/>
    <s v="Yes"/>
    <s v="No"/>
    <s v="No"/>
    <m/>
    <s v="1+ Failures"/>
    <n v="0"/>
    <x v="1"/>
  </r>
  <r>
    <n v="1533"/>
    <d v="2024-11-11T00:00:00"/>
    <s v="Premium"/>
    <n v="699"/>
    <n v="11.9"/>
    <n v="2"/>
    <n v="4"/>
    <n v="10"/>
    <n v="18"/>
    <s v="No"/>
    <s v="No"/>
    <s v="Yes"/>
    <s v="No"/>
    <s v="Yes"/>
    <s v="No"/>
    <m/>
    <s v="1+ Failures"/>
    <n v="0"/>
    <x v="1"/>
  </r>
  <r>
    <n v="1534"/>
    <d v="2023-08-11T00:00:00"/>
    <s v="Basic"/>
    <n v="199"/>
    <n v="12.4"/>
    <n v="1"/>
    <n v="2"/>
    <n v="20"/>
    <n v="0"/>
    <s v="No"/>
    <s v="No"/>
    <s v="Yes"/>
    <s v="No"/>
    <s v="No"/>
    <s v="No"/>
    <m/>
    <s v="1+ Failures"/>
    <n v="0"/>
    <x v="1"/>
  </r>
  <r>
    <n v="1535"/>
    <d v="2023-01-01T00:00:00"/>
    <s v="Standard"/>
    <n v="399"/>
    <n v="1.8"/>
    <n v="4"/>
    <n v="0"/>
    <n v="8"/>
    <n v="27"/>
    <s v="Yes"/>
    <s v="Yes"/>
    <s v="No"/>
    <s v="No"/>
    <s v="Yes"/>
    <s v="No"/>
    <m/>
    <s v="0 Failures"/>
    <n v="1"/>
    <x v="0"/>
  </r>
  <r>
    <n v="1536"/>
    <d v="2024-07-28T00:00:00"/>
    <s v="Basic"/>
    <n v="199"/>
    <n v="3.9"/>
    <n v="4"/>
    <n v="4"/>
    <n v="17"/>
    <n v="42"/>
    <s v="Yes"/>
    <s v="Yes"/>
    <s v="Yes"/>
    <s v="No"/>
    <s v="Yes"/>
    <s v="No"/>
    <m/>
    <s v="1+ Failures"/>
    <n v="1"/>
    <x v="0"/>
  </r>
  <r>
    <n v="1537"/>
    <d v="2023-03-24T00:00:00"/>
    <s v="Basic"/>
    <n v="199"/>
    <n v="18"/>
    <n v="2"/>
    <n v="5"/>
    <n v="6"/>
    <n v="12"/>
    <s v="No"/>
    <s v="No"/>
    <s v="Yes"/>
    <s v="No"/>
    <s v="No"/>
    <s v="No"/>
    <m/>
    <s v="1+ Failures"/>
    <n v="0"/>
    <x v="1"/>
  </r>
  <r>
    <n v="1538"/>
    <d v="2024-01-31T00:00:00"/>
    <s v="Standard"/>
    <n v="399"/>
    <n v="1.3"/>
    <n v="5"/>
    <n v="1"/>
    <n v="15"/>
    <n v="51"/>
    <s v="Yes"/>
    <s v="Yes"/>
    <s v="Yes"/>
    <s v="Yes"/>
    <s v="Yes"/>
    <s v="No"/>
    <m/>
    <s v="1+ Failures"/>
    <n v="1"/>
    <x v="0"/>
  </r>
  <r>
    <n v="1539"/>
    <d v="2023-11-15T00:00:00"/>
    <s v="Standard"/>
    <n v="399"/>
    <n v="24.2"/>
    <n v="1"/>
    <n v="2"/>
    <n v="26"/>
    <n v="58"/>
    <s v="Yes"/>
    <s v="No"/>
    <s v="Yes"/>
    <s v="No"/>
    <s v="Yes"/>
    <s v="No"/>
    <m/>
    <s v="1+ Failures"/>
    <n v="1"/>
    <x v="3"/>
  </r>
  <r>
    <n v="1540"/>
    <d v="2023-07-24T00:00:00"/>
    <s v="Basic"/>
    <n v="199"/>
    <n v="17.100000000000001"/>
    <n v="5"/>
    <n v="4"/>
    <n v="28"/>
    <n v="8"/>
    <s v="No"/>
    <s v="No"/>
    <s v="Yes"/>
    <s v="Yes"/>
    <s v="No"/>
    <s v="No"/>
    <m/>
    <s v="1+ Failures"/>
    <n v="0"/>
    <x v="1"/>
  </r>
  <r>
    <n v="1541"/>
    <d v="2024-08-03T00:00:00"/>
    <s v="Standard"/>
    <n v="399"/>
    <n v="10.7"/>
    <n v="3"/>
    <n v="2"/>
    <n v="9"/>
    <n v="19"/>
    <s v="Yes"/>
    <s v="No"/>
    <s v="Yes"/>
    <s v="No"/>
    <s v="Yes"/>
    <s v="No"/>
    <m/>
    <s v="1+ Failures"/>
    <n v="1"/>
    <x v="1"/>
  </r>
  <r>
    <n v="1542"/>
    <d v="2024-03-28T00:00:00"/>
    <s v="Premium"/>
    <n v="699"/>
    <n v="13.9"/>
    <n v="6"/>
    <n v="3"/>
    <n v="30"/>
    <n v="6"/>
    <s v="Yes"/>
    <s v="No"/>
    <s v="Yes"/>
    <s v="Yes"/>
    <s v="No"/>
    <s v="No"/>
    <m/>
    <s v="1+ Failures"/>
    <n v="1"/>
    <x v="1"/>
  </r>
  <r>
    <n v="1543"/>
    <d v="2024-03-06T00:00:00"/>
    <s v="Premium"/>
    <n v="699"/>
    <n v="12.8"/>
    <n v="5"/>
    <n v="3"/>
    <n v="21"/>
    <n v="22"/>
    <s v="Yes"/>
    <s v="No"/>
    <s v="Yes"/>
    <s v="Yes"/>
    <s v="Yes"/>
    <s v="No"/>
    <m/>
    <s v="1+ Failures"/>
    <n v="1"/>
    <x v="1"/>
  </r>
  <r>
    <n v="1544"/>
    <d v="2023-05-24T00:00:00"/>
    <s v="Standard"/>
    <n v="399"/>
    <n v="1.2"/>
    <n v="8"/>
    <n v="0"/>
    <n v="30"/>
    <n v="49"/>
    <s v="Yes"/>
    <s v="Yes"/>
    <s v="No"/>
    <s v="Yes"/>
    <s v="Yes"/>
    <s v="No"/>
    <m/>
    <s v="0 Failures"/>
    <n v="1"/>
    <x v="0"/>
  </r>
  <r>
    <n v="1545"/>
    <d v="2024-08-02T00:00:00"/>
    <s v="Premium"/>
    <n v="699"/>
    <n v="19.8"/>
    <n v="8"/>
    <n v="2"/>
    <n v="20"/>
    <n v="8"/>
    <s v="No"/>
    <s v="No"/>
    <s v="Yes"/>
    <s v="Yes"/>
    <s v="No"/>
    <s v="No"/>
    <m/>
    <s v="1+ Failures"/>
    <n v="0"/>
    <x v="1"/>
  </r>
  <r>
    <n v="1546"/>
    <d v="2024-04-18T00:00:00"/>
    <s v="Standard"/>
    <n v="399"/>
    <n v="19"/>
    <n v="6"/>
    <n v="1"/>
    <n v="4"/>
    <n v="25"/>
    <s v="No"/>
    <s v="No"/>
    <s v="Yes"/>
    <s v="Yes"/>
    <s v="Yes"/>
    <s v="Yes"/>
    <m/>
    <s v="1+ Failures"/>
    <n v="0"/>
    <x v="1"/>
  </r>
  <r>
    <n v="1547"/>
    <d v="2024-10-27T00:00:00"/>
    <s v="Premium"/>
    <n v="699"/>
    <n v="21.1"/>
    <n v="1"/>
    <n v="0"/>
    <n v="30"/>
    <n v="17"/>
    <s v="No"/>
    <s v="No"/>
    <s v="No"/>
    <s v="No"/>
    <s v="Yes"/>
    <s v="No"/>
    <m/>
    <s v="0 Failures"/>
    <n v="0"/>
    <x v="3"/>
  </r>
  <r>
    <n v="1548"/>
    <d v="2023-03-04T00:00:00"/>
    <s v="Basic"/>
    <n v="199"/>
    <n v="15.1"/>
    <n v="4"/>
    <n v="4"/>
    <n v="22"/>
    <n v="30"/>
    <s v="Yes"/>
    <s v="No"/>
    <s v="Yes"/>
    <s v="No"/>
    <s v="Yes"/>
    <s v="No"/>
    <m/>
    <s v="1+ Failures"/>
    <n v="1"/>
    <x v="1"/>
  </r>
  <r>
    <n v="1549"/>
    <d v="2024-07-29T00:00:00"/>
    <s v="Basic"/>
    <n v="199"/>
    <n v="18.600000000000001"/>
    <n v="0"/>
    <n v="5"/>
    <n v="33"/>
    <n v="13"/>
    <s v="No"/>
    <s v="No"/>
    <s v="Yes"/>
    <s v="No"/>
    <s v="No"/>
    <s v="No"/>
    <m/>
    <s v="1+ Failures"/>
    <n v="0"/>
    <x v="1"/>
  </r>
  <r>
    <n v="1550"/>
    <d v="2023-01-07T00:00:00"/>
    <s v="Premium"/>
    <n v="699"/>
    <n v="3.8"/>
    <n v="2"/>
    <n v="2"/>
    <n v="32"/>
    <n v="40"/>
    <s v="Yes"/>
    <s v="Yes"/>
    <s v="Yes"/>
    <s v="No"/>
    <s v="Yes"/>
    <s v="No"/>
    <m/>
    <s v="1+ Failures"/>
    <n v="1"/>
    <x v="0"/>
  </r>
  <r>
    <n v="1551"/>
    <d v="2024-06-16T00:00:00"/>
    <s v="Standard"/>
    <n v="399"/>
    <n v="3.3"/>
    <n v="0"/>
    <n v="1"/>
    <n v="13"/>
    <n v="38"/>
    <s v="No"/>
    <s v="Yes"/>
    <s v="Yes"/>
    <s v="No"/>
    <s v="Yes"/>
    <s v="No"/>
    <m/>
    <s v="1+ Failures"/>
    <n v="0"/>
    <x v="0"/>
  </r>
  <r>
    <n v="1552"/>
    <d v="2024-02-05T00:00:00"/>
    <s v="Basic"/>
    <n v="199"/>
    <n v="5.5"/>
    <n v="7"/>
    <n v="0"/>
    <n v="16"/>
    <n v="53"/>
    <s v="No"/>
    <s v="No"/>
    <s v="No"/>
    <s v="Yes"/>
    <s v="Yes"/>
    <s v="No"/>
    <m/>
    <s v="0 Failures"/>
    <n v="0"/>
    <x v="2"/>
  </r>
  <r>
    <n v="1553"/>
    <d v="2024-07-13T00:00:00"/>
    <s v="Basic"/>
    <n v="199"/>
    <n v="7.8"/>
    <n v="7"/>
    <n v="1"/>
    <n v="8"/>
    <n v="52"/>
    <s v="Yes"/>
    <s v="No"/>
    <s v="Yes"/>
    <s v="Yes"/>
    <s v="Yes"/>
    <s v="No"/>
    <m/>
    <s v="1+ Failures"/>
    <n v="1"/>
    <x v="2"/>
  </r>
  <r>
    <n v="1554"/>
    <d v="2023-07-09T00:00:00"/>
    <s v="Standard"/>
    <n v="399"/>
    <n v="21.6"/>
    <n v="1"/>
    <n v="3"/>
    <n v="29"/>
    <n v="9"/>
    <s v="No"/>
    <s v="No"/>
    <s v="Yes"/>
    <s v="No"/>
    <s v="No"/>
    <s v="No"/>
    <m/>
    <s v="1+ Failures"/>
    <n v="0"/>
    <x v="3"/>
  </r>
  <r>
    <n v="1555"/>
    <d v="2023-10-24T00:00:00"/>
    <s v="Basic"/>
    <n v="199"/>
    <n v="4.7"/>
    <n v="8"/>
    <n v="1"/>
    <n v="16"/>
    <n v="30"/>
    <s v="Yes"/>
    <s v="Yes"/>
    <s v="Yes"/>
    <s v="Yes"/>
    <s v="Yes"/>
    <s v="No"/>
    <m/>
    <s v="1+ Failures"/>
    <n v="1"/>
    <x v="0"/>
  </r>
  <r>
    <n v="1556"/>
    <d v="2024-01-31T00:00:00"/>
    <s v="Premium"/>
    <n v="699"/>
    <n v="24"/>
    <n v="7"/>
    <n v="2"/>
    <n v="7"/>
    <n v="42"/>
    <s v="Yes"/>
    <s v="No"/>
    <s v="Yes"/>
    <s v="Yes"/>
    <s v="Yes"/>
    <s v="No"/>
    <m/>
    <s v="1+ Failures"/>
    <n v="1"/>
    <x v="3"/>
  </r>
  <r>
    <n v="1557"/>
    <d v="2023-05-04T00:00:00"/>
    <s v="Premium"/>
    <n v="699"/>
    <n v="11.9"/>
    <n v="6"/>
    <n v="1"/>
    <n v="7"/>
    <n v="1"/>
    <s v="No"/>
    <s v="No"/>
    <s v="Yes"/>
    <s v="Yes"/>
    <s v="No"/>
    <s v="No"/>
    <m/>
    <s v="1+ Failures"/>
    <n v="0"/>
    <x v="1"/>
  </r>
  <r>
    <n v="1558"/>
    <d v="2024-11-03T00:00:00"/>
    <s v="Premium"/>
    <n v="699"/>
    <n v="0.8"/>
    <n v="4"/>
    <n v="0"/>
    <n v="25"/>
    <n v="41"/>
    <s v="Yes"/>
    <s v="Yes"/>
    <s v="No"/>
    <s v="No"/>
    <s v="Yes"/>
    <s v="No"/>
    <m/>
    <s v="0 Failures"/>
    <n v="1"/>
    <x v="0"/>
  </r>
  <r>
    <n v="1559"/>
    <d v="2024-04-14T00:00:00"/>
    <s v="Premium"/>
    <n v="699"/>
    <n v="1.5"/>
    <n v="5"/>
    <n v="1"/>
    <n v="29"/>
    <n v="29"/>
    <s v="No"/>
    <s v="Yes"/>
    <s v="Yes"/>
    <s v="Yes"/>
    <s v="Yes"/>
    <s v="No"/>
    <m/>
    <s v="1+ Failures"/>
    <n v="0"/>
    <x v="0"/>
  </r>
  <r>
    <n v="1560"/>
    <d v="2023-08-04T00:00:00"/>
    <s v="Standard"/>
    <n v="399"/>
    <n v="24.6"/>
    <n v="5"/>
    <n v="4"/>
    <n v="1"/>
    <n v="54"/>
    <s v="No"/>
    <s v="No"/>
    <s v="Yes"/>
    <s v="Yes"/>
    <s v="Yes"/>
    <s v="Yes"/>
    <m/>
    <s v="1+ Failures"/>
    <n v="0"/>
    <x v="3"/>
  </r>
  <r>
    <n v="1561"/>
    <d v="2024-11-02T00:00:00"/>
    <s v="Standard"/>
    <n v="399"/>
    <n v="10.1"/>
    <n v="1"/>
    <n v="1"/>
    <n v="34"/>
    <n v="41"/>
    <s v="Yes"/>
    <s v="No"/>
    <s v="Yes"/>
    <s v="No"/>
    <s v="Yes"/>
    <s v="No"/>
    <m/>
    <s v="1+ Failures"/>
    <n v="1"/>
    <x v="1"/>
  </r>
  <r>
    <n v="1562"/>
    <d v="2023-11-07T00:00:00"/>
    <s v="Premium"/>
    <n v="699"/>
    <n v="11.8"/>
    <n v="2"/>
    <n v="2"/>
    <n v="22"/>
    <n v="50"/>
    <s v="No"/>
    <s v="No"/>
    <s v="Yes"/>
    <s v="No"/>
    <s v="Yes"/>
    <s v="No"/>
    <m/>
    <s v="1+ Failures"/>
    <n v="0"/>
    <x v="1"/>
  </r>
  <r>
    <n v="1563"/>
    <d v="2023-07-04T00:00:00"/>
    <s v="Standard"/>
    <n v="399"/>
    <n v="22.9"/>
    <n v="7"/>
    <n v="3"/>
    <n v="5"/>
    <n v="30"/>
    <s v="Yes"/>
    <s v="No"/>
    <s v="Yes"/>
    <s v="Yes"/>
    <s v="Yes"/>
    <s v="Yes"/>
    <m/>
    <s v="1+ Failures"/>
    <n v="1"/>
    <x v="3"/>
  </r>
  <r>
    <n v="1564"/>
    <d v="2024-08-25T00:00:00"/>
    <s v="Premium"/>
    <n v="699"/>
    <n v="19.5"/>
    <n v="8"/>
    <n v="2"/>
    <n v="33"/>
    <n v="8"/>
    <s v="No"/>
    <s v="No"/>
    <s v="Yes"/>
    <s v="Yes"/>
    <s v="No"/>
    <s v="No"/>
    <m/>
    <s v="1+ Failures"/>
    <n v="0"/>
    <x v="1"/>
  </r>
  <r>
    <n v="1565"/>
    <d v="2023-06-12T00:00:00"/>
    <s v="Premium"/>
    <n v="699"/>
    <n v="14.8"/>
    <n v="6"/>
    <n v="0"/>
    <n v="23"/>
    <n v="2"/>
    <s v="Yes"/>
    <s v="No"/>
    <s v="No"/>
    <s v="Yes"/>
    <s v="No"/>
    <s v="No"/>
    <m/>
    <s v="0 Failures"/>
    <n v="1"/>
    <x v="1"/>
  </r>
  <r>
    <n v="1566"/>
    <d v="2023-08-26T00:00:00"/>
    <s v="Basic"/>
    <n v="199"/>
    <n v="16.8"/>
    <n v="7"/>
    <n v="5"/>
    <n v="7"/>
    <n v="30"/>
    <s v="Yes"/>
    <s v="No"/>
    <s v="Yes"/>
    <s v="Yes"/>
    <s v="Yes"/>
    <s v="No"/>
    <m/>
    <s v="1+ Failures"/>
    <n v="1"/>
    <x v="1"/>
  </r>
  <r>
    <n v="1567"/>
    <d v="2024-03-06T00:00:00"/>
    <s v="Premium"/>
    <n v="699"/>
    <n v="3.1"/>
    <n v="2"/>
    <n v="5"/>
    <n v="16"/>
    <n v="57"/>
    <s v="Yes"/>
    <s v="Yes"/>
    <s v="Yes"/>
    <s v="No"/>
    <s v="Yes"/>
    <s v="No"/>
    <m/>
    <s v="1+ Failures"/>
    <n v="1"/>
    <x v="0"/>
  </r>
  <r>
    <n v="1568"/>
    <d v="2024-03-28T00:00:00"/>
    <s v="Basic"/>
    <n v="199"/>
    <n v="15.5"/>
    <n v="1"/>
    <n v="0"/>
    <n v="4"/>
    <n v="54"/>
    <s v="No"/>
    <s v="No"/>
    <s v="No"/>
    <s v="No"/>
    <s v="Yes"/>
    <s v="Yes"/>
    <m/>
    <s v="0 Failures"/>
    <n v="0"/>
    <x v="1"/>
  </r>
  <r>
    <n v="1569"/>
    <d v="2023-05-17T00:00:00"/>
    <s v="Standard"/>
    <n v="399"/>
    <n v="23.1"/>
    <n v="5"/>
    <n v="0"/>
    <n v="2"/>
    <n v="44"/>
    <s v="Yes"/>
    <s v="No"/>
    <s v="No"/>
    <s v="Yes"/>
    <s v="Yes"/>
    <s v="Yes"/>
    <m/>
    <s v="0 Failures"/>
    <n v="1"/>
    <x v="3"/>
  </r>
  <r>
    <n v="1570"/>
    <d v="2023-08-19T00:00:00"/>
    <s v="Premium"/>
    <n v="699"/>
    <n v="5.4"/>
    <n v="4"/>
    <n v="3"/>
    <n v="36"/>
    <n v="28"/>
    <s v="Yes"/>
    <s v="No"/>
    <s v="Yes"/>
    <s v="No"/>
    <s v="Yes"/>
    <s v="No"/>
    <m/>
    <s v="1+ Failures"/>
    <n v="1"/>
    <x v="2"/>
  </r>
  <r>
    <n v="1571"/>
    <d v="2024-10-06T00:00:00"/>
    <s v="Basic"/>
    <n v="199"/>
    <n v="11.1"/>
    <n v="8"/>
    <n v="1"/>
    <n v="11"/>
    <n v="5"/>
    <s v="No"/>
    <s v="No"/>
    <s v="Yes"/>
    <s v="Yes"/>
    <s v="No"/>
    <s v="No"/>
    <m/>
    <s v="1+ Failures"/>
    <n v="0"/>
    <x v="1"/>
  </r>
  <r>
    <n v="1572"/>
    <d v="2024-08-04T00:00:00"/>
    <s v="Premium"/>
    <n v="699"/>
    <n v="5.5"/>
    <n v="2"/>
    <n v="0"/>
    <n v="7"/>
    <n v="23"/>
    <s v="No"/>
    <s v="No"/>
    <s v="No"/>
    <s v="No"/>
    <s v="Yes"/>
    <s v="No"/>
    <m/>
    <s v="0 Failures"/>
    <n v="0"/>
    <x v="2"/>
  </r>
  <r>
    <n v="1573"/>
    <d v="2024-08-07T00:00:00"/>
    <s v="Premium"/>
    <n v="699"/>
    <n v="8.8000000000000007"/>
    <n v="8"/>
    <n v="3"/>
    <n v="5"/>
    <n v="12"/>
    <s v="No"/>
    <s v="No"/>
    <s v="Yes"/>
    <s v="Yes"/>
    <s v="No"/>
    <s v="Yes"/>
    <m/>
    <s v="1+ Failures"/>
    <n v="0"/>
    <x v="2"/>
  </r>
  <r>
    <n v="1574"/>
    <d v="2024-03-13T00:00:00"/>
    <s v="Standard"/>
    <n v="399"/>
    <n v="9.1"/>
    <n v="8"/>
    <n v="1"/>
    <n v="33"/>
    <n v="51"/>
    <s v="Yes"/>
    <s v="No"/>
    <s v="Yes"/>
    <s v="Yes"/>
    <s v="Yes"/>
    <s v="No"/>
    <m/>
    <s v="1+ Failures"/>
    <n v="1"/>
    <x v="2"/>
  </r>
  <r>
    <n v="1575"/>
    <d v="2023-04-14T00:00:00"/>
    <s v="Premium"/>
    <n v="699"/>
    <n v="21.9"/>
    <n v="1"/>
    <n v="1"/>
    <n v="25"/>
    <n v="50"/>
    <s v="No"/>
    <s v="No"/>
    <s v="Yes"/>
    <s v="No"/>
    <s v="Yes"/>
    <s v="No"/>
    <m/>
    <s v="1+ Failures"/>
    <n v="0"/>
    <x v="3"/>
  </r>
  <r>
    <n v="1576"/>
    <d v="2023-10-24T00:00:00"/>
    <s v="Basic"/>
    <n v="199"/>
    <n v="6.1"/>
    <n v="8"/>
    <n v="2"/>
    <n v="32"/>
    <n v="1"/>
    <s v="Yes"/>
    <s v="No"/>
    <s v="Yes"/>
    <s v="Yes"/>
    <s v="No"/>
    <s v="No"/>
    <m/>
    <s v="1+ Failures"/>
    <n v="1"/>
    <x v="2"/>
  </r>
  <r>
    <n v="1577"/>
    <d v="2024-08-12T00:00:00"/>
    <s v="Standard"/>
    <n v="399"/>
    <n v="17.7"/>
    <n v="1"/>
    <n v="1"/>
    <n v="25"/>
    <n v="18"/>
    <s v="Yes"/>
    <s v="No"/>
    <s v="Yes"/>
    <s v="No"/>
    <s v="Yes"/>
    <s v="No"/>
    <m/>
    <s v="1+ Failures"/>
    <n v="1"/>
    <x v="1"/>
  </r>
  <r>
    <n v="1578"/>
    <d v="2024-07-13T00:00:00"/>
    <s v="Basic"/>
    <n v="199"/>
    <n v="23.3"/>
    <n v="8"/>
    <n v="2"/>
    <n v="34"/>
    <n v="25"/>
    <s v="Yes"/>
    <s v="No"/>
    <s v="Yes"/>
    <s v="Yes"/>
    <s v="Yes"/>
    <s v="No"/>
    <m/>
    <s v="1+ Failures"/>
    <n v="1"/>
    <x v="3"/>
  </r>
  <r>
    <n v="1579"/>
    <d v="2024-03-07T00:00:00"/>
    <s v="Premium"/>
    <n v="699"/>
    <n v="14.8"/>
    <n v="4"/>
    <n v="5"/>
    <n v="8"/>
    <n v="1"/>
    <s v="Yes"/>
    <s v="No"/>
    <s v="Yes"/>
    <s v="No"/>
    <s v="No"/>
    <s v="No"/>
    <m/>
    <s v="1+ Failures"/>
    <n v="1"/>
    <x v="1"/>
  </r>
  <r>
    <n v="1580"/>
    <d v="2023-12-04T00:00:00"/>
    <s v="Standard"/>
    <n v="399"/>
    <n v="8.6999999999999993"/>
    <n v="0"/>
    <n v="1"/>
    <n v="13"/>
    <n v="13"/>
    <s v="No"/>
    <s v="No"/>
    <s v="Yes"/>
    <s v="No"/>
    <s v="No"/>
    <s v="No"/>
    <m/>
    <s v="1+ Failures"/>
    <n v="0"/>
    <x v="2"/>
  </r>
  <r>
    <n v="1581"/>
    <d v="2023-02-06T00:00:00"/>
    <s v="Premium"/>
    <n v="699"/>
    <n v="6.3"/>
    <n v="1"/>
    <n v="4"/>
    <n v="4"/>
    <n v="57"/>
    <s v="No"/>
    <s v="No"/>
    <s v="Yes"/>
    <s v="No"/>
    <s v="Yes"/>
    <s v="Yes"/>
    <m/>
    <s v="1+ Failures"/>
    <n v="0"/>
    <x v="2"/>
  </r>
  <r>
    <n v="1582"/>
    <d v="2023-10-05T00:00:00"/>
    <s v="Standard"/>
    <n v="399"/>
    <n v="23.8"/>
    <n v="1"/>
    <n v="4"/>
    <n v="5"/>
    <n v="30"/>
    <s v="No"/>
    <s v="No"/>
    <s v="Yes"/>
    <s v="No"/>
    <s v="Yes"/>
    <s v="Yes"/>
    <m/>
    <s v="1+ Failures"/>
    <n v="0"/>
    <x v="3"/>
  </r>
  <r>
    <n v="1583"/>
    <d v="2024-03-17T00:00:00"/>
    <s v="Premium"/>
    <n v="699"/>
    <n v="3"/>
    <n v="7"/>
    <n v="4"/>
    <n v="3"/>
    <n v="14"/>
    <s v="Yes"/>
    <s v="Yes"/>
    <s v="Yes"/>
    <s v="Yes"/>
    <s v="No"/>
    <s v="Yes"/>
    <m/>
    <s v="1+ Failures"/>
    <n v="1"/>
    <x v="0"/>
  </r>
  <r>
    <n v="1584"/>
    <d v="2023-07-20T00:00:00"/>
    <s v="Standard"/>
    <n v="399"/>
    <n v="19.600000000000001"/>
    <n v="3"/>
    <n v="0"/>
    <n v="20"/>
    <n v="59"/>
    <s v="Yes"/>
    <s v="No"/>
    <s v="No"/>
    <s v="No"/>
    <s v="Yes"/>
    <s v="No"/>
    <m/>
    <s v="0 Failures"/>
    <n v="1"/>
    <x v="1"/>
  </r>
  <r>
    <n v="1585"/>
    <d v="2024-01-22T00:00:00"/>
    <s v="Premium"/>
    <n v="699"/>
    <n v="17.2"/>
    <n v="0"/>
    <n v="4"/>
    <n v="25"/>
    <n v="30"/>
    <s v="Yes"/>
    <s v="No"/>
    <s v="Yes"/>
    <s v="No"/>
    <s v="Yes"/>
    <s v="No"/>
    <m/>
    <s v="1+ Failures"/>
    <n v="1"/>
    <x v="1"/>
  </r>
  <r>
    <n v="1586"/>
    <d v="2023-05-01T00:00:00"/>
    <s v="Premium"/>
    <n v="699"/>
    <n v="11"/>
    <n v="6"/>
    <n v="4"/>
    <n v="9"/>
    <n v="8"/>
    <s v="Yes"/>
    <s v="No"/>
    <s v="Yes"/>
    <s v="Yes"/>
    <s v="No"/>
    <s v="No"/>
    <m/>
    <s v="1+ Failures"/>
    <n v="1"/>
    <x v="1"/>
  </r>
  <r>
    <n v="1587"/>
    <d v="2023-08-26T00:00:00"/>
    <s v="Premium"/>
    <n v="699"/>
    <n v="9.1"/>
    <n v="5"/>
    <n v="3"/>
    <n v="24"/>
    <n v="58"/>
    <s v="Yes"/>
    <s v="No"/>
    <s v="Yes"/>
    <s v="Yes"/>
    <s v="Yes"/>
    <s v="No"/>
    <m/>
    <s v="1+ Failures"/>
    <n v="1"/>
    <x v="2"/>
  </r>
  <r>
    <n v="1588"/>
    <d v="2023-01-16T00:00:00"/>
    <s v="Basic"/>
    <n v="199"/>
    <n v="6.1"/>
    <n v="8"/>
    <n v="4"/>
    <n v="1"/>
    <n v="2"/>
    <s v="No"/>
    <s v="No"/>
    <s v="Yes"/>
    <s v="Yes"/>
    <s v="No"/>
    <s v="Yes"/>
    <m/>
    <s v="1+ Failures"/>
    <n v="0"/>
    <x v="2"/>
  </r>
  <r>
    <n v="1589"/>
    <d v="2023-10-17T00:00:00"/>
    <s v="Premium"/>
    <n v="699"/>
    <n v="20.399999999999999"/>
    <n v="1"/>
    <n v="0"/>
    <n v="16"/>
    <n v="8"/>
    <s v="No"/>
    <s v="No"/>
    <s v="No"/>
    <s v="No"/>
    <s v="No"/>
    <s v="No"/>
    <m/>
    <s v="0 Failures"/>
    <n v="0"/>
    <x v="3"/>
  </r>
  <r>
    <n v="1590"/>
    <d v="2024-05-05T00:00:00"/>
    <s v="Basic"/>
    <n v="199"/>
    <n v="9.1"/>
    <n v="3"/>
    <n v="2"/>
    <n v="21"/>
    <n v="8"/>
    <s v="No"/>
    <s v="No"/>
    <s v="Yes"/>
    <s v="No"/>
    <s v="No"/>
    <s v="No"/>
    <m/>
    <s v="1+ Failures"/>
    <n v="0"/>
    <x v="2"/>
  </r>
  <r>
    <n v="1591"/>
    <d v="2024-05-21T00:00:00"/>
    <s v="Premium"/>
    <n v="699"/>
    <n v="16.600000000000001"/>
    <n v="1"/>
    <n v="2"/>
    <n v="8"/>
    <n v="60"/>
    <s v="Yes"/>
    <s v="No"/>
    <s v="Yes"/>
    <s v="No"/>
    <s v="Yes"/>
    <s v="No"/>
    <m/>
    <s v="1+ Failures"/>
    <n v="1"/>
    <x v="1"/>
  </r>
  <r>
    <n v="1592"/>
    <d v="2024-01-11T00:00:00"/>
    <s v="Premium"/>
    <n v="699"/>
    <n v="22.5"/>
    <n v="3"/>
    <n v="3"/>
    <n v="23"/>
    <n v="45"/>
    <s v="Yes"/>
    <s v="No"/>
    <s v="Yes"/>
    <s v="No"/>
    <s v="Yes"/>
    <s v="No"/>
    <m/>
    <s v="1+ Failures"/>
    <n v="1"/>
    <x v="3"/>
  </r>
  <r>
    <n v="1593"/>
    <d v="2024-12-15T00:00:00"/>
    <s v="Premium"/>
    <n v="699"/>
    <n v="21.8"/>
    <n v="3"/>
    <n v="4"/>
    <n v="19"/>
    <n v="57"/>
    <s v="Yes"/>
    <s v="No"/>
    <s v="Yes"/>
    <s v="No"/>
    <s v="Yes"/>
    <s v="No"/>
    <m/>
    <s v="1+ Failures"/>
    <n v="1"/>
    <x v="3"/>
  </r>
  <r>
    <n v="1594"/>
    <d v="2024-05-12T00:00:00"/>
    <s v="Premium"/>
    <n v="699"/>
    <n v="3.1"/>
    <n v="5"/>
    <n v="3"/>
    <n v="33"/>
    <n v="45"/>
    <s v="Yes"/>
    <s v="Yes"/>
    <s v="Yes"/>
    <s v="Yes"/>
    <s v="Yes"/>
    <s v="No"/>
    <m/>
    <s v="1+ Failures"/>
    <n v="1"/>
    <x v="0"/>
  </r>
  <r>
    <n v="1595"/>
    <d v="2024-07-20T00:00:00"/>
    <s v="Standard"/>
    <n v="399"/>
    <n v="5.5"/>
    <n v="2"/>
    <n v="4"/>
    <n v="6"/>
    <n v="14"/>
    <s v="Yes"/>
    <s v="No"/>
    <s v="Yes"/>
    <s v="No"/>
    <s v="No"/>
    <s v="No"/>
    <m/>
    <s v="1+ Failures"/>
    <n v="1"/>
    <x v="2"/>
  </r>
  <r>
    <n v="1596"/>
    <d v="2024-10-27T00:00:00"/>
    <s v="Basic"/>
    <n v="199"/>
    <n v="9.6"/>
    <n v="2"/>
    <n v="0"/>
    <n v="8"/>
    <n v="15"/>
    <s v="No"/>
    <s v="No"/>
    <s v="No"/>
    <s v="No"/>
    <s v="Yes"/>
    <s v="No"/>
    <m/>
    <s v="0 Failures"/>
    <n v="0"/>
    <x v="2"/>
  </r>
  <r>
    <n v="1597"/>
    <d v="2023-11-04T00:00:00"/>
    <s v="Standard"/>
    <n v="399"/>
    <n v="1"/>
    <n v="0"/>
    <n v="2"/>
    <n v="8"/>
    <n v="17"/>
    <s v="Yes"/>
    <s v="Yes"/>
    <s v="Yes"/>
    <s v="No"/>
    <s v="Yes"/>
    <s v="No"/>
    <m/>
    <s v="1+ Failures"/>
    <n v="1"/>
    <x v="0"/>
  </r>
  <r>
    <n v="1598"/>
    <d v="2024-01-29T00:00:00"/>
    <s v="Basic"/>
    <n v="199"/>
    <n v="7.3"/>
    <n v="6"/>
    <n v="3"/>
    <n v="4"/>
    <n v="1"/>
    <s v="No"/>
    <s v="No"/>
    <s v="Yes"/>
    <s v="Yes"/>
    <s v="No"/>
    <s v="Yes"/>
    <m/>
    <s v="1+ Failures"/>
    <n v="0"/>
    <x v="2"/>
  </r>
  <r>
    <n v="1599"/>
    <d v="2023-02-23T00:00:00"/>
    <s v="Standard"/>
    <n v="399"/>
    <n v="6"/>
    <n v="6"/>
    <n v="1"/>
    <n v="3"/>
    <n v="42"/>
    <s v="Yes"/>
    <s v="No"/>
    <s v="Yes"/>
    <s v="Yes"/>
    <s v="Yes"/>
    <s v="Yes"/>
    <m/>
    <s v="1+ Failures"/>
    <n v="1"/>
    <x v="2"/>
  </r>
  <r>
    <n v="1600"/>
    <d v="2023-12-11T00:00:00"/>
    <s v="Premium"/>
    <n v="699"/>
    <n v="1.3"/>
    <n v="5"/>
    <n v="0"/>
    <n v="20"/>
    <n v="58"/>
    <s v="Yes"/>
    <s v="Yes"/>
    <s v="No"/>
    <s v="Yes"/>
    <s v="Yes"/>
    <s v="No"/>
    <m/>
    <s v="0 Failures"/>
    <n v="1"/>
    <x v="0"/>
  </r>
  <r>
    <n v="1601"/>
    <d v="2024-03-13T00:00:00"/>
    <s v="Standard"/>
    <n v="399"/>
    <n v="19.100000000000001"/>
    <n v="5"/>
    <n v="5"/>
    <n v="14"/>
    <n v="53"/>
    <s v="Yes"/>
    <s v="No"/>
    <s v="Yes"/>
    <s v="Yes"/>
    <s v="Yes"/>
    <s v="No"/>
    <m/>
    <s v="1+ Failures"/>
    <n v="1"/>
    <x v="1"/>
  </r>
  <r>
    <n v="1602"/>
    <d v="2024-11-25T00:00:00"/>
    <s v="Premium"/>
    <n v="699"/>
    <n v="20.3"/>
    <n v="8"/>
    <n v="3"/>
    <n v="4"/>
    <n v="60"/>
    <s v="Yes"/>
    <s v="No"/>
    <s v="Yes"/>
    <s v="Yes"/>
    <s v="Yes"/>
    <s v="Yes"/>
    <m/>
    <s v="1+ Failures"/>
    <n v="1"/>
    <x v="3"/>
  </r>
  <r>
    <n v="1603"/>
    <d v="2024-04-23T00:00:00"/>
    <s v="Standard"/>
    <n v="399"/>
    <n v="11.9"/>
    <n v="8"/>
    <n v="2"/>
    <n v="35"/>
    <n v="10"/>
    <s v="No"/>
    <s v="No"/>
    <s v="Yes"/>
    <s v="Yes"/>
    <s v="No"/>
    <s v="No"/>
    <m/>
    <s v="1+ Failures"/>
    <n v="0"/>
    <x v="1"/>
  </r>
  <r>
    <n v="1604"/>
    <d v="2023-10-08T00:00:00"/>
    <s v="Premium"/>
    <n v="699"/>
    <n v="3.7"/>
    <n v="0"/>
    <n v="2"/>
    <n v="16"/>
    <n v="51"/>
    <s v="Yes"/>
    <s v="Yes"/>
    <s v="Yes"/>
    <s v="No"/>
    <s v="Yes"/>
    <s v="No"/>
    <m/>
    <s v="1+ Failures"/>
    <n v="1"/>
    <x v="0"/>
  </r>
  <r>
    <n v="1605"/>
    <d v="2024-09-22T00:00:00"/>
    <s v="Basic"/>
    <n v="199"/>
    <n v="19.399999999999999"/>
    <n v="4"/>
    <n v="2"/>
    <n v="16"/>
    <n v="36"/>
    <s v="Yes"/>
    <s v="No"/>
    <s v="Yes"/>
    <s v="No"/>
    <s v="Yes"/>
    <s v="No"/>
    <m/>
    <s v="1+ Failures"/>
    <n v="1"/>
    <x v="1"/>
  </r>
  <r>
    <n v="1606"/>
    <d v="2023-01-13T00:00:00"/>
    <s v="Standard"/>
    <n v="399"/>
    <n v="7.1"/>
    <n v="4"/>
    <n v="5"/>
    <n v="24"/>
    <n v="51"/>
    <s v="No"/>
    <s v="No"/>
    <s v="Yes"/>
    <s v="No"/>
    <s v="Yes"/>
    <s v="No"/>
    <m/>
    <s v="1+ Failures"/>
    <n v="0"/>
    <x v="2"/>
  </r>
  <r>
    <n v="1607"/>
    <d v="2024-04-18T00:00:00"/>
    <s v="Basic"/>
    <n v="199"/>
    <n v="14.4"/>
    <n v="5"/>
    <n v="2"/>
    <n v="20"/>
    <n v="54"/>
    <s v="Yes"/>
    <s v="No"/>
    <s v="Yes"/>
    <s v="Yes"/>
    <s v="Yes"/>
    <s v="No"/>
    <m/>
    <s v="1+ Failures"/>
    <n v="1"/>
    <x v="1"/>
  </r>
  <r>
    <n v="1608"/>
    <d v="2024-07-23T00:00:00"/>
    <s v="Basic"/>
    <n v="199"/>
    <n v="0.7"/>
    <n v="0"/>
    <n v="2"/>
    <n v="29"/>
    <n v="30"/>
    <s v="Yes"/>
    <s v="Yes"/>
    <s v="Yes"/>
    <s v="No"/>
    <s v="Yes"/>
    <s v="No"/>
    <m/>
    <s v="1+ Failures"/>
    <n v="1"/>
    <x v="0"/>
  </r>
  <r>
    <n v="1609"/>
    <d v="2023-11-18T00:00:00"/>
    <s v="Basic"/>
    <n v="199"/>
    <n v="1.9"/>
    <n v="1"/>
    <n v="2"/>
    <n v="27"/>
    <n v="57"/>
    <s v="Yes"/>
    <s v="Yes"/>
    <s v="Yes"/>
    <s v="No"/>
    <s v="Yes"/>
    <s v="No"/>
    <m/>
    <s v="1+ Failures"/>
    <n v="1"/>
    <x v="0"/>
  </r>
  <r>
    <n v="1610"/>
    <d v="2023-08-21T00:00:00"/>
    <s v="Basic"/>
    <n v="199"/>
    <n v="4.9000000000000004"/>
    <n v="4"/>
    <n v="2"/>
    <n v="29"/>
    <n v="55"/>
    <s v="Yes"/>
    <s v="Yes"/>
    <s v="Yes"/>
    <s v="No"/>
    <s v="Yes"/>
    <s v="No"/>
    <m/>
    <s v="1+ Failures"/>
    <n v="1"/>
    <x v="0"/>
  </r>
  <r>
    <n v="1611"/>
    <d v="2023-07-08T00:00:00"/>
    <s v="Premium"/>
    <n v="699"/>
    <n v="4.0999999999999996"/>
    <n v="0"/>
    <n v="1"/>
    <n v="12"/>
    <n v="7"/>
    <s v="No"/>
    <s v="Yes"/>
    <s v="Yes"/>
    <s v="No"/>
    <s v="No"/>
    <s v="No"/>
    <m/>
    <s v="1+ Failures"/>
    <n v="0"/>
    <x v="0"/>
  </r>
  <r>
    <n v="1612"/>
    <d v="2023-03-04T00:00:00"/>
    <s v="Premium"/>
    <n v="699"/>
    <n v="21.6"/>
    <n v="5"/>
    <n v="0"/>
    <n v="33"/>
    <n v="35"/>
    <s v="No"/>
    <s v="No"/>
    <s v="No"/>
    <s v="Yes"/>
    <s v="Yes"/>
    <s v="No"/>
    <m/>
    <s v="0 Failures"/>
    <n v="0"/>
    <x v="3"/>
  </r>
  <r>
    <n v="1613"/>
    <d v="2023-12-28T00:00:00"/>
    <s v="Premium"/>
    <n v="699"/>
    <n v="24.4"/>
    <n v="0"/>
    <n v="5"/>
    <n v="17"/>
    <n v="54"/>
    <s v="No"/>
    <s v="No"/>
    <s v="Yes"/>
    <s v="No"/>
    <s v="Yes"/>
    <s v="No"/>
    <m/>
    <s v="1+ Failures"/>
    <n v="0"/>
    <x v="3"/>
  </r>
  <r>
    <n v="1614"/>
    <d v="2023-04-26T00:00:00"/>
    <s v="Premium"/>
    <n v="699"/>
    <n v="15.2"/>
    <n v="5"/>
    <n v="0"/>
    <n v="3"/>
    <n v="4"/>
    <s v="No"/>
    <s v="No"/>
    <s v="No"/>
    <s v="Yes"/>
    <s v="No"/>
    <s v="Yes"/>
    <m/>
    <s v="0 Failures"/>
    <n v="0"/>
    <x v="1"/>
  </r>
  <r>
    <n v="1615"/>
    <d v="2024-11-28T00:00:00"/>
    <s v="Premium"/>
    <n v="699"/>
    <n v="6.3"/>
    <n v="5"/>
    <n v="4"/>
    <n v="5"/>
    <n v="23"/>
    <s v="No"/>
    <s v="No"/>
    <s v="Yes"/>
    <s v="Yes"/>
    <s v="Yes"/>
    <s v="Yes"/>
    <m/>
    <s v="1+ Failures"/>
    <n v="0"/>
    <x v="2"/>
  </r>
  <r>
    <n v="1616"/>
    <d v="2024-01-04T00:00:00"/>
    <s v="Standard"/>
    <n v="399"/>
    <n v="16.2"/>
    <n v="4"/>
    <n v="1"/>
    <n v="5"/>
    <n v="1"/>
    <s v="No"/>
    <s v="No"/>
    <s v="Yes"/>
    <s v="No"/>
    <s v="No"/>
    <s v="Yes"/>
    <m/>
    <s v="1+ Failures"/>
    <n v="0"/>
    <x v="1"/>
  </r>
  <r>
    <n v="1617"/>
    <d v="2024-09-28T00:00:00"/>
    <s v="Standard"/>
    <n v="399"/>
    <n v="22.5"/>
    <n v="5"/>
    <n v="3"/>
    <n v="27"/>
    <n v="60"/>
    <s v="No"/>
    <s v="No"/>
    <s v="Yes"/>
    <s v="Yes"/>
    <s v="Yes"/>
    <s v="No"/>
    <m/>
    <s v="1+ Failures"/>
    <n v="0"/>
    <x v="3"/>
  </r>
  <r>
    <n v="1618"/>
    <d v="2023-04-19T00:00:00"/>
    <s v="Basic"/>
    <n v="199"/>
    <n v="9.5"/>
    <n v="4"/>
    <n v="1"/>
    <n v="11"/>
    <n v="58"/>
    <s v="No"/>
    <s v="No"/>
    <s v="Yes"/>
    <s v="No"/>
    <s v="Yes"/>
    <s v="No"/>
    <m/>
    <s v="1+ Failures"/>
    <n v="0"/>
    <x v="2"/>
  </r>
  <r>
    <n v="1619"/>
    <d v="2024-08-18T00:00:00"/>
    <s v="Premium"/>
    <n v="699"/>
    <n v="20.3"/>
    <n v="8"/>
    <n v="5"/>
    <n v="14"/>
    <n v="49"/>
    <s v="Yes"/>
    <s v="No"/>
    <s v="Yes"/>
    <s v="Yes"/>
    <s v="Yes"/>
    <s v="No"/>
    <m/>
    <s v="1+ Failures"/>
    <n v="1"/>
    <x v="3"/>
  </r>
  <r>
    <n v="1620"/>
    <d v="2023-06-03T00:00:00"/>
    <s v="Premium"/>
    <n v="699"/>
    <n v="23.5"/>
    <n v="6"/>
    <n v="4"/>
    <n v="23"/>
    <n v="2"/>
    <s v="No"/>
    <s v="No"/>
    <s v="Yes"/>
    <s v="Yes"/>
    <s v="No"/>
    <s v="No"/>
    <m/>
    <s v="1+ Failures"/>
    <n v="0"/>
    <x v="3"/>
  </r>
  <r>
    <n v="1621"/>
    <d v="2024-10-07T00:00:00"/>
    <s v="Standard"/>
    <n v="399"/>
    <n v="23.9"/>
    <n v="3"/>
    <n v="4"/>
    <n v="6"/>
    <n v="32"/>
    <s v="No"/>
    <s v="No"/>
    <s v="Yes"/>
    <s v="No"/>
    <s v="Yes"/>
    <s v="No"/>
    <m/>
    <s v="1+ Failures"/>
    <n v="0"/>
    <x v="3"/>
  </r>
  <r>
    <n v="1622"/>
    <d v="2024-04-28T00:00:00"/>
    <s v="Premium"/>
    <n v="699"/>
    <n v="13.7"/>
    <n v="1"/>
    <n v="4"/>
    <n v="27"/>
    <n v="51"/>
    <s v="Yes"/>
    <s v="No"/>
    <s v="Yes"/>
    <s v="No"/>
    <s v="Yes"/>
    <s v="No"/>
    <m/>
    <s v="1+ Failures"/>
    <n v="1"/>
    <x v="1"/>
  </r>
  <r>
    <n v="1623"/>
    <d v="2023-10-28T00:00:00"/>
    <s v="Premium"/>
    <n v="699"/>
    <n v="13.2"/>
    <n v="5"/>
    <n v="2"/>
    <n v="34"/>
    <n v="12"/>
    <s v="No"/>
    <s v="No"/>
    <s v="Yes"/>
    <s v="Yes"/>
    <s v="No"/>
    <s v="No"/>
    <m/>
    <s v="1+ Failures"/>
    <n v="0"/>
    <x v="1"/>
  </r>
  <r>
    <n v="1624"/>
    <d v="2023-04-29T00:00:00"/>
    <s v="Basic"/>
    <n v="199"/>
    <n v="6.5"/>
    <n v="5"/>
    <n v="1"/>
    <n v="22"/>
    <n v="29"/>
    <s v="Yes"/>
    <s v="No"/>
    <s v="Yes"/>
    <s v="Yes"/>
    <s v="Yes"/>
    <s v="No"/>
    <m/>
    <s v="1+ Failures"/>
    <n v="1"/>
    <x v="2"/>
  </r>
  <r>
    <n v="1625"/>
    <d v="2024-06-01T00:00:00"/>
    <s v="Premium"/>
    <n v="699"/>
    <n v="11.4"/>
    <n v="6"/>
    <n v="2"/>
    <n v="16"/>
    <n v="5"/>
    <s v="Yes"/>
    <s v="No"/>
    <s v="Yes"/>
    <s v="Yes"/>
    <s v="No"/>
    <s v="No"/>
    <m/>
    <s v="1+ Failures"/>
    <n v="1"/>
    <x v="1"/>
  </r>
  <r>
    <n v="1626"/>
    <d v="2024-08-06T00:00:00"/>
    <s v="Basic"/>
    <n v="199"/>
    <n v="16.5"/>
    <n v="3"/>
    <n v="3"/>
    <n v="24"/>
    <n v="50"/>
    <s v="Yes"/>
    <s v="No"/>
    <s v="Yes"/>
    <s v="No"/>
    <s v="Yes"/>
    <s v="No"/>
    <m/>
    <s v="1+ Failures"/>
    <n v="1"/>
    <x v="1"/>
  </r>
  <r>
    <n v="1627"/>
    <d v="2024-09-12T00:00:00"/>
    <s v="Basic"/>
    <n v="199"/>
    <n v="6.5"/>
    <n v="6"/>
    <n v="5"/>
    <n v="35"/>
    <n v="37"/>
    <s v="Yes"/>
    <s v="No"/>
    <s v="Yes"/>
    <s v="Yes"/>
    <s v="Yes"/>
    <s v="No"/>
    <m/>
    <s v="1+ Failures"/>
    <n v="1"/>
    <x v="2"/>
  </r>
  <r>
    <n v="1628"/>
    <d v="2023-06-01T00:00:00"/>
    <s v="Standard"/>
    <n v="399"/>
    <n v="8.9"/>
    <n v="1"/>
    <n v="0"/>
    <n v="19"/>
    <n v="26"/>
    <s v="No"/>
    <s v="No"/>
    <s v="No"/>
    <s v="No"/>
    <s v="Yes"/>
    <s v="No"/>
    <m/>
    <s v="0 Failures"/>
    <n v="0"/>
    <x v="2"/>
  </r>
  <r>
    <n v="1629"/>
    <d v="2023-06-20T00:00:00"/>
    <s v="Premium"/>
    <n v="699"/>
    <n v="16"/>
    <n v="3"/>
    <n v="1"/>
    <n v="32"/>
    <n v="56"/>
    <s v="No"/>
    <s v="No"/>
    <s v="Yes"/>
    <s v="No"/>
    <s v="Yes"/>
    <s v="No"/>
    <m/>
    <s v="1+ Failures"/>
    <n v="0"/>
    <x v="1"/>
  </r>
  <r>
    <n v="1630"/>
    <d v="2023-04-14T00:00:00"/>
    <s v="Basic"/>
    <n v="199"/>
    <n v="7"/>
    <n v="8"/>
    <n v="5"/>
    <n v="27"/>
    <n v="59"/>
    <s v="Yes"/>
    <s v="No"/>
    <s v="Yes"/>
    <s v="Yes"/>
    <s v="Yes"/>
    <s v="No"/>
    <m/>
    <s v="1+ Failures"/>
    <n v="1"/>
    <x v="2"/>
  </r>
  <r>
    <n v="1631"/>
    <d v="2023-05-16T00:00:00"/>
    <s v="Basic"/>
    <n v="199"/>
    <n v="20.9"/>
    <n v="0"/>
    <n v="5"/>
    <n v="3"/>
    <n v="10"/>
    <s v="No"/>
    <s v="No"/>
    <s v="Yes"/>
    <s v="No"/>
    <s v="No"/>
    <s v="Yes"/>
    <m/>
    <s v="1+ Failures"/>
    <n v="0"/>
    <x v="3"/>
  </r>
  <r>
    <n v="1632"/>
    <d v="2024-07-24T00:00:00"/>
    <s v="Premium"/>
    <n v="699"/>
    <n v="23"/>
    <n v="6"/>
    <n v="2"/>
    <n v="34"/>
    <n v="8"/>
    <s v="Yes"/>
    <s v="No"/>
    <s v="Yes"/>
    <s v="Yes"/>
    <s v="No"/>
    <s v="No"/>
    <m/>
    <s v="1+ Failures"/>
    <n v="1"/>
    <x v="3"/>
  </r>
  <r>
    <n v="1633"/>
    <d v="2023-02-16T00:00:00"/>
    <s v="Basic"/>
    <n v="199"/>
    <n v="3.4"/>
    <n v="5"/>
    <n v="4"/>
    <n v="19"/>
    <n v="38"/>
    <s v="Yes"/>
    <s v="Yes"/>
    <s v="Yes"/>
    <s v="Yes"/>
    <s v="Yes"/>
    <s v="No"/>
    <m/>
    <s v="1+ Failures"/>
    <n v="1"/>
    <x v="0"/>
  </r>
  <r>
    <n v="1634"/>
    <d v="2024-03-22T00:00:00"/>
    <s v="Basic"/>
    <n v="199"/>
    <n v="23.8"/>
    <n v="6"/>
    <n v="5"/>
    <n v="23"/>
    <n v="28"/>
    <s v="Yes"/>
    <s v="No"/>
    <s v="Yes"/>
    <s v="Yes"/>
    <s v="Yes"/>
    <s v="No"/>
    <m/>
    <s v="1+ Failures"/>
    <n v="1"/>
    <x v="3"/>
  </r>
  <r>
    <n v="1635"/>
    <d v="2024-06-05T00:00:00"/>
    <s v="Standard"/>
    <n v="399"/>
    <n v="17.7"/>
    <n v="2"/>
    <n v="5"/>
    <n v="31"/>
    <n v="49"/>
    <s v="Yes"/>
    <s v="No"/>
    <s v="Yes"/>
    <s v="No"/>
    <s v="Yes"/>
    <s v="No"/>
    <m/>
    <s v="1+ Failures"/>
    <n v="1"/>
    <x v="1"/>
  </r>
  <r>
    <n v="1636"/>
    <d v="2023-11-25T00:00:00"/>
    <s v="Basic"/>
    <n v="199"/>
    <n v="22.4"/>
    <n v="5"/>
    <n v="5"/>
    <n v="10"/>
    <n v="41"/>
    <s v="Yes"/>
    <s v="No"/>
    <s v="Yes"/>
    <s v="Yes"/>
    <s v="Yes"/>
    <s v="No"/>
    <m/>
    <s v="1+ Failures"/>
    <n v="1"/>
    <x v="3"/>
  </r>
  <r>
    <n v="1637"/>
    <d v="2023-12-16T00:00:00"/>
    <s v="Standard"/>
    <n v="399"/>
    <n v="13"/>
    <n v="4"/>
    <n v="0"/>
    <n v="12"/>
    <n v="14"/>
    <s v="No"/>
    <s v="No"/>
    <s v="No"/>
    <s v="No"/>
    <s v="No"/>
    <s v="No"/>
    <m/>
    <s v="0 Failures"/>
    <n v="0"/>
    <x v="1"/>
  </r>
  <r>
    <n v="1638"/>
    <d v="2023-11-23T00:00:00"/>
    <s v="Basic"/>
    <n v="199"/>
    <n v="22.5"/>
    <n v="8"/>
    <n v="3"/>
    <n v="34"/>
    <n v="18"/>
    <s v="Yes"/>
    <s v="No"/>
    <s v="Yes"/>
    <s v="Yes"/>
    <s v="Yes"/>
    <s v="No"/>
    <m/>
    <s v="1+ Failures"/>
    <n v="1"/>
    <x v="3"/>
  </r>
  <r>
    <n v="1639"/>
    <d v="2024-09-22T00:00:00"/>
    <s v="Basic"/>
    <n v="199"/>
    <n v="1.5"/>
    <n v="3"/>
    <n v="3"/>
    <n v="10"/>
    <n v="33"/>
    <s v="Yes"/>
    <s v="Yes"/>
    <s v="Yes"/>
    <s v="No"/>
    <s v="Yes"/>
    <s v="No"/>
    <m/>
    <s v="1+ Failures"/>
    <n v="1"/>
    <x v="0"/>
  </r>
  <r>
    <n v="1640"/>
    <d v="2024-03-25T00:00:00"/>
    <s v="Standard"/>
    <n v="399"/>
    <n v="9"/>
    <n v="2"/>
    <n v="0"/>
    <n v="7"/>
    <n v="18"/>
    <s v="No"/>
    <s v="No"/>
    <s v="No"/>
    <s v="No"/>
    <s v="Yes"/>
    <s v="No"/>
    <m/>
    <s v="0 Failures"/>
    <n v="0"/>
    <x v="2"/>
  </r>
  <r>
    <n v="1641"/>
    <d v="2023-08-26T00:00:00"/>
    <s v="Basic"/>
    <n v="199"/>
    <n v="7.6"/>
    <n v="4"/>
    <n v="4"/>
    <n v="11"/>
    <n v="48"/>
    <s v="Yes"/>
    <s v="No"/>
    <s v="Yes"/>
    <s v="No"/>
    <s v="Yes"/>
    <s v="No"/>
    <m/>
    <s v="1+ Failures"/>
    <n v="1"/>
    <x v="2"/>
  </r>
  <r>
    <n v="1642"/>
    <d v="2023-06-22T00:00:00"/>
    <s v="Premium"/>
    <n v="699"/>
    <n v="4"/>
    <n v="3"/>
    <n v="4"/>
    <n v="18"/>
    <n v="53"/>
    <s v="Yes"/>
    <s v="Yes"/>
    <s v="Yes"/>
    <s v="No"/>
    <s v="Yes"/>
    <s v="No"/>
    <m/>
    <s v="1+ Failures"/>
    <n v="1"/>
    <x v="0"/>
  </r>
  <r>
    <n v="1643"/>
    <d v="2024-05-15T00:00:00"/>
    <s v="Basic"/>
    <n v="199"/>
    <n v="24"/>
    <n v="8"/>
    <n v="4"/>
    <n v="3"/>
    <n v="51"/>
    <s v="Yes"/>
    <s v="No"/>
    <s v="Yes"/>
    <s v="Yes"/>
    <s v="Yes"/>
    <s v="Yes"/>
    <m/>
    <s v="1+ Failures"/>
    <n v="1"/>
    <x v="3"/>
  </r>
  <r>
    <n v="1644"/>
    <d v="2024-04-09T00:00:00"/>
    <s v="Basic"/>
    <n v="199"/>
    <n v="5.5"/>
    <n v="6"/>
    <n v="5"/>
    <n v="24"/>
    <n v="28"/>
    <s v="Yes"/>
    <s v="No"/>
    <s v="Yes"/>
    <s v="Yes"/>
    <s v="Yes"/>
    <s v="No"/>
    <m/>
    <s v="1+ Failures"/>
    <n v="1"/>
    <x v="2"/>
  </r>
  <r>
    <n v="1645"/>
    <d v="2023-09-27T00:00:00"/>
    <s v="Standard"/>
    <n v="399"/>
    <n v="18"/>
    <n v="1"/>
    <n v="3"/>
    <n v="8"/>
    <n v="56"/>
    <s v="Yes"/>
    <s v="No"/>
    <s v="Yes"/>
    <s v="No"/>
    <s v="Yes"/>
    <s v="No"/>
    <m/>
    <s v="1+ Failures"/>
    <n v="1"/>
    <x v="1"/>
  </r>
  <r>
    <n v="1646"/>
    <d v="2023-08-16T00:00:00"/>
    <s v="Basic"/>
    <n v="199"/>
    <n v="24.8"/>
    <n v="1"/>
    <n v="2"/>
    <n v="9"/>
    <n v="51"/>
    <s v="Yes"/>
    <s v="No"/>
    <s v="Yes"/>
    <s v="No"/>
    <s v="Yes"/>
    <s v="No"/>
    <m/>
    <s v="1+ Failures"/>
    <n v="1"/>
    <x v="3"/>
  </r>
  <r>
    <n v="1647"/>
    <d v="2024-06-09T00:00:00"/>
    <s v="Premium"/>
    <n v="699"/>
    <n v="8.5"/>
    <n v="8"/>
    <n v="2"/>
    <n v="5"/>
    <n v="17"/>
    <s v="Yes"/>
    <s v="No"/>
    <s v="Yes"/>
    <s v="Yes"/>
    <s v="Yes"/>
    <s v="Yes"/>
    <m/>
    <s v="1+ Failures"/>
    <n v="1"/>
    <x v="2"/>
  </r>
  <r>
    <n v="1648"/>
    <d v="2024-12-23T00:00:00"/>
    <s v="Premium"/>
    <n v="699"/>
    <n v="17.8"/>
    <n v="5"/>
    <n v="0"/>
    <n v="5"/>
    <n v="27"/>
    <s v="Yes"/>
    <s v="No"/>
    <s v="No"/>
    <s v="Yes"/>
    <s v="Yes"/>
    <s v="Yes"/>
    <m/>
    <s v="0 Failures"/>
    <n v="1"/>
    <x v="1"/>
  </r>
  <r>
    <n v="1649"/>
    <d v="2023-02-06T00:00:00"/>
    <s v="Premium"/>
    <n v="699"/>
    <n v="5.2"/>
    <n v="8"/>
    <n v="5"/>
    <n v="21"/>
    <n v="53"/>
    <s v="No"/>
    <s v="No"/>
    <s v="Yes"/>
    <s v="Yes"/>
    <s v="Yes"/>
    <s v="No"/>
    <m/>
    <s v="1+ Failures"/>
    <n v="0"/>
    <x v="2"/>
  </r>
  <r>
    <n v="1650"/>
    <d v="2024-04-26T00:00:00"/>
    <s v="Premium"/>
    <n v="699"/>
    <n v="6.5"/>
    <n v="6"/>
    <n v="1"/>
    <n v="1"/>
    <n v="43"/>
    <s v="Yes"/>
    <s v="No"/>
    <s v="Yes"/>
    <s v="Yes"/>
    <s v="Yes"/>
    <s v="Yes"/>
    <m/>
    <s v="1+ Failures"/>
    <n v="1"/>
    <x v="2"/>
  </r>
  <r>
    <n v="1651"/>
    <d v="2023-04-01T00:00:00"/>
    <s v="Basic"/>
    <n v="199"/>
    <n v="20.399999999999999"/>
    <n v="7"/>
    <n v="2"/>
    <n v="32"/>
    <n v="8"/>
    <s v="Yes"/>
    <s v="No"/>
    <s v="Yes"/>
    <s v="Yes"/>
    <s v="No"/>
    <s v="No"/>
    <m/>
    <s v="1+ Failures"/>
    <n v="1"/>
    <x v="3"/>
  </r>
  <r>
    <n v="1652"/>
    <d v="2024-12-28T00:00:00"/>
    <s v="Premium"/>
    <n v="699"/>
    <n v="0.6"/>
    <n v="1"/>
    <n v="3"/>
    <n v="14"/>
    <n v="35"/>
    <s v="Yes"/>
    <s v="Yes"/>
    <s v="Yes"/>
    <s v="No"/>
    <s v="Yes"/>
    <s v="No"/>
    <m/>
    <s v="1+ Failures"/>
    <n v="1"/>
    <x v="0"/>
  </r>
  <r>
    <n v="1653"/>
    <d v="2023-08-29T00:00:00"/>
    <s v="Basic"/>
    <n v="199"/>
    <n v="10.7"/>
    <n v="4"/>
    <n v="4"/>
    <n v="3"/>
    <n v="24"/>
    <s v="Yes"/>
    <s v="No"/>
    <s v="Yes"/>
    <s v="No"/>
    <s v="Yes"/>
    <s v="Yes"/>
    <m/>
    <s v="1+ Failures"/>
    <n v="1"/>
    <x v="1"/>
  </r>
  <r>
    <n v="1654"/>
    <d v="2023-10-27T00:00:00"/>
    <s v="Premium"/>
    <n v="699"/>
    <n v="12.4"/>
    <n v="2"/>
    <n v="2"/>
    <n v="23"/>
    <n v="53"/>
    <s v="Yes"/>
    <s v="No"/>
    <s v="Yes"/>
    <s v="No"/>
    <s v="Yes"/>
    <s v="No"/>
    <m/>
    <s v="1+ Failures"/>
    <n v="1"/>
    <x v="1"/>
  </r>
  <r>
    <n v="1655"/>
    <d v="2023-10-30T00:00:00"/>
    <s v="Premium"/>
    <n v="699"/>
    <n v="12.5"/>
    <n v="6"/>
    <n v="4"/>
    <n v="32"/>
    <n v="22"/>
    <s v="Yes"/>
    <s v="No"/>
    <s v="Yes"/>
    <s v="Yes"/>
    <s v="Yes"/>
    <s v="No"/>
    <m/>
    <s v="1+ Failures"/>
    <n v="1"/>
    <x v="1"/>
  </r>
  <r>
    <n v="1656"/>
    <d v="2024-11-09T00:00:00"/>
    <s v="Basic"/>
    <n v="199"/>
    <n v="3.3"/>
    <n v="4"/>
    <n v="3"/>
    <n v="15"/>
    <n v="28"/>
    <s v="Yes"/>
    <s v="Yes"/>
    <s v="Yes"/>
    <s v="No"/>
    <s v="Yes"/>
    <s v="No"/>
    <m/>
    <s v="1+ Failures"/>
    <n v="1"/>
    <x v="0"/>
  </r>
  <r>
    <n v="1657"/>
    <d v="2024-02-12T00:00:00"/>
    <s v="Standard"/>
    <n v="399"/>
    <n v="4.8"/>
    <n v="5"/>
    <n v="5"/>
    <n v="8"/>
    <n v="7"/>
    <s v="Yes"/>
    <s v="Yes"/>
    <s v="Yes"/>
    <s v="Yes"/>
    <s v="No"/>
    <s v="No"/>
    <m/>
    <s v="1+ Failures"/>
    <n v="1"/>
    <x v="0"/>
  </r>
  <r>
    <n v="1658"/>
    <d v="2023-08-29T00:00:00"/>
    <s v="Premium"/>
    <n v="699"/>
    <n v="19.5"/>
    <n v="7"/>
    <n v="3"/>
    <n v="9"/>
    <n v="38"/>
    <s v="Yes"/>
    <s v="No"/>
    <s v="Yes"/>
    <s v="Yes"/>
    <s v="Yes"/>
    <s v="No"/>
    <m/>
    <s v="1+ Failures"/>
    <n v="1"/>
    <x v="1"/>
  </r>
  <r>
    <n v="1659"/>
    <d v="2023-11-27T00:00:00"/>
    <s v="Basic"/>
    <n v="199"/>
    <n v="7.1"/>
    <n v="3"/>
    <n v="3"/>
    <n v="19"/>
    <n v="3"/>
    <s v="No"/>
    <s v="No"/>
    <s v="Yes"/>
    <s v="No"/>
    <s v="No"/>
    <s v="No"/>
    <m/>
    <s v="1+ Failures"/>
    <n v="0"/>
    <x v="2"/>
  </r>
  <r>
    <n v="1660"/>
    <d v="2023-02-25T00:00:00"/>
    <s v="Standard"/>
    <n v="399"/>
    <n v="10.6"/>
    <n v="7"/>
    <n v="3"/>
    <n v="21"/>
    <n v="25"/>
    <s v="Yes"/>
    <s v="No"/>
    <s v="Yes"/>
    <s v="Yes"/>
    <s v="Yes"/>
    <s v="No"/>
    <m/>
    <s v="1+ Failures"/>
    <n v="1"/>
    <x v="1"/>
  </r>
  <r>
    <n v="1661"/>
    <d v="2024-04-03T00:00:00"/>
    <s v="Standard"/>
    <n v="399"/>
    <n v="18.3"/>
    <n v="5"/>
    <n v="5"/>
    <n v="32"/>
    <n v="52"/>
    <s v="Yes"/>
    <s v="No"/>
    <s v="Yes"/>
    <s v="Yes"/>
    <s v="Yes"/>
    <s v="No"/>
    <m/>
    <s v="1+ Failures"/>
    <n v="1"/>
    <x v="1"/>
  </r>
  <r>
    <n v="1662"/>
    <d v="2023-04-23T00:00:00"/>
    <s v="Standard"/>
    <n v="399"/>
    <n v="14.5"/>
    <n v="2"/>
    <n v="4"/>
    <n v="15"/>
    <n v="13"/>
    <s v="No"/>
    <s v="No"/>
    <s v="Yes"/>
    <s v="No"/>
    <s v="No"/>
    <s v="No"/>
    <m/>
    <s v="1+ Failures"/>
    <n v="0"/>
    <x v="1"/>
  </r>
  <r>
    <n v="1663"/>
    <d v="2024-01-24T00:00:00"/>
    <s v="Premium"/>
    <n v="699"/>
    <n v="3.7"/>
    <n v="8"/>
    <n v="0"/>
    <n v="22"/>
    <n v="60"/>
    <s v="Yes"/>
    <s v="Yes"/>
    <s v="No"/>
    <s v="Yes"/>
    <s v="Yes"/>
    <s v="No"/>
    <m/>
    <s v="0 Failures"/>
    <n v="1"/>
    <x v="0"/>
  </r>
  <r>
    <n v="1664"/>
    <d v="2023-08-04T00:00:00"/>
    <s v="Basic"/>
    <n v="199"/>
    <n v="22.8"/>
    <n v="8"/>
    <n v="0"/>
    <n v="22"/>
    <n v="41"/>
    <s v="Yes"/>
    <s v="No"/>
    <s v="No"/>
    <s v="Yes"/>
    <s v="Yes"/>
    <s v="No"/>
    <m/>
    <s v="0 Failures"/>
    <n v="1"/>
    <x v="3"/>
  </r>
  <r>
    <n v="1665"/>
    <d v="2023-08-23T00:00:00"/>
    <s v="Standard"/>
    <n v="399"/>
    <n v="5.4"/>
    <n v="2"/>
    <n v="4"/>
    <n v="35"/>
    <n v="25"/>
    <s v="No"/>
    <s v="No"/>
    <s v="Yes"/>
    <s v="No"/>
    <s v="Yes"/>
    <s v="No"/>
    <m/>
    <s v="1+ Failures"/>
    <n v="0"/>
    <x v="2"/>
  </r>
  <r>
    <n v="1666"/>
    <d v="2023-09-12T00:00:00"/>
    <s v="Standard"/>
    <n v="399"/>
    <n v="22.8"/>
    <n v="5"/>
    <n v="3"/>
    <n v="11"/>
    <n v="13"/>
    <s v="No"/>
    <s v="No"/>
    <s v="Yes"/>
    <s v="Yes"/>
    <s v="No"/>
    <s v="No"/>
    <m/>
    <s v="1+ Failures"/>
    <n v="0"/>
    <x v="3"/>
  </r>
  <r>
    <n v="1667"/>
    <d v="2024-05-11T00:00:00"/>
    <s v="Basic"/>
    <n v="199"/>
    <n v="21.2"/>
    <n v="8"/>
    <n v="0"/>
    <n v="3"/>
    <n v="32"/>
    <s v="Yes"/>
    <s v="No"/>
    <s v="No"/>
    <s v="Yes"/>
    <s v="Yes"/>
    <s v="Yes"/>
    <m/>
    <s v="0 Failures"/>
    <n v="1"/>
    <x v="3"/>
  </r>
  <r>
    <n v="1668"/>
    <d v="2023-09-11T00:00:00"/>
    <s v="Basic"/>
    <n v="199"/>
    <n v="7.4"/>
    <n v="0"/>
    <n v="1"/>
    <n v="11"/>
    <n v="40"/>
    <s v="No"/>
    <s v="No"/>
    <s v="Yes"/>
    <s v="No"/>
    <s v="Yes"/>
    <s v="No"/>
    <m/>
    <s v="1+ Failures"/>
    <n v="0"/>
    <x v="2"/>
  </r>
  <r>
    <n v="1669"/>
    <d v="2023-10-04T00:00:00"/>
    <s v="Basic"/>
    <n v="199"/>
    <n v="18.899999999999999"/>
    <n v="6"/>
    <n v="5"/>
    <n v="18"/>
    <n v="25"/>
    <s v="Yes"/>
    <s v="No"/>
    <s v="Yes"/>
    <s v="Yes"/>
    <s v="Yes"/>
    <s v="No"/>
    <m/>
    <s v="1+ Failures"/>
    <n v="1"/>
    <x v="1"/>
  </r>
  <r>
    <n v="1670"/>
    <d v="2024-07-08T00:00:00"/>
    <s v="Basic"/>
    <n v="199"/>
    <n v="2.2999999999999998"/>
    <n v="6"/>
    <n v="0"/>
    <n v="5"/>
    <n v="0"/>
    <s v="No"/>
    <s v="Yes"/>
    <s v="No"/>
    <s v="Yes"/>
    <s v="No"/>
    <s v="Yes"/>
    <m/>
    <s v="0 Failures"/>
    <n v="0"/>
    <x v="0"/>
  </r>
  <r>
    <n v="1671"/>
    <d v="2023-11-16T00:00:00"/>
    <s v="Premium"/>
    <n v="699"/>
    <n v="2.8"/>
    <n v="6"/>
    <n v="1"/>
    <n v="10"/>
    <n v="53"/>
    <s v="Yes"/>
    <s v="Yes"/>
    <s v="Yes"/>
    <s v="Yes"/>
    <s v="Yes"/>
    <s v="No"/>
    <m/>
    <s v="1+ Failures"/>
    <n v="1"/>
    <x v="0"/>
  </r>
  <r>
    <n v="1672"/>
    <d v="2023-04-13T00:00:00"/>
    <s v="Standard"/>
    <n v="399"/>
    <n v="13.1"/>
    <n v="0"/>
    <n v="2"/>
    <n v="28"/>
    <n v="17"/>
    <s v="No"/>
    <s v="No"/>
    <s v="Yes"/>
    <s v="No"/>
    <s v="Yes"/>
    <s v="No"/>
    <m/>
    <s v="1+ Failures"/>
    <n v="0"/>
    <x v="1"/>
  </r>
  <r>
    <n v="1673"/>
    <d v="2024-07-28T00:00:00"/>
    <s v="Standard"/>
    <n v="399"/>
    <n v="9.6999999999999993"/>
    <n v="6"/>
    <n v="0"/>
    <n v="31"/>
    <n v="14"/>
    <s v="No"/>
    <s v="No"/>
    <s v="No"/>
    <s v="Yes"/>
    <s v="No"/>
    <s v="No"/>
    <m/>
    <s v="0 Failures"/>
    <n v="0"/>
    <x v="2"/>
  </r>
  <r>
    <n v="1674"/>
    <d v="2024-05-23T00:00:00"/>
    <s v="Standard"/>
    <n v="399"/>
    <n v="7.5"/>
    <n v="8"/>
    <n v="4"/>
    <n v="31"/>
    <n v="15"/>
    <s v="Yes"/>
    <s v="No"/>
    <s v="Yes"/>
    <s v="Yes"/>
    <s v="Yes"/>
    <s v="No"/>
    <m/>
    <s v="1+ Failures"/>
    <n v="1"/>
    <x v="2"/>
  </r>
  <r>
    <n v="1675"/>
    <d v="2024-08-14T00:00:00"/>
    <s v="Premium"/>
    <n v="699"/>
    <n v="23.8"/>
    <n v="8"/>
    <n v="5"/>
    <n v="26"/>
    <n v="6"/>
    <s v="Yes"/>
    <s v="No"/>
    <s v="Yes"/>
    <s v="Yes"/>
    <s v="No"/>
    <s v="No"/>
    <m/>
    <s v="1+ Failures"/>
    <n v="1"/>
    <x v="3"/>
  </r>
  <r>
    <n v="1676"/>
    <d v="2024-10-20T00:00:00"/>
    <s v="Basic"/>
    <n v="199"/>
    <n v="19.399999999999999"/>
    <n v="7"/>
    <n v="2"/>
    <n v="26"/>
    <n v="30"/>
    <s v="Yes"/>
    <s v="No"/>
    <s v="Yes"/>
    <s v="Yes"/>
    <s v="Yes"/>
    <s v="No"/>
    <m/>
    <s v="1+ Failures"/>
    <n v="1"/>
    <x v="1"/>
  </r>
  <r>
    <n v="1677"/>
    <d v="2024-05-16T00:00:00"/>
    <s v="Standard"/>
    <n v="399"/>
    <n v="4"/>
    <n v="1"/>
    <n v="0"/>
    <n v="22"/>
    <n v="35"/>
    <s v="Yes"/>
    <s v="Yes"/>
    <s v="No"/>
    <s v="No"/>
    <s v="Yes"/>
    <s v="No"/>
    <m/>
    <s v="0 Failures"/>
    <n v="1"/>
    <x v="0"/>
  </r>
  <r>
    <n v="1678"/>
    <d v="2024-08-03T00:00:00"/>
    <s v="Premium"/>
    <n v="699"/>
    <n v="2.6"/>
    <n v="6"/>
    <n v="4"/>
    <n v="16"/>
    <n v="53"/>
    <s v="Yes"/>
    <s v="Yes"/>
    <s v="Yes"/>
    <s v="Yes"/>
    <s v="Yes"/>
    <s v="No"/>
    <m/>
    <s v="1+ Failures"/>
    <n v="1"/>
    <x v="0"/>
  </r>
  <r>
    <n v="1679"/>
    <d v="2023-06-04T00:00:00"/>
    <s v="Basic"/>
    <n v="199"/>
    <n v="19.3"/>
    <n v="4"/>
    <n v="3"/>
    <n v="4"/>
    <n v="19"/>
    <s v="No"/>
    <s v="No"/>
    <s v="Yes"/>
    <s v="No"/>
    <s v="Yes"/>
    <s v="Yes"/>
    <m/>
    <s v="1+ Failures"/>
    <n v="0"/>
    <x v="1"/>
  </r>
  <r>
    <n v="1680"/>
    <d v="2024-07-29T00:00:00"/>
    <s v="Basic"/>
    <n v="199"/>
    <n v="17.399999999999999"/>
    <n v="6"/>
    <n v="0"/>
    <n v="21"/>
    <n v="17"/>
    <s v="No"/>
    <s v="No"/>
    <s v="No"/>
    <s v="Yes"/>
    <s v="Yes"/>
    <s v="No"/>
    <m/>
    <s v="0 Failures"/>
    <n v="0"/>
    <x v="1"/>
  </r>
  <r>
    <n v="1681"/>
    <d v="2024-06-10T00:00:00"/>
    <s v="Standard"/>
    <n v="399"/>
    <n v="12.7"/>
    <n v="3"/>
    <n v="2"/>
    <n v="35"/>
    <n v="29"/>
    <s v="No"/>
    <s v="No"/>
    <s v="Yes"/>
    <s v="No"/>
    <s v="Yes"/>
    <s v="No"/>
    <m/>
    <s v="1+ Failures"/>
    <n v="0"/>
    <x v="1"/>
  </r>
  <r>
    <n v="1682"/>
    <d v="2023-01-14T00:00:00"/>
    <s v="Premium"/>
    <n v="699"/>
    <n v="23.1"/>
    <n v="6"/>
    <n v="5"/>
    <n v="6"/>
    <n v="4"/>
    <s v="Yes"/>
    <s v="No"/>
    <s v="Yes"/>
    <s v="Yes"/>
    <s v="No"/>
    <s v="No"/>
    <m/>
    <s v="1+ Failures"/>
    <n v="1"/>
    <x v="3"/>
  </r>
  <r>
    <n v="1683"/>
    <d v="2023-04-27T00:00:00"/>
    <s v="Basic"/>
    <n v="199"/>
    <n v="18.8"/>
    <n v="2"/>
    <n v="1"/>
    <n v="34"/>
    <n v="28"/>
    <s v="No"/>
    <s v="No"/>
    <s v="Yes"/>
    <s v="No"/>
    <s v="Yes"/>
    <s v="No"/>
    <m/>
    <s v="1+ Failures"/>
    <n v="0"/>
    <x v="1"/>
  </r>
  <r>
    <n v="1684"/>
    <d v="2024-07-14T00:00:00"/>
    <s v="Basic"/>
    <n v="199"/>
    <n v="12.6"/>
    <n v="8"/>
    <n v="3"/>
    <n v="28"/>
    <n v="8"/>
    <s v="No"/>
    <s v="No"/>
    <s v="Yes"/>
    <s v="Yes"/>
    <s v="No"/>
    <s v="No"/>
    <m/>
    <s v="1+ Failures"/>
    <n v="0"/>
    <x v="1"/>
  </r>
  <r>
    <n v="1685"/>
    <d v="2024-11-23T00:00:00"/>
    <s v="Standard"/>
    <n v="399"/>
    <n v="0.7"/>
    <n v="1"/>
    <n v="3"/>
    <n v="26"/>
    <n v="18"/>
    <s v="No"/>
    <s v="Yes"/>
    <s v="Yes"/>
    <s v="No"/>
    <s v="Yes"/>
    <s v="No"/>
    <m/>
    <s v="1+ Failures"/>
    <n v="0"/>
    <x v="0"/>
  </r>
  <r>
    <n v="1686"/>
    <d v="2023-10-25T00:00:00"/>
    <s v="Standard"/>
    <n v="399"/>
    <n v="8.4"/>
    <n v="5"/>
    <n v="4"/>
    <n v="34"/>
    <n v="41"/>
    <s v="Yes"/>
    <s v="No"/>
    <s v="Yes"/>
    <s v="Yes"/>
    <s v="Yes"/>
    <s v="No"/>
    <m/>
    <s v="1+ Failures"/>
    <n v="1"/>
    <x v="2"/>
  </r>
  <r>
    <n v="1687"/>
    <d v="2024-04-18T00:00:00"/>
    <s v="Premium"/>
    <n v="699"/>
    <n v="20.2"/>
    <n v="5"/>
    <n v="4"/>
    <n v="14"/>
    <n v="38"/>
    <s v="Yes"/>
    <s v="No"/>
    <s v="Yes"/>
    <s v="Yes"/>
    <s v="Yes"/>
    <s v="No"/>
    <m/>
    <s v="1+ Failures"/>
    <n v="1"/>
    <x v="3"/>
  </r>
  <r>
    <n v="1688"/>
    <d v="2024-04-30T00:00:00"/>
    <s v="Basic"/>
    <n v="199"/>
    <n v="23.2"/>
    <n v="2"/>
    <n v="1"/>
    <n v="22"/>
    <n v="33"/>
    <s v="No"/>
    <s v="No"/>
    <s v="Yes"/>
    <s v="No"/>
    <s v="Yes"/>
    <s v="No"/>
    <m/>
    <s v="1+ Failures"/>
    <n v="0"/>
    <x v="3"/>
  </r>
  <r>
    <n v="1689"/>
    <d v="2023-01-06T00:00:00"/>
    <s v="Basic"/>
    <n v="199"/>
    <n v="10.7"/>
    <n v="2"/>
    <n v="3"/>
    <n v="21"/>
    <n v="4"/>
    <s v="No"/>
    <s v="No"/>
    <s v="Yes"/>
    <s v="No"/>
    <s v="No"/>
    <s v="No"/>
    <m/>
    <s v="1+ Failures"/>
    <n v="0"/>
    <x v="1"/>
  </r>
  <r>
    <n v="1690"/>
    <d v="2023-03-04T00:00:00"/>
    <s v="Standard"/>
    <n v="399"/>
    <n v="5.4"/>
    <n v="1"/>
    <n v="4"/>
    <n v="13"/>
    <n v="29"/>
    <s v="Yes"/>
    <s v="No"/>
    <s v="Yes"/>
    <s v="No"/>
    <s v="Yes"/>
    <s v="No"/>
    <m/>
    <s v="1+ Failures"/>
    <n v="1"/>
    <x v="2"/>
  </r>
  <r>
    <n v="1691"/>
    <d v="2023-08-20T00:00:00"/>
    <s v="Premium"/>
    <n v="699"/>
    <n v="15.1"/>
    <n v="1"/>
    <n v="2"/>
    <n v="30"/>
    <n v="40"/>
    <s v="Yes"/>
    <s v="No"/>
    <s v="Yes"/>
    <s v="No"/>
    <s v="Yes"/>
    <s v="No"/>
    <m/>
    <s v="1+ Failures"/>
    <n v="1"/>
    <x v="1"/>
  </r>
  <r>
    <n v="1692"/>
    <d v="2024-03-12T00:00:00"/>
    <s v="Standard"/>
    <n v="399"/>
    <n v="23.2"/>
    <n v="4"/>
    <n v="2"/>
    <n v="1"/>
    <n v="52"/>
    <s v="No"/>
    <s v="No"/>
    <s v="Yes"/>
    <s v="No"/>
    <s v="Yes"/>
    <s v="Yes"/>
    <m/>
    <s v="1+ Failures"/>
    <n v="0"/>
    <x v="3"/>
  </r>
  <r>
    <n v="1693"/>
    <d v="2024-11-06T00:00:00"/>
    <s v="Premium"/>
    <n v="699"/>
    <n v="9.5"/>
    <n v="6"/>
    <n v="2"/>
    <n v="20"/>
    <n v="35"/>
    <s v="Yes"/>
    <s v="No"/>
    <s v="Yes"/>
    <s v="Yes"/>
    <s v="Yes"/>
    <s v="No"/>
    <m/>
    <s v="1+ Failures"/>
    <n v="1"/>
    <x v="2"/>
  </r>
  <r>
    <n v="1694"/>
    <d v="2023-09-27T00:00:00"/>
    <s v="Basic"/>
    <n v="199"/>
    <n v="15"/>
    <n v="1"/>
    <n v="5"/>
    <n v="5"/>
    <n v="13"/>
    <s v="Yes"/>
    <s v="No"/>
    <s v="Yes"/>
    <s v="No"/>
    <s v="No"/>
    <s v="Yes"/>
    <m/>
    <s v="1+ Failures"/>
    <n v="1"/>
    <x v="1"/>
  </r>
  <r>
    <n v="1695"/>
    <d v="2023-12-05T00:00:00"/>
    <s v="Premium"/>
    <n v="699"/>
    <n v="3.6"/>
    <n v="8"/>
    <n v="4"/>
    <n v="7"/>
    <n v="41"/>
    <s v="Yes"/>
    <s v="Yes"/>
    <s v="Yes"/>
    <s v="Yes"/>
    <s v="Yes"/>
    <s v="No"/>
    <m/>
    <s v="1+ Failures"/>
    <n v="1"/>
    <x v="0"/>
  </r>
  <r>
    <n v="1696"/>
    <d v="2023-08-26T00:00:00"/>
    <s v="Premium"/>
    <n v="699"/>
    <n v="24.2"/>
    <n v="7"/>
    <n v="1"/>
    <n v="18"/>
    <n v="10"/>
    <s v="Yes"/>
    <s v="No"/>
    <s v="Yes"/>
    <s v="Yes"/>
    <s v="No"/>
    <s v="No"/>
    <m/>
    <s v="1+ Failures"/>
    <n v="1"/>
    <x v="3"/>
  </r>
  <r>
    <n v="1697"/>
    <d v="2023-01-01T00:00:00"/>
    <s v="Basic"/>
    <n v="199"/>
    <n v="23.3"/>
    <n v="2"/>
    <n v="1"/>
    <n v="6"/>
    <n v="10"/>
    <s v="No"/>
    <s v="No"/>
    <s v="Yes"/>
    <s v="No"/>
    <s v="No"/>
    <s v="No"/>
    <m/>
    <s v="1+ Failures"/>
    <n v="0"/>
    <x v="3"/>
  </r>
  <r>
    <n v="1698"/>
    <d v="2024-03-11T00:00:00"/>
    <s v="Standard"/>
    <n v="399"/>
    <n v="22.5"/>
    <n v="0"/>
    <n v="1"/>
    <n v="5"/>
    <n v="32"/>
    <s v="No"/>
    <s v="No"/>
    <s v="Yes"/>
    <s v="No"/>
    <s v="Yes"/>
    <s v="Yes"/>
    <m/>
    <s v="1+ Failures"/>
    <n v="0"/>
    <x v="3"/>
  </r>
  <r>
    <n v="1699"/>
    <d v="2024-01-22T00:00:00"/>
    <s v="Premium"/>
    <n v="699"/>
    <n v="8.5"/>
    <n v="8"/>
    <n v="0"/>
    <n v="31"/>
    <n v="15"/>
    <s v="No"/>
    <s v="No"/>
    <s v="No"/>
    <s v="Yes"/>
    <s v="Yes"/>
    <s v="No"/>
    <m/>
    <s v="0 Failures"/>
    <n v="0"/>
    <x v="2"/>
  </r>
  <r>
    <n v="1700"/>
    <d v="2024-09-11T00:00:00"/>
    <s v="Standard"/>
    <n v="399"/>
    <n v="9.1999999999999993"/>
    <n v="8"/>
    <n v="2"/>
    <n v="31"/>
    <n v="33"/>
    <s v="Yes"/>
    <s v="No"/>
    <s v="Yes"/>
    <s v="Yes"/>
    <s v="Yes"/>
    <s v="No"/>
    <m/>
    <s v="1+ Failures"/>
    <n v="1"/>
    <x v="2"/>
  </r>
  <r>
    <n v="1701"/>
    <d v="2024-07-27T00:00:00"/>
    <s v="Basic"/>
    <n v="199"/>
    <n v="23.7"/>
    <n v="4"/>
    <n v="5"/>
    <n v="11"/>
    <n v="9"/>
    <s v="No"/>
    <s v="No"/>
    <s v="Yes"/>
    <s v="No"/>
    <s v="No"/>
    <s v="No"/>
    <m/>
    <s v="1+ Failures"/>
    <n v="0"/>
    <x v="3"/>
  </r>
  <r>
    <n v="1702"/>
    <d v="2024-03-21T00:00:00"/>
    <s v="Standard"/>
    <n v="399"/>
    <n v="17.5"/>
    <n v="4"/>
    <n v="5"/>
    <n v="32"/>
    <n v="7"/>
    <s v="No"/>
    <s v="No"/>
    <s v="Yes"/>
    <s v="No"/>
    <s v="No"/>
    <s v="No"/>
    <m/>
    <s v="1+ Failures"/>
    <n v="0"/>
    <x v="1"/>
  </r>
  <r>
    <n v="1703"/>
    <d v="2024-03-10T00:00:00"/>
    <s v="Premium"/>
    <n v="699"/>
    <n v="4.9000000000000004"/>
    <n v="5"/>
    <n v="3"/>
    <n v="23"/>
    <n v="49"/>
    <s v="Yes"/>
    <s v="Yes"/>
    <s v="Yes"/>
    <s v="Yes"/>
    <s v="Yes"/>
    <s v="No"/>
    <m/>
    <s v="1+ Failures"/>
    <n v="1"/>
    <x v="0"/>
  </r>
  <r>
    <n v="1704"/>
    <d v="2023-01-11T00:00:00"/>
    <s v="Basic"/>
    <n v="199"/>
    <n v="22"/>
    <n v="3"/>
    <n v="3"/>
    <n v="36"/>
    <n v="23"/>
    <s v="Yes"/>
    <s v="No"/>
    <s v="Yes"/>
    <s v="No"/>
    <s v="Yes"/>
    <s v="No"/>
    <m/>
    <s v="1+ Failures"/>
    <n v="1"/>
    <x v="3"/>
  </r>
  <r>
    <n v="1705"/>
    <d v="2023-04-07T00:00:00"/>
    <s v="Basic"/>
    <n v="199"/>
    <n v="9.3000000000000007"/>
    <n v="3"/>
    <n v="0"/>
    <n v="29"/>
    <n v="37"/>
    <s v="Yes"/>
    <s v="No"/>
    <s v="No"/>
    <s v="No"/>
    <s v="Yes"/>
    <s v="No"/>
    <m/>
    <s v="0 Failures"/>
    <n v="1"/>
    <x v="2"/>
  </r>
  <r>
    <n v="1706"/>
    <d v="2023-10-09T00:00:00"/>
    <s v="Standard"/>
    <n v="399"/>
    <n v="12.8"/>
    <n v="0"/>
    <n v="4"/>
    <n v="17"/>
    <n v="17"/>
    <s v="Yes"/>
    <s v="No"/>
    <s v="Yes"/>
    <s v="No"/>
    <s v="Yes"/>
    <s v="No"/>
    <m/>
    <s v="1+ Failures"/>
    <n v="1"/>
    <x v="1"/>
  </r>
  <r>
    <n v="1707"/>
    <d v="2024-08-08T00:00:00"/>
    <s v="Premium"/>
    <n v="699"/>
    <n v="10.3"/>
    <n v="4"/>
    <n v="2"/>
    <n v="31"/>
    <n v="40"/>
    <s v="Yes"/>
    <s v="No"/>
    <s v="Yes"/>
    <s v="No"/>
    <s v="Yes"/>
    <s v="No"/>
    <m/>
    <s v="1+ Failures"/>
    <n v="1"/>
    <x v="1"/>
  </r>
  <r>
    <n v="1708"/>
    <d v="2024-10-25T00:00:00"/>
    <s v="Basic"/>
    <n v="199"/>
    <n v="24.9"/>
    <n v="7"/>
    <n v="3"/>
    <n v="31"/>
    <n v="11"/>
    <s v="Yes"/>
    <s v="No"/>
    <s v="Yes"/>
    <s v="Yes"/>
    <s v="No"/>
    <s v="No"/>
    <m/>
    <s v="1+ Failures"/>
    <n v="1"/>
    <x v="3"/>
  </r>
  <r>
    <n v="1709"/>
    <d v="2024-12-23T00:00:00"/>
    <s v="Premium"/>
    <n v="699"/>
    <n v="1.4"/>
    <n v="0"/>
    <n v="4"/>
    <n v="7"/>
    <n v="57"/>
    <s v="Yes"/>
    <s v="Yes"/>
    <s v="Yes"/>
    <s v="No"/>
    <s v="Yes"/>
    <s v="No"/>
    <m/>
    <s v="1+ Failures"/>
    <n v="1"/>
    <x v="0"/>
  </r>
  <r>
    <n v="1710"/>
    <d v="2023-05-03T00:00:00"/>
    <s v="Premium"/>
    <n v="699"/>
    <n v="21.8"/>
    <n v="2"/>
    <n v="0"/>
    <n v="12"/>
    <n v="26"/>
    <s v="No"/>
    <s v="No"/>
    <s v="No"/>
    <s v="No"/>
    <s v="Yes"/>
    <s v="No"/>
    <m/>
    <s v="0 Failures"/>
    <n v="0"/>
    <x v="3"/>
  </r>
  <r>
    <n v="1711"/>
    <d v="2023-10-12T00:00:00"/>
    <s v="Basic"/>
    <n v="199"/>
    <n v="16.100000000000001"/>
    <n v="0"/>
    <n v="2"/>
    <n v="29"/>
    <n v="6"/>
    <s v="No"/>
    <s v="No"/>
    <s v="Yes"/>
    <s v="No"/>
    <s v="No"/>
    <s v="No"/>
    <m/>
    <s v="1+ Failures"/>
    <n v="0"/>
    <x v="1"/>
  </r>
  <r>
    <n v="1712"/>
    <d v="2024-08-23T00:00:00"/>
    <s v="Basic"/>
    <n v="199"/>
    <n v="8.6999999999999993"/>
    <n v="5"/>
    <n v="5"/>
    <n v="2"/>
    <n v="10"/>
    <s v="No"/>
    <s v="No"/>
    <s v="Yes"/>
    <s v="Yes"/>
    <s v="No"/>
    <s v="Yes"/>
    <m/>
    <s v="1+ Failures"/>
    <n v="0"/>
    <x v="2"/>
  </r>
  <r>
    <n v="1713"/>
    <d v="2023-03-04T00:00:00"/>
    <s v="Premium"/>
    <n v="699"/>
    <n v="13.2"/>
    <n v="6"/>
    <n v="3"/>
    <n v="24"/>
    <n v="53"/>
    <s v="Yes"/>
    <s v="No"/>
    <s v="Yes"/>
    <s v="Yes"/>
    <s v="Yes"/>
    <s v="No"/>
    <m/>
    <s v="1+ Failures"/>
    <n v="1"/>
    <x v="1"/>
  </r>
  <r>
    <n v="1714"/>
    <d v="2023-06-26T00:00:00"/>
    <s v="Basic"/>
    <n v="199"/>
    <n v="20.7"/>
    <n v="8"/>
    <n v="1"/>
    <n v="13"/>
    <n v="46"/>
    <s v="Yes"/>
    <s v="No"/>
    <s v="Yes"/>
    <s v="Yes"/>
    <s v="Yes"/>
    <s v="No"/>
    <m/>
    <s v="1+ Failures"/>
    <n v="1"/>
    <x v="3"/>
  </r>
  <r>
    <n v="1715"/>
    <d v="2024-10-12T00:00:00"/>
    <s v="Standard"/>
    <n v="399"/>
    <n v="7.3"/>
    <n v="3"/>
    <n v="5"/>
    <n v="3"/>
    <n v="32"/>
    <s v="Yes"/>
    <s v="No"/>
    <s v="Yes"/>
    <s v="No"/>
    <s v="Yes"/>
    <s v="Yes"/>
    <m/>
    <s v="1+ Failures"/>
    <n v="1"/>
    <x v="2"/>
  </r>
  <r>
    <n v="1716"/>
    <d v="2024-08-04T00:00:00"/>
    <s v="Premium"/>
    <n v="699"/>
    <n v="8.1"/>
    <n v="8"/>
    <n v="2"/>
    <n v="1"/>
    <n v="7"/>
    <s v="Yes"/>
    <s v="No"/>
    <s v="Yes"/>
    <s v="Yes"/>
    <s v="No"/>
    <s v="Yes"/>
    <m/>
    <s v="1+ Failures"/>
    <n v="1"/>
    <x v="2"/>
  </r>
  <r>
    <n v="1717"/>
    <d v="2023-07-06T00:00:00"/>
    <s v="Premium"/>
    <n v="699"/>
    <n v="14.4"/>
    <n v="7"/>
    <n v="0"/>
    <n v="6"/>
    <n v="7"/>
    <s v="No"/>
    <s v="No"/>
    <s v="No"/>
    <s v="Yes"/>
    <s v="No"/>
    <s v="No"/>
    <m/>
    <s v="0 Failures"/>
    <n v="0"/>
    <x v="1"/>
  </r>
  <r>
    <n v="1718"/>
    <d v="2024-10-15T00:00:00"/>
    <s v="Premium"/>
    <n v="699"/>
    <n v="5"/>
    <n v="0"/>
    <n v="1"/>
    <n v="6"/>
    <n v="50"/>
    <s v="Yes"/>
    <s v="No"/>
    <s v="Yes"/>
    <s v="No"/>
    <s v="Yes"/>
    <s v="No"/>
    <m/>
    <s v="1+ Failures"/>
    <n v="1"/>
    <x v="0"/>
  </r>
  <r>
    <n v="1719"/>
    <d v="2023-07-15T00:00:00"/>
    <s v="Standard"/>
    <n v="399"/>
    <n v="2.5"/>
    <n v="3"/>
    <n v="2"/>
    <n v="30"/>
    <n v="53"/>
    <s v="Yes"/>
    <s v="Yes"/>
    <s v="Yes"/>
    <s v="No"/>
    <s v="Yes"/>
    <s v="No"/>
    <m/>
    <s v="1+ Failures"/>
    <n v="1"/>
    <x v="0"/>
  </r>
  <r>
    <n v="1720"/>
    <d v="2023-05-24T00:00:00"/>
    <s v="Premium"/>
    <n v="699"/>
    <n v="8.1"/>
    <n v="6"/>
    <n v="5"/>
    <n v="9"/>
    <n v="18"/>
    <s v="Yes"/>
    <s v="No"/>
    <s v="Yes"/>
    <s v="Yes"/>
    <s v="Yes"/>
    <s v="No"/>
    <m/>
    <s v="1+ Failures"/>
    <n v="1"/>
    <x v="2"/>
  </r>
  <r>
    <n v="1721"/>
    <d v="2023-10-30T00:00:00"/>
    <s v="Premium"/>
    <n v="699"/>
    <n v="10.6"/>
    <n v="3"/>
    <n v="2"/>
    <n v="21"/>
    <n v="56"/>
    <s v="Yes"/>
    <s v="No"/>
    <s v="Yes"/>
    <s v="No"/>
    <s v="Yes"/>
    <s v="No"/>
    <m/>
    <s v="1+ Failures"/>
    <n v="1"/>
    <x v="1"/>
  </r>
  <r>
    <n v="1722"/>
    <d v="2024-10-19T00:00:00"/>
    <s v="Standard"/>
    <n v="399"/>
    <n v="7"/>
    <n v="7"/>
    <n v="2"/>
    <n v="29"/>
    <n v="37"/>
    <s v="Yes"/>
    <s v="No"/>
    <s v="Yes"/>
    <s v="Yes"/>
    <s v="Yes"/>
    <s v="No"/>
    <m/>
    <s v="1+ Failures"/>
    <n v="1"/>
    <x v="2"/>
  </r>
  <r>
    <n v="1723"/>
    <d v="2024-01-30T00:00:00"/>
    <s v="Premium"/>
    <n v="699"/>
    <n v="20.8"/>
    <n v="2"/>
    <n v="0"/>
    <n v="29"/>
    <n v="60"/>
    <s v="No"/>
    <s v="No"/>
    <s v="No"/>
    <s v="No"/>
    <s v="Yes"/>
    <s v="No"/>
    <m/>
    <s v="0 Failures"/>
    <n v="0"/>
    <x v="3"/>
  </r>
  <r>
    <n v="1724"/>
    <d v="2023-10-23T00:00:00"/>
    <s v="Basic"/>
    <n v="199"/>
    <n v="14.4"/>
    <n v="6"/>
    <n v="2"/>
    <n v="35"/>
    <n v="41"/>
    <s v="No"/>
    <s v="No"/>
    <s v="Yes"/>
    <s v="Yes"/>
    <s v="Yes"/>
    <s v="No"/>
    <m/>
    <s v="1+ Failures"/>
    <n v="0"/>
    <x v="1"/>
  </r>
  <r>
    <n v="1725"/>
    <d v="2023-10-03T00:00:00"/>
    <s v="Basic"/>
    <n v="199"/>
    <n v="17.600000000000001"/>
    <n v="8"/>
    <n v="4"/>
    <n v="22"/>
    <n v="53"/>
    <s v="Yes"/>
    <s v="No"/>
    <s v="Yes"/>
    <s v="Yes"/>
    <s v="Yes"/>
    <s v="No"/>
    <m/>
    <s v="1+ Failures"/>
    <n v="1"/>
    <x v="1"/>
  </r>
  <r>
    <n v="1726"/>
    <d v="2023-04-29T00:00:00"/>
    <s v="Basic"/>
    <n v="199"/>
    <n v="19.399999999999999"/>
    <n v="4"/>
    <n v="1"/>
    <n v="33"/>
    <n v="29"/>
    <s v="Yes"/>
    <s v="No"/>
    <s v="Yes"/>
    <s v="No"/>
    <s v="Yes"/>
    <s v="No"/>
    <m/>
    <s v="1+ Failures"/>
    <n v="1"/>
    <x v="1"/>
  </r>
  <r>
    <n v="1727"/>
    <d v="2024-01-22T00:00:00"/>
    <s v="Premium"/>
    <n v="699"/>
    <n v="12.1"/>
    <n v="7"/>
    <n v="4"/>
    <n v="12"/>
    <n v="20"/>
    <s v="Yes"/>
    <s v="No"/>
    <s v="Yes"/>
    <s v="Yes"/>
    <s v="Yes"/>
    <s v="No"/>
    <m/>
    <s v="1+ Failures"/>
    <n v="1"/>
    <x v="1"/>
  </r>
  <r>
    <n v="1728"/>
    <d v="2023-01-09T00:00:00"/>
    <s v="Premium"/>
    <n v="699"/>
    <n v="8.4"/>
    <n v="1"/>
    <n v="5"/>
    <n v="3"/>
    <n v="22"/>
    <s v="No"/>
    <s v="No"/>
    <s v="Yes"/>
    <s v="No"/>
    <s v="Yes"/>
    <s v="Yes"/>
    <m/>
    <s v="1+ Failures"/>
    <n v="0"/>
    <x v="2"/>
  </r>
  <r>
    <n v="1729"/>
    <d v="2024-01-02T00:00:00"/>
    <s v="Basic"/>
    <n v="199"/>
    <n v="12.1"/>
    <n v="5"/>
    <n v="5"/>
    <n v="27"/>
    <n v="57"/>
    <s v="Yes"/>
    <s v="No"/>
    <s v="Yes"/>
    <s v="Yes"/>
    <s v="Yes"/>
    <s v="No"/>
    <m/>
    <s v="1+ Failures"/>
    <n v="1"/>
    <x v="1"/>
  </r>
  <r>
    <n v="1730"/>
    <d v="2024-04-12T00:00:00"/>
    <s v="Standard"/>
    <n v="399"/>
    <n v="11.9"/>
    <n v="2"/>
    <n v="0"/>
    <n v="11"/>
    <n v="28"/>
    <s v="No"/>
    <s v="No"/>
    <s v="No"/>
    <s v="No"/>
    <s v="Yes"/>
    <s v="No"/>
    <m/>
    <s v="0 Failures"/>
    <n v="0"/>
    <x v="1"/>
  </r>
  <r>
    <n v="1731"/>
    <d v="2024-09-07T00:00:00"/>
    <s v="Premium"/>
    <n v="699"/>
    <n v="18.399999999999999"/>
    <n v="7"/>
    <n v="1"/>
    <n v="28"/>
    <n v="16"/>
    <s v="No"/>
    <s v="No"/>
    <s v="Yes"/>
    <s v="Yes"/>
    <s v="Yes"/>
    <s v="No"/>
    <m/>
    <s v="1+ Failures"/>
    <n v="0"/>
    <x v="1"/>
  </r>
  <r>
    <n v="1732"/>
    <d v="2024-06-03T00:00:00"/>
    <s v="Standard"/>
    <n v="399"/>
    <n v="17.100000000000001"/>
    <n v="4"/>
    <n v="0"/>
    <n v="31"/>
    <n v="59"/>
    <s v="No"/>
    <s v="No"/>
    <s v="No"/>
    <s v="No"/>
    <s v="Yes"/>
    <s v="No"/>
    <m/>
    <s v="0 Failures"/>
    <n v="0"/>
    <x v="1"/>
  </r>
  <r>
    <n v="1733"/>
    <d v="2023-06-17T00:00:00"/>
    <s v="Basic"/>
    <n v="199"/>
    <n v="10.9"/>
    <n v="4"/>
    <n v="4"/>
    <n v="27"/>
    <n v="25"/>
    <s v="Yes"/>
    <s v="No"/>
    <s v="Yes"/>
    <s v="No"/>
    <s v="Yes"/>
    <s v="No"/>
    <m/>
    <s v="1+ Failures"/>
    <n v="1"/>
    <x v="1"/>
  </r>
  <r>
    <n v="1734"/>
    <d v="2023-05-23T00:00:00"/>
    <s v="Premium"/>
    <n v="699"/>
    <n v="23.1"/>
    <n v="8"/>
    <n v="1"/>
    <n v="11"/>
    <n v="60"/>
    <s v="No"/>
    <s v="No"/>
    <s v="Yes"/>
    <s v="Yes"/>
    <s v="Yes"/>
    <s v="No"/>
    <m/>
    <s v="1+ Failures"/>
    <n v="0"/>
    <x v="3"/>
  </r>
  <r>
    <n v="1735"/>
    <d v="2023-05-25T00:00:00"/>
    <s v="Basic"/>
    <n v="199"/>
    <n v="19.8"/>
    <n v="0"/>
    <n v="0"/>
    <n v="22"/>
    <n v="19"/>
    <s v="No"/>
    <s v="No"/>
    <s v="No"/>
    <s v="No"/>
    <s v="Yes"/>
    <s v="No"/>
    <m/>
    <s v="0 Failures"/>
    <n v="0"/>
    <x v="1"/>
  </r>
  <r>
    <n v="1736"/>
    <d v="2023-06-26T00:00:00"/>
    <s v="Standard"/>
    <n v="399"/>
    <n v="10.199999999999999"/>
    <n v="7"/>
    <n v="0"/>
    <n v="30"/>
    <n v="42"/>
    <s v="Yes"/>
    <s v="No"/>
    <s v="No"/>
    <s v="Yes"/>
    <s v="Yes"/>
    <s v="No"/>
    <m/>
    <s v="0 Failures"/>
    <n v="1"/>
    <x v="1"/>
  </r>
  <r>
    <n v="1737"/>
    <d v="2023-09-08T00:00:00"/>
    <s v="Standard"/>
    <n v="399"/>
    <n v="2.5"/>
    <n v="3"/>
    <n v="1"/>
    <n v="20"/>
    <n v="27"/>
    <s v="Yes"/>
    <s v="Yes"/>
    <s v="Yes"/>
    <s v="No"/>
    <s v="Yes"/>
    <s v="No"/>
    <m/>
    <s v="1+ Failures"/>
    <n v="1"/>
    <x v="0"/>
  </r>
  <r>
    <n v="1738"/>
    <d v="2023-04-13T00:00:00"/>
    <s v="Basic"/>
    <n v="199"/>
    <n v="21.2"/>
    <n v="5"/>
    <n v="0"/>
    <n v="36"/>
    <n v="30"/>
    <s v="Yes"/>
    <s v="No"/>
    <s v="No"/>
    <s v="Yes"/>
    <s v="Yes"/>
    <s v="No"/>
    <m/>
    <s v="0 Failures"/>
    <n v="1"/>
    <x v="3"/>
  </r>
  <r>
    <n v="1739"/>
    <d v="2024-04-19T00:00:00"/>
    <s v="Standard"/>
    <n v="399"/>
    <n v="17.3"/>
    <n v="3"/>
    <n v="3"/>
    <n v="36"/>
    <n v="42"/>
    <s v="Yes"/>
    <s v="No"/>
    <s v="Yes"/>
    <s v="No"/>
    <s v="Yes"/>
    <s v="No"/>
    <m/>
    <s v="1+ Failures"/>
    <n v="1"/>
    <x v="1"/>
  </r>
  <r>
    <n v="1740"/>
    <d v="2023-05-17T00:00:00"/>
    <s v="Premium"/>
    <n v="699"/>
    <n v="19.2"/>
    <n v="1"/>
    <n v="3"/>
    <n v="16"/>
    <n v="8"/>
    <s v="Yes"/>
    <s v="No"/>
    <s v="Yes"/>
    <s v="No"/>
    <s v="No"/>
    <s v="No"/>
    <m/>
    <s v="1+ Failures"/>
    <n v="1"/>
    <x v="1"/>
  </r>
  <r>
    <n v="1741"/>
    <d v="2023-12-22T00:00:00"/>
    <s v="Standard"/>
    <n v="399"/>
    <n v="22.5"/>
    <n v="6"/>
    <n v="4"/>
    <n v="21"/>
    <n v="25"/>
    <s v="Yes"/>
    <s v="No"/>
    <s v="Yes"/>
    <s v="Yes"/>
    <s v="Yes"/>
    <s v="No"/>
    <m/>
    <s v="1+ Failures"/>
    <n v="1"/>
    <x v="3"/>
  </r>
  <r>
    <n v="1742"/>
    <d v="2024-05-28T00:00:00"/>
    <s v="Standard"/>
    <n v="399"/>
    <n v="5.9"/>
    <n v="2"/>
    <n v="1"/>
    <n v="2"/>
    <n v="23"/>
    <s v="No"/>
    <s v="No"/>
    <s v="Yes"/>
    <s v="No"/>
    <s v="Yes"/>
    <s v="Yes"/>
    <m/>
    <s v="1+ Failures"/>
    <n v="0"/>
    <x v="2"/>
  </r>
  <r>
    <n v="1743"/>
    <d v="2023-08-05T00:00:00"/>
    <s v="Basic"/>
    <n v="199"/>
    <n v="22.9"/>
    <n v="3"/>
    <n v="1"/>
    <n v="26"/>
    <n v="31"/>
    <s v="Yes"/>
    <s v="No"/>
    <s v="Yes"/>
    <s v="No"/>
    <s v="Yes"/>
    <s v="No"/>
    <m/>
    <s v="1+ Failures"/>
    <n v="1"/>
    <x v="3"/>
  </r>
  <r>
    <n v="1744"/>
    <d v="2023-10-19T00:00:00"/>
    <s v="Standard"/>
    <n v="399"/>
    <n v="2.8"/>
    <n v="6"/>
    <n v="5"/>
    <n v="28"/>
    <n v="11"/>
    <s v="Yes"/>
    <s v="Yes"/>
    <s v="Yes"/>
    <s v="Yes"/>
    <s v="No"/>
    <s v="No"/>
    <m/>
    <s v="1+ Failures"/>
    <n v="1"/>
    <x v="0"/>
  </r>
  <r>
    <n v="1745"/>
    <d v="2024-03-07T00:00:00"/>
    <s v="Standard"/>
    <n v="399"/>
    <n v="17"/>
    <n v="7"/>
    <n v="0"/>
    <n v="25"/>
    <n v="16"/>
    <s v="No"/>
    <s v="No"/>
    <s v="No"/>
    <s v="Yes"/>
    <s v="Yes"/>
    <s v="No"/>
    <m/>
    <s v="0 Failures"/>
    <n v="0"/>
    <x v="1"/>
  </r>
  <r>
    <n v="1746"/>
    <d v="2023-12-21T00:00:00"/>
    <s v="Basic"/>
    <n v="199"/>
    <n v="10.3"/>
    <n v="8"/>
    <n v="0"/>
    <n v="11"/>
    <n v="29"/>
    <s v="No"/>
    <s v="No"/>
    <s v="No"/>
    <s v="Yes"/>
    <s v="Yes"/>
    <s v="No"/>
    <m/>
    <s v="0 Failures"/>
    <n v="0"/>
    <x v="1"/>
  </r>
  <r>
    <n v="1747"/>
    <d v="2024-08-11T00:00:00"/>
    <s v="Premium"/>
    <n v="699"/>
    <n v="16.600000000000001"/>
    <n v="6"/>
    <n v="0"/>
    <n v="7"/>
    <n v="10"/>
    <s v="No"/>
    <s v="No"/>
    <s v="No"/>
    <s v="Yes"/>
    <s v="No"/>
    <s v="No"/>
    <m/>
    <s v="0 Failures"/>
    <n v="0"/>
    <x v="1"/>
  </r>
  <r>
    <n v="1748"/>
    <d v="2024-02-16T00:00:00"/>
    <s v="Premium"/>
    <n v="699"/>
    <n v="17.3"/>
    <n v="0"/>
    <n v="3"/>
    <n v="25"/>
    <n v="41"/>
    <s v="No"/>
    <s v="No"/>
    <s v="Yes"/>
    <s v="No"/>
    <s v="Yes"/>
    <s v="No"/>
    <m/>
    <s v="1+ Failures"/>
    <n v="0"/>
    <x v="1"/>
  </r>
  <r>
    <n v="1749"/>
    <d v="2024-04-06T00:00:00"/>
    <s v="Standard"/>
    <n v="399"/>
    <n v="7.9"/>
    <n v="4"/>
    <n v="5"/>
    <n v="4"/>
    <n v="40"/>
    <s v="Yes"/>
    <s v="No"/>
    <s v="Yes"/>
    <s v="No"/>
    <s v="Yes"/>
    <s v="Yes"/>
    <m/>
    <s v="1+ Failures"/>
    <n v="1"/>
    <x v="2"/>
  </r>
  <r>
    <n v="1750"/>
    <d v="2023-07-03T00:00:00"/>
    <s v="Premium"/>
    <n v="699"/>
    <n v="19.600000000000001"/>
    <n v="5"/>
    <n v="4"/>
    <n v="24"/>
    <n v="23"/>
    <s v="Yes"/>
    <s v="No"/>
    <s v="Yes"/>
    <s v="Yes"/>
    <s v="Yes"/>
    <s v="No"/>
    <m/>
    <s v="1+ Failures"/>
    <n v="1"/>
    <x v="1"/>
  </r>
  <r>
    <n v="1751"/>
    <d v="2024-12-25T00:00:00"/>
    <s v="Standard"/>
    <n v="399"/>
    <n v="19.100000000000001"/>
    <n v="1"/>
    <n v="1"/>
    <n v="35"/>
    <n v="0"/>
    <s v="No"/>
    <s v="No"/>
    <s v="Yes"/>
    <s v="No"/>
    <s v="No"/>
    <s v="No"/>
    <m/>
    <s v="1+ Failures"/>
    <n v="0"/>
    <x v="1"/>
  </r>
  <r>
    <n v="1752"/>
    <d v="2023-02-10T00:00:00"/>
    <s v="Premium"/>
    <n v="699"/>
    <n v="5.3"/>
    <n v="7"/>
    <n v="3"/>
    <n v="17"/>
    <n v="3"/>
    <s v="Yes"/>
    <s v="No"/>
    <s v="Yes"/>
    <s v="Yes"/>
    <s v="No"/>
    <s v="No"/>
    <m/>
    <s v="1+ Failures"/>
    <n v="1"/>
    <x v="2"/>
  </r>
  <r>
    <n v="1753"/>
    <d v="2024-03-11T00:00:00"/>
    <s v="Basic"/>
    <n v="199"/>
    <n v="11.8"/>
    <n v="0"/>
    <n v="4"/>
    <n v="32"/>
    <n v="43"/>
    <s v="Yes"/>
    <s v="No"/>
    <s v="Yes"/>
    <s v="No"/>
    <s v="Yes"/>
    <s v="No"/>
    <m/>
    <s v="1+ Failures"/>
    <n v="1"/>
    <x v="1"/>
  </r>
  <r>
    <n v="1754"/>
    <d v="2024-01-01T00:00:00"/>
    <s v="Standard"/>
    <n v="399"/>
    <n v="19.3"/>
    <n v="0"/>
    <n v="4"/>
    <n v="19"/>
    <n v="17"/>
    <s v="Yes"/>
    <s v="No"/>
    <s v="Yes"/>
    <s v="No"/>
    <s v="Yes"/>
    <s v="No"/>
    <m/>
    <s v="1+ Failures"/>
    <n v="1"/>
    <x v="1"/>
  </r>
  <r>
    <n v="1755"/>
    <d v="2024-01-01T00:00:00"/>
    <s v="Standard"/>
    <n v="399"/>
    <n v="11.4"/>
    <n v="4"/>
    <n v="5"/>
    <n v="2"/>
    <n v="2"/>
    <s v="No"/>
    <s v="No"/>
    <s v="Yes"/>
    <s v="No"/>
    <s v="No"/>
    <s v="Yes"/>
    <m/>
    <s v="1+ Failures"/>
    <n v="0"/>
    <x v="1"/>
  </r>
  <r>
    <n v="1756"/>
    <d v="2023-04-07T00:00:00"/>
    <s v="Premium"/>
    <n v="699"/>
    <n v="13.5"/>
    <n v="6"/>
    <n v="1"/>
    <n v="3"/>
    <n v="11"/>
    <s v="Yes"/>
    <s v="No"/>
    <s v="Yes"/>
    <s v="Yes"/>
    <s v="No"/>
    <s v="Yes"/>
    <m/>
    <s v="1+ Failures"/>
    <n v="1"/>
    <x v="1"/>
  </r>
  <r>
    <n v="1757"/>
    <d v="2024-12-06T00:00:00"/>
    <s v="Basic"/>
    <n v="199"/>
    <n v="16"/>
    <n v="6"/>
    <n v="2"/>
    <n v="10"/>
    <n v="22"/>
    <s v="No"/>
    <s v="No"/>
    <s v="Yes"/>
    <s v="Yes"/>
    <s v="Yes"/>
    <s v="No"/>
    <m/>
    <s v="1+ Failures"/>
    <n v="0"/>
    <x v="1"/>
  </r>
  <r>
    <n v="1758"/>
    <d v="2023-12-01T00:00:00"/>
    <s v="Premium"/>
    <n v="699"/>
    <n v="23"/>
    <n v="8"/>
    <n v="4"/>
    <n v="16"/>
    <n v="29"/>
    <s v="Yes"/>
    <s v="No"/>
    <s v="Yes"/>
    <s v="Yes"/>
    <s v="Yes"/>
    <s v="No"/>
    <m/>
    <s v="1+ Failures"/>
    <n v="1"/>
    <x v="3"/>
  </r>
  <r>
    <n v="1759"/>
    <d v="2023-03-22T00:00:00"/>
    <s v="Standard"/>
    <n v="399"/>
    <n v="4.0999999999999996"/>
    <n v="1"/>
    <n v="3"/>
    <n v="3"/>
    <n v="32"/>
    <s v="No"/>
    <s v="Yes"/>
    <s v="Yes"/>
    <s v="No"/>
    <s v="Yes"/>
    <s v="Yes"/>
    <m/>
    <s v="1+ Failures"/>
    <n v="0"/>
    <x v="0"/>
  </r>
  <r>
    <n v="1760"/>
    <d v="2024-10-30T00:00:00"/>
    <s v="Standard"/>
    <n v="399"/>
    <n v="10.9"/>
    <n v="0"/>
    <n v="1"/>
    <n v="20"/>
    <n v="60"/>
    <s v="No"/>
    <s v="No"/>
    <s v="Yes"/>
    <s v="No"/>
    <s v="Yes"/>
    <s v="No"/>
    <m/>
    <s v="1+ Failures"/>
    <n v="0"/>
    <x v="1"/>
  </r>
  <r>
    <n v="1761"/>
    <d v="2023-09-25T00:00:00"/>
    <s v="Premium"/>
    <n v="699"/>
    <n v="21"/>
    <n v="6"/>
    <n v="0"/>
    <n v="6"/>
    <n v="50"/>
    <s v="Yes"/>
    <s v="No"/>
    <s v="No"/>
    <s v="Yes"/>
    <s v="Yes"/>
    <s v="No"/>
    <m/>
    <s v="0 Failures"/>
    <n v="1"/>
    <x v="3"/>
  </r>
  <r>
    <n v="1762"/>
    <d v="2024-08-10T00:00:00"/>
    <s v="Standard"/>
    <n v="399"/>
    <n v="13.7"/>
    <n v="3"/>
    <n v="5"/>
    <n v="33"/>
    <n v="51"/>
    <s v="Yes"/>
    <s v="No"/>
    <s v="Yes"/>
    <s v="No"/>
    <s v="Yes"/>
    <s v="No"/>
    <m/>
    <s v="1+ Failures"/>
    <n v="1"/>
    <x v="1"/>
  </r>
  <r>
    <n v="1763"/>
    <d v="2023-07-10T00:00:00"/>
    <s v="Standard"/>
    <n v="399"/>
    <n v="19.100000000000001"/>
    <n v="6"/>
    <n v="2"/>
    <n v="14"/>
    <n v="47"/>
    <s v="Yes"/>
    <s v="No"/>
    <s v="Yes"/>
    <s v="Yes"/>
    <s v="Yes"/>
    <s v="No"/>
    <m/>
    <s v="1+ Failures"/>
    <n v="1"/>
    <x v="1"/>
  </r>
  <r>
    <n v="1764"/>
    <d v="2023-01-06T00:00:00"/>
    <s v="Standard"/>
    <n v="399"/>
    <n v="17"/>
    <n v="6"/>
    <n v="1"/>
    <n v="33"/>
    <n v="43"/>
    <s v="Yes"/>
    <s v="No"/>
    <s v="Yes"/>
    <s v="Yes"/>
    <s v="Yes"/>
    <s v="No"/>
    <m/>
    <s v="1+ Failures"/>
    <n v="1"/>
    <x v="1"/>
  </r>
  <r>
    <n v="1765"/>
    <d v="2024-04-18T00:00:00"/>
    <s v="Standard"/>
    <n v="399"/>
    <n v="1"/>
    <n v="6"/>
    <n v="5"/>
    <n v="14"/>
    <n v="8"/>
    <s v="Yes"/>
    <s v="Yes"/>
    <s v="Yes"/>
    <s v="Yes"/>
    <s v="No"/>
    <s v="No"/>
    <m/>
    <s v="1+ Failures"/>
    <n v="1"/>
    <x v="0"/>
  </r>
  <r>
    <n v="1766"/>
    <d v="2023-03-07T00:00:00"/>
    <s v="Premium"/>
    <n v="699"/>
    <n v="2.9"/>
    <n v="3"/>
    <n v="0"/>
    <n v="21"/>
    <n v="45"/>
    <s v="Yes"/>
    <s v="Yes"/>
    <s v="No"/>
    <s v="No"/>
    <s v="Yes"/>
    <s v="No"/>
    <m/>
    <s v="0 Failures"/>
    <n v="1"/>
    <x v="0"/>
  </r>
  <r>
    <n v="1767"/>
    <d v="2023-12-03T00:00:00"/>
    <s v="Premium"/>
    <n v="699"/>
    <n v="18.3"/>
    <n v="7"/>
    <n v="4"/>
    <n v="19"/>
    <n v="26"/>
    <s v="Yes"/>
    <s v="No"/>
    <s v="Yes"/>
    <s v="Yes"/>
    <s v="Yes"/>
    <s v="No"/>
    <m/>
    <s v="1+ Failures"/>
    <n v="1"/>
    <x v="1"/>
  </r>
  <r>
    <n v="1768"/>
    <d v="2023-12-21T00:00:00"/>
    <s v="Premium"/>
    <n v="699"/>
    <n v="12.2"/>
    <n v="8"/>
    <n v="0"/>
    <n v="25"/>
    <n v="21"/>
    <s v="Yes"/>
    <s v="No"/>
    <s v="No"/>
    <s v="Yes"/>
    <s v="Yes"/>
    <s v="No"/>
    <m/>
    <s v="0 Failures"/>
    <n v="1"/>
    <x v="1"/>
  </r>
  <r>
    <n v="1769"/>
    <d v="2024-11-20T00:00:00"/>
    <s v="Standard"/>
    <n v="399"/>
    <n v="11.8"/>
    <n v="7"/>
    <n v="1"/>
    <n v="10"/>
    <n v="34"/>
    <s v="No"/>
    <s v="No"/>
    <s v="Yes"/>
    <s v="Yes"/>
    <s v="Yes"/>
    <s v="No"/>
    <m/>
    <s v="1+ Failures"/>
    <n v="0"/>
    <x v="1"/>
  </r>
  <r>
    <n v="1770"/>
    <d v="2023-12-20T00:00:00"/>
    <s v="Standard"/>
    <n v="399"/>
    <n v="10.4"/>
    <n v="1"/>
    <n v="5"/>
    <n v="17"/>
    <n v="31"/>
    <s v="Yes"/>
    <s v="No"/>
    <s v="Yes"/>
    <s v="No"/>
    <s v="Yes"/>
    <s v="No"/>
    <m/>
    <s v="1+ Failures"/>
    <n v="1"/>
    <x v="1"/>
  </r>
  <r>
    <n v="1771"/>
    <d v="2023-11-19T00:00:00"/>
    <s v="Basic"/>
    <n v="199"/>
    <n v="18.8"/>
    <n v="8"/>
    <n v="2"/>
    <n v="14"/>
    <n v="19"/>
    <s v="Yes"/>
    <s v="No"/>
    <s v="Yes"/>
    <s v="Yes"/>
    <s v="Yes"/>
    <s v="No"/>
    <m/>
    <s v="1+ Failures"/>
    <n v="1"/>
    <x v="1"/>
  </r>
  <r>
    <n v="1772"/>
    <d v="2024-03-01T00:00:00"/>
    <s v="Standard"/>
    <n v="399"/>
    <n v="1.2"/>
    <n v="2"/>
    <n v="4"/>
    <n v="30"/>
    <n v="22"/>
    <s v="Yes"/>
    <s v="Yes"/>
    <s v="Yes"/>
    <s v="No"/>
    <s v="Yes"/>
    <s v="No"/>
    <m/>
    <s v="1+ Failures"/>
    <n v="1"/>
    <x v="0"/>
  </r>
  <r>
    <n v="1773"/>
    <d v="2023-05-15T00:00:00"/>
    <s v="Basic"/>
    <n v="199"/>
    <n v="14.1"/>
    <n v="7"/>
    <n v="1"/>
    <n v="19"/>
    <n v="24"/>
    <s v="No"/>
    <s v="No"/>
    <s v="Yes"/>
    <s v="Yes"/>
    <s v="Yes"/>
    <s v="No"/>
    <m/>
    <s v="1+ Failures"/>
    <n v="0"/>
    <x v="1"/>
  </r>
  <r>
    <n v="1774"/>
    <d v="2023-07-02T00:00:00"/>
    <s v="Standard"/>
    <n v="399"/>
    <n v="2.9"/>
    <n v="3"/>
    <n v="1"/>
    <n v="8"/>
    <n v="7"/>
    <s v="No"/>
    <s v="Yes"/>
    <s v="Yes"/>
    <s v="No"/>
    <s v="No"/>
    <s v="No"/>
    <m/>
    <s v="1+ Failures"/>
    <n v="0"/>
    <x v="0"/>
  </r>
  <r>
    <n v="1775"/>
    <d v="2023-10-13T00:00:00"/>
    <s v="Basic"/>
    <n v="199"/>
    <n v="14"/>
    <n v="5"/>
    <n v="1"/>
    <n v="26"/>
    <n v="26"/>
    <s v="No"/>
    <s v="No"/>
    <s v="Yes"/>
    <s v="Yes"/>
    <s v="Yes"/>
    <s v="No"/>
    <m/>
    <s v="1+ Failures"/>
    <n v="0"/>
    <x v="1"/>
  </r>
  <r>
    <n v="1776"/>
    <d v="2023-08-19T00:00:00"/>
    <s v="Standard"/>
    <n v="399"/>
    <n v="15.9"/>
    <n v="5"/>
    <n v="4"/>
    <n v="24"/>
    <n v="34"/>
    <s v="Yes"/>
    <s v="No"/>
    <s v="Yes"/>
    <s v="Yes"/>
    <s v="Yes"/>
    <s v="No"/>
    <m/>
    <s v="1+ Failures"/>
    <n v="1"/>
    <x v="1"/>
  </r>
  <r>
    <n v="1777"/>
    <d v="2023-07-01T00:00:00"/>
    <s v="Standard"/>
    <n v="399"/>
    <n v="19"/>
    <n v="4"/>
    <n v="3"/>
    <n v="32"/>
    <n v="10"/>
    <s v="No"/>
    <s v="No"/>
    <s v="Yes"/>
    <s v="No"/>
    <s v="No"/>
    <s v="No"/>
    <m/>
    <s v="1+ Failures"/>
    <n v="0"/>
    <x v="1"/>
  </r>
  <r>
    <n v="1778"/>
    <d v="2023-04-11T00:00:00"/>
    <s v="Standard"/>
    <n v="399"/>
    <n v="0.6"/>
    <n v="5"/>
    <n v="3"/>
    <n v="19"/>
    <n v="41"/>
    <s v="Yes"/>
    <s v="Yes"/>
    <s v="Yes"/>
    <s v="Yes"/>
    <s v="Yes"/>
    <s v="No"/>
    <m/>
    <s v="1+ Failures"/>
    <n v="1"/>
    <x v="0"/>
  </r>
  <r>
    <n v="1779"/>
    <d v="2023-08-18T00:00:00"/>
    <s v="Standard"/>
    <n v="399"/>
    <n v="24.4"/>
    <n v="6"/>
    <n v="1"/>
    <n v="27"/>
    <n v="40"/>
    <s v="Yes"/>
    <s v="No"/>
    <s v="Yes"/>
    <s v="Yes"/>
    <s v="Yes"/>
    <s v="No"/>
    <m/>
    <s v="1+ Failures"/>
    <n v="1"/>
    <x v="3"/>
  </r>
  <r>
    <n v="1780"/>
    <d v="2023-06-20T00:00:00"/>
    <s v="Basic"/>
    <n v="199"/>
    <n v="25"/>
    <n v="6"/>
    <n v="0"/>
    <n v="33"/>
    <n v="20"/>
    <s v="No"/>
    <s v="No"/>
    <s v="No"/>
    <s v="Yes"/>
    <s v="Yes"/>
    <s v="No"/>
    <m/>
    <s v="0 Failures"/>
    <n v="0"/>
    <x v="3"/>
  </r>
  <r>
    <n v="1781"/>
    <d v="2024-10-31T00:00:00"/>
    <s v="Premium"/>
    <n v="699"/>
    <n v="17.3"/>
    <n v="5"/>
    <n v="0"/>
    <n v="31"/>
    <n v="47"/>
    <s v="No"/>
    <s v="No"/>
    <s v="No"/>
    <s v="Yes"/>
    <s v="Yes"/>
    <s v="No"/>
    <m/>
    <s v="0 Failures"/>
    <n v="0"/>
    <x v="1"/>
  </r>
  <r>
    <n v="1782"/>
    <d v="2023-09-03T00:00:00"/>
    <s v="Standard"/>
    <n v="399"/>
    <n v="13"/>
    <n v="3"/>
    <n v="1"/>
    <n v="36"/>
    <n v="29"/>
    <s v="No"/>
    <s v="No"/>
    <s v="Yes"/>
    <s v="No"/>
    <s v="Yes"/>
    <s v="No"/>
    <m/>
    <s v="1+ Failures"/>
    <n v="0"/>
    <x v="1"/>
  </r>
  <r>
    <n v="1783"/>
    <d v="2023-02-01T00:00:00"/>
    <s v="Basic"/>
    <n v="199"/>
    <n v="23.5"/>
    <n v="3"/>
    <n v="2"/>
    <n v="31"/>
    <n v="8"/>
    <s v="Yes"/>
    <s v="No"/>
    <s v="Yes"/>
    <s v="No"/>
    <s v="No"/>
    <s v="No"/>
    <m/>
    <s v="1+ Failures"/>
    <n v="1"/>
    <x v="3"/>
  </r>
  <r>
    <n v="1784"/>
    <d v="2024-04-17T00:00:00"/>
    <s v="Basic"/>
    <n v="199"/>
    <n v="11.8"/>
    <n v="7"/>
    <n v="1"/>
    <n v="30"/>
    <n v="50"/>
    <s v="Yes"/>
    <s v="No"/>
    <s v="Yes"/>
    <s v="Yes"/>
    <s v="Yes"/>
    <s v="No"/>
    <m/>
    <s v="1+ Failures"/>
    <n v="1"/>
    <x v="1"/>
  </r>
  <r>
    <n v="1785"/>
    <d v="2023-03-13T00:00:00"/>
    <s v="Premium"/>
    <n v="699"/>
    <n v="20.2"/>
    <n v="5"/>
    <n v="1"/>
    <n v="8"/>
    <n v="15"/>
    <s v="No"/>
    <s v="No"/>
    <s v="Yes"/>
    <s v="Yes"/>
    <s v="Yes"/>
    <s v="No"/>
    <m/>
    <s v="1+ Failures"/>
    <n v="0"/>
    <x v="3"/>
  </r>
  <r>
    <n v="1786"/>
    <d v="2023-03-14T00:00:00"/>
    <s v="Basic"/>
    <n v="199"/>
    <n v="17.2"/>
    <n v="6"/>
    <n v="4"/>
    <n v="3"/>
    <n v="30"/>
    <s v="No"/>
    <s v="No"/>
    <s v="Yes"/>
    <s v="Yes"/>
    <s v="Yes"/>
    <s v="Yes"/>
    <m/>
    <s v="1+ Failures"/>
    <n v="0"/>
    <x v="1"/>
  </r>
  <r>
    <n v="1787"/>
    <d v="2024-10-24T00:00:00"/>
    <s v="Standard"/>
    <n v="399"/>
    <n v="22.1"/>
    <n v="8"/>
    <n v="0"/>
    <n v="17"/>
    <n v="45"/>
    <s v="No"/>
    <s v="No"/>
    <s v="No"/>
    <s v="Yes"/>
    <s v="Yes"/>
    <s v="No"/>
    <m/>
    <s v="0 Failures"/>
    <n v="0"/>
    <x v="3"/>
  </r>
  <r>
    <n v="1788"/>
    <d v="2023-02-10T00:00:00"/>
    <s v="Premium"/>
    <n v="699"/>
    <n v="11.2"/>
    <n v="0"/>
    <n v="2"/>
    <n v="2"/>
    <n v="51"/>
    <s v="Yes"/>
    <s v="No"/>
    <s v="Yes"/>
    <s v="No"/>
    <s v="Yes"/>
    <s v="Yes"/>
    <m/>
    <s v="1+ Failures"/>
    <n v="1"/>
    <x v="1"/>
  </r>
  <r>
    <n v="1789"/>
    <d v="2023-05-08T00:00:00"/>
    <s v="Standard"/>
    <n v="399"/>
    <n v="18.100000000000001"/>
    <n v="8"/>
    <n v="5"/>
    <n v="26"/>
    <n v="41"/>
    <s v="Yes"/>
    <s v="No"/>
    <s v="Yes"/>
    <s v="Yes"/>
    <s v="Yes"/>
    <s v="No"/>
    <m/>
    <s v="1+ Failures"/>
    <n v="1"/>
    <x v="1"/>
  </r>
  <r>
    <n v="1790"/>
    <d v="2024-11-03T00:00:00"/>
    <s v="Basic"/>
    <n v="199"/>
    <n v="21.3"/>
    <n v="1"/>
    <n v="5"/>
    <n v="10"/>
    <n v="10"/>
    <s v="No"/>
    <s v="No"/>
    <s v="Yes"/>
    <s v="No"/>
    <s v="No"/>
    <s v="No"/>
    <m/>
    <s v="1+ Failures"/>
    <n v="0"/>
    <x v="3"/>
  </r>
  <r>
    <n v="1791"/>
    <d v="2024-10-19T00:00:00"/>
    <s v="Standard"/>
    <n v="399"/>
    <n v="22.9"/>
    <n v="7"/>
    <n v="1"/>
    <n v="10"/>
    <n v="16"/>
    <s v="Yes"/>
    <s v="No"/>
    <s v="Yes"/>
    <s v="Yes"/>
    <s v="Yes"/>
    <s v="No"/>
    <m/>
    <s v="1+ Failures"/>
    <n v="1"/>
    <x v="3"/>
  </r>
  <r>
    <n v="1792"/>
    <d v="2023-10-30T00:00:00"/>
    <s v="Premium"/>
    <n v="699"/>
    <n v="11.7"/>
    <n v="7"/>
    <n v="1"/>
    <n v="5"/>
    <n v="48"/>
    <s v="Yes"/>
    <s v="No"/>
    <s v="Yes"/>
    <s v="Yes"/>
    <s v="Yes"/>
    <s v="Yes"/>
    <m/>
    <s v="1+ Failures"/>
    <n v="1"/>
    <x v="1"/>
  </r>
  <r>
    <n v="1793"/>
    <d v="2024-08-31T00:00:00"/>
    <s v="Premium"/>
    <n v="699"/>
    <n v="8.6"/>
    <n v="7"/>
    <n v="5"/>
    <n v="29"/>
    <n v="16"/>
    <s v="No"/>
    <s v="No"/>
    <s v="Yes"/>
    <s v="Yes"/>
    <s v="Yes"/>
    <s v="No"/>
    <m/>
    <s v="1+ Failures"/>
    <n v="0"/>
    <x v="2"/>
  </r>
  <r>
    <n v="1794"/>
    <d v="2024-07-31T00:00:00"/>
    <s v="Basic"/>
    <n v="199"/>
    <n v="4.0999999999999996"/>
    <n v="4"/>
    <n v="0"/>
    <n v="9"/>
    <n v="14"/>
    <s v="No"/>
    <s v="Yes"/>
    <s v="No"/>
    <s v="No"/>
    <s v="No"/>
    <s v="No"/>
    <m/>
    <s v="0 Failures"/>
    <n v="0"/>
    <x v="0"/>
  </r>
  <r>
    <n v="1795"/>
    <d v="2024-12-31T00:00:00"/>
    <s v="Standard"/>
    <n v="399"/>
    <n v="8"/>
    <n v="2"/>
    <n v="4"/>
    <n v="19"/>
    <n v="40"/>
    <s v="Yes"/>
    <s v="No"/>
    <s v="Yes"/>
    <s v="No"/>
    <s v="Yes"/>
    <s v="No"/>
    <m/>
    <s v="1+ Failures"/>
    <n v="1"/>
    <x v="2"/>
  </r>
  <r>
    <n v="1796"/>
    <d v="2024-01-29T00:00:00"/>
    <s v="Standard"/>
    <n v="399"/>
    <n v="4.3"/>
    <n v="2"/>
    <n v="1"/>
    <n v="19"/>
    <n v="38"/>
    <s v="Yes"/>
    <s v="Yes"/>
    <s v="Yes"/>
    <s v="No"/>
    <s v="Yes"/>
    <s v="No"/>
    <m/>
    <s v="1+ Failures"/>
    <n v="1"/>
    <x v="0"/>
  </r>
  <r>
    <n v="1797"/>
    <d v="2023-01-13T00:00:00"/>
    <s v="Standard"/>
    <n v="399"/>
    <n v="1.2"/>
    <n v="3"/>
    <n v="4"/>
    <n v="15"/>
    <n v="19"/>
    <s v="Yes"/>
    <s v="Yes"/>
    <s v="Yes"/>
    <s v="No"/>
    <s v="Yes"/>
    <s v="No"/>
    <m/>
    <s v="1+ Failures"/>
    <n v="1"/>
    <x v="0"/>
  </r>
  <r>
    <n v="1798"/>
    <d v="2023-06-24T00:00:00"/>
    <s v="Standard"/>
    <n v="399"/>
    <n v="18.2"/>
    <n v="8"/>
    <n v="3"/>
    <n v="24"/>
    <n v="30"/>
    <s v="Yes"/>
    <s v="No"/>
    <s v="Yes"/>
    <s v="Yes"/>
    <s v="Yes"/>
    <s v="No"/>
    <m/>
    <s v="1+ Failures"/>
    <n v="1"/>
    <x v="1"/>
  </r>
  <r>
    <n v="1799"/>
    <d v="2024-05-11T00:00:00"/>
    <s v="Standard"/>
    <n v="399"/>
    <n v="14.9"/>
    <n v="8"/>
    <n v="2"/>
    <n v="10"/>
    <n v="33"/>
    <s v="Yes"/>
    <s v="No"/>
    <s v="Yes"/>
    <s v="Yes"/>
    <s v="Yes"/>
    <s v="No"/>
    <m/>
    <s v="1+ Failures"/>
    <n v="1"/>
    <x v="1"/>
  </r>
  <r>
    <n v="1800"/>
    <d v="2023-01-15T00:00:00"/>
    <s v="Premium"/>
    <n v="699"/>
    <n v="21.8"/>
    <n v="7"/>
    <n v="1"/>
    <n v="11"/>
    <n v="30"/>
    <s v="No"/>
    <s v="No"/>
    <s v="Yes"/>
    <s v="Yes"/>
    <s v="Yes"/>
    <s v="No"/>
    <m/>
    <s v="1+ Failures"/>
    <n v="0"/>
    <x v="3"/>
  </r>
  <r>
    <n v="1801"/>
    <d v="2024-09-15T00:00:00"/>
    <s v="Premium"/>
    <n v="699"/>
    <n v="8.9"/>
    <n v="4"/>
    <n v="1"/>
    <n v="5"/>
    <n v="14"/>
    <s v="Yes"/>
    <s v="No"/>
    <s v="Yes"/>
    <s v="No"/>
    <s v="No"/>
    <s v="Yes"/>
    <m/>
    <s v="1+ Failures"/>
    <n v="1"/>
    <x v="2"/>
  </r>
  <r>
    <n v="1802"/>
    <d v="2024-10-15T00:00:00"/>
    <s v="Premium"/>
    <n v="699"/>
    <n v="16.399999999999999"/>
    <n v="5"/>
    <n v="3"/>
    <n v="8"/>
    <n v="29"/>
    <s v="Yes"/>
    <s v="No"/>
    <s v="Yes"/>
    <s v="Yes"/>
    <s v="Yes"/>
    <s v="No"/>
    <m/>
    <s v="1+ Failures"/>
    <n v="1"/>
    <x v="1"/>
  </r>
  <r>
    <n v="1803"/>
    <d v="2024-10-03T00:00:00"/>
    <s v="Basic"/>
    <n v="199"/>
    <n v="22.5"/>
    <n v="3"/>
    <n v="2"/>
    <n v="34"/>
    <n v="42"/>
    <s v="Yes"/>
    <s v="No"/>
    <s v="Yes"/>
    <s v="No"/>
    <s v="Yes"/>
    <s v="No"/>
    <m/>
    <s v="1+ Failures"/>
    <n v="1"/>
    <x v="3"/>
  </r>
  <r>
    <n v="1804"/>
    <d v="2024-07-04T00:00:00"/>
    <s v="Basic"/>
    <n v="199"/>
    <n v="12.9"/>
    <n v="4"/>
    <n v="4"/>
    <n v="22"/>
    <n v="34"/>
    <s v="No"/>
    <s v="No"/>
    <s v="Yes"/>
    <s v="No"/>
    <s v="Yes"/>
    <s v="No"/>
    <m/>
    <s v="1+ Failures"/>
    <n v="0"/>
    <x v="1"/>
  </r>
  <r>
    <n v="1805"/>
    <d v="2023-07-07T00:00:00"/>
    <s v="Basic"/>
    <n v="199"/>
    <n v="11.4"/>
    <n v="8"/>
    <n v="1"/>
    <n v="4"/>
    <n v="15"/>
    <s v="No"/>
    <s v="No"/>
    <s v="Yes"/>
    <s v="Yes"/>
    <s v="Yes"/>
    <s v="Yes"/>
    <m/>
    <s v="1+ Failures"/>
    <n v="0"/>
    <x v="1"/>
  </r>
  <r>
    <n v="1806"/>
    <d v="2023-09-30T00:00:00"/>
    <s v="Premium"/>
    <n v="699"/>
    <n v="6.1"/>
    <n v="7"/>
    <n v="1"/>
    <n v="16"/>
    <n v="2"/>
    <s v="No"/>
    <s v="No"/>
    <s v="Yes"/>
    <s v="Yes"/>
    <s v="No"/>
    <s v="No"/>
    <m/>
    <s v="1+ Failures"/>
    <n v="0"/>
    <x v="2"/>
  </r>
  <r>
    <n v="1807"/>
    <d v="2023-05-16T00:00:00"/>
    <s v="Premium"/>
    <n v="699"/>
    <n v="2.7"/>
    <n v="3"/>
    <n v="5"/>
    <n v="18"/>
    <n v="53"/>
    <s v="No"/>
    <s v="Yes"/>
    <s v="Yes"/>
    <s v="No"/>
    <s v="Yes"/>
    <s v="No"/>
    <m/>
    <s v="1+ Failures"/>
    <n v="0"/>
    <x v="0"/>
  </r>
  <r>
    <n v="1808"/>
    <d v="2024-05-03T00:00:00"/>
    <s v="Premium"/>
    <n v="699"/>
    <n v="2"/>
    <n v="3"/>
    <n v="1"/>
    <n v="20"/>
    <n v="37"/>
    <s v="No"/>
    <s v="Yes"/>
    <s v="Yes"/>
    <s v="No"/>
    <s v="Yes"/>
    <s v="No"/>
    <m/>
    <s v="1+ Failures"/>
    <n v="0"/>
    <x v="0"/>
  </r>
  <r>
    <n v="1809"/>
    <d v="2023-07-21T00:00:00"/>
    <s v="Standard"/>
    <n v="399"/>
    <n v="13.7"/>
    <n v="0"/>
    <n v="2"/>
    <n v="7"/>
    <n v="50"/>
    <s v="No"/>
    <s v="No"/>
    <s v="Yes"/>
    <s v="No"/>
    <s v="Yes"/>
    <s v="No"/>
    <m/>
    <s v="1+ Failures"/>
    <n v="0"/>
    <x v="1"/>
  </r>
  <r>
    <n v="1810"/>
    <d v="2023-08-09T00:00:00"/>
    <s v="Standard"/>
    <n v="399"/>
    <n v="11.3"/>
    <n v="7"/>
    <n v="1"/>
    <n v="8"/>
    <n v="6"/>
    <s v="No"/>
    <s v="No"/>
    <s v="Yes"/>
    <s v="Yes"/>
    <s v="No"/>
    <s v="No"/>
    <m/>
    <s v="1+ Failures"/>
    <n v="0"/>
    <x v="1"/>
  </r>
  <r>
    <n v="1811"/>
    <d v="2023-04-25T00:00:00"/>
    <s v="Premium"/>
    <n v="699"/>
    <n v="7.8"/>
    <n v="0"/>
    <n v="4"/>
    <n v="32"/>
    <n v="27"/>
    <s v="No"/>
    <s v="No"/>
    <s v="Yes"/>
    <s v="No"/>
    <s v="Yes"/>
    <s v="No"/>
    <m/>
    <s v="1+ Failures"/>
    <n v="0"/>
    <x v="2"/>
  </r>
  <r>
    <n v="1812"/>
    <d v="2024-04-12T00:00:00"/>
    <s v="Premium"/>
    <n v="699"/>
    <n v="19.5"/>
    <n v="3"/>
    <n v="4"/>
    <n v="29"/>
    <n v="51"/>
    <s v="No"/>
    <s v="No"/>
    <s v="Yes"/>
    <s v="No"/>
    <s v="Yes"/>
    <s v="No"/>
    <m/>
    <s v="1+ Failures"/>
    <n v="0"/>
    <x v="1"/>
  </r>
  <r>
    <n v="1813"/>
    <d v="2024-06-03T00:00:00"/>
    <s v="Basic"/>
    <n v="199"/>
    <n v="19"/>
    <n v="4"/>
    <n v="3"/>
    <n v="17"/>
    <n v="40"/>
    <s v="Yes"/>
    <s v="No"/>
    <s v="Yes"/>
    <s v="No"/>
    <s v="Yes"/>
    <s v="No"/>
    <m/>
    <s v="1+ Failures"/>
    <n v="1"/>
    <x v="1"/>
  </r>
  <r>
    <n v="1814"/>
    <d v="2023-12-16T00:00:00"/>
    <s v="Standard"/>
    <n v="399"/>
    <n v="7.5"/>
    <n v="4"/>
    <n v="2"/>
    <n v="33"/>
    <n v="55"/>
    <s v="Yes"/>
    <s v="No"/>
    <s v="Yes"/>
    <s v="No"/>
    <s v="Yes"/>
    <s v="No"/>
    <m/>
    <s v="1+ Failures"/>
    <n v="1"/>
    <x v="2"/>
  </r>
  <r>
    <n v="1815"/>
    <d v="2024-05-14T00:00:00"/>
    <s v="Standard"/>
    <n v="399"/>
    <n v="12.8"/>
    <n v="7"/>
    <n v="0"/>
    <n v="36"/>
    <n v="48"/>
    <s v="No"/>
    <s v="No"/>
    <s v="No"/>
    <s v="Yes"/>
    <s v="Yes"/>
    <s v="No"/>
    <m/>
    <s v="0 Failures"/>
    <n v="0"/>
    <x v="1"/>
  </r>
  <r>
    <n v="1816"/>
    <d v="2023-03-09T00:00:00"/>
    <s v="Basic"/>
    <n v="199"/>
    <n v="22.4"/>
    <n v="8"/>
    <n v="3"/>
    <n v="21"/>
    <n v="31"/>
    <s v="Yes"/>
    <s v="No"/>
    <s v="Yes"/>
    <s v="Yes"/>
    <s v="Yes"/>
    <s v="No"/>
    <m/>
    <s v="1+ Failures"/>
    <n v="1"/>
    <x v="3"/>
  </r>
  <r>
    <n v="1817"/>
    <d v="2023-07-07T00:00:00"/>
    <s v="Standard"/>
    <n v="399"/>
    <n v="2.8"/>
    <n v="7"/>
    <n v="2"/>
    <n v="20"/>
    <n v="40"/>
    <s v="Yes"/>
    <s v="Yes"/>
    <s v="Yes"/>
    <s v="Yes"/>
    <s v="Yes"/>
    <s v="No"/>
    <m/>
    <s v="1+ Failures"/>
    <n v="1"/>
    <x v="0"/>
  </r>
  <r>
    <n v="1818"/>
    <d v="2024-06-27T00:00:00"/>
    <s v="Basic"/>
    <n v="199"/>
    <n v="19.2"/>
    <n v="3"/>
    <n v="2"/>
    <n v="7"/>
    <n v="32"/>
    <s v="Yes"/>
    <s v="No"/>
    <s v="Yes"/>
    <s v="No"/>
    <s v="Yes"/>
    <s v="No"/>
    <m/>
    <s v="1+ Failures"/>
    <n v="1"/>
    <x v="1"/>
  </r>
  <r>
    <n v="1819"/>
    <d v="2023-06-10T00:00:00"/>
    <s v="Standard"/>
    <n v="399"/>
    <n v="17.3"/>
    <n v="3"/>
    <n v="4"/>
    <n v="7"/>
    <n v="43"/>
    <s v="Yes"/>
    <s v="No"/>
    <s v="Yes"/>
    <s v="No"/>
    <s v="Yes"/>
    <s v="No"/>
    <m/>
    <s v="1+ Failures"/>
    <n v="1"/>
    <x v="1"/>
  </r>
  <r>
    <n v="1820"/>
    <d v="2024-06-12T00:00:00"/>
    <s v="Basic"/>
    <n v="199"/>
    <n v="19.8"/>
    <n v="2"/>
    <n v="4"/>
    <n v="26"/>
    <n v="42"/>
    <s v="Yes"/>
    <s v="No"/>
    <s v="Yes"/>
    <s v="No"/>
    <s v="Yes"/>
    <s v="No"/>
    <m/>
    <s v="1+ Failures"/>
    <n v="1"/>
    <x v="1"/>
  </r>
  <r>
    <n v="1821"/>
    <d v="2023-11-07T00:00:00"/>
    <s v="Standard"/>
    <n v="399"/>
    <n v="19.600000000000001"/>
    <n v="4"/>
    <n v="1"/>
    <n v="27"/>
    <n v="59"/>
    <s v="Yes"/>
    <s v="No"/>
    <s v="Yes"/>
    <s v="No"/>
    <s v="Yes"/>
    <s v="No"/>
    <m/>
    <s v="1+ Failures"/>
    <n v="1"/>
    <x v="1"/>
  </r>
  <r>
    <n v="1822"/>
    <d v="2024-03-11T00:00:00"/>
    <s v="Standard"/>
    <n v="399"/>
    <n v="8"/>
    <n v="5"/>
    <n v="5"/>
    <n v="10"/>
    <n v="20"/>
    <s v="Yes"/>
    <s v="No"/>
    <s v="Yes"/>
    <s v="Yes"/>
    <s v="Yes"/>
    <s v="No"/>
    <m/>
    <s v="1+ Failures"/>
    <n v="1"/>
    <x v="2"/>
  </r>
  <r>
    <n v="1823"/>
    <d v="2023-12-29T00:00:00"/>
    <s v="Premium"/>
    <n v="699"/>
    <n v="19.2"/>
    <n v="0"/>
    <n v="3"/>
    <n v="26"/>
    <n v="3"/>
    <s v="No"/>
    <s v="No"/>
    <s v="Yes"/>
    <s v="No"/>
    <s v="No"/>
    <s v="No"/>
    <m/>
    <s v="1+ Failures"/>
    <n v="0"/>
    <x v="1"/>
  </r>
  <r>
    <n v="1824"/>
    <d v="2023-08-02T00:00:00"/>
    <s v="Premium"/>
    <n v="699"/>
    <n v="24.4"/>
    <n v="4"/>
    <n v="0"/>
    <n v="9"/>
    <n v="52"/>
    <s v="No"/>
    <s v="No"/>
    <s v="No"/>
    <s v="No"/>
    <s v="Yes"/>
    <s v="No"/>
    <m/>
    <s v="0 Failures"/>
    <n v="0"/>
    <x v="3"/>
  </r>
  <r>
    <n v="1825"/>
    <d v="2024-01-27T00:00:00"/>
    <s v="Premium"/>
    <n v="699"/>
    <n v="7.7"/>
    <n v="5"/>
    <n v="0"/>
    <n v="17"/>
    <n v="20"/>
    <s v="No"/>
    <s v="No"/>
    <s v="No"/>
    <s v="Yes"/>
    <s v="Yes"/>
    <s v="No"/>
    <m/>
    <s v="0 Failures"/>
    <n v="0"/>
    <x v="2"/>
  </r>
  <r>
    <n v="1826"/>
    <d v="2023-10-08T00:00:00"/>
    <s v="Standard"/>
    <n v="399"/>
    <n v="14.2"/>
    <n v="3"/>
    <n v="1"/>
    <n v="36"/>
    <n v="39"/>
    <s v="No"/>
    <s v="No"/>
    <s v="Yes"/>
    <s v="No"/>
    <s v="Yes"/>
    <s v="No"/>
    <m/>
    <s v="1+ Failures"/>
    <n v="0"/>
    <x v="1"/>
  </r>
  <r>
    <n v="1827"/>
    <d v="2024-08-30T00:00:00"/>
    <s v="Basic"/>
    <n v="199"/>
    <n v="6.5"/>
    <n v="5"/>
    <n v="5"/>
    <n v="5"/>
    <n v="30"/>
    <s v="No"/>
    <s v="No"/>
    <s v="Yes"/>
    <s v="Yes"/>
    <s v="Yes"/>
    <s v="Yes"/>
    <m/>
    <s v="1+ Failures"/>
    <n v="0"/>
    <x v="2"/>
  </r>
  <r>
    <n v="1828"/>
    <d v="2023-09-13T00:00:00"/>
    <s v="Standard"/>
    <n v="399"/>
    <n v="19.600000000000001"/>
    <n v="6"/>
    <n v="5"/>
    <n v="3"/>
    <n v="58"/>
    <s v="Yes"/>
    <s v="No"/>
    <s v="Yes"/>
    <s v="Yes"/>
    <s v="Yes"/>
    <s v="Yes"/>
    <m/>
    <s v="1+ Failures"/>
    <n v="1"/>
    <x v="1"/>
  </r>
  <r>
    <n v="1829"/>
    <d v="2024-01-14T00:00:00"/>
    <s v="Standard"/>
    <n v="399"/>
    <n v="2"/>
    <n v="0"/>
    <n v="5"/>
    <n v="25"/>
    <n v="21"/>
    <s v="Yes"/>
    <s v="Yes"/>
    <s v="Yes"/>
    <s v="No"/>
    <s v="Yes"/>
    <s v="No"/>
    <m/>
    <s v="1+ Failures"/>
    <n v="1"/>
    <x v="0"/>
  </r>
  <r>
    <n v="1830"/>
    <d v="2024-02-28T00:00:00"/>
    <s v="Standard"/>
    <n v="399"/>
    <n v="3.2"/>
    <n v="2"/>
    <n v="5"/>
    <n v="19"/>
    <n v="4"/>
    <s v="Yes"/>
    <s v="Yes"/>
    <s v="Yes"/>
    <s v="No"/>
    <s v="No"/>
    <s v="No"/>
    <m/>
    <s v="1+ Failures"/>
    <n v="1"/>
    <x v="0"/>
  </r>
  <r>
    <n v="1831"/>
    <d v="2023-12-02T00:00:00"/>
    <s v="Basic"/>
    <n v="199"/>
    <n v="15"/>
    <n v="3"/>
    <n v="4"/>
    <n v="10"/>
    <n v="5"/>
    <s v="No"/>
    <s v="No"/>
    <s v="Yes"/>
    <s v="No"/>
    <s v="No"/>
    <s v="No"/>
    <m/>
    <s v="1+ Failures"/>
    <n v="0"/>
    <x v="1"/>
  </r>
  <r>
    <n v="1832"/>
    <d v="2024-12-07T00:00:00"/>
    <s v="Premium"/>
    <n v="699"/>
    <n v="19.2"/>
    <n v="4"/>
    <n v="4"/>
    <n v="35"/>
    <n v="33"/>
    <s v="No"/>
    <s v="No"/>
    <s v="Yes"/>
    <s v="No"/>
    <s v="Yes"/>
    <s v="No"/>
    <m/>
    <s v="1+ Failures"/>
    <n v="0"/>
    <x v="1"/>
  </r>
  <r>
    <n v="1833"/>
    <d v="2024-01-05T00:00:00"/>
    <s v="Basic"/>
    <n v="199"/>
    <n v="19.399999999999999"/>
    <n v="1"/>
    <n v="5"/>
    <n v="9"/>
    <n v="45"/>
    <s v="No"/>
    <s v="No"/>
    <s v="Yes"/>
    <s v="No"/>
    <s v="Yes"/>
    <s v="No"/>
    <m/>
    <s v="1+ Failures"/>
    <n v="0"/>
    <x v="1"/>
  </r>
  <r>
    <n v="1834"/>
    <d v="2023-07-23T00:00:00"/>
    <s v="Standard"/>
    <n v="399"/>
    <n v="5"/>
    <n v="7"/>
    <n v="1"/>
    <n v="14"/>
    <n v="29"/>
    <s v="Yes"/>
    <s v="No"/>
    <s v="Yes"/>
    <s v="Yes"/>
    <s v="Yes"/>
    <s v="No"/>
    <m/>
    <s v="1+ Failures"/>
    <n v="1"/>
    <x v="0"/>
  </r>
  <r>
    <n v="1835"/>
    <d v="2024-03-13T00:00:00"/>
    <s v="Premium"/>
    <n v="699"/>
    <n v="6.8"/>
    <n v="0"/>
    <n v="1"/>
    <n v="17"/>
    <n v="7"/>
    <s v="No"/>
    <s v="No"/>
    <s v="Yes"/>
    <s v="No"/>
    <s v="No"/>
    <s v="No"/>
    <m/>
    <s v="1+ Failures"/>
    <n v="0"/>
    <x v="2"/>
  </r>
  <r>
    <n v="1836"/>
    <d v="2024-01-18T00:00:00"/>
    <s v="Standard"/>
    <n v="399"/>
    <n v="20.100000000000001"/>
    <n v="8"/>
    <n v="0"/>
    <n v="32"/>
    <n v="58"/>
    <s v="No"/>
    <s v="No"/>
    <s v="No"/>
    <s v="Yes"/>
    <s v="Yes"/>
    <s v="No"/>
    <m/>
    <s v="0 Failures"/>
    <n v="0"/>
    <x v="3"/>
  </r>
  <r>
    <n v="1837"/>
    <d v="2023-10-17T00:00:00"/>
    <s v="Basic"/>
    <n v="199"/>
    <n v="24.9"/>
    <n v="8"/>
    <n v="2"/>
    <n v="28"/>
    <n v="50"/>
    <s v="Yes"/>
    <s v="No"/>
    <s v="Yes"/>
    <s v="Yes"/>
    <s v="Yes"/>
    <s v="No"/>
    <m/>
    <s v="1+ Failures"/>
    <n v="1"/>
    <x v="3"/>
  </r>
  <r>
    <n v="1838"/>
    <d v="2023-04-26T00:00:00"/>
    <s v="Premium"/>
    <n v="699"/>
    <n v="16"/>
    <n v="1"/>
    <n v="4"/>
    <n v="22"/>
    <n v="5"/>
    <s v="No"/>
    <s v="No"/>
    <s v="Yes"/>
    <s v="No"/>
    <s v="No"/>
    <s v="No"/>
    <m/>
    <s v="1+ Failures"/>
    <n v="0"/>
    <x v="1"/>
  </r>
  <r>
    <n v="1839"/>
    <d v="2024-10-27T00:00:00"/>
    <s v="Premium"/>
    <n v="699"/>
    <n v="20.100000000000001"/>
    <n v="1"/>
    <n v="4"/>
    <n v="11"/>
    <n v="59"/>
    <s v="Yes"/>
    <s v="No"/>
    <s v="Yes"/>
    <s v="No"/>
    <s v="Yes"/>
    <s v="No"/>
    <m/>
    <s v="1+ Failures"/>
    <n v="1"/>
    <x v="3"/>
  </r>
  <r>
    <n v="1840"/>
    <d v="2023-06-05T00:00:00"/>
    <s v="Basic"/>
    <n v="199"/>
    <n v="19.3"/>
    <n v="6"/>
    <n v="2"/>
    <n v="5"/>
    <n v="29"/>
    <s v="Yes"/>
    <s v="No"/>
    <s v="Yes"/>
    <s v="Yes"/>
    <s v="Yes"/>
    <s v="Yes"/>
    <m/>
    <s v="1+ Failures"/>
    <n v="1"/>
    <x v="1"/>
  </r>
  <r>
    <n v="1841"/>
    <d v="2024-03-18T00:00:00"/>
    <s v="Premium"/>
    <n v="699"/>
    <n v="2.2999999999999998"/>
    <n v="5"/>
    <n v="3"/>
    <n v="22"/>
    <n v="33"/>
    <s v="Yes"/>
    <s v="Yes"/>
    <s v="Yes"/>
    <s v="Yes"/>
    <s v="Yes"/>
    <s v="No"/>
    <m/>
    <s v="1+ Failures"/>
    <n v="1"/>
    <x v="0"/>
  </r>
  <r>
    <n v="1842"/>
    <d v="2023-01-09T00:00:00"/>
    <s v="Basic"/>
    <n v="199"/>
    <n v="14.6"/>
    <n v="0"/>
    <n v="4"/>
    <n v="26"/>
    <n v="53"/>
    <s v="Yes"/>
    <s v="No"/>
    <s v="Yes"/>
    <s v="No"/>
    <s v="Yes"/>
    <s v="No"/>
    <m/>
    <s v="1+ Failures"/>
    <n v="1"/>
    <x v="1"/>
  </r>
  <r>
    <n v="1843"/>
    <d v="2023-12-01T00:00:00"/>
    <s v="Basic"/>
    <n v="199"/>
    <n v="11"/>
    <n v="4"/>
    <n v="1"/>
    <n v="21"/>
    <n v="37"/>
    <s v="No"/>
    <s v="No"/>
    <s v="Yes"/>
    <s v="No"/>
    <s v="Yes"/>
    <s v="No"/>
    <m/>
    <s v="1+ Failures"/>
    <n v="0"/>
    <x v="1"/>
  </r>
  <r>
    <n v="1844"/>
    <d v="2024-08-13T00:00:00"/>
    <s v="Premium"/>
    <n v="699"/>
    <n v="16.5"/>
    <n v="3"/>
    <n v="4"/>
    <n v="30"/>
    <n v="59"/>
    <s v="Yes"/>
    <s v="No"/>
    <s v="Yes"/>
    <s v="No"/>
    <s v="Yes"/>
    <s v="No"/>
    <m/>
    <s v="1+ Failures"/>
    <n v="1"/>
    <x v="1"/>
  </r>
  <r>
    <n v="1845"/>
    <d v="2024-06-30T00:00:00"/>
    <s v="Basic"/>
    <n v="199"/>
    <n v="19.399999999999999"/>
    <n v="3"/>
    <n v="2"/>
    <n v="13"/>
    <n v="11"/>
    <s v="Yes"/>
    <s v="No"/>
    <s v="Yes"/>
    <s v="No"/>
    <s v="No"/>
    <s v="No"/>
    <m/>
    <s v="1+ Failures"/>
    <n v="1"/>
    <x v="1"/>
  </r>
  <r>
    <n v="1846"/>
    <d v="2023-11-19T00:00:00"/>
    <s v="Premium"/>
    <n v="699"/>
    <n v="19.600000000000001"/>
    <n v="8"/>
    <n v="2"/>
    <n v="3"/>
    <n v="4"/>
    <s v="Yes"/>
    <s v="No"/>
    <s v="Yes"/>
    <s v="Yes"/>
    <s v="No"/>
    <s v="Yes"/>
    <m/>
    <s v="1+ Failures"/>
    <n v="1"/>
    <x v="1"/>
  </r>
  <r>
    <n v="1847"/>
    <d v="2023-08-11T00:00:00"/>
    <s v="Basic"/>
    <n v="199"/>
    <n v="5.4"/>
    <n v="2"/>
    <n v="3"/>
    <n v="14"/>
    <n v="17"/>
    <s v="Yes"/>
    <s v="No"/>
    <s v="Yes"/>
    <s v="No"/>
    <s v="Yes"/>
    <s v="No"/>
    <m/>
    <s v="1+ Failures"/>
    <n v="1"/>
    <x v="2"/>
  </r>
  <r>
    <n v="1848"/>
    <d v="2023-01-27T00:00:00"/>
    <s v="Standard"/>
    <n v="399"/>
    <n v="3.9"/>
    <n v="7"/>
    <n v="0"/>
    <n v="2"/>
    <n v="53"/>
    <s v="No"/>
    <s v="Yes"/>
    <s v="No"/>
    <s v="Yes"/>
    <s v="Yes"/>
    <s v="Yes"/>
    <m/>
    <s v="0 Failures"/>
    <n v="0"/>
    <x v="0"/>
  </r>
  <r>
    <n v="1849"/>
    <d v="2024-01-25T00:00:00"/>
    <s v="Standard"/>
    <n v="399"/>
    <n v="9.8000000000000007"/>
    <n v="7"/>
    <n v="3"/>
    <n v="14"/>
    <n v="25"/>
    <s v="Yes"/>
    <s v="No"/>
    <s v="Yes"/>
    <s v="Yes"/>
    <s v="Yes"/>
    <s v="No"/>
    <m/>
    <s v="1+ Failures"/>
    <n v="1"/>
    <x v="2"/>
  </r>
  <r>
    <n v="1850"/>
    <d v="2024-06-12T00:00:00"/>
    <s v="Premium"/>
    <n v="699"/>
    <n v="2.8"/>
    <n v="2"/>
    <n v="4"/>
    <n v="8"/>
    <n v="58"/>
    <s v="Yes"/>
    <s v="Yes"/>
    <s v="Yes"/>
    <s v="No"/>
    <s v="Yes"/>
    <s v="No"/>
    <m/>
    <s v="1+ Failures"/>
    <n v="1"/>
    <x v="0"/>
  </r>
  <r>
    <n v="1851"/>
    <d v="2023-11-21T00:00:00"/>
    <s v="Basic"/>
    <n v="199"/>
    <n v="19"/>
    <n v="1"/>
    <n v="3"/>
    <n v="11"/>
    <n v="47"/>
    <s v="No"/>
    <s v="No"/>
    <s v="Yes"/>
    <s v="No"/>
    <s v="Yes"/>
    <s v="No"/>
    <m/>
    <s v="1+ Failures"/>
    <n v="0"/>
    <x v="1"/>
  </r>
  <r>
    <n v="1852"/>
    <d v="2024-06-04T00:00:00"/>
    <s v="Standard"/>
    <n v="399"/>
    <n v="5.7"/>
    <n v="1"/>
    <n v="4"/>
    <n v="13"/>
    <n v="23"/>
    <s v="Yes"/>
    <s v="No"/>
    <s v="Yes"/>
    <s v="No"/>
    <s v="Yes"/>
    <s v="No"/>
    <m/>
    <s v="1+ Failures"/>
    <n v="1"/>
    <x v="2"/>
  </r>
  <r>
    <n v="1853"/>
    <d v="2023-04-13T00:00:00"/>
    <s v="Basic"/>
    <n v="199"/>
    <n v="0.9"/>
    <n v="6"/>
    <n v="3"/>
    <n v="30"/>
    <n v="25"/>
    <s v="Yes"/>
    <s v="Yes"/>
    <s v="Yes"/>
    <s v="Yes"/>
    <s v="Yes"/>
    <s v="No"/>
    <m/>
    <s v="1+ Failures"/>
    <n v="1"/>
    <x v="0"/>
  </r>
  <r>
    <n v="1854"/>
    <d v="2023-11-04T00:00:00"/>
    <s v="Standard"/>
    <n v="399"/>
    <n v="23.7"/>
    <n v="1"/>
    <n v="3"/>
    <n v="24"/>
    <n v="60"/>
    <s v="No"/>
    <s v="No"/>
    <s v="Yes"/>
    <s v="No"/>
    <s v="Yes"/>
    <s v="No"/>
    <m/>
    <s v="1+ Failures"/>
    <n v="0"/>
    <x v="3"/>
  </r>
  <r>
    <n v="1855"/>
    <d v="2023-10-09T00:00:00"/>
    <s v="Basic"/>
    <n v="199"/>
    <n v="16.399999999999999"/>
    <n v="6"/>
    <n v="3"/>
    <n v="6"/>
    <n v="1"/>
    <s v="No"/>
    <s v="No"/>
    <s v="Yes"/>
    <s v="Yes"/>
    <s v="No"/>
    <s v="No"/>
    <m/>
    <s v="1+ Failures"/>
    <n v="0"/>
    <x v="1"/>
  </r>
  <r>
    <n v="1856"/>
    <d v="2024-06-15T00:00:00"/>
    <s v="Premium"/>
    <n v="699"/>
    <n v="1.6"/>
    <n v="3"/>
    <n v="1"/>
    <n v="21"/>
    <n v="36"/>
    <s v="Yes"/>
    <s v="Yes"/>
    <s v="Yes"/>
    <s v="No"/>
    <s v="Yes"/>
    <s v="No"/>
    <m/>
    <s v="1+ Failures"/>
    <n v="1"/>
    <x v="0"/>
  </r>
  <r>
    <n v="1857"/>
    <d v="2024-11-07T00:00:00"/>
    <s v="Basic"/>
    <n v="199"/>
    <n v="17.5"/>
    <n v="0"/>
    <n v="0"/>
    <n v="9"/>
    <n v="38"/>
    <s v="No"/>
    <s v="No"/>
    <s v="No"/>
    <s v="No"/>
    <s v="Yes"/>
    <s v="No"/>
    <m/>
    <s v="0 Failures"/>
    <n v="0"/>
    <x v="1"/>
  </r>
  <r>
    <n v="1858"/>
    <d v="2024-06-15T00:00:00"/>
    <s v="Standard"/>
    <n v="399"/>
    <n v="15.6"/>
    <n v="2"/>
    <n v="3"/>
    <n v="24"/>
    <n v="11"/>
    <s v="Yes"/>
    <s v="No"/>
    <s v="Yes"/>
    <s v="No"/>
    <s v="No"/>
    <s v="No"/>
    <m/>
    <s v="1+ Failures"/>
    <n v="1"/>
    <x v="1"/>
  </r>
  <r>
    <n v="1859"/>
    <d v="2023-11-10T00:00:00"/>
    <s v="Basic"/>
    <n v="199"/>
    <n v="9.4"/>
    <n v="1"/>
    <n v="1"/>
    <n v="12"/>
    <n v="1"/>
    <s v="No"/>
    <s v="No"/>
    <s v="Yes"/>
    <s v="No"/>
    <s v="No"/>
    <s v="No"/>
    <m/>
    <s v="1+ Failures"/>
    <n v="0"/>
    <x v="2"/>
  </r>
  <r>
    <n v="1860"/>
    <d v="2023-01-27T00:00:00"/>
    <s v="Standard"/>
    <n v="399"/>
    <n v="22.8"/>
    <n v="4"/>
    <n v="4"/>
    <n v="24"/>
    <n v="20"/>
    <s v="Yes"/>
    <s v="No"/>
    <s v="Yes"/>
    <s v="No"/>
    <s v="Yes"/>
    <s v="No"/>
    <m/>
    <s v="1+ Failures"/>
    <n v="1"/>
    <x v="3"/>
  </r>
  <r>
    <n v="1861"/>
    <d v="2024-02-22T00:00:00"/>
    <s v="Standard"/>
    <n v="399"/>
    <n v="22.3"/>
    <n v="0"/>
    <n v="5"/>
    <n v="2"/>
    <n v="55"/>
    <s v="Yes"/>
    <s v="No"/>
    <s v="Yes"/>
    <s v="No"/>
    <s v="Yes"/>
    <s v="Yes"/>
    <m/>
    <s v="1+ Failures"/>
    <n v="1"/>
    <x v="3"/>
  </r>
  <r>
    <n v="1862"/>
    <d v="2023-12-24T00:00:00"/>
    <s v="Basic"/>
    <n v="199"/>
    <n v="9.6999999999999993"/>
    <n v="8"/>
    <n v="1"/>
    <n v="35"/>
    <n v="10"/>
    <s v="Yes"/>
    <s v="No"/>
    <s v="Yes"/>
    <s v="Yes"/>
    <s v="No"/>
    <s v="No"/>
    <m/>
    <s v="1+ Failures"/>
    <n v="1"/>
    <x v="2"/>
  </r>
  <r>
    <n v="1863"/>
    <d v="2024-03-01T00:00:00"/>
    <s v="Basic"/>
    <n v="199"/>
    <n v="10.8"/>
    <n v="1"/>
    <n v="0"/>
    <n v="6"/>
    <n v="30"/>
    <s v="No"/>
    <s v="No"/>
    <s v="No"/>
    <s v="No"/>
    <s v="Yes"/>
    <s v="No"/>
    <m/>
    <s v="0 Failures"/>
    <n v="0"/>
    <x v="1"/>
  </r>
  <r>
    <n v="1864"/>
    <d v="2023-09-21T00:00:00"/>
    <s v="Premium"/>
    <n v="699"/>
    <n v="3.8"/>
    <n v="0"/>
    <n v="2"/>
    <n v="29"/>
    <n v="30"/>
    <s v="Yes"/>
    <s v="Yes"/>
    <s v="Yes"/>
    <s v="No"/>
    <s v="Yes"/>
    <s v="No"/>
    <m/>
    <s v="1+ Failures"/>
    <n v="1"/>
    <x v="0"/>
  </r>
  <r>
    <n v="1865"/>
    <d v="2024-05-04T00:00:00"/>
    <s v="Basic"/>
    <n v="199"/>
    <n v="16.600000000000001"/>
    <n v="5"/>
    <n v="4"/>
    <n v="21"/>
    <n v="42"/>
    <s v="Yes"/>
    <s v="No"/>
    <s v="Yes"/>
    <s v="Yes"/>
    <s v="Yes"/>
    <s v="No"/>
    <m/>
    <s v="1+ Failures"/>
    <n v="1"/>
    <x v="1"/>
  </r>
  <r>
    <n v="1866"/>
    <d v="2023-08-19T00:00:00"/>
    <s v="Standard"/>
    <n v="399"/>
    <n v="3.6"/>
    <n v="8"/>
    <n v="1"/>
    <n v="13"/>
    <n v="51"/>
    <s v="No"/>
    <s v="Yes"/>
    <s v="Yes"/>
    <s v="Yes"/>
    <s v="Yes"/>
    <s v="No"/>
    <m/>
    <s v="1+ Failures"/>
    <n v="0"/>
    <x v="0"/>
  </r>
  <r>
    <n v="1867"/>
    <d v="2023-09-13T00:00:00"/>
    <s v="Premium"/>
    <n v="699"/>
    <n v="18.7"/>
    <n v="6"/>
    <n v="2"/>
    <n v="6"/>
    <n v="56"/>
    <s v="Yes"/>
    <s v="No"/>
    <s v="Yes"/>
    <s v="Yes"/>
    <s v="Yes"/>
    <s v="No"/>
    <m/>
    <s v="1+ Failures"/>
    <n v="1"/>
    <x v="1"/>
  </r>
  <r>
    <n v="1868"/>
    <d v="2024-11-15T00:00:00"/>
    <s v="Basic"/>
    <n v="199"/>
    <n v="5"/>
    <n v="4"/>
    <n v="2"/>
    <n v="17"/>
    <n v="45"/>
    <s v="No"/>
    <s v="No"/>
    <s v="Yes"/>
    <s v="No"/>
    <s v="Yes"/>
    <s v="No"/>
    <m/>
    <s v="1+ Failures"/>
    <n v="0"/>
    <x v="0"/>
  </r>
  <r>
    <n v="1869"/>
    <d v="2024-11-08T00:00:00"/>
    <s v="Premium"/>
    <n v="699"/>
    <n v="13.2"/>
    <n v="4"/>
    <n v="1"/>
    <n v="34"/>
    <n v="20"/>
    <s v="No"/>
    <s v="No"/>
    <s v="Yes"/>
    <s v="No"/>
    <s v="Yes"/>
    <s v="No"/>
    <m/>
    <s v="1+ Failures"/>
    <n v="0"/>
    <x v="1"/>
  </r>
  <r>
    <n v="1870"/>
    <d v="2023-07-06T00:00:00"/>
    <s v="Basic"/>
    <n v="199"/>
    <n v="18.8"/>
    <n v="6"/>
    <n v="5"/>
    <n v="3"/>
    <n v="3"/>
    <s v="No"/>
    <s v="No"/>
    <s v="Yes"/>
    <s v="Yes"/>
    <s v="No"/>
    <s v="Yes"/>
    <m/>
    <s v="1+ Failures"/>
    <n v="0"/>
    <x v="1"/>
  </r>
  <r>
    <n v="1871"/>
    <d v="2024-08-08T00:00:00"/>
    <s v="Basic"/>
    <n v="199"/>
    <n v="16"/>
    <n v="3"/>
    <n v="1"/>
    <n v="10"/>
    <n v="25"/>
    <s v="Yes"/>
    <s v="No"/>
    <s v="Yes"/>
    <s v="No"/>
    <s v="Yes"/>
    <s v="No"/>
    <m/>
    <s v="1+ Failures"/>
    <n v="1"/>
    <x v="1"/>
  </r>
  <r>
    <n v="1872"/>
    <d v="2024-08-14T00:00:00"/>
    <s v="Standard"/>
    <n v="399"/>
    <n v="21.5"/>
    <n v="3"/>
    <n v="5"/>
    <n v="31"/>
    <n v="55"/>
    <s v="No"/>
    <s v="No"/>
    <s v="Yes"/>
    <s v="No"/>
    <s v="Yes"/>
    <s v="No"/>
    <m/>
    <s v="1+ Failures"/>
    <n v="0"/>
    <x v="3"/>
  </r>
  <r>
    <n v="1873"/>
    <d v="2023-05-01T00:00:00"/>
    <s v="Standard"/>
    <n v="399"/>
    <n v="24.8"/>
    <n v="7"/>
    <n v="4"/>
    <n v="29"/>
    <n v="16"/>
    <s v="No"/>
    <s v="No"/>
    <s v="Yes"/>
    <s v="Yes"/>
    <s v="Yes"/>
    <s v="No"/>
    <m/>
    <s v="1+ Failures"/>
    <n v="0"/>
    <x v="3"/>
  </r>
  <r>
    <n v="1874"/>
    <d v="2023-07-10T00:00:00"/>
    <s v="Premium"/>
    <n v="699"/>
    <n v="16.600000000000001"/>
    <n v="8"/>
    <n v="2"/>
    <n v="18"/>
    <n v="21"/>
    <s v="No"/>
    <s v="No"/>
    <s v="Yes"/>
    <s v="Yes"/>
    <s v="Yes"/>
    <s v="No"/>
    <m/>
    <s v="1+ Failures"/>
    <n v="0"/>
    <x v="1"/>
  </r>
  <r>
    <n v="1875"/>
    <d v="2024-11-15T00:00:00"/>
    <s v="Standard"/>
    <n v="399"/>
    <n v="20.3"/>
    <n v="7"/>
    <n v="4"/>
    <n v="22"/>
    <n v="29"/>
    <s v="Yes"/>
    <s v="No"/>
    <s v="Yes"/>
    <s v="Yes"/>
    <s v="Yes"/>
    <s v="No"/>
    <m/>
    <s v="1+ Failures"/>
    <n v="1"/>
    <x v="3"/>
  </r>
  <r>
    <n v="1876"/>
    <d v="2024-07-10T00:00:00"/>
    <s v="Standard"/>
    <n v="399"/>
    <n v="6.9"/>
    <n v="5"/>
    <n v="3"/>
    <n v="34"/>
    <n v="41"/>
    <s v="Yes"/>
    <s v="No"/>
    <s v="Yes"/>
    <s v="Yes"/>
    <s v="Yes"/>
    <s v="No"/>
    <m/>
    <s v="1+ Failures"/>
    <n v="1"/>
    <x v="2"/>
  </r>
  <r>
    <n v="1877"/>
    <d v="2023-10-30T00:00:00"/>
    <s v="Basic"/>
    <n v="199"/>
    <n v="6.1"/>
    <n v="7"/>
    <n v="0"/>
    <n v="7"/>
    <n v="7"/>
    <s v="No"/>
    <s v="No"/>
    <s v="No"/>
    <s v="Yes"/>
    <s v="No"/>
    <s v="No"/>
    <m/>
    <s v="0 Failures"/>
    <n v="0"/>
    <x v="2"/>
  </r>
  <r>
    <n v="1878"/>
    <d v="2024-05-31T00:00:00"/>
    <s v="Basic"/>
    <n v="199"/>
    <n v="8"/>
    <n v="6"/>
    <n v="4"/>
    <n v="23"/>
    <n v="60"/>
    <s v="Yes"/>
    <s v="No"/>
    <s v="Yes"/>
    <s v="Yes"/>
    <s v="Yes"/>
    <s v="No"/>
    <m/>
    <s v="1+ Failures"/>
    <n v="1"/>
    <x v="2"/>
  </r>
  <r>
    <n v="1879"/>
    <d v="2023-08-16T00:00:00"/>
    <s v="Basic"/>
    <n v="199"/>
    <n v="20.6"/>
    <n v="8"/>
    <n v="1"/>
    <n v="26"/>
    <n v="9"/>
    <s v="No"/>
    <s v="No"/>
    <s v="Yes"/>
    <s v="Yes"/>
    <s v="No"/>
    <s v="No"/>
    <m/>
    <s v="1+ Failures"/>
    <n v="0"/>
    <x v="3"/>
  </r>
  <r>
    <n v="1880"/>
    <d v="2024-07-30T00:00:00"/>
    <s v="Basic"/>
    <n v="199"/>
    <n v="18.5"/>
    <n v="5"/>
    <n v="4"/>
    <n v="13"/>
    <n v="38"/>
    <s v="No"/>
    <s v="No"/>
    <s v="Yes"/>
    <s v="Yes"/>
    <s v="Yes"/>
    <s v="No"/>
    <m/>
    <s v="1+ Failures"/>
    <n v="0"/>
    <x v="1"/>
  </r>
  <r>
    <n v="1881"/>
    <d v="2024-06-27T00:00:00"/>
    <s v="Premium"/>
    <n v="699"/>
    <n v="1.7"/>
    <n v="8"/>
    <n v="2"/>
    <n v="34"/>
    <n v="34"/>
    <s v="Yes"/>
    <s v="Yes"/>
    <s v="Yes"/>
    <s v="Yes"/>
    <s v="Yes"/>
    <s v="No"/>
    <m/>
    <s v="1+ Failures"/>
    <n v="1"/>
    <x v="0"/>
  </r>
  <r>
    <n v="1882"/>
    <d v="2023-08-20T00:00:00"/>
    <s v="Basic"/>
    <n v="199"/>
    <n v="4.4000000000000004"/>
    <n v="2"/>
    <n v="5"/>
    <n v="24"/>
    <n v="40"/>
    <s v="No"/>
    <s v="Yes"/>
    <s v="Yes"/>
    <s v="No"/>
    <s v="Yes"/>
    <s v="No"/>
    <m/>
    <s v="1+ Failures"/>
    <n v="0"/>
    <x v="0"/>
  </r>
  <r>
    <n v="1883"/>
    <d v="2024-02-15T00:00:00"/>
    <s v="Premium"/>
    <n v="699"/>
    <n v="13.8"/>
    <n v="6"/>
    <n v="1"/>
    <n v="10"/>
    <n v="17"/>
    <s v="Yes"/>
    <s v="No"/>
    <s v="Yes"/>
    <s v="Yes"/>
    <s v="Yes"/>
    <s v="No"/>
    <m/>
    <s v="1+ Failures"/>
    <n v="1"/>
    <x v="1"/>
  </r>
  <r>
    <n v="1884"/>
    <d v="2023-11-04T00:00:00"/>
    <s v="Standard"/>
    <n v="399"/>
    <n v="22.6"/>
    <n v="6"/>
    <n v="3"/>
    <n v="25"/>
    <n v="29"/>
    <s v="Yes"/>
    <s v="No"/>
    <s v="Yes"/>
    <s v="Yes"/>
    <s v="Yes"/>
    <s v="No"/>
    <m/>
    <s v="1+ Failures"/>
    <n v="1"/>
    <x v="3"/>
  </r>
  <r>
    <n v="1885"/>
    <d v="2024-09-19T00:00:00"/>
    <s v="Basic"/>
    <n v="199"/>
    <n v="6.7"/>
    <n v="8"/>
    <n v="5"/>
    <n v="5"/>
    <n v="19"/>
    <s v="Yes"/>
    <s v="No"/>
    <s v="Yes"/>
    <s v="Yes"/>
    <s v="Yes"/>
    <s v="Yes"/>
    <m/>
    <s v="1+ Failures"/>
    <n v="1"/>
    <x v="2"/>
  </r>
  <r>
    <n v="1886"/>
    <d v="2023-06-14T00:00:00"/>
    <s v="Premium"/>
    <n v="699"/>
    <n v="2"/>
    <n v="6"/>
    <n v="1"/>
    <n v="5"/>
    <n v="9"/>
    <s v="Yes"/>
    <s v="Yes"/>
    <s v="Yes"/>
    <s v="Yes"/>
    <s v="No"/>
    <s v="Yes"/>
    <m/>
    <s v="1+ Failures"/>
    <n v="1"/>
    <x v="0"/>
  </r>
  <r>
    <n v="1887"/>
    <d v="2023-12-25T00:00:00"/>
    <s v="Basic"/>
    <n v="199"/>
    <n v="19.8"/>
    <n v="6"/>
    <n v="3"/>
    <n v="26"/>
    <n v="37"/>
    <s v="Yes"/>
    <s v="No"/>
    <s v="Yes"/>
    <s v="Yes"/>
    <s v="Yes"/>
    <s v="No"/>
    <m/>
    <s v="1+ Failures"/>
    <n v="1"/>
    <x v="1"/>
  </r>
  <r>
    <n v="1888"/>
    <d v="2024-08-22T00:00:00"/>
    <s v="Basic"/>
    <n v="199"/>
    <n v="24.1"/>
    <n v="4"/>
    <n v="1"/>
    <n v="15"/>
    <n v="57"/>
    <s v="Yes"/>
    <s v="No"/>
    <s v="Yes"/>
    <s v="No"/>
    <s v="Yes"/>
    <s v="No"/>
    <m/>
    <s v="1+ Failures"/>
    <n v="1"/>
    <x v="3"/>
  </r>
  <r>
    <n v="1889"/>
    <d v="2023-01-12T00:00:00"/>
    <s v="Premium"/>
    <n v="699"/>
    <n v="5.5"/>
    <n v="2"/>
    <n v="5"/>
    <n v="10"/>
    <n v="17"/>
    <s v="No"/>
    <s v="No"/>
    <s v="Yes"/>
    <s v="No"/>
    <s v="Yes"/>
    <s v="No"/>
    <m/>
    <s v="1+ Failures"/>
    <n v="0"/>
    <x v="2"/>
  </r>
  <r>
    <n v="1890"/>
    <d v="2024-04-27T00:00:00"/>
    <s v="Premium"/>
    <n v="699"/>
    <n v="13.3"/>
    <n v="8"/>
    <n v="0"/>
    <n v="8"/>
    <n v="49"/>
    <s v="No"/>
    <s v="No"/>
    <s v="No"/>
    <s v="Yes"/>
    <s v="Yes"/>
    <s v="No"/>
    <m/>
    <s v="0 Failures"/>
    <n v="0"/>
    <x v="1"/>
  </r>
  <r>
    <n v="1891"/>
    <d v="2023-06-07T00:00:00"/>
    <s v="Basic"/>
    <n v="199"/>
    <n v="7.8"/>
    <n v="1"/>
    <n v="4"/>
    <n v="29"/>
    <n v="47"/>
    <s v="No"/>
    <s v="No"/>
    <s v="Yes"/>
    <s v="No"/>
    <s v="Yes"/>
    <s v="No"/>
    <m/>
    <s v="1+ Failures"/>
    <n v="0"/>
    <x v="2"/>
  </r>
  <r>
    <n v="1892"/>
    <d v="2023-04-26T00:00:00"/>
    <s v="Basic"/>
    <n v="199"/>
    <n v="21.9"/>
    <n v="0"/>
    <n v="3"/>
    <n v="22"/>
    <n v="53"/>
    <s v="No"/>
    <s v="No"/>
    <s v="Yes"/>
    <s v="No"/>
    <s v="Yes"/>
    <s v="No"/>
    <m/>
    <s v="1+ Failures"/>
    <n v="0"/>
    <x v="3"/>
  </r>
  <r>
    <n v="1893"/>
    <d v="2024-05-13T00:00:00"/>
    <s v="Premium"/>
    <n v="699"/>
    <n v="10.9"/>
    <n v="2"/>
    <n v="5"/>
    <n v="30"/>
    <n v="44"/>
    <s v="No"/>
    <s v="No"/>
    <s v="Yes"/>
    <s v="No"/>
    <s v="Yes"/>
    <s v="No"/>
    <m/>
    <s v="1+ Failures"/>
    <n v="0"/>
    <x v="1"/>
  </r>
  <r>
    <n v="1894"/>
    <d v="2024-01-07T00:00:00"/>
    <s v="Standard"/>
    <n v="399"/>
    <n v="13.3"/>
    <n v="1"/>
    <n v="5"/>
    <n v="15"/>
    <n v="38"/>
    <s v="No"/>
    <s v="No"/>
    <s v="Yes"/>
    <s v="No"/>
    <s v="Yes"/>
    <s v="No"/>
    <m/>
    <s v="1+ Failures"/>
    <n v="0"/>
    <x v="1"/>
  </r>
  <r>
    <n v="1895"/>
    <d v="2023-10-14T00:00:00"/>
    <s v="Basic"/>
    <n v="199"/>
    <n v="21"/>
    <n v="6"/>
    <n v="3"/>
    <n v="32"/>
    <n v="3"/>
    <s v="No"/>
    <s v="No"/>
    <s v="Yes"/>
    <s v="Yes"/>
    <s v="No"/>
    <s v="No"/>
    <m/>
    <s v="1+ Failures"/>
    <n v="0"/>
    <x v="3"/>
  </r>
  <r>
    <n v="1896"/>
    <d v="2023-09-15T00:00:00"/>
    <s v="Premium"/>
    <n v="699"/>
    <n v="22.7"/>
    <n v="8"/>
    <n v="2"/>
    <n v="18"/>
    <n v="26"/>
    <s v="Yes"/>
    <s v="No"/>
    <s v="Yes"/>
    <s v="Yes"/>
    <s v="Yes"/>
    <s v="No"/>
    <m/>
    <s v="1+ Failures"/>
    <n v="1"/>
    <x v="3"/>
  </r>
  <r>
    <n v="1897"/>
    <d v="2024-08-28T00:00:00"/>
    <s v="Standard"/>
    <n v="399"/>
    <n v="0.8"/>
    <n v="7"/>
    <n v="1"/>
    <n v="6"/>
    <n v="37"/>
    <s v="Yes"/>
    <s v="Yes"/>
    <s v="Yes"/>
    <s v="Yes"/>
    <s v="Yes"/>
    <s v="No"/>
    <m/>
    <s v="1+ Failures"/>
    <n v="1"/>
    <x v="0"/>
  </r>
  <r>
    <n v="1898"/>
    <d v="2024-01-20T00:00:00"/>
    <s v="Standard"/>
    <n v="399"/>
    <n v="3"/>
    <n v="7"/>
    <n v="4"/>
    <n v="18"/>
    <n v="38"/>
    <s v="Yes"/>
    <s v="Yes"/>
    <s v="Yes"/>
    <s v="Yes"/>
    <s v="Yes"/>
    <s v="No"/>
    <m/>
    <s v="1+ Failures"/>
    <n v="1"/>
    <x v="0"/>
  </r>
  <r>
    <n v="1899"/>
    <d v="2024-10-20T00:00:00"/>
    <s v="Premium"/>
    <n v="699"/>
    <n v="21.8"/>
    <n v="6"/>
    <n v="0"/>
    <n v="34"/>
    <n v="38"/>
    <s v="Yes"/>
    <s v="No"/>
    <s v="No"/>
    <s v="Yes"/>
    <s v="Yes"/>
    <s v="No"/>
    <m/>
    <s v="0 Failures"/>
    <n v="1"/>
    <x v="3"/>
  </r>
  <r>
    <n v="1900"/>
    <d v="2024-09-10T00:00:00"/>
    <s v="Basic"/>
    <n v="199"/>
    <n v="3.4"/>
    <n v="3"/>
    <n v="2"/>
    <n v="7"/>
    <n v="37"/>
    <s v="Yes"/>
    <s v="Yes"/>
    <s v="Yes"/>
    <s v="No"/>
    <s v="Yes"/>
    <s v="No"/>
    <m/>
    <s v="1+ Failures"/>
    <n v="1"/>
    <x v="0"/>
  </r>
  <r>
    <n v="1901"/>
    <d v="2024-04-16T00:00:00"/>
    <s v="Standard"/>
    <n v="399"/>
    <n v="18.100000000000001"/>
    <n v="0"/>
    <n v="2"/>
    <n v="26"/>
    <n v="41"/>
    <s v="No"/>
    <s v="No"/>
    <s v="Yes"/>
    <s v="No"/>
    <s v="Yes"/>
    <s v="No"/>
    <m/>
    <s v="1+ Failures"/>
    <n v="0"/>
    <x v="1"/>
  </r>
  <r>
    <n v="1902"/>
    <d v="2024-11-16T00:00:00"/>
    <s v="Premium"/>
    <n v="699"/>
    <n v="1.4"/>
    <n v="6"/>
    <n v="5"/>
    <n v="34"/>
    <n v="47"/>
    <s v="Yes"/>
    <s v="Yes"/>
    <s v="Yes"/>
    <s v="Yes"/>
    <s v="Yes"/>
    <s v="No"/>
    <m/>
    <s v="1+ Failures"/>
    <n v="1"/>
    <x v="0"/>
  </r>
  <r>
    <n v="1903"/>
    <d v="2023-10-27T00:00:00"/>
    <s v="Basic"/>
    <n v="199"/>
    <n v="14.4"/>
    <n v="0"/>
    <n v="5"/>
    <n v="14"/>
    <n v="60"/>
    <s v="Yes"/>
    <s v="No"/>
    <s v="Yes"/>
    <s v="No"/>
    <s v="Yes"/>
    <s v="No"/>
    <m/>
    <s v="1+ Failures"/>
    <n v="1"/>
    <x v="1"/>
  </r>
  <r>
    <n v="1904"/>
    <d v="2023-12-27T00:00:00"/>
    <s v="Standard"/>
    <n v="399"/>
    <n v="18.399999999999999"/>
    <n v="4"/>
    <n v="2"/>
    <n v="2"/>
    <n v="52"/>
    <s v="Yes"/>
    <s v="No"/>
    <s v="Yes"/>
    <s v="No"/>
    <s v="Yes"/>
    <s v="Yes"/>
    <m/>
    <s v="1+ Failures"/>
    <n v="1"/>
    <x v="1"/>
  </r>
  <r>
    <n v="1905"/>
    <d v="2024-10-12T00:00:00"/>
    <s v="Basic"/>
    <n v="199"/>
    <n v="11.4"/>
    <n v="0"/>
    <n v="2"/>
    <n v="18"/>
    <n v="29"/>
    <s v="No"/>
    <s v="No"/>
    <s v="Yes"/>
    <s v="No"/>
    <s v="Yes"/>
    <s v="No"/>
    <m/>
    <s v="1+ Failures"/>
    <n v="0"/>
    <x v="1"/>
  </r>
  <r>
    <n v="1906"/>
    <d v="2023-12-23T00:00:00"/>
    <s v="Standard"/>
    <n v="399"/>
    <n v="5.6"/>
    <n v="8"/>
    <n v="5"/>
    <n v="11"/>
    <n v="20"/>
    <s v="No"/>
    <s v="No"/>
    <s v="Yes"/>
    <s v="Yes"/>
    <s v="Yes"/>
    <s v="No"/>
    <m/>
    <s v="1+ Failures"/>
    <n v="0"/>
    <x v="2"/>
  </r>
  <r>
    <n v="1907"/>
    <d v="2023-08-22T00:00:00"/>
    <s v="Basic"/>
    <n v="199"/>
    <n v="21.5"/>
    <n v="5"/>
    <n v="2"/>
    <n v="32"/>
    <n v="39"/>
    <s v="Yes"/>
    <s v="No"/>
    <s v="Yes"/>
    <s v="Yes"/>
    <s v="Yes"/>
    <s v="No"/>
    <m/>
    <s v="1+ Failures"/>
    <n v="1"/>
    <x v="3"/>
  </r>
  <r>
    <n v="1908"/>
    <d v="2024-05-24T00:00:00"/>
    <s v="Standard"/>
    <n v="399"/>
    <n v="3"/>
    <n v="1"/>
    <n v="5"/>
    <n v="20"/>
    <n v="25"/>
    <s v="Yes"/>
    <s v="Yes"/>
    <s v="Yes"/>
    <s v="No"/>
    <s v="Yes"/>
    <s v="No"/>
    <m/>
    <s v="1+ Failures"/>
    <n v="1"/>
    <x v="0"/>
  </r>
  <r>
    <n v="1909"/>
    <d v="2023-12-26T00:00:00"/>
    <s v="Premium"/>
    <n v="699"/>
    <n v="19"/>
    <n v="3"/>
    <n v="2"/>
    <n v="12"/>
    <n v="54"/>
    <s v="No"/>
    <s v="No"/>
    <s v="Yes"/>
    <s v="No"/>
    <s v="Yes"/>
    <s v="No"/>
    <m/>
    <s v="1+ Failures"/>
    <n v="0"/>
    <x v="1"/>
  </r>
  <r>
    <n v="1910"/>
    <d v="2023-07-14T00:00:00"/>
    <s v="Standard"/>
    <n v="399"/>
    <n v="22.4"/>
    <n v="2"/>
    <n v="1"/>
    <n v="29"/>
    <n v="20"/>
    <s v="Yes"/>
    <s v="No"/>
    <s v="Yes"/>
    <s v="No"/>
    <s v="Yes"/>
    <s v="No"/>
    <m/>
    <s v="1+ Failures"/>
    <n v="1"/>
    <x v="3"/>
  </r>
  <r>
    <n v="1911"/>
    <d v="2023-07-02T00:00:00"/>
    <s v="Premium"/>
    <n v="699"/>
    <n v="22.8"/>
    <n v="8"/>
    <n v="2"/>
    <n v="20"/>
    <n v="48"/>
    <s v="Yes"/>
    <s v="No"/>
    <s v="Yes"/>
    <s v="Yes"/>
    <s v="Yes"/>
    <s v="No"/>
    <m/>
    <s v="1+ Failures"/>
    <n v="1"/>
    <x v="3"/>
  </r>
  <r>
    <n v="1912"/>
    <d v="2024-11-10T00:00:00"/>
    <s v="Standard"/>
    <n v="399"/>
    <n v="5.4"/>
    <n v="1"/>
    <n v="5"/>
    <n v="5"/>
    <n v="38"/>
    <s v="No"/>
    <s v="No"/>
    <s v="Yes"/>
    <s v="No"/>
    <s v="Yes"/>
    <s v="Yes"/>
    <m/>
    <s v="1+ Failures"/>
    <n v="0"/>
    <x v="2"/>
  </r>
  <r>
    <n v="1913"/>
    <d v="2024-01-30T00:00:00"/>
    <s v="Standard"/>
    <n v="399"/>
    <n v="4.0999999999999996"/>
    <n v="5"/>
    <n v="4"/>
    <n v="17"/>
    <n v="22"/>
    <s v="Yes"/>
    <s v="Yes"/>
    <s v="Yes"/>
    <s v="Yes"/>
    <s v="Yes"/>
    <s v="No"/>
    <m/>
    <s v="1+ Failures"/>
    <n v="1"/>
    <x v="0"/>
  </r>
  <r>
    <n v="1914"/>
    <d v="2023-02-11T00:00:00"/>
    <s v="Basic"/>
    <n v="199"/>
    <n v="15.5"/>
    <n v="1"/>
    <n v="2"/>
    <n v="19"/>
    <n v="14"/>
    <s v="No"/>
    <s v="No"/>
    <s v="Yes"/>
    <s v="No"/>
    <s v="No"/>
    <s v="No"/>
    <m/>
    <s v="1+ Failures"/>
    <n v="0"/>
    <x v="1"/>
  </r>
  <r>
    <n v="1915"/>
    <d v="2024-12-12T00:00:00"/>
    <s v="Basic"/>
    <n v="199"/>
    <n v="4.3"/>
    <n v="4"/>
    <n v="0"/>
    <n v="36"/>
    <n v="31"/>
    <s v="Yes"/>
    <s v="Yes"/>
    <s v="No"/>
    <s v="No"/>
    <s v="Yes"/>
    <s v="No"/>
    <m/>
    <s v="0 Failures"/>
    <n v="1"/>
    <x v="0"/>
  </r>
  <r>
    <n v="1916"/>
    <d v="2023-01-13T00:00:00"/>
    <s v="Basic"/>
    <n v="199"/>
    <n v="21.9"/>
    <n v="7"/>
    <n v="5"/>
    <n v="16"/>
    <n v="51"/>
    <s v="Yes"/>
    <s v="No"/>
    <s v="Yes"/>
    <s v="Yes"/>
    <s v="Yes"/>
    <s v="No"/>
    <m/>
    <s v="1+ Failures"/>
    <n v="1"/>
    <x v="3"/>
  </r>
  <r>
    <n v="1917"/>
    <d v="2024-08-04T00:00:00"/>
    <s v="Standard"/>
    <n v="399"/>
    <n v="24.1"/>
    <n v="7"/>
    <n v="3"/>
    <n v="16"/>
    <n v="26"/>
    <s v="Yes"/>
    <s v="No"/>
    <s v="Yes"/>
    <s v="Yes"/>
    <s v="Yes"/>
    <s v="No"/>
    <m/>
    <s v="1+ Failures"/>
    <n v="1"/>
    <x v="3"/>
  </r>
  <r>
    <n v="1918"/>
    <d v="2024-02-01T00:00:00"/>
    <s v="Basic"/>
    <n v="199"/>
    <n v="5.0999999999999996"/>
    <n v="8"/>
    <n v="4"/>
    <n v="27"/>
    <n v="25"/>
    <s v="Yes"/>
    <s v="No"/>
    <s v="Yes"/>
    <s v="Yes"/>
    <s v="Yes"/>
    <s v="No"/>
    <m/>
    <s v="1+ Failures"/>
    <n v="1"/>
    <x v="2"/>
  </r>
  <r>
    <n v="1919"/>
    <d v="2023-08-29T00:00:00"/>
    <s v="Premium"/>
    <n v="699"/>
    <n v="17.8"/>
    <n v="5"/>
    <n v="2"/>
    <n v="17"/>
    <n v="27"/>
    <s v="Yes"/>
    <s v="No"/>
    <s v="Yes"/>
    <s v="Yes"/>
    <s v="Yes"/>
    <s v="No"/>
    <m/>
    <s v="1+ Failures"/>
    <n v="1"/>
    <x v="1"/>
  </r>
  <r>
    <n v="1920"/>
    <d v="2024-12-20T00:00:00"/>
    <s v="Standard"/>
    <n v="399"/>
    <n v="9.1999999999999993"/>
    <n v="2"/>
    <n v="2"/>
    <n v="35"/>
    <n v="55"/>
    <s v="No"/>
    <s v="No"/>
    <s v="Yes"/>
    <s v="No"/>
    <s v="Yes"/>
    <s v="No"/>
    <m/>
    <s v="1+ Failures"/>
    <n v="0"/>
    <x v="2"/>
  </r>
  <r>
    <n v="1921"/>
    <d v="2023-11-18T00:00:00"/>
    <s v="Basic"/>
    <n v="199"/>
    <n v="14.7"/>
    <n v="1"/>
    <n v="4"/>
    <n v="35"/>
    <n v="45"/>
    <s v="Yes"/>
    <s v="No"/>
    <s v="Yes"/>
    <s v="No"/>
    <s v="Yes"/>
    <s v="No"/>
    <m/>
    <s v="1+ Failures"/>
    <n v="1"/>
    <x v="1"/>
  </r>
  <r>
    <n v="1922"/>
    <d v="2023-02-24T00:00:00"/>
    <s v="Basic"/>
    <n v="199"/>
    <n v="18.100000000000001"/>
    <n v="8"/>
    <n v="1"/>
    <n v="15"/>
    <n v="29"/>
    <s v="Yes"/>
    <s v="No"/>
    <s v="Yes"/>
    <s v="Yes"/>
    <s v="Yes"/>
    <s v="No"/>
    <m/>
    <s v="1+ Failures"/>
    <n v="1"/>
    <x v="1"/>
  </r>
  <r>
    <n v="1923"/>
    <d v="2024-04-04T00:00:00"/>
    <s v="Standard"/>
    <n v="399"/>
    <n v="12.7"/>
    <n v="6"/>
    <n v="0"/>
    <n v="29"/>
    <n v="10"/>
    <s v="Yes"/>
    <s v="No"/>
    <s v="No"/>
    <s v="Yes"/>
    <s v="No"/>
    <s v="No"/>
    <m/>
    <s v="0 Failures"/>
    <n v="1"/>
    <x v="1"/>
  </r>
  <r>
    <n v="1924"/>
    <d v="2023-12-29T00:00:00"/>
    <s v="Premium"/>
    <n v="699"/>
    <n v="22.4"/>
    <n v="7"/>
    <n v="5"/>
    <n v="4"/>
    <n v="9"/>
    <s v="Yes"/>
    <s v="No"/>
    <s v="Yes"/>
    <s v="Yes"/>
    <s v="No"/>
    <s v="Yes"/>
    <m/>
    <s v="1+ Failures"/>
    <n v="1"/>
    <x v="3"/>
  </r>
  <r>
    <n v="1925"/>
    <d v="2024-12-22T00:00:00"/>
    <s v="Basic"/>
    <n v="199"/>
    <n v="14.5"/>
    <n v="0"/>
    <n v="5"/>
    <n v="18"/>
    <n v="38"/>
    <s v="Yes"/>
    <s v="No"/>
    <s v="Yes"/>
    <s v="No"/>
    <s v="Yes"/>
    <s v="No"/>
    <m/>
    <s v="1+ Failures"/>
    <n v="1"/>
    <x v="1"/>
  </r>
  <r>
    <n v="1926"/>
    <d v="2023-11-08T00:00:00"/>
    <s v="Basic"/>
    <n v="199"/>
    <n v="5.8"/>
    <n v="7"/>
    <n v="2"/>
    <n v="26"/>
    <n v="34"/>
    <s v="Yes"/>
    <s v="No"/>
    <s v="Yes"/>
    <s v="Yes"/>
    <s v="Yes"/>
    <s v="No"/>
    <m/>
    <s v="1+ Failures"/>
    <n v="1"/>
    <x v="2"/>
  </r>
  <r>
    <n v="1927"/>
    <d v="2024-11-28T00:00:00"/>
    <s v="Standard"/>
    <n v="399"/>
    <n v="14.5"/>
    <n v="8"/>
    <n v="3"/>
    <n v="15"/>
    <n v="9"/>
    <s v="No"/>
    <s v="No"/>
    <s v="Yes"/>
    <s v="Yes"/>
    <s v="No"/>
    <s v="No"/>
    <m/>
    <s v="1+ Failures"/>
    <n v="0"/>
    <x v="1"/>
  </r>
  <r>
    <n v="1928"/>
    <d v="2023-05-03T00:00:00"/>
    <s v="Premium"/>
    <n v="699"/>
    <n v="21.6"/>
    <n v="0"/>
    <n v="5"/>
    <n v="21"/>
    <n v="48"/>
    <s v="Yes"/>
    <s v="No"/>
    <s v="Yes"/>
    <s v="No"/>
    <s v="Yes"/>
    <s v="No"/>
    <m/>
    <s v="1+ Failures"/>
    <n v="1"/>
    <x v="3"/>
  </r>
  <r>
    <n v="1929"/>
    <d v="2024-09-07T00:00:00"/>
    <s v="Basic"/>
    <n v="199"/>
    <n v="13.5"/>
    <n v="2"/>
    <n v="5"/>
    <n v="5"/>
    <n v="12"/>
    <s v="Yes"/>
    <s v="No"/>
    <s v="Yes"/>
    <s v="No"/>
    <s v="No"/>
    <s v="Yes"/>
    <m/>
    <s v="1+ Failures"/>
    <n v="1"/>
    <x v="1"/>
  </r>
  <r>
    <n v="1930"/>
    <d v="2023-04-07T00:00:00"/>
    <s v="Basic"/>
    <n v="199"/>
    <n v="1.2"/>
    <n v="7"/>
    <n v="5"/>
    <n v="12"/>
    <n v="7"/>
    <s v="Yes"/>
    <s v="Yes"/>
    <s v="Yes"/>
    <s v="Yes"/>
    <s v="No"/>
    <s v="No"/>
    <m/>
    <s v="1+ Failures"/>
    <n v="1"/>
    <x v="0"/>
  </r>
  <r>
    <n v="1931"/>
    <d v="2023-12-18T00:00:00"/>
    <s v="Standard"/>
    <n v="399"/>
    <n v="20.2"/>
    <n v="6"/>
    <n v="5"/>
    <n v="25"/>
    <n v="30"/>
    <s v="Yes"/>
    <s v="No"/>
    <s v="Yes"/>
    <s v="Yes"/>
    <s v="Yes"/>
    <s v="No"/>
    <m/>
    <s v="1+ Failures"/>
    <n v="1"/>
    <x v="3"/>
  </r>
  <r>
    <n v="1932"/>
    <d v="2024-05-26T00:00:00"/>
    <s v="Basic"/>
    <n v="199"/>
    <n v="8.1"/>
    <n v="2"/>
    <n v="5"/>
    <n v="7"/>
    <n v="27"/>
    <s v="No"/>
    <s v="No"/>
    <s v="Yes"/>
    <s v="No"/>
    <s v="Yes"/>
    <s v="No"/>
    <m/>
    <s v="1+ Failures"/>
    <n v="0"/>
    <x v="2"/>
  </r>
  <r>
    <n v="1933"/>
    <d v="2024-10-10T00:00:00"/>
    <s v="Basic"/>
    <n v="199"/>
    <n v="6.9"/>
    <n v="3"/>
    <n v="1"/>
    <n v="12"/>
    <n v="22"/>
    <s v="No"/>
    <s v="No"/>
    <s v="Yes"/>
    <s v="No"/>
    <s v="Yes"/>
    <s v="No"/>
    <m/>
    <s v="1+ Failures"/>
    <n v="0"/>
    <x v="2"/>
  </r>
  <r>
    <n v="1934"/>
    <d v="2024-09-12T00:00:00"/>
    <s v="Basic"/>
    <n v="199"/>
    <n v="11.6"/>
    <n v="1"/>
    <n v="4"/>
    <n v="22"/>
    <n v="16"/>
    <s v="Yes"/>
    <s v="No"/>
    <s v="Yes"/>
    <s v="No"/>
    <s v="Yes"/>
    <s v="No"/>
    <m/>
    <s v="1+ Failures"/>
    <n v="1"/>
    <x v="1"/>
  </r>
  <r>
    <n v="1935"/>
    <d v="2024-06-25T00:00:00"/>
    <s v="Basic"/>
    <n v="199"/>
    <n v="1.9"/>
    <n v="5"/>
    <n v="0"/>
    <n v="36"/>
    <n v="10"/>
    <s v="Yes"/>
    <s v="Yes"/>
    <s v="No"/>
    <s v="Yes"/>
    <s v="No"/>
    <s v="No"/>
    <m/>
    <s v="0 Failures"/>
    <n v="1"/>
    <x v="0"/>
  </r>
  <r>
    <n v="1936"/>
    <d v="2024-07-30T00:00:00"/>
    <s v="Basic"/>
    <n v="199"/>
    <n v="8.5"/>
    <n v="4"/>
    <n v="0"/>
    <n v="1"/>
    <n v="51"/>
    <s v="No"/>
    <s v="No"/>
    <s v="No"/>
    <s v="No"/>
    <s v="Yes"/>
    <s v="Yes"/>
    <m/>
    <s v="0 Failures"/>
    <n v="0"/>
    <x v="2"/>
  </r>
  <r>
    <n v="1937"/>
    <d v="2024-07-02T00:00:00"/>
    <s v="Standard"/>
    <n v="399"/>
    <n v="23.9"/>
    <n v="3"/>
    <n v="5"/>
    <n v="5"/>
    <n v="39"/>
    <s v="Yes"/>
    <s v="No"/>
    <s v="Yes"/>
    <s v="No"/>
    <s v="Yes"/>
    <s v="Yes"/>
    <m/>
    <s v="1+ Failures"/>
    <n v="1"/>
    <x v="3"/>
  </r>
  <r>
    <n v="1938"/>
    <d v="2024-03-27T00:00:00"/>
    <s v="Basic"/>
    <n v="199"/>
    <n v="2.9"/>
    <n v="2"/>
    <n v="4"/>
    <n v="23"/>
    <n v="23"/>
    <s v="Yes"/>
    <s v="Yes"/>
    <s v="Yes"/>
    <s v="No"/>
    <s v="Yes"/>
    <s v="No"/>
    <m/>
    <s v="1+ Failures"/>
    <n v="1"/>
    <x v="0"/>
  </r>
  <r>
    <n v="1939"/>
    <d v="2024-07-04T00:00:00"/>
    <s v="Premium"/>
    <n v="699"/>
    <n v="12.9"/>
    <n v="7"/>
    <n v="0"/>
    <n v="12"/>
    <n v="39"/>
    <s v="Yes"/>
    <s v="No"/>
    <s v="No"/>
    <s v="Yes"/>
    <s v="Yes"/>
    <s v="No"/>
    <m/>
    <s v="0 Failures"/>
    <n v="1"/>
    <x v="1"/>
  </r>
  <r>
    <n v="1940"/>
    <d v="2024-06-14T00:00:00"/>
    <s v="Basic"/>
    <n v="199"/>
    <n v="23.4"/>
    <n v="1"/>
    <n v="2"/>
    <n v="20"/>
    <n v="43"/>
    <s v="Yes"/>
    <s v="No"/>
    <s v="Yes"/>
    <s v="No"/>
    <s v="Yes"/>
    <s v="No"/>
    <m/>
    <s v="1+ Failures"/>
    <n v="1"/>
    <x v="3"/>
  </r>
  <r>
    <n v="1941"/>
    <d v="2024-04-10T00:00:00"/>
    <s v="Basic"/>
    <n v="199"/>
    <n v="12.7"/>
    <n v="2"/>
    <n v="4"/>
    <n v="7"/>
    <n v="58"/>
    <s v="Yes"/>
    <s v="No"/>
    <s v="Yes"/>
    <s v="No"/>
    <s v="Yes"/>
    <s v="No"/>
    <m/>
    <s v="1+ Failures"/>
    <n v="1"/>
    <x v="1"/>
  </r>
  <r>
    <n v="1942"/>
    <d v="2023-12-13T00:00:00"/>
    <s v="Premium"/>
    <n v="699"/>
    <n v="20.9"/>
    <n v="7"/>
    <n v="0"/>
    <n v="36"/>
    <n v="42"/>
    <s v="No"/>
    <s v="No"/>
    <s v="No"/>
    <s v="Yes"/>
    <s v="Yes"/>
    <s v="No"/>
    <m/>
    <s v="0 Failures"/>
    <n v="0"/>
    <x v="3"/>
  </r>
  <r>
    <n v="1943"/>
    <d v="2024-01-02T00:00:00"/>
    <s v="Basic"/>
    <n v="199"/>
    <n v="4"/>
    <n v="7"/>
    <n v="1"/>
    <n v="24"/>
    <n v="50"/>
    <s v="Yes"/>
    <s v="Yes"/>
    <s v="Yes"/>
    <s v="Yes"/>
    <s v="Yes"/>
    <s v="No"/>
    <m/>
    <s v="1+ Failures"/>
    <n v="1"/>
    <x v="0"/>
  </r>
  <r>
    <n v="1944"/>
    <d v="2023-11-25T00:00:00"/>
    <s v="Basic"/>
    <n v="199"/>
    <n v="20.399999999999999"/>
    <n v="1"/>
    <n v="4"/>
    <n v="31"/>
    <n v="5"/>
    <s v="No"/>
    <s v="No"/>
    <s v="Yes"/>
    <s v="No"/>
    <s v="No"/>
    <s v="No"/>
    <m/>
    <s v="1+ Failures"/>
    <n v="0"/>
    <x v="3"/>
  </r>
  <r>
    <n v="1945"/>
    <d v="2023-05-19T00:00:00"/>
    <s v="Premium"/>
    <n v="699"/>
    <n v="13.3"/>
    <n v="8"/>
    <n v="5"/>
    <n v="35"/>
    <n v="12"/>
    <s v="Yes"/>
    <s v="No"/>
    <s v="Yes"/>
    <s v="Yes"/>
    <s v="No"/>
    <s v="No"/>
    <m/>
    <s v="1+ Failures"/>
    <n v="1"/>
    <x v="1"/>
  </r>
  <r>
    <n v="1946"/>
    <d v="2024-05-17T00:00:00"/>
    <s v="Standard"/>
    <n v="399"/>
    <n v="7.7"/>
    <n v="6"/>
    <n v="3"/>
    <n v="13"/>
    <n v="27"/>
    <s v="Yes"/>
    <s v="No"/>
    <s v="Yes"/>
    <s v="Yes"/>
    <s v="Yes"/>
    <s v="No"/>
    <m/>
    <s v="1+ Failures"/>
    <n v="1"/>
    <x v="2"/>
  </r>
  <r>
    <n v="1947"/>
    <d v="2024-05-24T00:00:00"/>
    <s v="Basic"/>
    <n v="199"/>
    <n v="3.1"/>
    <n v="8"/>
    <n v="3"/>
    <n v="32"/>
    <n v="39"/>
    <s v="Yes"/>
    <s v="Yes"/>
    <s v="Yes"/>
    <s v="Yes"/>
    <s v="Yes"/>
    <s v="No"/>
    <m/>
    <s v="1+ Failures"/>
    <n v="1"/>
    <x v="0"/>
  </r>
  <r>
    <n v="1948"/>
    <d v="2024-08-24T00:00:00"/>
    <s v="Standard"/>
    <n v="399"/>
    <n v="13.4"/>
    <n v="0"/>
    <n v="1"/>
    <n v="4"/>
    <n v="60"/>
    <s v="Yes"/>
    <s v="No"/>
    <s v="Yes"/>
    <s v="No"/>
    <s v="Yes"/>
    <s v="Yes"/>
    <m/>
    <s v="1+ Failures"/>
    <n v="1"/>
    <x v="1"/>
  </r>
  <r>
    <n v="1949"/>
    <d v="2023-02-18T00:00:00"/>
    <s v="Premium"/>
    <n v="699"/>
    <n v="4.7"/>
    <n v="5"/>
    <n v="5"/>
    <n v="35"/>
    <n v="3"/>
    <s v="Yes"/>
    <s v="Yes"/>
    <s v="Yes"/>
    <s v="Yes"/>
    <s v="No"/>
    <s v="No"/>
    <m/>
    <s v="1+ Failures"/>
    <n v="1"/>
    <x v="0"/>
  </r>
  <r>
    <n v="1950"/>
    <d v="2024-03-20T00:00:00"/>
    <s v="Standard"/>
    <n v="399"/>
    <n v="5.0999999999999996"/>
    <n v="8"/>
    <n v="0"/>
    <n v="25"/>
    <n v="52"/>
    <s v="No"/>
    <s v="No"/>
    <s v="No"/>
    <s v="Yes"/>
    <s v="Yes"/>
    <s v="No"/>
    <m/>
    <s v="0 Failures"/>
    <n v="0"/>
    <x v="2"/>
  </r>
  <r>
    <n v="1951"/>
    <d v="2023-02-15T00:00:00"/>
    <s v="Premium"/>
    <n v="699"/>
    <n v="13.3"/>
    <n v="2"/>
    <n v="4"/>
    <n v="33"/>
    <n v="23"/>
    <s v="No"/>
    <s v="No"/>
    <s v="Yes"/>
    <s v="No"/>
    <s v="Yes"/>
    <s v="No"/>
    <m/>
    <s v="1+ Failures"/>
    <n v="0"/>
    <x v="1"/>
  </r>
  <r>
    <n v="1952"/>
    <d v="2023-07-28T00:00:00"/>
    <s v="Basic"/>
    <n v="199"/>
    <n v="11.7"/>
    <n v="2"/>
    <n v="1"/>
    <n v="7"/>
    <n v="45"/>
    <s v="Yes"/>
    <s v="No"/>
    <s v="Yes"/>
    <s v="No"/>
    <s v="Yes"/>
    <s v="No"/>
    <m/>
    <s v="1+ Failures"/>
    <n v="1"/>
    <x v="1"/>
  </r>
  <r>
    <n v="1953"/>
    <d v="2024-12-06T00:00:00"/>
    <s v="Standard"/>
    <n v="399"/>
    <n v="14.5"/>
    <n v="0"/>
    <n v="0"/>
    <n v="14"/>
    <n v="59"/>
    <s v="No"/>
    <s v="No"/>
    <s v="No"/>
    <s v="No"/>
    <s v="Yes"/>
    <s v="No"/>
    <m/>
    <s v="0 Failures"/>
    <n v="0"/>
    <x v="1"/>
  </r>
  <r>
    <n v="1954"/>
    <d v="2023-12-05T00:00:00"/>
    <s v="Basic"/>
    <n v="199"/>
    <n v="0.6"/>
    <n v="3"/>
    <n v="5"/>
    <n v="19"/>
    <n v="52"/>
    <s v="No"/>
    <s v="Yes"/>
    <s v="Yes"/>
    <s v="No"/>
    <s v="Yes"/>
    <s v="No"/>
    <m/>
    <s v="1+ Failures"/>
    <n v="0"/>
    <x v="0"/>
  </r>
  <r>
    <n v="1955"/>
    <d v="2024-09-05T00:00:00"/>
    <s v="Basic"/>
    <n v="199"/>
    <n v="20.8"/>
    <n v="5"/>
    <n v="3"/>
    <n v="25"/>
    <n v="2"/>
    <s v="Yes"/>
    <s v="No"/>
    <s v="Yes"/>
    <s v="Yes"/>
    <s v="No"/>
    <s v="No"/>
    <m/>
    <s v="1+ Failures"/>
    <n v="1"/>
    <x v="3"/>
  </r>
  <r>
    <n v="1956"/>
    <d v="2024-10-03T00:00:00"/>
    <s v="Basic"/>
    <n v="199"/>
    <n v="22.1"/>
    <n v="6"/>
    <n v="5"/>
    <n v="17"/>
    <n v="36"/>
    <s v="Yes"/>
    <s v="No"/>
    <s v="Yes"/>
    <s v="Yes"/>
    <s v="Yes"/>
    <s v="No"/>
    <m/>
    <s v="1+ Failures"/>
    <n v="1"/>
    <x v="3"/>
  </r>
  <r>
    <n v="1957"/>
    <d v="2024-02-28T00:00:00"/>
    <s v="Standard"/>
    <n v="399"/>
    <n v="23.5"/>
    <n v="4"/>
    <n v="3"/>
    <n v="14"/>
    <n v="44"/>
    <s v="Yes"/>
    <s v="No"/>
    <s v="Yes"/>
    <s v="No"/>
    <s v="Yes"/>
    <s v="No"/>
    <m/>
    <s v="1+ Failures"/>
    <n v="1"/>
    <x v="3"/>
  </r>
  <r>
    <n v="1958"/>
    <d v="2024-10-03T00:00:00"/>
    <s v="Standard"/>
    <n v="399"/>
    <n v="21.1"/>
    <n v="3"/>
    <n v="3"/>
    <n v="18"/>
    <n v="16"/>
    <s v="No"/>
    <s v="No"/>
    <s v="Yes"/>
    <s v="No"/>
    <s v="Yes"/>
    <s v="No"/>
    <m/>
    <s v="1+ Failures"/>
    <n v="0"/>
    <x v="3"/>
  </r>
  <r>
    <n v="1959"/>
    <d v="2023-03-14T00:00:00"/>
    <s v="Premium"/>
    <n v="699"/>
    <n v="1.5"/>
    <n v="7"/>
    <n v="1"/>
    <n v="26"/>
    <n v="42"/>
    <s v="Yes"/>
    <s v="Yes"/>
    <s v="Yes"/>
    <s v="Yes"/>
    <s v="Yes"/>
    <s v="No"/>
    <m/>
    <s v="1+ Failures"/>
    <n v="1"/>
    <x v="0"/>
  </r>
  <r>
    <n v="1960"/>
    <d v="2023-06-21T00:00:00"/>
    <s v="Premium"/>
    <n v="699"/>
    <n v="3.3"/>
    <n v="7"/>
    <n v="0"/>
    <n v="8"/>
    <n v="11"/>
    <s v="No"/>
    <s v="Yes"/>
    <s v="No"/>
    <s v="Yes"/>
    <s v="No"/>
    <s v="No"/>
    <m/>
    <s v="0 Failures"/>
    <n v="0"/>
    <x v="0"/>
  </r>
  <r>
    <n v="1961"/>
    <d v="2024-08-06T00:00:00"/>
    <s v="Premium"/>
    <n v="699"/>
    <n v="23.9"/>
    <n v="6"/>
    <n v="2"/>
    <n v="17"/>
    <n v="34"/>
    <s v="Yes"/>
    <s v="No"/>
    <s v="Yes"/>
    <s v="Yes"/>
    <s v="Yes"/>
    <s v="No"/>
    <m/>
    <s v="1+ Failures"/>
    <n v="1"/>
    <x v="3"/>
  </r>
  <r>
    <n v="1962"/>
    <d v="2024-05-24T00:00:00"/>
    <s v="Standard"/>
    <n v="399"/>
    <n v="19.100000000000001"/>
    <n v="6"/>
    <n v="1"/>
    <n v="7"/>
    <n v="60"/>
    <s v="Yes"/>
    <s v="No"/>
    <s v="Yes"/>
    <s v="Yes"/>
    <s v="Yes"/>
    <s v="No"/>
    <m/>
    <s v="1+ Failures"/>
    <n v="1"/>
    <x v="1"/>
  </r>
  <r>
    <n v="1963"/>
    <d v="2023-08-23T00:00:00"/>
    <s v="Basic"/>
    <n v="199"/>
    <n v="13.2"/>
    <n v="0"/>
    <n v="3"/>
    <n v="9"/>
    <n v="30"/>
    <s v="Yes"/>
    <s v="No"/>
    <s v="Yes"/>
    <s v="No"/>
    <s v="Yes"/>
    <s v="No"/>
    <m/>
    <s v="1+ Failures"/>
    <n v="1"/>
    <x v="1"/>
  </r>
  <r>
    <n v="1964"/>
    <d v="2024-03-24T00:00:00"/>
    <s v="Basic"/>
    <n v="199"/>
    <n v="5"/>
    <n v="1"/>
    <n v="1"/>
    <n v="25"/>
    <n v="27"/>
    <s v="No"/>
    <s v="No"/>
    <s v="Yes"/>
    <s v="No"/>
    <s v="Yes"/>
    <s v="No"/>
    <m/>
    <s v="1+ Failures"/>
    <n v="0"/>
    <x v="0"/>
  </r>
  <r>
    <n v="1965"/>
    <d v="2023-07-13T00:00:00"/>
    <s v="Premium"/>
    <n v="699"/>
    <n v="11.3"/>
    <n v="0"/>
    <n v="5"/>
    <n v="10"/>
    <n v="59"/>
    <s v="Yes"/>
    <s v="No"/>
    <s v="Yes"/>
    <s v="No"/>
    <s v="Yes"/>
    <s v="No"/>
    <m/>
    <s v="1+ Failures"/>
    <n v="1"/>
    <x v="1"/>
  </r>
  <r>
    <n v="1966"/>
    <d v="2023-09-14T00:00:00"/>
    <s v="Basic"/>
    <n v="199"/>
    <n v="1.6"/>
    <n v="0"/>
    <n v="1"/>
    <n v="21"/>
    <n v="21"/>
    <s v="No"/>
    <s v="Yes"/>
    <s v="Yes"/>
    <s v="No"/>
    <s v="Yes"/>
    <s v="No"/>
    <m/>
    <s v="1+ Failures"/>
    <n v="0"/>
    <x v="0"/>
  </r>
  <r>
    <n v="1967"/>
    <d v="2023-10-26T00:00:00"/>
    <s v="Basic"/>
    <n v="199"/>
    <n v="11.8"/>
    <n v="0"/>
    <n v="3"/>
    <n v="23"/>
    <n v="24"/>
    <s v="Yes"/>
    <s v="No"/>
    <s v="Yes"/>
    <s v="No"/>
    <s v="Yes"/>
    <s v="No"/>
    <m/>
    <s v="1+ Failures"/>
    <n v="1"/>
    <x v="1"/>
  </r>
  <r>
    <n v="1968"/>
    <d v="2023-01-26T00:00:00"/>
    <s v="Premium"/>
    <n v="699"/>
    <n v="6"/>
    <n v="3"/>
    <n v="2"/>
    <n v="5"/>
    <n v="42"/>
    <s v="No"/>
    <s v="No"/>
    <s v="Yes"/>
    <s v="No"/>
    <s v="Yes"/>
    <s v="Yes"/>
    <m/>
    <s v="1+ Failures"/>
    <n v="0"/>
    <x v="2"/>
  </r>
  <r>
    <n v="1969"/>
    <d v="2024-07-14T00:00:00"/>
    <s v="Standard"/>
    <n v="399"/>
    <n v="21.2"/>
    <n v="8"/>
    <n v="2"/>
    <n v="5"/>
    <n v="35"/>
    <s v="Yes"/>
    <s v="No"/>
    <s v="Yes"/>
    <s v="Yes"/>
    <s v="Yes"/>
    <s v="Yes"/>
    <m/>
    <s v="1+ Failures"/>
    <n v="1"/>
    <x v="3"/>
  </r>
  <r>
    <n v="1970"/>
    <d v="2024-09-25T00:00:00"/>
    <s v="Standard"/>
    <n v="399"/>
    <n v="3.2"/>
    <n v="1"/>
    <n v="3"/>
    <n v="4"/>
    <n v="33"/>
    <s v="Yes"/>
    <s v="Yes"/>
    <s v="Yes"/>
    <s v="No"/>
    <s v="Yes"/>
    <s v="Yes"/>
    <m/>
    <s v="1+ Failures"/>
    <n v="1"/>
    <x v="0"/>
  </r>
  <r>
    <n v="1971"/>
    <d v="2023-04-17T00:00:00"/>
    <s v="Premium"/>
    <n v="699"/>
    <n v="18.2"/>
    <n v="5"/>
    <n v="2"/>
    <n v="11"/>
    <n v="2"/>
    <s v="Yes"/>
    <s v="No"/>
    <s v="Yes"/>
    <s v="Yes"/>
    <s v="No"/>
    <s v="No"/>
    <m/>
    <s v="1+ Failures"/>
    <n v="1"/>
    <x v="1"/>
  </r>
  <r>
    <n v="1972"/>
    <d v="2024-08-03T00:00:00"/>
    <s v="Premium"/>
    <n v="699"/>
    <n v="0.6"/>
    <n v="0"/>
    <n v="4"/>
    <n v="15"/>
    <n v="3"/>
    <s v="No"/>
    <s v="Yes"/>
    <s v="Yes"/>
    <s v="No"/>
    <s v="No"/>
    <s v="No"/>
    <m/>
    <s v="1+ Failures"/>
    <n v="0"/>
    <x v="0"/>
  </r>
  <r>
    <n v="1973"/>
    <d v="2024-10-26T00:00:00"/>
    <s v="Basic"/>
    <n v="199"/>
    <n v="19.2"/>
    <n v="0"/>
    <n v="4"/>
    <n v="15"/>
    <n v="34"/>
    <s v="Yes"/>
    <s v="No"/>
    <s v="Yes"/>
    <s v="No"/>
    <s v="Yes"/>
    <s v="No"/>
    <m/>
    <s v="1+ Failures"/>
    <n v="1"/>
    <x v="1"/>
  </r>
  <r>
    <n v="1974"/>
    <d v="2024-11-30T00:00:00"/>
    <s v="Standard"/>
    <n v="399"/>
    <n v="7.4"/>
    <n v="6"/>
    <n v="3"/>
    <n v="25"/>
    <n v="58"/>
    <s v="Yes"/>
    <s v="No"/>
    <s v="Yes"/>
    <s v="Yes"/>
    <s v="Yes"/>
    <s v="No"/>
    <m/>
    <s v="1+ Failures"/>
    <n v="1"/>
    <x v="2"/>
  </r>
  <r>
    <n v="1975"/>
    <d v="2024-04-10T00:00:00"/>
    <s v="Standard"/>
    <n v="399"/>
    <n v="9"/>
    <n v="7"/>
    <n v="3"/>
    <n v="17"/>
    <n v="58"/>
    <s v="No"/>
    <s v="No"/>
    <s v="Yes"/>
    <s v="Yes"/>
    <s v="Yes"/>
    <s v="No"/>
    <m/>
    <s v="1+ Failures"/>
    <n v="0"/>
    <x v="2"/>
  </r>
  <r>
    <n v="1976"/>
    <d v="2024-02-02T00:00:00"/>
    <s v="Premium"/>
    <n v="699"/>
    <n v="6"/>
    <n v="4"/>
    <n v="5"/>
    <n v="24"/>
    <n v="46"/>
    <s v="Yes"/>
    <s v="No"/>
    <s v="Yes"/>
    <s v="No"/>
    <s v="Yes"/>
    <s v="No"/>
    <m/>
    <s v="1+ Failures"/>
    <n v="1"/>
    <x v="2"/>
  </r>
  <r>
    <n v="1977"/>
    <d v="2023-02-13T00:00:00"/>
    <s v="Standard"/>
    <n v="399"/>
    <n v="9.5"/>
    <n v="0"/>
    <n v="3"/>
    <n v="11"/>
    <n v="51"/>
    <s v="Yes"/>
    <s v="No"/>
    <s v="Yes"/>
    <s v="No"/>
    <s v="Yes"/>
    <s v="No"/>
    <m/>
    <s v="1+ Failures"/>
    <n v="1"/>
    <x v="2"/>
  </r>
  <r>
    <n v="1978"/>
    <d v="2024-10-03T00:00:00"/>
    <s v="Standard"/>
    <n v="399"/>
    <n v="17.899999999999999"/>
    <n v="8"/>
    <n v="1"/>
    <n v="27"/>
    <n v="25"/>
    <s v="Yes"/>
    <s v="No"/>
    <s v="Yes"/>
    <s v="Yes"/>
    <s v="Yes"/>
    <s v="No"/>
    <m/>
    <s v="1+ Failures"/>
    <n v="1"/>
    <x v="1"/>
  </r>
  <r>
    <n v="1979"/>
    <d v="2024-03-30T00:00:00"/>
    <s v="Standard"/>
    <n v="399"/>
    <n v="23.6"/>
    <n v="6"/>
    <n v="3"/>
    <n v="14"/>
    <n v="29"/>
    <s v="Yes"/>
    <s v="No"/>
    <s v="Yes"/>
    <s v="Yes"/>
    <s v="Yes"/>
    <s v="No"/>
    <m/>
    <s v="1+ Failures"/>
    <n v="1"/>
    <x v="3"/>
  </r>
  <r>
    <n v="1980"/>
    <d v="2024-06-26T00:00:00"/>
    <s v="Standard"/>
    <n v="399"/>
    <n v="9.4"/>
    <n v="5"/>
    <n v="5"/>
    <n v="30"/>
    <n v="25"/>
    <s v="Yes"/>
    <s v="No"/>
    <s v="Yes"/>
    <s v="Yes"/>
    <s v="Yes"/>
    <s v="No"/>
    <m/>
    <s v="1+ Failures"/>
    <n v="1"/>
    <x v="2"/>
  </r>
  <r>
    <n v="1981"/>
    <d v="2024-11-06T00:00:00"/>
    <s v="Basic"/>
    <n v="199"/>
    <n v="5.8"/>
    <n v="3"/>
    <n v="4"/>
    <n v="16"/>
    <n v="12"/>
    <s v="No"/>
    <s v="No"/>
    <s v="Yes"/>
    <s v="No"/>
    <s v="No"/>
    <s v="No"/>
    <m/>
    <s v="1+ Failures"/>
    <n v="0"/>
    <x v="2"/>
  </r>
  <r>
    <n v="1982"/>
    <d v="2023-08-07T00:00:00"/>
    <s v="Premium"/>
    <n v="699"/>
    <n v="22.6"/>
    <n v="8"/>
    <n v="3"/>
    <n v="24"/>
    <n v="23"/>
    <s v="Yes"/>
    <s v="No"/>
    <s v="Yes"/>
    <s v="Yes"/>
    <s v="Yes"/>
    <s v="No"/>
    <m/>
    <s v="1+ Failures"/>
    <n v="1"/>
    <x v="3"/>
  </r>
  <r>
    <n v="1983"/>
    <d v="2024-09-30T00:00:00"/>
    <s v="Standard"/>
    <n v="399"/>
    <n v="12"/>
    <n v="8"/>
    <n v="5"/>
    <n v="10"/>
    <n v="28"/>
    <s v="Yes"/>
    <s v="No"/>
    <s v="Yes"/>
    <s v="Yes"/>
    <s v="Yes"/>
    <s v="No"/>
    <m/>
    <s v="1+ Failures"/>
    <n v="1"/>
    <x v="1"/>
  </r>
  <r>
    <n v="1984"/>
    <d v="2024-01-29T00:00:00"/>
    <s v="Standard"/>
    <n v="399"/>
    <n v="5.4"/>
    <n v="5"/>
    <n v="4"/>
    <n v="4"/>
    <n v="56"/>
    <s v="Yes"/>
    <s v="No"/>
    <s v="Yes"/>
    <s v="Yes"/>
    <s v="Yes"/>
    <s v="Yes"/>
    <m/>
    <s v="1+ Failures"/>
    <n v="1"/>
    <x v="2"/>
  </r>
  <r>
    <n v="1985"/>
    <d v="2024-08-04T00:00:00"/>
    <s v="Premium"/>
    <n v="699"/>
    <n v="4.9000000000000004"/>
    <n v="7"/>
    <n v="0"/>
    <n v="28"/>
    <n v="44"/>
    <s v="Yes"/>
    <s v="Yes"/>
    <s v="No"/>
    <s v="Yes"/>
    <s v="Yes"/>
    <s v="No"/>
    <m/>
    <s v="0 Failures"/>
    <n v="1"/>
    <x v="0"/>
  </r>
  <r>
    <n v="1986"/>
    <d v="2023-07-22T00:00:00"/>
    <s v="Premium"/>
    <n v="699"/>
    <n v="7.2"/>
    <n v="2"/>
    <n v="5"/>
    <n v="12"/>
    <n v="25"/>
    <s v="Yes"/>
    <s v="No"/>
    <s v="Yes"/>
    <s v="No"/>
    <s v="Yes"/>
    <s v="No"/>
    <m/>
    <s v="1+ Failures"/>
    <n v="1"/>
    <x v="2"/>
  </r>
  <r>
    <n v="1987"/>
    <d v="2024-05-13T00:00:00"/>
    <s v="Basic"/>
    <n v="199"/>
    <n v="8.3000000000000007"/>
    <n v="3"/>
    <n v="5"/>
    <n v="27"/>
    <n v="8"/>
    <s v="No"/>
    <s v="No"/>
    <s v="Yes"/>
    <s v="No"/>
    <s v="No"/>
    <s v="No"/>
    <m/>
    <s v="1+ Failures"/>
    <n v="0"/>
    <x v="2"/>
  </r>
  <r>
    <n v="1988"/>
    <d v="2023-03-29T00:00:00"/>
    <s v="Standard"/>
    <n v="399"/>
    <n v="18.5"/>
    <n v="0"/>
    <n v="5"/>
    <n v="34"/>
    <n v="6"/>
    <s v="No"/>
    <s v="No"/>
    <s v="Yes"/>
    <s v="No"/>
    <s v="No"/>
    <s v="No"/>
    <m/>
    <s v="1+ Failures"/>
    <n v="0"/>
    <x v="1"/>
  </r>
  <r>
    <n v="1989"/>
    <d v="2024-01-01T00:00:00"/>
    <s v="Basic"/>
    <n v="199"/>
    <n v="23"/>
    <n v="0"/>
    <n v="2"/>
    <n v="1"/>
    <n v="54"/>
    <s v="Yes"/>
    <s v="No"/>
    <s v="Yes"/>
    <s v="No"/>
    <s v="Yes"/>
    <s v="Yes"/>
    <m/>
    <s v="1+ Failures"/>
    <n v="1"/>
    <x v="3"/>
  </r>
  <r>
    <n v="1990"/>
    <d v="2023-11-20T00:00:00"/>
    <s v="Basic"/>
    <n v="199"/>
    <n v="24"/>
    <n v="4"/>
    <n v="0"/>
    <n v="10"/>
    <n v="23"/>
    <s v="No"/>
    <s v="No"/>
    <s v="No"/>
    <s v="No"/>
    <s v="Yes"/>
    <s v="No"/>
    <m/>
    <s v="0 Failures"/>
    <n v="0"/>
    <x v="3"/>
  </r>
  <r>
    <n v="1991"/>
    <d v="2024-07-29T00:00:00"/>
    <s v="Premium"/>
    <n v="699"/>
    <n v="12.1"/>
    <n v="2"/>
    <n v="2"/>
    <n v="29"/>
    <n v="19"/>
    <s v="Yes"/>
    <s v="No"/>
    <s v="Yes"/>
    <s v="No"/>
    <s v="Yes"/>
    <s v="No"/>
    <m/>
    <s v="1+ Failures"/>
    <n v="1"/>
    <x v="1"/>
  </r>
  <r>
    <n v="1992"/>
    <d v="2023-06-12T00:00:00"/>
    <s v="Basic"/>
    <n v="199"/>
    <n v="4.5"/>
    <n v="1"/>
    <n v="4"/>
    <n v="10"/>
    <n v="58"/>
    <s v="Yes"/>
    <s v="Yes"/>
    <s v="Yes"/>
    <s v="No"/>
    <s v="Yes"/>
    <s v="No"/>
    <m/>
    <s v="1+ Failures"/>
    <n v="1"/>
    <x v="0"/>
  </r>
  <r>
    <n v="1993"/>
    <d v="2023-04-27T00:00:00"/>
    <s v="Premium"/>
    <n v="699"/>
    <n v="15.9"/>
    <n v="4"/>
    <n v="5"/>
    <n v="36"/>
    <n v="54"/>
    <s v="No"/>
    <s v="No"/>
    <s v="Yes"/>
    <s v="No"/>
    <s v="Yes"/>
    <s v="No"/>
    <m/>
    <s v="1+ Failures"/>
    <n v="0"/>
    <x v="1"/>
  </r>
  <r>
    <n v="1994"/>
    <d v="2024-04-29T00:00:00"/>
    <s v="Premium"/>
    <n v="699"/>
    <n v="22.8"/>
    <n v="1"/>
    <n v="0"/>
    <n v="10"/>
    <n v="8"/>
    <s v="No"/>
    <s v="No"/>
    <s v="No"/>
    <s v="No"/>
    <s v="No"/>
    <s v="No"/>
    <m/>
    <s v="0 Failures"/>
    <n v="0"/>
    <x v="3"/>
  </r>
  <r>
    <n v="1995"/>
    <d v="2024-01-07T00:00:00"/>
    <s v="Standard"/>
    <n v="399"/>
    <n v="4.7"/>
    <n v="0"/>
    <n v="4"/>
    <n v="31"/>
    <n v="44"/>
    <s v="No"/>
    <s v="Yes"/>
    <s v="Yes"/>
    <s v="No"/>
    <s v="Yes"/>
    <s v="No"/>
    <m/>
    <s v="1+ Failures"/>
    <n v="0"/>
    <x v="0"/>
  </r>
  <r>
    <n v="1996"/>
    <d v="2023-12-19T00:00:00"/>
    <s v="Standard"/>
    <n v="399"/>
    <n v="11.5"/>
    <n v="0"/>
    <n v="3"/>
    <n v="12"/>
    <n v="60"/>
    <s v="No"/>
    <s v="No"/>
    <s v="Yes"/>
    <s v="No"/>
    <s v="Yes"/>
    <s v="No"/>
    <m/>
    <s v="1+ Failures"/>
    <n v="0"/>
    <x v="1"/>
  </r>
  <r>
    <n v="1997"/>
    <d v="2024-11-24T00:00:00"/>
    <s v="Standard"/>
    <n v="399"/>
    <n v="22.2"/>
    <n v="1"/>
    <n v="1"/>
    <n v="6"/>
    <n v="8"/>
    <s v="No"/>
    <s v="No"/>
    <s v="Yes"/>
    <s v="No"/>
    <s v="No"/>
    <s v="No"/>
    <m/>
    <s v="1+ Failures"/>
    <n v="0"/>
    <x v="3"/>
  </r>
  <r>
    <n v="1998"/>
    <d v="2023-03-27T00:00:00"/>
    <s v="Standard"/>
    <n v="399"/>
    <n v="3.2"/>
    <n v="3"/>
    <n v="5"/>
    <n v="10"/>
    <n v="20"/>
    <s v="Yes"/>
    <s v="Yes"/>
    <s v="Yes"/>
    <s v="No"/>
    <s v="Yes"/>
    <s v="No"/>
    <m/>
    <s v="1+ Failures"/>
    <n v="1"/>
    <x v="0"/>
  </r>
  <r>
    <n v="1999"/>
    <d v="2023-07-16T00:00:00"/>
    <s v="Standard"/>
    <n v="399"/>
    <n v="0.9"/>
    <n v="6"/>
    <n v="1"/>
    <n v="32"/>
    <n v="23"/>
    <s v="No"/>
    <s v="Yes"/>
    <s v="Yes"/>
    <s v="Yes"/>
    <s v="Yes"/>
    <s v="No"/>
    <m/>
    <s v="1+ Failures"/>
    <n v="0"/>
    <x v="0"/>
  </r>
  <r>
    <n v="2000"/>
    <d v="2023-02-23T00:00:00"/>
    <s v="Premium"/>
    <n v="699"/>
    <n v="24.6"/>
    <n v="0"/>
    <n v="3"/>
    <n v="18"/>
    <n v="20"/>
    <s v="No"/>
    <s v="No"/>
    <s v="Yes"/>
    <s v="No"/>
    <s v="Yes"/>
    <s v="No"/>
    <m/>
    <s v="1+ Failures"/>
    <n v="0"/>
    <x v="3"/>
  </r>
  <r>
    <n v="2001"/>
    <d v="2023-10-07T00:00:00"/>
    <s v="Premium"/>
    <n v="699"/>
    <n v="17.7"/>
    <n v="4"/>
    <n v="3"/>
    <n v="16"/>
    <n v="27"/>
    <s v="Yes"/>
    <s v="No"/>
    <s v="Yes"/>
    <s v="No"/>
    <s v="Yes"/>
    <s v="No"/>
    <m/>
    <s v="1+ Failures"/>
    <n v="1"/>
    <x v="1"/>
  </r>
  <r>
    <n v="2002"/>
    <d v="2024-10-01T00:00:00"/>
    <s v="Premium"/>
    <n v="699"/>
    <n v="16.7"/>
    <n v="5"/>
    <n v="4"/>
    <n v="30"/>
    <n v="2"/>
    <s v="Yes"/>
    <s v="No"/>
    <s v="Yes"/>
    <s v="Yes"/>
    <s v="No"/>
    <s v="No"/>
    <m/>
    <s v="1+ Failures"/>
    <n v="1"/>
    <x v="1"/>
  </r>
  <r>
    <n v="2003"/>
    <d v="2024-12-12T00:00:00"/>
    <s v="Basic"/>
    <n v="199"/>
    <n v="7.9"/>
    <n v="3"/>
    <n v="3"/>
    <n v="2"/>
    <n v="24"/>
    <s v="Yes"/>
    <s v="No"/>
    <s v="Yes"/>
    <s v="No"/>
    <s v="Yes"/>
    <s v="Yes"/>
    <m/>
    <s v="1+ Failures"/>
    <n v="1"/>
    <x v="2"/>
  </r>
  <r>
    <n v="2004"/>
    <d v="2024-03-10T00:00:00"/>
    <s v="Premium"/>
    <n v="699"/>
    <n v="17.600000000000001"/>
    <n v="5"/>
    <n v="2"/>
    <n v="18"/>
    <n v="51"/>
    <s v="Yes"/>
    <s v="No"/>
    <s v="Yes"/>
    <s v="Yes"/>
    <s v="Yes"/>
    <s v="No"/>
    <m/>
    <s v="1+ Failures"/>
    <n v="1"/>
    <x v="1"/>
  </r>
  <r>
    <n v="2005"/>
    <d v="2024-05-15T00:00:00"/>
    <s v="Standard"/>
    <n v="399"/>
    <n v="3.7"/>
    <n v="5"/>
    <n v="5"/>
    <n v="22"/>
    <n v="16"/>
    <s v="Yes"/>
    <s v="Yes"/>
    <s v="Yes"/>
    <s v="Yes"/>
    <s v="Yes"/>
    <s v="No"/>
    <m/>
    <s v="1+ Failures"/>
    <n v="1"/>
    <x v="0"/>
  </r>
  <r>
    <n v="2006"/>
    <d v="2023-11-23T00:00:00"/>
    <s v="Standard"/>
    <n v="399"/>
    <n v="2.5"/>
    <n v="7"/>
    <n v="5"/>
    <n v="18"/>
    <n v="5"/>
    <s v="No"/>
    <s v="Yes"/>
    <s v="Yes"/>
    <s v="Yes"/>
    <s v="No"/>
    <s v="No"/>
    <m/>
    <s v="1+ Failures"/>
    <n v="0"/>
    <x v="0"/>
  </r>
  <r>
    <n v="2007"/>
    <d v="2024-01-18T00:00:00"/>
    <s v="Premium"/>
    <n v="699"/>
    <n v="1.1000000000000001"/>
    <n v="2"/>
    <n v="0"/>
    <n v="8"/>
    <n v="15"/>
    <s v="Yes"/>
    <s v="Yes"/>
    <s v="No"/>
    <s v="No"/>
    <s v="Yes"/>
    <s v="No"/>
    <m/>
    <s v="0 Failures"/>
    <n v="1"/>
    <x v="0"/>
  </r>
  <r>
    <n v="2008"/>
    <d v="2023-01-14T00:00:00"/>
    <s v="Basic"/>
    <n v="199"/>
    <n v="14.5"/>
    <n v="3"/>
    <n v="0"/>
    <n v="10"/>
    <n v="55"/>
    <s v="Yes"/>
    <s v="No"/>
    <s v="No"/>
    <s v="No"/>
    <s v="Yes"/>
    <s v="No"/>
    <m/>
    <s v="0 Failures"/>
    <n v="1"/>
    <x v="1"/>
  </r>
  <r>
    <n v="2009"/>
    <d v="2024-04-16T00:00:00"/>
    <s v="Premium"/>
    <n v="699"/>
    <n v="21.8"/>
    <n v="1"/>
    <n v="1"/>
    <n v="22"/>
    <n v="37"/>
    <s v="No"/>
    <s v="No"/>
    <s v="Yes"/>
    <s v="No"/>
    <s v="Yes"/>
    <s v="No"/>
    <m/>
    <s v="1+ Failures"/>
    <n v="0"/>
    <x v="3"/>
  </r>
  <r>
    <n v="2010"/>
    <d v="2023-05-23T00:00:00"/>
    <s v="Premium"/>
    <n v="699"/>
    <n v="19.8"/>
    <n v="1"/>
    <n v="4"/>
    <n v="22"/>
    <n v="7"/>
    <s v="Yes"/>
    <s v="No"/>
    <s v="Yes"/>
    <s v="No"/>
    <s v="No"/>
    <s v="No"/>
    <m/>
    <s v="1+ Failures"/>
    <n v="1"/>
    <x v="1"/>
  </r>
  <r>
    <n v="2011"/>
    <d v="2023-08-27T00:00:00"/>
    <s v="Basic"/>
    <n v="199"/>
    <n v="5"/>
    <n v="1"/>
    <n v="0"/>
    <n v="6"/>
    <n v="27"/>
    <s v="No"/>
    <s v="No"/>
    <s v="No"/>
    <s v="No"/>
    <s v="Yes"/>
    <s v="No"/>
    <m/>
    <s v="0 Failures"/>
    <n v="0"/>
    <x v="0"/>
  </r>
  <r>
    <n v="2012"/>
    <d v="2024-05-02T00:00:00"/>
    <s v="Basic"/>
    <n v="199"/>
    <n v="18.100000000000001"/>
    <n v="6"/>
    <n v="2"/>
    <n v="4"/>
    <n v="40"/>
    <s v="Yes"/>
    <s v="No"/>
    <s v="Yes"/>
    <s v="Yes"/>
    <s v="Yes"/>
    <s v="Yes"/>
    <m/>
    <s v="1+ Failures"/>
    <n v="1"/>
    <x v="1"/>
  </r>
  <r>
    <n v="2013"/>
    <d v="2024-08-29T00:00:00"/>
    <s v="Basic"/>
    <n v="199"/>
    <n v="15.3"/>
    <n v="2"/>
    <n v="3"/>
    <n v="32"/>
    <n v="18"/>
    <s v="No"/>
    <s v="No"/>
    <s v="Yes"/>
    <s v="No"/>
    <s v="Yes"/>
    <s v="No"/>
    <m/>
    <s v="1+ Failures"/>
    <n v="0"/>
    <x v="1"/>
  </r>
  <r>
    <n v="2014"/>
    <d v="2023-09-27T00:00:00"/>
    <s v="Basic"/>
    <n v="199"/>
    <n v="5"/>
    <n v="0"/>
    <n v="0"/>
    <n v="29"/>
    <n v="11"/>
    <s v="No"/>
    <s v="No"/>
    <s v="No"/>
    <s v="No"/>
    <s v="No"/>
    <s v="No"/>
    <m/>
    <s v="0 Failures"/>
    <n v="0"/>
    <x v="0"/>
  </r>
  <r>
    <n v="2015"/>
    <d v="2023-03-19T00:00:00"/>
    <s v="Basic"/>
    <n v="199"/>
    <n v="14.6"/>
    <n v="3"/>
    <n v="5"/>
    <n v="35"/>
    <n v="7"/>
    <s v="No"/>
    <s v="No"/>
    <s v="Yes"/>
    <s v="No"/>
    <s v="No"/>
    <s v="No"/>
    <m/>
    <s v="1+ Failures"/>
    <n v="0"/>
    <x v="1"/>
  </r>
  <r>
    <n v="2016"/>
    <d v="2024-08-29T00:00:00"/>
    <s v="Basic"/>
    <n v="199"/>
    <n v="21.3"/>
    <n v="3"/>
    <n v="1"/>
    <n v="12"/>
    <n v="25"/>
    <s v="No"/>
    <s v="No"/>
    <s v="Yes"/>
    <s v="No"/>
    <s v="Yes"/>
    <s v="No"/>
    <m/>
    <s v="1+ Failures"/>
    <n v="0"/>
    <x v="3"/>
  </r>
  <r>
    <n v="2017"/>
    <d v="2023-12-20T00:00:00"/>
    <s v="Standard"/>
    <n v="399"/>
    <n v="12.9"/>
    <n v="4"/>
    <n v="1"/>
    <n v="27"/>
    <n v="27"/>
    <s v="Yes"/>
    <s v="No"/>
    <s v="Yes"/>
    <s v="No"/>
    <s v="Yes"/>
    <s v="No"/>
    <m/>
    <s v="1+ Failures"/>
    <n v="1"/>
    <x v="1"/>
  </r>
  <r>
    <n v="2018"/>
    <d v="2023-03-05T00:00:00"/>
    <s v="Premium"/>
    <n v="699"/>
    <n v="13.5"/>
    <n v="4"/>
    <n v="2"/>
    <n v="16"/>
    <n v="48"/>
    <s v="Yes"/>
    <s v="No"/>
    <s v="Yes"/>
    <s v="No"/>
    <s v="Yes"/>
    <s v="No"/>
    <m/>
    <s v="1+ Failures"/>
    <n v="1"/>
    <x v="1"/>
  </r>
  <r>
    <n v="2019"/>
    <d v="2023-03-23T00:00:00"/>
    <s v="Basic"/>
    <n v="199"/>
    <n v="8.9"/>
    <n v="0"/>
    <n v="4"/>
    <n v="32"/>
    <n v="48"/>
    <s v="No"/>
    <s v="No"/>
    <s v="Yes"/>
    <s v="No"/>
    <s v="Yes"/>
    <s v="No"/>
    <m/>
    <s v="1+ Failures"/>
    <n v="0"/>
    <x v="2"/>
  </r>
  <r>
    <n v="2020"/>
    <d v="2024-01-06T00:00:00"/>
    <s v="Premium"/>
    <n v="699"/>
    <n v="0.8"/>
    <n v="1"/>
    <n v="2"/>
    <n v="29"/>
    <n v="37"/>
    <s v="Yes"/>
    <s v="Yes"/>
    <s v="Yes"/>
    <s v="No"/>
    <s v="Yes"/>
    <s v="No"/>
    <m/>
    <s v="1+ Failures"/>
    <n v="1"/>
    <x v="0"/>
  </r>
  <r>
    <n v="2021"/>
    <d v="2024-05-06T00:00:00"/>
    <s v="Premium"/>
    <n v="699"/>
    <n v="14.4"/>
    <n v="5"/>
    <n v="3"/>
    <n v="5"/>
    <n v="22"/>
    <s v="Yes"/>
    <s v="No"/>
    <s v="Yes"/>
    <s v="Yes"/>
    <s v="Yes"/>
    <s v="Yes"/>
    <m/>
    <s v="1+ Failures"/>
    <n v="1"/>
    <x v="1"/>
  </r>
  <r>
    <n v="2022"/>
    <d v="2023-07-14T00:00:00"/>
    <s v="Standard"/>
    <n v="399"/>
    <n v="7.9"/>
    <n v="7"/>
    <n v="2"/>
    <n v="32"/>
    <n v="34"/>
    <s v="No"/>
    <s v="No"/>
    <s v="Yes"/>
    <s v="Yes"/>
    <s v="Yes"/>
    <s v="No"/>
    <m/>
    <s v="1+ Failures"/>
    <n v="0"/>
    <x v="2"/>
  </r>
  <r>
    <n v="2023"/>
    <d v="2023-11-29T00:00:00"/>
    <s v="Basic"/>
    <n v="199"/>
    <n v="1.5"/>
    <n v="5"/>
    <n v="3"/>
    <n v="11"/>
    <n v="29"/>
    <s v="Yes"/>
    <s v="Yes"/>
    <s v="Yes"/>
    <s v="Yes"/>
    <s v="Yes"/>
    <s v="No"/>
    <m/>
    <s v="1+ Failures"/>
    <n v="1"/>
    <x v="0"/>
  </r>
  <r>
    <n v="2024"/>
    <d v="2024-01-30T00:00:00"/>
    <s v="Standard"/>
    <n v="399"/>
    <n v="21.8"/>
    <n v="7"/>
    <n v="3"/>
    <n v="30"/>
    <n v="9"/>
    <s v="Yes"/>
    <s v="No"/>
    <s v="Yes"/>
    <s v="Yes"/>
    <s v="No"/>
    <s v="No"/>
    <m/>
    <s v="1+ Failures"/>
    <n v="1"/>
    <x v="3"/>
  </r>
  <r>
    <n v="2025"/>
    <d v="2024-02-14T00:00:00"/>
    <s v="Standard"/>
    <n v="399"/>
    <n v="21.9"/>
    <n v="5"/>
    <n v="3"/>
    <n v="2"/>
    <n v="55"/>
    <s v="Yes"/>
    <s v="No"/>
    <s v="Yes"/>
    <s v="Yes"/>
    <s v="Yes"/>
    <s v="Yes"/>
    <m/>
    <s v="1+ Failures"/>
    <n v="1"/>
    <x v="3"/>
  </r>
  <r>
    <n v="2026"/>
    <d v="2023-08-11T00:00:00"/>
    <s v="Standard"/>
    <n v="399"/>
    <n v="11.1"/>
    <n v="2"/>
    <n v="1"/>
    <n v="1"/>
    <n v="37"/>
    <s v="No"/>
    <s v="No"/>
    <s v="Yes"/>
    <s v="No"/>
    <s v="Yes"/>
    <s v="Yes"/>
    <m/>
    <s v="1+ Failures"/>
    <n v="0"/>
    <x v="1"/>
  </r>
  <r>
    <n v="2027"/>
    <d v="2024-05-24T00:00:00"/>
    <s v="Basic"/>
    <n v="199"/>
    <n v="10.1"/>
    <n v="2"/>
    <n v="2"/>
    <n v="2"/>
    <n v="21"/>
    <s v="Yes"/>
    <s v="No"/>
    <s v="Yes"/>
    <s v="No"/>
    <s v="Yes"/>
    <s v="Yes"/>
    <m/>
    <s v="1+ Failures"/>
    <n v="1"/>
    <x v="1"/>
  </r>
  <r>
    <n v="2028"/>
    <d v="2024-09-13T00:00:00"/>
    <s v="Standard"/>
    <n v="399"/>
    <n v="7.9"/>
    <n v="8"/>
    <n v="2"/>
    <n v="11"/>
    <n v="14"/>
    <s v="Yes"/>
    <s v="No"/>
    <s v="Yes"/>
    <s v="Yes"/>
    <s v="No"/>
    <s v="No"/>
    <m/>
    <s v="1+ Failures"/>
    <n v="1"/>
    <x v="2"/>
  </r>
  <r>
    <n v="2029"/>
    <d v="2023-04-19T00:00:00"/>
    <s v="Premium"/>
    <n v="699"/>
    <n v="11.1"/>
    <n v="2"/>
    <n v="3"/>
    <n v="32"/>
    <n v="42"/>
    <s v="Yes"/>
    <s v="No"/>
    <s v="Yes"/>
    <s v="No"/>
    <s v="Yes"/>
    <s v="No"/>
    <m/>
    <s v="1+ Failures"/>
    <n v="1"/>
    <x v="1"/>
  </r>
  <r>
    <n v="2030"/>
    <d v="2024-05-21T00:00:00"/>
    <s v="Basic"/>
    <n v="199"/>
    <n v="17.8"/>
    <n v="4"/>
    <n v="1"/>
    <n v="21"/>
    <n v="15"/>
    <s v="No"/>
    <s v="No"/>
    <s v="Yes"/>
    <s v="No"/>
    <s v="Yes"/>
    <s v="No"/>
    <m/>
    <s v="1+ Failures"/>
    <n v="0"/>
    <x v="1"/>
  </r>
  <r>
    <n v="2031"/>
    <d v="2023-11-15T00:00:00"/>
    <s v="Basic"/>
    <n v="199"/>
    <n v="12.5"/>
    <n v="4"/>
    <n v="5"/>
    <n v="27"/>
    <n v="10"/>
    <s v="Yes"/>
    <s v="No"/>
    <s v="Yes"/>
    <s v="No"/>
    <s v="No"/>
    <s v="No"/>
    <m/>
    <s v="1+ Failures"/>
    <n v="1"/>
    <x v="1"/>
  </r>
  <r>
    <n v="2032"/>
    <d v="2024-01-18T00:00:00"/>
    <s v="Premium"/>
    <n v="699"/>
    <n v="15.5"/>
    <n v="2"/>
    <n v="4"/>
    <n v="28"/>
    <n v="18"/>
    <s v="Yes"/>
    <s v="No"/>
    <s v="Yes"/>
    <s v="No"/>
    <s v="Yes"/>
    <s v="No"/>
    <m/>
    <s v="1+ Failures"/>
    <n v="1"/>
    <x v="1"/>
  </r>
  <r>
    <n v="2033"/>
    <d v="2024-03-03T00:00:00"/>
    <s v="Premium"/>
    <n v="699"/>
    <n v="9.6"/>
    <n v="7"/>
    <n v="0"/>
    <n v="9"/>
    <n v="1"/>
    <s v="No"/>
    <s v="No"/>
    <s v="No"/>
    <s v="Yes"/>
    <s v="No"/>
    <s v="No"/>
    <m/>
    <s v="0 Failures"/>
    <n v="0"/>
    <x v="2"/>
  </r>
  <r>
    <n v="2034"/>
    <d v="2024-05-02T00:00:00"/>
    <s v="Basic"/>
    <n v="199"/>
    <n v="23.6"/>
    <n v="3"/>
    <n v="2"/>
    <n v="14"/>
    <n v="40"/>
    <s v="No"/>
    <s v="No"/>
    <s v="Yes"/>
    <s v="No"/>
    <s v="Yes"/>
    <s v="No"/>
    <m/>
    <s v="1+ Failures"/>
    <n v="0"/>
    <x v="3"/>
  </r>
  <r>
    <n v="2035"/>
    <d v="2023-11-26T00:00:00"/>
    <s v="Standard"/>
    <n v="399"/>
    <n v="8.8000000000000007"/>
    <n v="5"/>
    <n v="5"/>
    <n v="36"/>
    <n v="12"/>
    <s v="No"/>
    <s v="No"/>
    <s v="Yes"/>
    <s v="Yes"/>
    <s v="No"/>
    <s v="No"/>
    <m/>
    <s v="1+ Failures"/>
    <n v="0"/>
    <x v="2"/>
  </r>
  <r>
    <n v="2036"/>
    <d v="2023-01-20T00:00:00"/>
    <s v="Premium"/>
    <n v="699"/>
    <n v="17.8"/>
    <n v="3"/>
    <n v="1"/>
    <n v="15"/>
    <n v="31"/>
    <s v="No"/>
    <s v="No"/>
    <s v="Yes"/>
    <s v="No"/>
    <s v="Yes"/>
    <s v="No"/>
    <m/>
    <s v="1+ Failures"/>
    <n v="0"/>
    <x v="1"/>
  </r>
  <r>
    <n v="2037"/>
    <d v="2024-06-25T00:00:00"/>
    <s v="Standard"/>
    <n v="399"/>
    <n v="22.1"/>
    <n v="6"/>
    <n v="1"/>
    <n v="33"/>
    <n v="39"/>
    <s v="Yes"/>
    <s v="No"/>
    <s v="Yes"/>
    <s v="Yes"/>
    <s v="Yes"/>
    <s v="No"/>
    <m/>
    <s v="1+ Failures"/>
    <n v="1"/>
    <x v="3"/>
  </r>
  <r>
    <n v="2038"/>
    <d v="2023-07-17T00:00:00"/>
    <s v="Standard"/>
    <n v="399"/>
    <n v="15.3"/>
    <n v="4"/>
    <n v="0"/>
    <n v="30"/>
    <n v="28"/>
    <s v="Yes"/>
    <s v="No"/>
    <s v="No"/>
    <s v="No"/>
    <s v="Yes"/>
    <s v="No"/>
    <m/>
    <s v="0 Failures"/>
    <n v="1"/>
    <x v="1"/>
  </r>
  <r>
    <n v="2039"/>
    <d v="2023-01-04T00:00:00"/>
    <s v="Standard"/>
    <n v="399"/>
    <n v="9.4"/>
    <n v="0"/>
    <n v="3"/>
    <n v="10"/>
    <n v="15"/>
    <s v="Yes"/>
    <s v="No"/>
    <s v="Yes"/>
    <s v="No"/>
    <s v="Yes"/>
    <s v="No"/>
    <m/>
    <s v="1+ Failures"/>
    <n v="1"/>
    <x v="2"/>
  </r>
  <r>
    <n v="2040"/>
    <d v="2023-11-24T00:00:00"/>
    <s v="Standard"/>
    <n v="399"/>
    <n v="20.7"/>
    <n v="7"/>
    <n v="4"/>
    <n v="23"/>
    <n v="9"/>
    <s v="No"/>
    <s v="No"/>
    <s v="Yes"/>
    <s v="Yes"/>
    <s v="No"/>
    <s v="No"/>
    <m/>
    <s v="1+ Failures"/>
    <n v="0"/>
    <x v="3"/>
  </r>
  <r>
    <n v="2041"/>
    <d v="2023-07-12T00:00:00"/>
    <s v="Standard"/>
    <n v="399"/>
    <n v="15.3"/>
    <n v="8"/>
    <n v="1"/>
    <n v="21"/>
    <n v="52"/>
    <s v="No"/>
    <s v="No"/>
    <s v="Yes"/>
    <s v="Yes"/>
    <s v="Yes"/>
    <s v="No"/>
    <m/>
    <s v="1+ Failures"/>
    <n v="0"/>
    <x v="1"/>
  </r>
  <r>
    <n v="2042"/>
    <d v="2024-05-31T00:00:00"/>
    <s v="Premium"/>
    <n v="699"/>
    <n v="7.7"/>
    <n v="0"/>
    <n v="5"/>
    <n v="8"/>
    <n v="56"/>
    <s v="Yes"/>
    <s v="No"/>
    <s v="Yes"/>
    <s v="No"/>
    <s v="Yes"/>
    <s v="No"/>
    <m/>
    <s v="1+ Failures"/>
    <n v="1"/>
    <x v="2"/>
  </r>
  <r>
    <n v="2043"/>
    <d v="2023-11-02T00:00:00"/>
    <s v="Standard"/>
    <n v="399"/>
    <n v="19.899999999999999"/>
    <n v="6"/>
    <n v="5"/>
    <n v="16"/>
    <n v="52"/>
    <s v="No"/>
    <s v="No"/>
    <s v="Yes"/>
    <s v="Yes"/>
    <s v="Yes"/>
    <s v="No"/>
    <m/>
    <s v="1+ Failures"/>
    <n v="0"/>
    <x v="1"/>
  </r>
  <r>
    <n v="2044"/>
    <d v="2024-03-07T00:00:00"/>
    <s v="Standard"/>
    <n v="399"/>
    <n v="4"/>
    <n v="0"/>
    <n v="0"/>
    <n v="14"/>
    <n v="41"/>
    <s v="No"/>
    <s v="Yes"/>
    <s v="No"/>
    <s v="No"/>
    <s v="Yes"/>
    <s v="No"/>
    <m/>
    <s v="0 Failures"/>
    <n v="0"/>
    <x v="0"/>
  </r>
  <r>
    <n v="2045"/>
    <d v="2023-06-10T00:00:00"/>
    <s v="Basic"/>
    <n v="199"/>
    <n v="11.9"/>
    <n v="2"/>
    <n v="3"/>
    <n v="24"/>
    <n v="40"/>
    <s v="Yes"/>
    <s v="No"/>
    <s v="Yes"/>
    <s v="No"/>
    <s v="Yes"/>
    <s v="No"/>
    <m/>
    <s v="1+ Failures"/>
    <n v="1"/>
    <x v="1"/>
  </r>
  <r>
    <n v="2046"/>
    <d v="2024-12-24T00:00:00"/>
    <s v="Premium"/>
    <n v="699"/>
    <n v="19.100000000000001"/>
    <n v="1"/>
    <n v="2"/>
    <n v="29"/>
    <n v="29"/>
    <s v="Yes"/>
    <s v="No"/>
    <s v="Yes"/>
    <s v="No"/>
    <s v="Yes"/>
    <s v="No"/>
    <m/>
    <s v="1+ Failures"/>
    <n v="1"/>
    <x v="1"/>
  </r>
  <r>
    <n v="2047"/>
    <d v="2023-12-01T00:00:00"/>
    <s v="Premium"/>
    <n v="699"/>
    <n v="7.5"/>
    <n v="2"/>
    <n v="2"/>
    <n v="30"/>
    <n v="1"/>
    <s v="Yes"/>
    <s v="No"/>
    <s v="Yes"/>
    <s v="No"/>
    <s v="No"/>
    <s v="No"/>
    <m/>
    <s v="1+ Failures"/>
    <n v="1"/>
    <x v="2"/>
  </r>
  <r>
    <n v="2048"/>
    <d v="2024-10-05T00:00:00"/>
    <s v="Premium"/>
    <n v="699"/>
    <n v="9.5"/>
    <n v="5"/>
    <n v="5"/>
    <n v="31"/>
    <n v="24"/>
    <s v="Yes"/>
    <s v="No"/>
    <s v="Yes"/>
    <s v="Yes"/>
    <s v="Yes"/>
    <s v="No"/>
    <m/>
    <s v="1+ Failures"/>
    <n v="1"/>
    <x v="2"/>
  </r>
  <r>
    <n v="2049"/>
    <d v="2024-10-21T00:00:00"/>
    <s v="Standard"/>
    <n v="399"/>
    <n v="10.199999999999999"/>
    <n v="5"/>
    <n v="4"/>
    <n v="21"/>
    <n v="53"/>
    <s v="No"/>
    <s v="No"/>
    <s v="Yes"/>
    <s v="Yes"/>
    <s v="Yes"/>
    <s v="No"/>
    <m/>
    <s v="1+ Failures"/>
    <n v="0"/>
    <x v="1"/>
  </r>
  <r>
    <n v="2050"/>
    <d v="2024-12-31T00:00:00"/>
    <s v="Standard"/>
    <n v="399"/>
    <n v="14.4"/>
    <n v="0"/>
    <n v="4"/>
    <n v="21"/>
    <n v="3"/>
    <s v="No"/>
    <s v="No"/>
    <s v="Yes"/>
    <s v="No"/>
    <s v="No"/>
    <s v="No"/>
    <m/>
    <s v="1+ Failures"/>
    <n v="0"/>
    <x v="1"/>
  </r>
  <r>
    <n v="2051"/>
    <d v="2023-06-17T00:00:00"/>
    <s v="Basic"/>
    <n v="199"/>
    <n v="2.1"/>
    <n v="1"/>
    <n v="1"/>
    <n v="32"/>
    <n v="9"/>
    <s v="Yes"/>
    <s v="Yes"/>
    <s v="Yes"/>
    <s v="No"/>
    <s v="No"/>
    <s v="No"/>
    <m/>
    <s v="1+ Failures"/>
    <n v="1"/>
    <x v="0"/>
  </r>
  <r>
    <n v="2052"/>
    <d v="2023-12-18T00:00:00"/>
    <s v="Premium"/>
    <n v="699"/>
    <n v="2.8"/>
    <n v="5"/>
    <n v="2"/>
    <n v="16"/>
    <n v="21"/>
    <s v="Yes"/>
    <s v="Yes"/>
    <s v="Yes"/>
    <s v="Yes"/>
    <s v="Yes"/>
    <s v="No"/>
    <m/>
    <s v="1+ Failures"/>
    <n v="1"/>
    <x v="0"/>
  </r>
  <r>
    <n v="2053"/>
    <d v="2024-02-10T00:00:00"/>
    <s v="Basic"/>
    <n v="199"/>
    <n v="10.3"/>
    <n v="0"/>
    <n v="4"/>
    <n v="32"/>
    <n v="26"/>
    <s v="No"/>
    <s v="No"/>
    <s v="Yes"/>
    <s v="No"/>
    <s v="Yes"/>
    <s v="No"/>
    <m/>
    <s v="1+ Failures"/>
    <n v="0"/>
    <x v="1"/>
  </r>
  <r>
    <n v="2054"/>
    <d v="2023-09-25T00:00:00"/>
    <s v="Premium"/>
    <n v="699"/>
    <n v="13.9"/>
    <n v="1"/>
    <n v="1"/>
    <n v="10"/>
    <n v="28"/>
    <s v="Yes"/>
    <s v="No"/>
    <s v="Yes"/>
    <s v="No"/>
    <s v="Yes"/>
    <s v="No"/>
    <m/>
    <s v="1+ Failures"/>
    <n v="1"/>
    <x v="1"/>
  </r>
  <r>
    <n v="2055"/>
    <d v="2024-12-15T00:00:00"/>
    <s v="Basic"/>
    <n v="199"/>
    <n v="1.9"/>
    <n v="8"/>
    <n v="0"/>
    <n v="16"/>
    <n v="3"/>
    <s v="No"/>
    <s v="Yes"/>
    <s v="No"/>
    <s v="Yes"/>
    <s v="No"/>
    <s v="No"/>
    <m/>
    <s v="0 Failures"/>
    <n v="0"/>
    <x v="0"/>
  </r>
  <r>
    <n v="2056"/>
    <d v="2023-05-21T00:00:00"/>
    <s v="Basic"/>
    <n v="199"/>
    <n v="1.5"/>
    <n v="3"/>
    <n v="1"/>
    <n v="31"/>
    <n v="60"/>
    <s v="Yes"/>
    <s v="Yes"/>
    <s v="Yes"/>
    <s v="No"/>
    <s v="Yes"/>
    <s v="No"/>
    <m/>
    <s v="1+ Failures"/>
    <n v="1"/>
    <x v="0"/>
  </r>
  <r>
    <n v="2057"/>
    <d v="2024-05-19T00:00:00"/>
    <s v="Premium"/>
    <n v="699"/>
    <n v="8.4"/>
    <n v="6"/>
    <n v="0"/>
    <n v="21"/>
    <n v="32"/>
    <s v="No"/>
    <s v="No"/>
    <s v="No"/>
    <s v="Yes"/>
    <s v="Yes"/>
    <s v="No"/>
    <m/>
    <s v="0 Failures"/>
    <n v="0"/>
    <x v="2"/>
  </r>
  <r>
    <n v="2058"/>
    <d v="2023-08-24T00:00:00"/>
    <s v="Basic"/>
    <n v="199"/>
    <n v="14"/>
    <n v="0"/>
    <n v="1"/>
    <n v="27"/>
    <n v="37"/>
    <s v="Yes"/>
    <s v="No"/>
    <s v="Yes"/>
    <s v="No"/>
    <s v="Yes"/>
    <s v="No"/>
    <m/>
    <s v="1+ Failures"/>
    <n v="1"/>
    <x v="1"/>
  </r>
  <r>
    <n v="2059"/>
    <d v="2023-06-18T00:00:00"/>
    <s v="Premium"/>
    <n v="699"/>
    <n v="0.7"/>
    <n v="1"/>
    <n v="4"/>
    <n v="32"/>
    <n v="56"/>
    <s v="Yes"/>
    <s v="Yes"/>
    <s v="Yes"/>
    <s v="No"/>
    <s v="Yes"/>
    <s v="No"/>
    <m/>
    <s v="1+ Failures"/>
    <n v="1"/>
    <x v="0"/>
  </r>
  <r>
    <n v="2060"/>
    <d v="2023-09-30T00:00:00"/>
    <s v="Standard"/>
    <n v="399"/>
    <n v="4.2"/>
    <n v="0"/>
    <n v="5"/>
    <n v="14"/>
    <n v="47"/>
    <s v="Yes"/>
    <s v="Yes"/>
    <s v="Yes"/>
    <s v="No"/>
    <s v="Yes"/>
    <s v="No"/>
    <m/>
    <s v="1+ Failures"/>
    <n v="1"/>
    <x v="0"/>
  </r>
  <r>
    <n v="2061"/>
    <d v="2023-12-09T00:00:00"/>
    <s v="Premium"/>
    <n v="699"/>
    <n v="13"/>
    <n v="2"/>
    <n v="1"/>
    <n v="24"/>
    <n v="48"/>
    <s v="No"/>
    <s v="No"/>
    <s v="Yes"/>
    <s v="No"/>
    <s v="Yes"/>
    <s v="No"/>
    <m/>
    <s v="1+ Failures"/>
    <n v="0"/>
    <x v="1"/>
  </r>
  <r>
    <n v="2062"/>
    <d v="2023-01-30T00:00:00"/>
    <s v="Basic"/>
    <n v="199"/>
    <n v="22.5"/>
    <n v="6"/>
    <n v="0"/>
    <n v="21"/>
    <n v="41"/>
    <s v="Yes"/>
    <s v="No"/>
    <s v="No"/>
    <s v="Yes"/>
    <s v="Yes"/>
    <s v="No"/>
    <m/>
    <s v="0 Failures"/>
    <n v="1"/>
    <x v="3"/>
  </r>
  <r>
    <n v="2063"/>
    <d v="2023-04-20T00:00:00"/>
    <s v="Standard"/>
    <n v="399"/>
    <n v="19.399999999999999"/>
    <n v="3"/>
    <n v="1"/>
    <n v="33"/>
    <n v="7"/>
    <s v="Yes"/>
    <s v="No"/>
    <s v="Yes"/>
    <s v="No"/>
    <s v="No"/>
    <s v="No"/>
    <m/>
    <s v="1+ Failures"/>
    <n v="1"/>
    <x v="1"/>
  </r>
  <r>
    <n v="2064"/>
    <d v="2024-08-30T00:00:00"/>
    <s v="Premium"/>
    <n v="699"/>
    <n v="5.4"/>
    <n v="4"/>
    <n v="5"/>
    <n v="14"/>
    <n v="43"/>
    <s v="Yes"/>
    <s v="No"/>
    <s v="Yes"/>
    <s v="No"/>
    <s v="Yes"/>
    <s v="No"/>
    <m/>
    <s v="1+ Failures"/>
    <n v="1"/>
    <x v="2"/>
  </r>
  <r>
    <n v="2065"/>
    <d v="2023-09-16T00:00:00"/>
    <s v="Standard"/>
    <n v="399"/>
    <n v="11.9"/>
    <n v="3"/>
    <n v="4"/>
    <n v="24"/>
    <n v="56"/>
    <s v="No"/>
    <s v="No"/>
    <s v="Yes"/>
    <s v="No"/>
    <s v="Yes"/>
    <s v="No"/>
    <m/>
    <s v="1+ Failures"/>
    <n v="0"/>
    <x v="1"/>
  </r>
  <r>
    <n v="2066"/>
    <d v="2023-12-08T00:00:00"/>
    <s v="Basic"/>
    <n v="199"/>
    <n v="1.1000000000000001"/>
    <n v="0"/>
    <n v="1"/>
    <n v="33"/>
    <n v="53"/>
    <s v="Yes"/>
    <s v="Yes"/>
    <s v="Yes"/>
    <s v="No"/>
    <s v="Yes"/>
    <s v="No"/>
    <m/>
    <s v="1+ Failures"/>
    <n v="1"/>
    <x v="0"/>
  </r>
  <r>
    <n v="2067"/>
    <d v="2024-02-05T00:00:00"/>
    <s v="Basic"/>
    <n v="199"/>
    <n v="23.7"/>
    <n v="6"/>
    <n v="5"/>
    <n v="32"/>
    <n v="20"/>
    <s v="Yes"/>
    <s v="No"/>
    <s v="Yes"/>
    <s v="Yes"/>
    <s v="Yes"/>
    <s v="No"/>
    <m/>
    <s v="1+ Failures"/>
    <n v="1"/>
    <x v="3"/>
  </r>
  <r>
    <n v="2068"/>
    <d v="2024-11-14T00:00:00"/>
    <s v="Premium"/>
    <n v="699"/>
    <n v="23.1"/>
    <n v="7"/>
    <n v="4"/>
    <n v="11"/>
    <n v="38"/>
    <s v="Yes"/>
    <s v="No"/>
    <s v="Yes"/>
    <s v="Yes"/>
    <s v="Yes"/>
    <s v="No"/>
    <m/>
    <s v="1+ Failures"/>
    <n v="1"/>
    <x v="3"/>
  </r>
  <r>
    <n v="2069"/>
    <d v="2023-01-12T00:00:00"/>
    <s v="Basic"/>
    <n v="199"/>
    <n v="15.6"/>
    <n v="0"/>
    <n v="0"/>
    <n v="5"/>
    <n v="39"/>
    <s v="Yes"/>
    <s v="No"/>
    <s v="No"/>
    <s v="No"/>
    <s v="Yes"/>
    <s v="Yes"/>
    <m/>
    <s v="0 Failures"/>
    <n v="1"/>
    <x v="1"/>
  </r>
  <r>
    <n v="2070"/>
    <d v="2023-04-10T00:00:00"/>
    <s v="Standard"/>
    <n v="399"/>
    <n v="7.9"/>
    <n v="6"/>
    <n v="5"/>
    <n v="1"/>
    <n v="36"/>
    <s v="No"/>
    <s v="No"/>
    <s v="Yes"/>
    <s v="Yes"/>
    <s v="Yes"/>
    <s v="Yes"/>
    <m/>
    <s v="1+ Failures"/>
    <n v="0"/>
    <x v="2"/>
  </r>
  <r>
    <n v="2071"/>
    <d v="2023-03-19T00:00:00"/>
    <s v="Basic"/>
    <n v="199"/>
    <n v="5.8"/>
    <n v="3"/>
    <n v="3"/>
    <n v="24"/>
    <n v="47"/>
    <s v="No"/>
    <s v="No"/>
    <s v="Yes"/>
    <s v="No"/>
    <s v="Yes"/>
    <s v="No"/>
    <m/>
    <s v="1+ Failures"/>
    <n v="0"/>
    <x v="2"/>
  </r>
  <r>
    <n v="2072"/>
    <d v="2023-05-26T00:00:00"/>
    <s v="Standard"/>
    <n v="399"/>
    <n v="16.5"/>
    <n v="4"/>
    <n v="0"/>
    <n v="27"/>
    <n v="57"/>
    <s v="Yes"/>
    <s v="No"/>
    <s v="No"/>
    <s v="No"/>
    <s v="Yes"/>
    <s v="No"/>
    <m/>
    <s v="0 Failures"/>
    <n v="1"/>
    <x v="1"/>
  </r>
  <r>
    <n v="2073"/>
    <d v="2024-11-29T00:00:00"/>
    <s v="Standard"/>
    <n v="399"/>
    <n v="23.3"/>
    <n v="3"/>
    <n v="0"/>
    <n v="30"/>
    <n v="58"/>
    <s v="No"/>
    <s v="No"/>
    <s v="No"/>
    <s v="No"/>
    <s v="Yes"/>
    <s v="No"/>
    <m/>
    <s v="0 Failures"/>
    <n v="0"/>
    <x v="3"/>
  </r>
  <r>
    <n v="2074"/>
    <d v="2024-08-16T00:00:00"/>
    <s v="Basic"/>
    <n v="199"/>
    <n v="4.8"/>
    <n v="1"/>
    <n v="0"/>
    <n v="31"/>
    <n v="46"/>
    <s v="Yes"/>
    <s v="Yes"/>
    <s v="No"/>
    <s v="No"/>
    <s v="Yes"/>
    <s v="No"/>
    <m/>
    <s v="0 Failures"/>
    <n v="1"/>
    <x v="0"/>
  </r>
  <r>
    <n v="2075"/>
    <d v="2024-12-09T00:00:00"/>
    <s v="Premium"/>
    <n v="699"/>
    <n v="7.2"/>
    <n v="0"/>
    <n v="5"/>
    <n v="36"/>
    <n v="36"/>
    <s v="Yes"/>
    <s v="No"/>
    <s v="Yes"/>
    <s v="No"/>
    <s v="Yes"/>
    <s v="No"/>
    <m/>
    <s v="1+ Failures"/>
    <n v="1"/>
    <x v="2"/>
  </r>
  <r>
    <n v="2076"/>
    <d v="2024-04-21T00:00:00"/>
    <s v="Basic"/>
    <n v="199"/>
    <n v="2.1"/>
    <n v="6"/>
    <n v="0"/>
    <n v="14"/>
    <n v="2"/>
    <s v="Yes"/>
    <s v="Yes"/>
    <s v="No"/>
    <s v="Yes"/>
    <s v="No"/>
    <s v="No"/>
    <m/>
    <s v="0 Failures"/>
    <n v="1"/>
    <x v="0"/>
  </r>
  <r>
    <n v="2077"/>
    <d v="2023-10-15T00:00:00"/>
    <s v="Standard"/>
    <n v="399"/>
    <n v="24.3"/>
    <n v="0"/>
    <n v="5"/>
    <n v="12"/>
    <n v="4"/>
    <s v="No"/>
    <s v="No"/>
    <s v="Yes"/>
    <s v="No"/>
    <s v="No"/>
    <s v="No"/>
    <m/>
    <s v="1+ Failures"/>
    <n v="0"/>
    <x v="3"/>
  </r>
  <r>
    <n v="2078"/>
    <d v="2023-07-12T00:00:00"/>
    <s v="Premium"/>
    <n v="699"/>
    <n v="18.100000000000001"/>
    <n v="3"/>
    <n v="2"/>
    <n v="19"/>
    <n v="1"/>
    <s v="No"/>
    <s v="No"/>
    <s v="Yes"/>
    <s v="No"/>
    <s v="No"/>
    <s v="No"/>
    <m/>
    <s v="1+ Failures"/>
    <n v="0"/>
    <x v="1"/>
  </r>
  <r>
    <n v="2079"/>
    <d v="2024-07-26T00:00:00"/>
    <s v="Basic"/>
    <n v="199"/>
    <n v="20.399999999999999"/>
    <n v="0"/>
    <n v="4"/>
    <n v="29"/>
    <n v="53"/>
    <s v="No"/>
    <s v="No"/>
    <s v="Yes"/>
    <s v="No"/>
    <s v="Yes"/>
    <s v="No"/>
    <m/>
    <s v="1+ Failures"/>
    <n v="0"/>
    <x v="3"/>
  </r>
  <r>
    <n v="2080"/>
    <d v="2024-01-12T00:00:00"/>
    <s v="Premium"/>
    <n v="699"/>
    <n v="19.899999999999999"/>
    <n v="0"/>
    <n v="2"/>
    <n v="32"/>
    <n v="23"/>
    <s v="Yes"/>
    <s v="No"/>
    <s v="Yes"/>
    <s v="No"/>
    <s v="Yes"/>
    <s v="No"/>
    <m/>
    <s v="1+ Failures"/>
    <n v="1"/>
    <x v="1"/>
  </r>
  <r>
    <n v="2081"/>
    <d v="2024-07-18T00:00:00"/>
    <s v="Standard"/>
    <n v="399"/>
    <n v="13.8"/>
    <n v="5"/>
    <n v="5"/>
    <n v="31"/>
    <n v="57"/>
    <s v="Yes"/>
    <s v="No"/>
    <s v="Yes"/>
    <s v="Yes"/>
    <s v="Yes"/>
    <s v="No"/>
    <m/>
    <s v="1+ Failures"/>
    <n v="1"/>
    <x v="1"/>
  </r>
  <r>
    <n v="2082"/>
    <d v="2024-01-17T00:00:00"/>
    <s v="Premium"/>
    <n v="699"/>
    <n v="8.4"/>
    <n v="5"/>
    <n v="3"/>
    <n v="10"/>
    <n v="11"/>
    <s v="No"/>
    <s v="No"/>
    <s v="Yes"/>
    <s v="Yes"/>
    <s v="No"/>
    <s v="No"/>
    <m/>
    <s v="1+ Failures"/>
    <n v="0"/>
    <x v="2"/>
  </r>
  <r>
    <n v="2083"/>
    <d v="2024-11-22T00:00:00"/>
    <s v="Standard"/>
    <n v="399"/>
    <n v="19.3"/>
    <n v="2"/>
    <n v="5"/>
    <n v="23"/>
    <n v="48"/>
    <s v="No"/>
    <s v="No"/>
    <s v="Yes"/>
    <s v="No"/>
    <s v="Yes"/>
    <s v="No"/>
    <m/>
    <s v="1+ Failures"/>
    <n v="0"/>
    <x v="1"/>
  </r>
  <r>
    <n v="2084"/>
    <d v="2023-05-21T00:00:00"/>
    <s v="Premium"/>
    <n v="699"/>
    <n v="9.3000000000000007"/>
    <n v="6"/>
    <n v="0"/>
    <n v="27"/>
    <n v="38"/>
    <s v="Yes"/>
    <s v="No"/>
    <s v="No"/>
    <s v="Yes"/>
    <s v="Yes"/>
    <s v="No"/>
    <m/>
    <s v="0 Failures"/>
    <n v="1"/>
    <x v="2"/>
  </r>
  <r>
    <n v="2085"/>
    <d v="2023-02-13T00:00:00"/>
    <s v="Standard"/>
    <n v="399"/>
    <n v="16.3"/>
    <n v="7"/>
    <n v="4"/>
    <n v="23"/>
    <n v="55"/>
    <s v="Yes"/>
    <s v="No"/>
    <s v="Yes"/>
    <s v="Yes"/>
    <s v="Yes"/>
    <s v="No"/>
    <m/>
    <s v="1+ Failures"/>
    <n v="1"/>
    <x v="1"/>
  </r>
  <r>
    <n v="2086"/>
    <d v="2023-06-13T00:00:00"/>
    <s v="Standard"/>
    <n v="399"/>
    <n v="23"/>
    <n v="2"/>
    <n v="4"/>
    <n v="33"/>
    <n v="21"/>
    <s v="Yes"/>
    <s v="No"/>
    <s v="Yes"/>
    <s v="No"/>
    <s v="Yes"/>
    <s v="No"/>
    <m/>
    <s v="1+ Failures"/>
    <n v="1"/>
    <x v="3"/>
  </r>
  <r>
    <n v="2087"/>
    <d v="2024-03-05T00:00:00"/>
    <s v="Premium"/>
    <n v="699"/>
    <n v="24.4"/>
    <n v="3"/>
    <n v="5"/>
    <n v="9"/>
    <n v="25"/>
    <s v="Yes"/>
    <s v="No"/>
    <s v="Yes"/>
    <s v="No"/>
    <s v="Yes"/>
    <s v="No"/>
    <m/>
    <s v="1+ Failures"/>
    <n v="1"/>
    <x v="3"/>
  </r>
  <r>
    <n v="2088"/>
    <d v="2024-07-17T00:00:00"/>
    <s v="Basic"/>
    <n v="199"/>
    <n v="13.8"/>
    <n v="8"/>
    <n v="0"/>
    <n v="33"/>
    <n v="36"/>
    <s v="Yes"/>
    <s v="No"/>
    <s v="No"/>
    <s v="Yes"/>
    <s v="Yes"/>
    <s v="No"/>
    <m/>
    <s v="0 Failures"/>
    <n v="1"/>
    <x v="1"/>
  </r>
  <r>
    <n v="2089"/>
    <d v="2024-01-18T00:00:00"/>
    <s v="Premium"/>
    <n v="699"/>
    <n v="18.600000000000001"/>
    <n v="5"/>
    <n v="3"/>
    <n v="11"/>
    <n v="7"/>
    <s v="Yes"/>
    <s v="No"/>
    <s v="Yes"/>
    <s v="Yes"/>
    <s v="No"/>
    <s v="No"/>
    <m/>
    <s v="1+ Failures"/>
    <n v="1"/>
    <x v="1"/>
  </r>
  <r>
    <n v="2090"/>
    <d v="2024-02-22T00:00:00"/>
    <s v="Premium"/>
    <n v="699"/>
    <n v="13.3"/>
    <n v="6"/>
    <n v="1"/>
    <n v="26"/>
    <n v="36"/>
    <s v="Yes"/>
    <s v="No"/>
    <s v="Yes"/>
    <s v="Yes"/>
    <s v="Yes"/>
    <s v="No"/>
    <m/>
    <s v="1+ Failures"/>
    <n v="1"/>
    <x v="1"/>
  </r>
  <r>
    <n v="2091"/>
    <d v="2023-07-12T00:00:00"/>
    <s v="Premium"/>
    <n v="699"/>
    <n v="6"/>
    <n v="7"/>
    <n v="1"/>
    <n v="7"/>
    <n v="53"/>
    <s v="No"/>
    <s v="No"/>
    <s v="Yes"/>
    <s v="Yes"/>
    <s v="Yes"/>
    <s v="No"/>
    <m/>
    <s v="1+ Failures"/>
    <n v="0"/>
    <x v="2"/>
  </r>
  <r>
    <n v="2092"/>
    <d v="2023-03-15T00:00:00"/>
    <s v="Premium"/>
    <n v="699"/>
    <n v="22.4"/>
    <n v="8"/>
    <n v="0"/>
    <n v="1"/>
    <n v="31"/>
    <s v="Yes"/>
    <s v="No"/>
    <s v="No"/>
    <s v="Yes"/>
    <s v="Yes"/>
    <s v="Yes"/>
    <m/>
    <s v="0 Failures"/>
    <n v="1"/>
    <x v="3"/>
  </r>
  <r>
    <n v="2093"/>
    <d v="2024-10-15T00:00:00"/>
    <s v="Premium"/>
    <n v="699"/>
    <n v="6.4"/>
    <n v="6"/>
    <n v="2"/>
    <n v="20"/>
    <n v="52"/>
    <s v="Yes"/>
    <s v="No"/>
    <s v="Yes"/>
    <s v="Yes"/>
    <s v="Yes"/>
    <s v="No"/>
    <m/>
    <s v="1+ Failures"/>
    <n v="1"/>
    <x v="2"/>
  </r>
  <r>
    <n v="2094"/>
    <d v="2024-11-27T00:00:00"/>
    <s v="Basic"/>
    <n v="199"/>
    <n v="1.1000000000000001"/>
    <n v="0"/>
    <n v="2"/>
    <n v="13"/>
    <n v="7"/>
    <s v="Yes"/>
    <s v="Yes"/>
    <s v="Yes"/>
    <s v="No"/>
    <s v="No"/>
    <s v="No"/>
    <m/>
    <s v="1+ Failures"/>
    <n v="1"/>
    <x v="0"/>
  </r>
  <r>
    <n v="2095"/>
    <d v="2024-02-17T00:00:00"/>
    <s v="Basic"/>
    <n v="199"/>
    <n v="6.7"/>
    <n v="1"/>
    <n v="3"/>
    <n v="5"/>
    <n v="60"/>
    <s v="Yes"/>
    <s v="No"/>
    <s v="Yes"/>
    <s v="No"/>
    <s v="Yes"/>
    <s v="Yes"/>
    <m/>
    <s v="1+ Failures"/>
    <n v="1"/>
    <x v="2"/>
  </r>
  <r>
    <n v="2096"/>
    <d v="2024-08-26T00:00:00"/>
    <s v="Basic"/>
    <n v="199"/>
    <n v="8.9"/>
    <n v="5"/>
    <n v="1"/>
    <n v="20"/>
    <n v="19"/>
    <s v="No"/>
    <s v="No"/>
    <s v="Yes"/>
    <s v="Yes"/>
    <s v="Yes"/>
    <s v="No"/>
    <m/>
    <s v="1+ Failures"/>
    <n v="0"/>
    <x v="2"/>
  </r>
  <r>
    <n v="2097"/>
    <d v="2023-09-19T00:00:00"/>
    <s v="Standard"/>
    <n v="399"/>
    <n v="17.100000000000001"/>
    <n v="0"/>
    <n v="3"/>
    <n v="3"/>
    <n v="20"/>
    <s v="No"/>
    <s v="No"/>
    <s v="Yes"/>
    <s v="No"/>
    <s v="Yes"/>
    <s v="Yes"/>
    <m/>
    <s v="1+ Failures"/>
    <n v="0"/>
    <x v="1"/>
  </r>
  <r>
    <n v="2098"/>
    <d v="2024-12-06T00:00:00"/>
    <s v="Premium"/>
    <n v="699"/>
    <n v="21.6"/>
    <n v="6"/>
    <n v="4"/>
    <n v="31"/>
    <n v="49"/>
    <s v="Yes"/>
    <s v="No"/>
    <s v="Yes"/>
    <s v="Yes"/>
    <s v="Yes"/>
    <s v="No"/>
    <m/>
    <s v="1+ Failures"/>
    <n v="1"/>
    <x v="3"/>
  </r>
  <r>
    <n v="2099"/>
    <d v="2024-05-14T00:00:00"/>
    <s v="Premium"/>
    <n v="699"/>
    <n v="23.8"/>
    <n v="7"/>
    <n v="0"/>
    <n v="23"/>
    <n v="24"/>
    <s v="Yes"/>
    <s v="No"/>
    <s v="No"/>
    <s v="Yes"/>
    <s v="Yes"/>
    <s v="No"/>
    <m/>
    <s v="0 Failures"/>
    <n v="1"/>
    <x v="3"/>
  </r>
  <r>
    <n v="2100"/>
    <d v="2024-10-08T00:00:00"/>
    <s v="Basic"/>
    <n v="199"/>
    <n v="6.7"/>
    <n v="1"/>
    <n v="0"/>
    <n v="31"/>
    <n v="15"/>
    <s v="No"/>
    <s v="No"/>
    <s v="No"/>
    <s v="No"/>
    <s v="Yes"/>
    <s v="No"/>
    <m/>
    <s v="0 Failures"/>
    <n v="0"/>
    <x v="2"/>
  </r>
  <r>
    <n v="2101"/>
    <d v="2023-02-05T00:00:00"/>
    <s v="Basic"/>
    <n v="199"/>
    <n v="9.8000000000000007"/>
    <n v="5"/>
    <n v="1"/>
    <n v="30"/>
    <n v="38"/>
    <s v="No"/>
    <s v="No"/>
    <s v="Yes"/>
    <s v="Yes"/>
    <s v="Yes"/>
    <s v="No"/>
    <m/>
    <s v="1+ Failures"/>
    <n v="0"/>
    <x v="2"/>
  </r>
  <r>
    <n v="2102"/>
    <d v="2023-01-11T00:00:00"/>
    <s v="Standard"/>
    <n v="399"/>
    <n v="14"/>
    <n v="7"/>
    <n v="1"/>
    <n v="20"/>
    <n v="39"/>
    <s v="Yes"/>
    <s v="No"/>
    <s v="Yes"/>
    <s v="Yes"/>
    <s v="Yes"/>
    <s v="No"/>
    <m/>
    <s v="1+ Failures"/>
    <n v="1"/>
    <x v="1"/>
  </r>
  <r>
    <n v="2103"/>
    <d v="2023-07-05T00:00:00"/>
    <s v="Premium"/>
    <n v="699"/>
    <n v="15"/>
    <n v="0"/>
    <n v="4"/>
    <n v="9"/>
    <n v="28"/>
    <s v="Yes"/>
    <s v="No"/>
    <s v="Yes"/>
    <s v="No"/>
    <s v="Yes"/>
    <s v="No"/>
    <m/>
    <s v="1+ Failures"/>
    <n v="1"/>
    <x v="1"/>
  </r>
  <r>
    <n v="2104"/>
    <d v="2023-09-17T00:00:00"/>
    <s v="Standard"/>
    <n v="399"/>
    <n v="17.600000000000001"/>
    <n v="6"/>
    <n v="4"/>
    <n v="18"/>
    <n v="41"/>
    <s v="Yes"/>
    <s v="No"/>
    <s v="Yes"/>
    <s v="Yes"/>
    <s v="Yes"/>
    <s v="No"/>
    <m/>
    <s v="1+ Failures"/>
    <n v="1"/>
    <x v="1"/>
  </r>
  <r>
    <n v="2105"/>
    <d v="2023-06-16T00:00:00"/>
    <s v="Premium"/>
    <n v="699"/>
    <n v="17.600000000000001"/>
    <n v="7"/>
    <n v="1"/>
    <n v="8"/>
    <n v="57"/>
    <s v="Yes"/>
    <s v="No"/>
    <s v="Yes"/>
    <s v="Yes"/>
    <s v="Yes"/>
    <s v="No"/>
    <m/>
    <s v="1+ Failures"/>
    <n v="1"/>
    <x v="1"/>
  </r>
  <r>
    <n v="2106"/>
    <d v="2023-03-20T00:00:00"/>
    <s v="Basic"/>
    <n v="199"/>
    <n v="15.2"/>
    <n v="6"/>
    <n v="0"/>
    <n v="19"/>
    <n v="43"/>
    <s v="Yes"/>
    <s v="No"/>
    <s v="No"/>
    <s v="Yes"/>
    <s v="Yes"/>
    <s v="No"/>
    <m/>
    <s v="0 Failures"/>
    <n v="1"/>
    <x v="1"/>
  </r>
  <r>
    <n v="2107"/>
    <d v="2024-10-31T00:00:00"/>
    <s v="Basic"/>
    <n v="199"/>
    <n v="12.4"/>
    <n v="0"/>
    <n v="3"/>
    <n v="31"/>
    <n v="49"/>
    <s v="No"/>
    <s v="No"/>
    <s v="Yes"/>
    <s v="No"/>
    <s v="Yes"/>
    <s v="No"/>
    <m/>
    <s v="1+ Failures"/>
    <n v="0"/>
    <x v="1"/>
  </r>
  <r>
    <n v="2108"/>
    <d v="2024-08-20T00:00:00"/>
    <s v="Basic"/>
    <n v="199"/>
    <n v="1.6"/>
    <n v="2"/>
    <n v="1"/>
    <n v="25"/>
    <n v="21"/>
    <s v="No"/>
    <s v="Yes"/>
    <s v="Yes"/>
    <s v="No"/>
    <s v="Yes"/>
    <s v="No"/>
    <m/>
    <s v="1+ Failures"/>
    <n v="0"/>
    <x v="0"/>
  </r>
  <r>
    <n v="2109"/>
    <d v="2024-09-11T00:00:00"/>
    <s v="Standard"/>
    <n v="399"/>
    <n v="18"/>
    <n v="1"/>
    <n v="0"/>
    <n v="15"/>
    <n v="10"/>
    <s v="No"/>
    <s v="No"/>
    <s v="No"/>
    <s v="No"/>
    <s v="No"/>
    <s v="No"/>
    <m/>
    <s v="0 Failures"/>
    <n v="0"/>
    <x v="1"/>
  </r>
  <r>
    <n v="2110"/>
    <d v="2024-06-21T00:00:00"/>
    <s v="Premium"/>
    <n v="699"/>
    <n v="11.2"/>
    <n v="5"/>
    <n v="5"/>
    <n v="2"/>
    <n v="27"/>
    <s v="Yes"/>
    <s v="No"/>
    <s v="Yes"/>
    <s v="Yes"/>
    <s v="Yes"/>
    <s v="Yes"/>
    <m/>
    <s v="1+ Failures"/>
    <n v="1"/>
    <x v="1"/>
  </r>
  <r>
    <n v="2111"/>
    <d v="2024-03-22T00:00:00"/>
    <s v="Premium"/>
    <n v="699"/>
    <n v="16.100000000000001"/>
    <n v="1"/>
    <n v="3"/>
    <n v="24"/>
    <n v="30"/>
    <s v="Yes"/>
    <s v="No"/>
    <s v="Yes"/>
    <s v="No"/>
    <s v="Yes"/>
    <s v="No"/>
    <m/>
    <s v="1+ Failures"/>
    <n v="1"/>
    <x v="1"/>
  </r>
  <r>
    <n v="2112"/>
    <d v="2024-01-02T00:00:00"/>
    <s v="Premium"/>
    <n v="699"/>
    <n v="2.1"/>
    <n v="1"/>
    <n v="2"/>
    <n v="28"/>
    <n v="56"/>
    <s v="No"/>
    <s v="Yes"/>
    <s v="Yes"/>
    <s v="No"/>
    <s v="Yes"/>
    <s v="No"/>
    <m/>
    <s v="1+ Failures"/>
    <n v="0"/>
    <x v="0"/>
  </r>
  <r>
    <n v="2113"/>
    <d v="2023-03-30T00:00:00"/>
    <s v="Standard"/>
    <n v="399"/>
    <n v="12.9"/>
    <n v="3"/>
    <n v="1"/>
    <n v="26"/>
    <n v="7"/>
    <s v="Yes"/>
    <s v="No"/>
    <s v="Yes"/>
    <s v="No"/>
    <s v="No"/>
    <s v="No"/>
    <m/>
    <s v="1+ Failures"/>
    <n v="1"/>
    <x v="1"/>
  </r>
  <r>
    <n v="2114"/>
    <d v="2023-09-27T00:00:00"/>
    <s v="Premium"/>
    <n v="699"/>
    <n v="16.8"/>
    <n v="7"/>
    <n v="5"/>
    <n v="12"/>
    <n v="34"/>
    <s v="Yes"/>
    <s v="No"/>
    <s v="Yes"/>
    <s v="Yes"/>
    <s v="Yes"/>
    <s v="No"/>
    <m/>
    <s v="1+ Failures"/>
    <n v="1"/>
    <x v="1"/>
  </r>
  <r>
    <n v="2115"/>
    <d v="2023-02-10T00:00:00"/>
    <s v="Standard"/>
    <n v="399"/>
    <n v="24.3"/>
    <n v="2"/>
    <n v="4"/>
    <n v="5"/>
    <n v="26"/>
    <s v="Yes"/>
    <s v="No"/>
    <s v="Yes"/>
    <s v="No"/>
    <s v="Yes"/>
    <s v="Yes"/>
    <m/>
    <s v="1+ Failures"/>
    <n v="1"/>
    <x v="3"/>
  </r>
  <r>
    <n v="2116"/>
    <d v="2024-01-16T00:00:00"/>
    <s v="Basic"/>
    <n v="199"/>
    <n v="4.0999999999999996"/>
    <n v="2"/>
    <n v="5"/>
    <n v="13"/>
    <n v="44"/>
    <s v="Yes"/>
    <s v="Yes"/>
    <s v="Yes"/>
    <s v="No"/>
    <s v="Yes"/>
    <s v="No"/>
    <m/>
    <s v="1+ Failures"/>
    <n v="1"/>
    <x v="0"/>
  </r>
  <r>
    <n v="2117"/>
    <d v="2024-06-27T00:00:00"/>
    <s v="Basic"/>
    <n v="199"/>
    <n v="19.8"/>
    <n v="1"/>
    <n v="4"/>
    <n v="33"/>
    <n v="42"/>
    <s v="Yes"/>
    <s v="No"/>
    <s v="Yes"/>
    <s v="No"/>
    <s v="Yes"/>
    <s v="No"/>
    <m/>
    <s v="1+ Failures"/>
    <n v="1"/>
    <x v="1"/>
  </r>
  <r>
    <n v="2118"/>
    <d v="2024-05-06T00:00:00"/>
    <s v="Basic"/>
    <n v="199"/>
    <n v="22.1"/>
    <n v="2"/>
    <n v="2"/>
    <n v="20"/>
    <n v="58"/>
    <s v="Yes"/>
    <s v="No"/>
    <s v="Yes"/>
    <s v="No"/>
    <s v="Yes"/>
    <s v="No"/>
    <m/>
    <s v="1+ Failures"/>
    <n v="1"/>
    <x v="3"/>
  </r>
  <r>
    <n v="2119"/>
    <d v="2024-02-02T00:00:00"/>
    <s v="Basic"/>
    <n v="199"/>
    <n v="16.8"/>
    <n v="7"/>
    <n v="3"/>
    <n v="13"/>
    <n v="13"/>
    <s v="Yes"/>
    <s v="No"/>
    <s v="Yes"/>
    <s v="Yes"/>
    <s v="No"/>
    <s v="No"/>
    <m/>
    <s v="1+ Failures"/>
    <n v="1"/>
    <x v="1"/>
  </r>
  <r>
    <n v="2120"/>
    <d v="2024-06-06T00:00:00"/>
    <s v="Premium"/>
    <n v="699"/>
    <n v="21.5"/>
    <n v="1"/>
    <n v="1"/>
    <n v="35"/>
    <n v="42"/>
    <s v="Yes"/>
    <s v="No"/>
    <s v="Yes"/>
    <s v="No"/>
    <s v="Yes"/>
    <s v="No"/>
    <m/>
    <s v="1+ Failures"/>
    <n v="1"/>
    <x v="3"/>
  </r>
  <r>
    <n v="2121"/>
    <d v="2024-02-28T00:00:00"/>
    <s v="Basic"/>
    <n v="199"/>
    <n v="12.2"/>
    <n v="1"/>
    <n v="4"/>
    <n v="5"/>
    <n v="10"/>
    <s v="Yes"/>
    <s v="No"/>
    <s v="Yes"/>
    <s v="No"/>
    <s v="No"/>
    <s v="Yes"/>
    <m/>
    <s v="1+ Failures"/>
    <n v="1"/>
    <x v="1"/>
  </r>
  <r>
    <n v="2122"/>
    <d v="2023-02-13T00:00:00"/>
    <s v="Premium"/>
    <n v="699"/>
    <n v="23.5"/>
    <n v="4"/>
    <n v="3"/>
    <n v="24"/>
    <n v="3"/>
    <s v="No"/>
    <s v="No"/>
    <s v="Yes"/>
    <s v="No"/>
    <s v="No"/>
    <s v="No"/>
    <m/>
    <s v="1+ Failures"/>
    <n v="0"/>
    <x v="3"/>
  </r>
  <r>
    <n v="2123"/>
    <d v="2023-08-19T00:00:00"/>
    <s v="Standard"/>
    <n v="399"/>
    <n v="1.2"/>
    <n v="5"/>
    <n v="3"/>
    <n v="26"/>
    <n v="28"/>
    <s v="Yes"/>
    <s v="Yes"/>
    <s v="Yes"/>
    <s v="Yes"/>
    <s v="Yes"/>
    <s v="No"/>
    <m/>
    <s v="1+ Failures"/>
    <n v="1"/>
    <x v="0"/>
  </r>
  <r>
    <n v="2124"/>
    <d v="2024-10-12T00:00:00"/>
    <s v="Premium"/>
    <n v="699"/>
    <n v="12.2"/>
    <n v="8"/>
    <n v="3"/>
    <n v="9"/>
    <n v="41"/>
    <s v="No"/>
    <s v="No"/>
    <s v="Yes"/>
    <s v="Yes"/>
    <s v="Yes"/>
    <s v="No"/>
    <m/>
    <s v="1+ Failures"/>
    <n v="0"/>
    <x v="1"/>
  </r>
  <r>
    <n v="2125"/>
    <d v="2024-09-06T00:00:00"/>
    <s v="Basic"/>
    <n v="199"/>
    <n v="15.2"/>
    <n v="4"/>
    <n v="3"/>
    <n v="16"/>
    <n v="49"/>
    <s v="Yes"/>
    <s v="No"/>
    <s v="Yes"/>
    <s v="No"/>
    <s v="Yes"/>
    <s v="No"/>
    <m/>
    <s v="1+ Failures"/>
    <n v="1"/>
    <x v="1"/>
  </r>
  <r>
    <n v="2126"/>
    <d v="2024-10-18T00:00:00"/>
    <s v="Basic"/>
    <n v="199"/>
    <n v="2.1"/>
    <n v="1"/>
    <n v="5"/>
    <n v="27"/>
    <n v="57"/>
    <s v="Yes"/>
    <s v="Yes"/>
    <s v="Yes"/>
    <s v="No"/>
    <s v="Yes"/>
    <s v="No"/>
    <m/>
    <s v="1+ Failures"/>
    <n v="1"/>
    <x v="0"/>
  </r>
  <r>
    <n v="2127"/>
    <d v="2023-12-16T00:00:00"/>
    <s v="Basic"/>
    <n v="199"/>
    <n v="7.3"/>
    <n v="4"/>
    <n v="3"/>
    <n v="24"/>
    <n v="41"/>
    <s v="No"/>
    <s v="No"/>
    <s v="Yes"/>
    <s v="No"/>
    <s v="Yes"/>
    <s v="No"/>
    <m/>
    <s v="1+ Failures"/>
    <n v="0"/>
    <x v="2"/>
  </r>
  <r>
    <n v="2128"/>
    <d v="2024-12-05T00:00:00"/>
    <s v="Standard"/>
    <n v="399"/>
    <n v="15.3"/>
    <n v="4"/>
    <n v="3"/>
    <n v="35"/>
    <n v="32"/>
    <s v="Yes"/>
    <s v="No"/>
    <s v="Yes"/>
    <s v="No"/>
    <s v="Yes"/>
    <s v="No"/>
    <m/>
    <s v="1+ Failures"/>
    <n v="1"/>
    <x v="1"/>
  </r>
  <r>
    <n v="2129"/>
    <d v="2024-05-16T00:00:00"/>
    <s v="Premium"/>
    <n v="699"/>
    <n v="23.1"/>
    <n v="2"/>
    <n v="3"/>
    <n v="36"/>
    <n v="21"/>
    <s v="Yes"/>
    <s v="No"/>
    <s v="Yes"/>
    <s v="No"/>
    <s v="Yes"/>
    <s v="No"/>
    <m/>
    <s v="1+ Failures"/>
    <n v="1"/>
    <x v="3"/>
  </r>
  <r>
    <n v="2130"/>
    <d v="2023-10-05T00:00:00"/>
    <s v="Standard"/>
    <n v="399"/>
    <n v="13.2"/>
    <n v="1"/>
    <n v="2"/>
    <n v="35"/>
    <n v="40"/>
    <s v="Yes"/>
    <s v="No"/>
    <s v="Yes"/>
    <s v="No"/>
    <s v="Yes"/>
    <s v="No"/>
    <m/>
    <s v="1+ Failures"/>
    <n v="1"/>
    <x v="1"/>
  </r>
  <r>
    <n v="2131"/>
    <d v="2023-11-10T00:00:00"/>
    <s v="Standard"/>
    <n v="399"/>
    <n v="6.1"/>
    <n v="5"/>
    <n v="1"/>
    <n v="33"/>
    <n v="36"/>
    <s v="Yes"/>
    <s v="No"/>
    <s v="Yes"/>
    <s v="Yes"/>
    <s v="Yes"/>
    <s v="No"/>
    <m/>
    <s v="1+ Failures"/>
    <n v="1"/>
    <x v="2"/>
  </r>
  <r>
    <n v="2132"/>
    <d v="2024-11-16T00:00:00"/>
    <s v="Basic"/>
    <n v="199"/>
    <n v="13.2"/>
    <n v="6"/>
    <n v="2"/>
    <n v="22"/>
    <n v="16"/>
    <s v="No"/>
    <s v="No"/>
    <s v="Yes"/>
    <s v="Yes"/>
    <s v="Yes"/>
    <s v="No"/>
    <m/>
    <s v="1+ Failures"/>
    <n v="0"/>
    <x v="1"/>
  </r>
  <r>
    <n v="2133"/>
    <d v="2024-12-03T00:00:00"/>
    <s v="Premium"/>
    <n v="699"/>
    <n v="19.3"/>
    <n v="2"/>
    <n v="5"/>
    <n v="13"/>
    <n v="18"/>
    <s v="Yes"/>
    <s v="No"/>
    <s v="Yes"/>
    <s v="No"/>
    <s v="Yes"/>
    <s v="No"/>
    <m/>
    <s v="1+ Failures"/>
    <n v="1"/>
    <x v="1"/>
  </r>
  <r>
    <n v="2134"/>
    <d v="2023-05-01T00:00:00"/>
    <s v="Standard"/>
    <n v="399"/>
    <n v="14"/>
    <n v="3"/>
    <n v="3"/>
    <n v="35"/>
    <n v="37"/>
    <s v="Yes"/>
    <s v="No"/>
    <s v="Yes"/>
    <s v="No"/>
    <s v="Yes"/>
    <s v="No"/>
    <m/>
    <s v="1+ Failures"/>
    <n v="1"/>
    <x v="1"/>
  </r>
  <r>
    <n v="2135"/>
    <d v="2023-12-12T00:00:00"/>
    <s v="Premium"/>
    <n v="699"/>
    <n v="16.100000000000001"/>
    <n v="3"/>
    <n v="4"/>
    <n v="19"/>
    <n v="50"/>
    <s v="No"/>
    <s v="No"/>
    <s v="Yes"/>
    <s v="No"/>
    <s v="Yes"/>
    <s v="No"/>
    <m/>
    <s v="1+ Failures"/>
    <n v="0"/>
    <x v="1"/>
  </r>
  <r>
    <n v="2136"/>
    <d v="2024-08-04T00:00:00"/>
    <s v="Basic"/>
    <n v="199"/>
    <n v="9.6999999999999993"/>
    <n v="6"/>
    <n v="3"/>
    <n v="32"/>
    <n v="45"/>
    <s v="Yes"/>
    <s v="No"/>
    <s v="Yes"/>
    <s v="Yes"/>
    <s v="Yes"/>
    <s v="No"/>
    <m/>
    <s v="1+ Failures"/>
    <n v="1"/>
    <x v="2"/>
  </r>
  <r>
    <n v="2137"/>
    <d v="2024-01-21T00:00:00"/>
    <s v="Standard"/>
    <n v="399"/>
    <n v="8.9"/>
    <n v="4"/>
    <n v="4"/>
    <n v="35"/>
    <n v="4"/>
    <s v="Yes"/>
    <s v="No"/>
    <s v="Yes"/>
    <s v="No"/>
    <s v="No"/>
    <s v="No"/>
    <m/>
    <s v="1+ Failures"/>
    <n v="1"/>
    <x v="2"/>
  </r>
  <r>
    <n v="2138"/>
    <d v="2024-07-17T00:00:00"/>
    <s v="Premium"/>
    <n v="699"/>
    <n v="0.6"/>
    <n v="3"/>
    <n v="2"/>
    <n v="26"/>
    <n v="59"/>
    <s v="Yes"/>
    <s v="Yes"/>
    <s v="Yes"/>
    <s v="No"/>
    <s v="Yes"/>
    <s v="No"/>
    <m/>
    <s v="1+ Failures"/>
    <n v="1"/>
    <x v="0"/>
  </r>
  <r>
    <n v="2139"/>
    <d v="2024-03-13T00:00:00"/>
    <s v="Premium"/>
    <n v="699"/>
    <n v="13"/>
    <n v="6"/>
    <n v="1"/>
    <n v="18"/>
    <n v="17"/>
    <s v="Yes"/>
    <s v="No"/>
    <s v="Yes"/>
    <s v="Yes"/>
    <s v="Yes"/>
    <s v="No"/>
    <m/>
    <s v="1+ Failures"/>
    <n v="1"/>
    <x v="1"/>
  </r>
  <r>
    <n v="2140"/>
    <d v="2023-05-24T00:00:00"/>
    <s v="Premium"/>
    <n v="699"/>
    <n v="15.1"/>
    <n v="7"/>
    <n v="3"/>
    <n v="32"/>
    <n v="24"/>
    <s v="Yes"/>
    <s v="No"/>
    <s v="Yes"/>
    <s v="Yes"/>
    <s v="Yes"/>
    <s v="No"/>
    <m/>
    <s v="1+ Failures"/>
    <n v="1"/>
    <x v="1"/>
  </r>
  <r>
    <n v="2141"/>
    <d v="2023-04-21T00:00:00"/>
    <s v="Basic"/>
    <n v="199"/>
    <n v="9.4"/>
    <n v="0"/>
    <n v="0"/>
    <n v="8"/>
    <n v="54"/>
    <s v="Yes"/>
    <s v="No"/>
    <s v="No"/>
    <s v="No"/>
    <s v="Yes"/>
    <s v="No"/>
    <m/>
    <s v="0 Failures"/>
    <n v="1"/>
    <x v="2"/>
  </r>
  <r>
    <n v="2142"/>
    <d v="2023-02-10T00:00:00"/>
    <s v="Premium"/>
    <n v="699"/>
    <n v="7.1"/>
    <n v="1"/>
    <n v="5"/>
    <n v="35"/>
    <n v="43"/>
    <s v="Yes"/>
    <s v="No"/>
    <s v="Yes"/>
    <s v="No"/>
    <s v="Yes"/>
    <s v="No"/>
    <m/>
    <s v="1+ Failures"/>
    <n v="1"/>
    <x v="2"/>
  </r>
  <r>
    <n v="2143"/>
    <d v="2024-03-16T00:00:00"/>
    <s v="Premium"/>
    <n v="699"/>
    <n v="0.7"/>
    <n v="5"/>
    <n v="4"/>
    <n v="4"/>
    <n v="46"/>
    <s v="Yes"/>
    <s v="Yes"/>
    <s v="Yes"/>
    <s v="Yes"/>
    <s v="Yes"/>
    <s v="Yes"/>
    <m/>
    <s v="1+ Failures"/>
    <n v="1"/>
    <x v="0"/>
  </r>
  <r>
    <n v="2144"/>
    <d v="2023-06-05T00:00:00"/>
    <s v="Basic"/>
    <n v="199"/>
    <n v="5.9"/>
    <n v="4"/>
    <n v="4"/>
    <n v="15"/>
    <n v="22"/>
    <s v="No"/>
    <s v="No"/>
    <s v="Yes"/>
    <s v="No"/>
    <s v="Yes"/>
    <s v="No"/>
    <m/>
    <s v="1+ Failures"/>
    <n v="0"/>
    <x v="2"/>
  </r>
  <r>
    <n v="2145"/>
    <d v="2024-01-28T00:00:00"/>
    <s v="Basic"/>
    <n v="199"/>
    <n v="14.8"/>
    <n v="3"/>
    <n v="1"/>
    <n v="36"/>
    <n v="51"/>
    <s v="No"/>
    <s v="No"/>
    <s v="Yes"/>
    <s v="No"/>
    <s v="Yes"/>
    <s v="No"/>
    <m/>
    <s v="1+ Failures"/>
    <n v="0"/>
    <x v="1"/>
  </r>
  <r>
    <n v="2146"/>
    <d v="2023-10-04T00:00:00"/>
    <s v="Basic"/>
    <n v="199"/>
    <n v="15.6"/>
    <n v="2"/>
    <n v="0"/>
    <n v="35"/>
    <n v="36"/>
    <s v="No"/>
    <s v="No"/>
    <s v="No"/>
    <s v="No"/>
    <s v="Yes"/>
    <s v="No"/>
    <m/>
    <s v="0 Failures"/>
    <n v="0"/>
    <x v="1"/>
  </r>
  <r>
    <n v="2147"/>
    <d v="2023-06-19T00:00:00"/>
    <s v="Standard"/>
    <n v="399"/>
    <n v="2.8"/>
    <n v="6"/>
    <n v="1"/>
    <n v="8"/>
    <n v="15"/>
    <s v="Yes"/>
    <s v="Yes"/>
    <s v="Yes"/>
    <s v="Yes"/>
    <s v="Yes"/>
    <s v="No"/>
    <m/>
    <s v="1+ Failures"/>
    <n v="1"/>
    <x v="0"/>
  </r>
  <r>
    <n v="2148"/>
    <d v="2024-08-16T00:00:00"/>
    <s v="Basic"/>
    <n v="199"/>
    <n v="7.3"/>
    <n v="0"/>
    <n v="1"/>
    <n v="15"/>
    <n v="42"/>
    <s v="Yes"/>
    <s v="No"/>
    <s v="Yes"/>
    <s v="No"/>
    <s v="Yes"/>
    <s v="No"/>
    <m/>
    <s v="1+ Failures"/>
    <n v="1"/>
    <x v="2"/>
  </r>
  <r>
    <n v="2149"/>
    <d v="2024-12-30T00:00:00"/>
    <s v="Premium"/>
    <n v="699"/>
    <n v="11.4"/>
    <n v="3"/>
    <n v="0"/>
    <n v="25"/>
    <n v="54"/>
    <s v="Yes"/>
    <s v="No"/>
    <s v="No"/>
    <s v="No"/>
    <s v="Yes"/>
    <s v="No"/>
    <m/>
    <s v="0 Failures"/>
    <n v="1"/>
    <x v="1"/>
  </r>
  <r>
    <n v="2150"/>
    <d v="2024-07-08T00:00:00"/>
    <s v="Standard"/>
    <n v="399"/>
    <n v="4.2"/>
    <n v="6"/>
    <n v="4"/>
    <n v="29"/>
    <n v="48"/>
    <s v="Yes"/>
    <s v="Yes"/>
    <s v="Yes"/>
    <s v="Yes"/>
    <s v="Yes"/>
    <s v="No"/>
    <m/>
    <s v="1+ Failures"/>
    <n v="1"/>
    <x v="0"/>
  </r>
  <r>
    <n v="2151"/>
    <d v="2023-12-17T00:00:00"/>
    <s v="Standard"/>
    <n v="399"/>
    <n v="22.1"/>
    <n v="7"/>
    <n v="3"/>
    <n v="14"/>
    <n v="50"/>
    <s v="No"/>
    <s v="No"/>
    <s v="Yes"/>
    <s v="Yes"/>
    <s v="Yes"/>
    <s v="No"/>
    <m/>
    <s v="1+ Failures"/>
    <n v="0"/>
    <x v="3"/>
  </r>
  <r>
    <n v="2152"/>
    <d v="2023-05-28T00:00:00"/>
    <s v="Standard"/>
    <n v="399"/>
    <n v="12.7"/>
    <n v="6"/>
    <n v="3"/>
    <n v="2"/>
    <n v="38"/>
    <s v="Yes"/>
    <s v="No"/>
    <s v="Yes"/>
    <s v="Yes"/>
    <s v="Yes"/>
    <s v="Yes"/>
    <m/>
    <s v="1+ Failures"/>
    <n v="1"/>
    <x v="1"/>
  </r>
  <r>
    <n v="2153"/>
    <d v="2023-08-12T00:00:00"/>
    <s v="Premium"/>
    <n v="699"/>
    <n v="15.2"/>
    <n v="6"/>
    <n v="1"/>
    <n v="5"/>
    <n v="50"/>
    <s v="Yes"/>
    <s v="No"/>
    <s v="Yes"/>
    <s v="Yes"/>
    <s v="Yes"/>
    <s v="Yes"/>
    <m/>
    <s v="1+ Failures"/>
    <n v="1"/>
    <x v="1"/>
  </r>
  <r>
    <n v="2154"/>
    <d v="2024-01-24T00:00:00"/>
    <s v="Standard"/>
    <n v="399"/>
    <n v="10.4"/>
    <n v="3"/>
    <n v="5"/>
    <n v="23"/>
    <n v="18"/>
    <s v="No"/>
    <s v="No"/>
    <s v="Yes"/>
    <s v="No"/>
    <s v="Yes"/>
    <s v="No"/>
    <m/>
    <s v="1+ Failures"/>
    <n v="0"/>
    <x v="1"/>
  </r>
  <r>
    <n v="2155"/>
    <d v="2024-12-31T00:00:00"/>
    <s v="Premium"/>
    <n v="699"/>
    <n v="24"/>
    <n v="3"/>
    <n v="5"/>
    <n v="31"/>
    <n v="44"/>
    <s v="Yes"/>
    <s v="No"/>
    <s v="Yes"/>
    <s v="No"/>
    <s v="Yes"/>
    <s v="No"/>
    <m/>
    <s v="1+ Failures"/>
    <n v="1"/>
    <x v="3"/>
  </r>
  <r>
    <n v="2156"/>
    <d v="2024-04-01T00:00:00"/>
    <s v="Basic"/>
    <n v="199"/>
    <n v="14.5"/>
    <n v="5"/>
    <n v="3"/>
    <n v="25"/>
    <n v="1"/>
    <s v="Yes"/>
    <s v="No"/>
    <s v="Yes"/>
    <s v="Yes"/>
    <s v="No"/>
    <s v="No"/>
    <m/>
    <s v="1+ Failures"/>
    <n v="1"/>
    <x v="1"/>
  </r>
  <r>
    <n v="2157"/>
    <d v="2023-09-24T00:00:00"/>
    <s v="Standard"/>
    <n v="399"/>
    <n v="11.2"/>
    <n v="5"/>
    <n v="1"/>
    <n v="6"/>
    <n v="17"/>
    <s v="No"/>
    <s v="No"/>
    <s v="Yes"/>
    <s v="Yes"/>
    <s v="Yes"/>
    <s v="No"/>
    <m/>
    <s v="1+ Failures"/>
    <n v="0"/>
    <x v="1"/>
  </r>
  <r>
    <n v="2158"/>
    <d v="2023-02-07T00:00:00"/>
    <s v="Standard"/>
    <n v="399"/>
    <n v="4.5999999999999996"/>
    <n v="8"/>
    <n v="4"/>
    <n v="11"/>
    <n v="33"/>
    <s v="Yes"/>
    <s v="Yes"/>
    <s v="Yes"/>
    <s v="Yes"/>
    <s v="Yes"/>
    <s v="No"/>
    <m/>
    <s v="1+ Failures"/>
    <n v="1"/>
    <x v="0"/>
  </r>
  <r>
    <n v="2159"/>
    <d v="2023-04-05T00:00:00"/>
    <s v="Standard"/>
    <n v="399"/>
    <n v="1.7"/>
    <n v="3"/>
    <n v="0"/>
    <n v="24"/>
    <n v="45"/>
    <s v="No"/>
    <s v="Yes"/>
    <s v="No"/>
    <s v="No"/>
    <s v="Yes"/>
    <s v="No"/>
    <m/>
    <s v="0 Failures"/>
    <n v="0"/>
    <x v="0"/>
  </r>
  <r>
    <n v="2160"/>
    <d v="2023-06-02T00:00:00"/>
    <s v="Premium"/>
    <n v="699"/>
    <n v="1.7"/>
    <n v="1"/>
    <n v="4"/>
    <n v="36"/>
    <n v="59"/>
    <s v="Yes"/>
    <s v="Yes"/>
    <s v="Yes"/>
    <s v="No"/>
    <s v="Yes"/>
    <s v="No"/>
    <m/>
    <s v="1+ Failures"/>
    <n v="1"/>
    <x v="0"/>
  </r>
  <r>
    <n v="2161"/>
    <d v="2023-06-20T00:00:00"/>
    <s v="Standard"/>
    <n v="399"/>
    <n v="21.5"/>
    <n v="4"/>
    <n v="1"/>
    <n v="10"/>
    <n v="14"/>
    <s v="No"/>
    <s v="No"/>
    <s v="Yes"/>
    <s v="No"/>
    <s v="No"/>
    <s v="No"/>
    <m/>
    <s v="1+ Failures"/>
    <n v="0"/>
    <x v="3"/>
  </r>
  <r>
    <n v="2162"/>
    <d v="2023-06-30T00:00:00"/>
    <s v="Premium"/>
    <n v="699"/>
    <n v="6.2"/>
    <n v="1"/>
    <n v="4"/>
    <n v="5"/>
    <n v="3"/>
    <s v="No"/>
    <s v="No"/>
    <s v="Yes"/>
    <s v="No"/>
    <s v="No"/>
    <s v="Yes"/>
    <m/>
    <s v="1+ Failures"/>
    <n v="0"/>
    <x v="2"/>
  </r>
  <r>
    <n v="2163"/>
    <d v="2023-07-20T00:00:00"/>
    <s v="Standard"/>
    <n v="399"/>
    <n v="12"/>
    <n v="6"/>
    <n v="1"/>
    <n v="36"/>
    <n v="15"/>
    <s v="Yes"/>
    <s v="No"/>
    <s v="Yes"/>
    <s v="Yes"/>
    <s v="Yes"/>
    <s v="No"/>
    <m/>
    <s v="1+ Failures"/>
    <n v="1"/>
    <x v="1"/>
  </r>
  <r>
    <n v="2164"/>
    <d v="2024-06-30T00:00:00"/>
    <s v="Premium"/>
    <n v="699"/>
    <n v="2.2000000000000002"/>
    <n v="1"/>
    <n v="2"/>
    <n v="5"/>
    <n v="52"/>
    <s v="Yes"/>
    <s v="Yes"/>
    <s v="Yes"/>
    <s v="No"/>
    <s v="Yes"/>
    <s v="Yes"/>
    <m/>
    <s v="1+ Failures"/>
    <n v="1"/>
    <x v="0"/>
  </r>
  <r>
    <n v="2165"/>
    <d v="2023-07-11T00:00:00"/>
    <s v="Basic"/>
    <n v="199"/>
    <n v="14.1"/>
    <n v="5"/>
    <n v="5"/>
    <n v="30"/>
    <n v="11"/>
    <s v="Yes"/>
    <s v="No"/>
    <s v="Yes"/>
    <s v="Yes"/>
    <s v="No"/>
    <s v="No"/>
    <m/>
    <s v="1+ Failures"/>
    <n v="1"/>
    <x v="1"/>
  </r>
  <r>
    <n v="2166"/>
    <d v="2024-05-27T00:00:00"/>
    <s v="Basic"/>
    <n v="199"/>
    <n v="8.5"/>
    <n v="2"/>
    <n v="2"/>
    <n v="1"/>
    <n v="32"/>
    <s v="No"/>
    <s v="No"/>
    <s v="Yes"/>
    <s v="No"/>
    <s v="Yes"/>
    <s v="Yes"/>
    <m/>
    <s v="1+ Failures"/>
    <n v="0"/>
    <x v="2"/>
  </r>
  <r>
    <n v="2167"/>
    <d v="2023-05-16T00:00:00"/>
    <s v="Premium"/>
    <n v="699"/>
    <n v="10.1"/>
    <n v="2"/>
    <n v="0"/>
    <n v="4"/>
    <n v="30"/>
    <s v="Yes"/>
    <s v="No"/>
    <s v="No"/>
    <s v="No"/>
    <s v="Yes"/>
    <s v="Yes"/>
    <m/>
    <s v="0 Failures"/>
    <n v="1"/>
    <x v="1"/>
  </r>
  <r>
    <n v="2168"/>
    <d v="2024-12-28T00:00:00"/>
    <s v="Basic"/>
    <n v="199"/>
    <n v="14.6"/>
    <n v="4"/>
    <n v="3"/>
    <n v="24"/>
    <n v="15"/>
    <s v="Yes"/>
    <s v="No"/>
    <s v="Yes"/>
    <s v="No"/>
    <s v="Yes"/>
    <s v="No"/>
    <m/>
    <s v="1+ Failures"/>
    <n v="1"/>
    <x v="1"/>
  </r>
  <r>
    <n v="2169"/>
    <d v="2023-10-22T00:00:00"/>
    <s v="Basic"/>
    <n v="199"/>
    <n v="4.5"/>
    <n v="0"/>
    <n v="0"/>
    <n v="16"/>
    <n v="24"/>
    <s v="Yes"/>
    <s v="Yes"/>
    <s v="No"/>
    <s v="No"/>
    <s v="Yes"/>
    <s v="No"/>
    <m/>
    <s v="0 Failures"/>
    <n v="1"/>
    <x v="0"/>
  </r>
  <r>
    <n v="2170"/>
    <d v="2024-06-21T00:00:00"/>
    <s v="Standard"/>
    <n v="399"/>
    <n v="20.100000000000001"/>
    <n v="6"/>
    <n v="4"/>
    <n v="34"/>
    <n v="34"/>
    <s v="Yes"/>
    <s v="No"/>
    <s v="Yes"/>
    <s v="Yes"/>
    <s v="Yes"/>
    <s v="No"/>
    <m/>
    <s v="1+ Failures"/>
    <n v="1"/>
    <x v="3"/>
  </r>
  <r>
    <n v="2171"/>
    <d v="2023-06-20T00:00:00"/>
    <s v="Standard"/>
    <n v="399"/>
    <n v="9.1999999999999993"/>
    <n v="6"/>
    <n v="2"/>
    <n v="34"/>
    <n v="33"/>
    <s v="No"/>
    <s v="No"/>
    <s v="Yes"/>
    <s v="Yes"/>
    <s v="Yes"/>
    <s v="No"/>
    <m/>
    <s v="1+ Failures"/>
    <n v="0"/>
    <x v="2"/>
  </r>
  <r>
    <n v="2172"/>
    <d v="2024-01-12T00:00:00"/>
    <s v="Premium"/>
    <n v="699"/>
    <n v="3.6"/>
    <n v="0"/>
    <n v="1"/>
    <n v="32"/>
    <n v="4"/>
    <s v="No"/>
    <s v="Yes"/>
    <s v="Yes"/>
    <s v="No"/>
    <s v="No"/>
    <s v="No"/>
    <m/>
    <s v="1+ Failures"/>
    <n v="0"/>
    <x v="0"/>
  </r>
  <r>
    <n v="2173"/>
    <d v="2023-01-25T00:00:00"/>
    <s v="Standard"/>
    <n v="399"/>
    <n v="15.3"/>
    <n v="6"/>
    <n v="3"/>
    <n v="8"/>
    <n v="24"/>
    <s v="Yes"/>
    <s v="No"/>
    <s v="Yes"/>
    <s v="Yes"/>
    <s v="Yes"/>
    <s v="No"/>
    <m/>
    <s v="1+ Failures"/>
    <n v="1"/>
    <x v="1"/>
  </r>
  <r>
    <n v="2174"/>
    <d v="2023-05-31T00:00:00"/>
    <s v="Standard"/>
    <n v="399"/>
    <n v="5.4"/>
    <n v="0"/>
    <n v="1"/>
    <n v="32"/>
    <n v="27"/>
    <s v="No"/>
    <s v="No"/>
    <s v="Yes"/>
    <s v="No"/>
    <s v="Yes"/>
    <s v="No"/>
    <m/>
    <s v="1+ Failures"/>
    <n v="0"/>
    <x v="2"/>
  </r>
  <r>
    <n v="2175"/>
    <d v="2023-08-21T00:00:00"/>
    <s v="Standard"/>
    <n v="399"/>
    <n v="16.399999999999999"/>
    <n v="4"/>
    <n v="3"/>
    <n v="9"/>
    <n v="15"/>
    <s v="Yes"/>
    <s v="No"/>
    <s v="Yes"/>
    <s v="No"/>
    <s v="Yes"/>
    <s v="No"/>
    <m/>
    <s v="1+ Failures"/>
    <n v="1"/>
    <x v="1"/>
  </r>
  <r>
    <n v="2176"/>
    <d v="2023-07-29T00:00:00"/>
    <s v="Standard"/>
    <n v="399"/>
    <n v="12.4"/>
    <n v="7"/>
    <n v="5"/>
    <n v="17"/>
    <n v="29"/>
    <s v="Yes"/>
    <s v="No"/>
    <s v="Yes"/>
    <s v="Yes"/>
    <s v="Yes"/>
    <s v="No"/>
    <m/>
    <s v="1+ Failures"/>
    <n v="1"/>
    <x v="1"/>
  </r>
  <r>
    <n v="2177"/>
    <d v="2024-10-17T00:00:00"/>
    <s v="Standard"/>
    <n v="399"/>
    <n v="10.7"/>
    <n v="0"/>
    <n v="1"/>
    <n v="9"/>
    <n v="60"/>
    <s v="Yes"/>
    <s v="No"/>
    <s v="Yes"/>
    <s v="No"/>
    <s v="Yes"/>
    <s v="No"/>
    <m/>
    <s v="1+ Failures"/>
    <n v="1"/>
    <x v="1"/>
  </r>
  <r>
    <n v="2178"/>
    <d v="2024-10-31T00:00:00"/>
    <s v="Basic"/>
    <n v="199"/>
    <n v="9.6999999999999993"/>
    <n v="5"/>
    <n v="3"/>
    <n v="19"/>
    <n v="58"/>
    <s v="Yes"/>
    <s v="No"/>
    <s v="Yes"/>
    <s v="Yes"/>
    <s v="Yes"/>
    <s v="No"/>
    <m/>
    <s v="1+ Failures"/>
    <n v="1"/>
    <x v="2"/>
  </r>
  <r>
    <n v="2179"/>
    <d v="2024-05-05T00:00:00"/>
    <s v="Standard"/>
    <n v="399"/>
    <n v="15.2"/>
    <n v="5"/>
    <n v="4"/>
    <n v="5"/>
    <n v="35"/>
    <s v="Yes"/>
    <s v="No"/>
    <s v="Yes"/>
    <s v="Yes"/>
    <s v="Yes"/>
    <s v="Yes"/>
    <m/>
    <s v="1+ Failures"/>
    <n v="1"/>
    <x v="1"/>
  </r>
  <r>
    <n v="2180"/>
    <d v="2023-04-14T00:00:00"/>
    <s v="Basic"/>
    <n v="199"/>
    <n v="8.6"/>
    <n v="4"/>
    <n v="4"/>
    <n v="23"/>
    <n v="10"/>
    <s v="Yes"/>
    <s v="No"/>
    <s v="Yes"/>
    <s v="No"/>
    <s v="No"/>
    <s v="No"/>
    <m/>
    <s v="1+ Failures"/>
    <n v="1"/>
    <x v="2"/>
  </r>
  <r>
    <n v="2181"/>
    <d v="2024-01-16T00:00:00"/>
    <s v="Basic"/>
    <n v="199"/>
    <n v="7.1"/>
    <n v="0"/>
    <n v="4"/>
    <n v="36"/>
    <n v="13"/>
    <s v="No"/>
    <s v="No"/>
    <s v="Yes"/>
    <s v="No"/>
    <s v="No"/>
    <s v="No"/>
    <m/>
    <s v="1+ Failures"/>
    <n v="0"/>
    <x v="2"/>
  </r>
  <r>
    <n v="2182"/>
    <d v="2024-01-12T00:00:00"/>
    <s v="Basic"/>
    <n v="199"/>
    <n v="10.4"/>
    <n v="7"/>
    <n v="2"/>
    <n v="29"/>
    <n v="39"/>
    <s v="Yes"/>
    <s v="No"/>
    <s v="Yes"/>
    <s v="Yes"/>
    <s v="Yes"/>
    <s v="No"/>
    <m/>
    <s v="1+ Failures"/>
    <n v="1"/>
    <x v="1"/>
  </r>
  <r>
    <n v="2183"/>
    <d v="2023-02-07T00:00:00"/>
    <s v="Basic"/>
    <n v="199"/>
    <n v="14.8"/>
    <n v="7"/>
    <n v="3"/>
    <n v="34"/>
    <n v="27"/>
    <s v="No"/>
    <s v="No"/>
    <s v="Yes"/>
    <s v="Yes"/>
    <s v="Yes"/>
    <s v="No"/>
    <m/>
    <s v="1+ Failures"/>
    <n v="0"/>
    <x v="1"/>
  </r>
  <r>
    <n v="2184"/>
    <d v="2024-01-22T00:00:00"/>
    <s v="Premium"/>
    <n v="699"/>
    <n v="18.399999999999999"/>
    <n v="8"/>
    <n v="0"/>
    <n v="36"/>
    <n v="9"/>
    <s v="No"/>
    <s v="No"/>
    <s v="No"/>
    <s v="Yes"/>
    <s v="No"/>
    <s v="No"/>
    <m/>
    <s v="0 Failures"/>
    <n v="0"/>
    <x v="1"/>
  </r>
  <r>
    <n v="2185"/>
    <d v="2023-07-21T00:00:00"/>
    <s v="Standard"/>
    <n v="399"/>
    <n v="18.399999999999999"/>
    <n v="4"/>
    <n v="1"/>
    <n v="29"/>
    <n v="9"/>
    <s v="No"/>
    <s v="No"/>
    <s v="Yes"/>
    <s v="No"/>
    <s v="No"/>
    <s v="No"/>
    <m/>
    <s v="1+ Failures"/>
    <n v="0"/>
    <x v="1"/>
  </r>
  <r>
    <n v="2186"/>
    <d v="2023-05-17T00:00:00"/>
    <s v="Basic"/>
    <n v="199"/>
    <n v="7.3"/>
    <n v="3"/>
    <n v="0"/>
    <n v="25"/>
    <n v="2"/>
    <s v="No"/>
    <s v="No"/>
    <s v="No"/>
    <s v="No"/>
    <s v="No"/>
    <s v="No"/>
    <m/>
    <s v="0 Failures"/>
    <n v="0"/>
    <x v="2"/>
  </r>
  <r>
    <n v="2187"/>
    <d v="2023-09-19T00:00:00"/>
    <s v="Basic"/>
    <n v="199"/>
    <n v="14.4"/>
    <n v="6"/>
    <n v="1"/>
    <n v="27"/>
    <n v="27"/>
    <s v="No"/>
    <s v="No"/>
    <s v="Yes"/>
    <s v="Yes"/>
    <s v="Yes"/>
    <s v="No"/>
    <m/>
    <s v="1+ Failures"/>
    <n v="0"/>
    <x v="1"/>
  </r>
  <r>
    <n v="2188"/>
    <d v="2023-03-09T00:00:00"/>
    <s v="Basic"/>
    <n v="199"/>
    <n v="24.8"/>
    <n v="2"/>
    <n v="0"/>
    <n v="1"/>
    <n v="16"/>
    <s v="No"/>
    <s v="No"/>
    <s v="No"/>
    <s v="No"/>
    <s v="Yes"/>
    <s v="Yes"/>
    <m/>
    <s v="0 Failures"/>
    <n v="0"/>
    <x v="3"/>
  </r>
  <r>
    <n v="2189"/>
    <d v="2024-11-16T00:00:00"/>
    <s v="Basic"/>
    <n v="199"/>
    <n v="22.9"/>
    <n v="2"/>
    <n v="5"/>
    <n v="30"/>
    <n v="31"/>
    <s v="Yes"/>
    <s v="No"/>
    <s v="Yes"/>
    <s v="No"/>
    <s v="Yes"/>
    <s v="No"/>
    <m/>
    <s v="1+ Failures"/>
    <n v="1"/>
    <x v="3"/>
  </r>
  <r>
    <n v="2190"/>
    <d v="2024-07-15T00:00:00"/>
    <s v="Standard"/>
    <n v="399"/>
    <n v="15.6"/>
    <n v="5"/>
    <n v="3"/>
    <n v="22"/>
    <n v="16"/>
    <s v="No"/>
    <s v="No"/>
    <s v="Yes"/>
    <s v="Yes"/>
    <s v="Yes"/>
    <s v="No"/>
    <m/>
    <s v="1+ Failures"/>
    <n v="0"/>
    <x v="1"/>
  </r>
  <r>
    <n v="2191"/>
    <d v="2024-08-26T00:00:00"/>
    <s v="Premium"/>
    <n v="699"/>
    <n v="16"/>
    <n v="5"/>
    <n v="4"/>
    <n v="22"/>
    <n v="9"/>
    <s v="No"/>
    <s v="No"/>
    <s v="Yes"/>
    <s v="Yes"/>
    <s v="No"/>
    <s v="No"/>
    <m/>
    <s v="1+ Failures"/>
    <n v="0"/>
    <x v="1"/>
  </r>
  <r>
    <n v="2192"/>
    <d v="2024-05-09T00:00:00"/>
    <s v="Premium"/>
    <n v="699"/>
    <n v="20.3"/>
    <n v="3"/>
    <n v="1"/>
    <n v="18"/>
    <n v="52"/>
    <s v="Yes"/>
    <s v="No"/>
    <s v="Yes"/>
    <s v="No"/>
    <s v="Yes"/>
    <s v="No"/>
    <m/>
    <s v="1+ Failures"/>
    <n v="1"/>
    <x v="3"/>
  </r>
  <r>
    <n v="2193"/>
    <d v="2023-02-22T00:00:00"/>
    <s v="Standard"/>
    <n v="399"/>
    <n v="23.5"/>
    <n v="4"/>
    <n v="3"/>
    <n v="22"/>
    <n v="46"/>
    <s v="No"/>
    <s v="No"/>
    <s v="Yes"/>
    <s v="No"/>
    <s v="Yes"/>
    <s v="No"/>
    <m/>
    <s v="1+ Failures"/>
    <n v="0"/>
    <x v="3"/>
  </r>
  <r>
    <n v="2194"/>
    <d v="2023-08-17T00:00:00"/>
    <s v="Premium"/>
    <n v="699"/>
    <n v="20.100000000000001"/>
    <n v="4"/>
    <n v="0"/>
    <n v="20"/>
    <n v="52"/>
    <s v="Yes"/>
    <s v="No"/>
    <s v="No"/>
    <s v="No"/>
    <s v="Yes"/>
    <s v="No"/>
    <m/>
    <s v="0 Failures"/>
    <n v="1"/>
    <x v="3"/>
  </r>
  <r>
    <n v="2195"/>
    <d v="2024-01-07T00:00:00"/>
    <s v="Basic"/>
    <n v="199"/>
    <n v="11.9"/>
    <n v="2"/>
    <n v="0"/>
    <n v="16"/>
    <n v="44"/>
    <s v="No"/>
    <s v="No"/>
    <s v="No"/>
    <s v="No"/>
    <s v="Yes"/>
    <s v="No"/>
    <m/>
    <s v="0 Failures"/>
    <n v="0"/>
    <x v="1"/>
  </r>
  <r>
    <n v="2196"/>
    <d v="2024-09-30T00:00:00"/>
    <s v="Standard"/>
    <n v="399"/>
    <n v="10.8"/>
    <n v="5"/>
    <n v="2"/>
    <n v="26"/>
    <n v="5"/>
    <s v="Yes"/>
    <s v="No"/>
    <s v="Yes"/>
    <s v="Yes"/>
    <s v="No"/>
    <s v="No"/>
    <m/>
    <s v="1+ Failures"/>
    <n v="1"/>
    <x v="1"/>
  </r>
  <r>
    <n v="2197"/>
    <d v="2023-06-07T00:00:00"/>
    <s v="Standard"/>
    <n v="399"/>
    <n v="19.5"/>
    <n v="0"/>
    <n v="3"/>
    <n v="5"/>
    <n v="25"/>
    <s v="No"/>
    <s v="No"/>
    <s v="Yes"/>
    <s v="No"/>
    <s v="Yes"/>
    <s v="Yes"/>
    <m/>
    <s v="1+ Failures"/>
    <n v="0"/>
    <x v="1"/>
  </r>
  <r>
    <n v="2198"/>
    <d v="2024-05-13T00:00:00"/>
    <s v="Standard"/>
    <n v="399"/>
    <n v="24.5"/>
    <n v="5"/>
    <n v="2"/>
    <n v="31"/>
    <n v="7"/>
    <s v="Yes"/>
    <s v="No"/>
    <s v="Yes"/>
    <s v="Yes"/>
    <s v="No"/>
    <s v="No"/>
    <m/>
    <s v="1+ Failures"/>
    <n v="1"/>
    <x v="3"/>
  </r>
  <r>
    <n v="2199"/>
    <d v="2023-09-07T00:00:00"/>
    <s v="Standard"/>
    <n v="399"/>
    <n v="14.9"/>
    <n v="6"/>
    <n v="3"/>
    <n v="26"/>
    <n v="54"/>
    <s v="Yes"/>
    <s v="No"/>
    <s v="Yes"/>
    <s v="Yes"/>
    <s v="Yes"/>
    <s v="No"/>
    <m/>
    <s v="1+ Failures"/>
    <n v="1"/>
    <x v="1"/>
  </r>
  <r>
    <n v="2200"/>
    <d v="2023-04-14T00:00:00"/>
    <s v="Premium"/>
    <n v="699"/>
    <n v="8.6999999999999993"/>
    <n v="5"/>
    <n v="4"/>
    <n v="11"/>
    <n v="24"/>
    <s v="No"/>
    <s v="No"/>
    <s v="Yes"/>
    <s v="Yes"/>
    <s v="Yes"/>
    <s v="No"/>
    <m/>
    <s v="1+ Failures"/>
    <n v="0"/>
    <x v="2"/>
  </r>
  <r>
    <n v="2201"/>
    <d v="2023-04-05T00:00:00"/>
    <s v="Basic"/>
    <n v="199"/>
    <n v="20"/>
    <n v="0"/>
    <n v="1"/>
    <n v="6"/>
    <n v="34"/>
    <s v="No"/>
    <s v="No"/>
    <s v="Yes"/>
    <s v="No"/>
    <s v="Yes"/>
    <s v="No"/>
    <m/>
    <s v="1+ Failures"/>
    <n v="0"/>
    <x v="1"/>
  </r>
  <r>
    <n v="2202"/>
    <d v="2023-10-26T00:00:00"/>
    <s v="Premium"/>
    <n v="699"/>
    <n v="24.8"/>
    <n v="0"/>
    <n v="3"/>
    <n v="10"/>
    <n v="11"/>
    <s v="Yes"/>
    <s v="No"/>
    <s v="Yes"/>
    <s v="No"/>
    <s v="No"/>
    <s v="No"/>
    <m/>
    <s v="1+ Failures"/>
    <n v="1"/>
    <x v="3"/>
  </r>
  <r>
    <n v="2203"/>
    <d v="2023-12-05T00:00:00"/>
    <s v="Standard"/>
    <n v="399"/>
    <n v="16.8"/>
    <n v="1"/>
    <n v="0"/>
    <n v="23"/>
    <n v="10"/>
    <s v="No"/>
    <s v="No"/>
    <s v="No"/>
    <s v="No"/>
    <s v="No"/>
    <s v="No"/>
    <m/>
    <s v="0 Failures"/>
    <n v="0"/>
    <x v="1"/>
  </r>
  <r>
    <n v="2204"/>
    <d v="2023-07-16T00:00:00"/>
    <s v="Basic"/>
    <n v="199"/>
    <n v="24.9"/>
    <n v="1"/>
    <n v="0"/>
    <n v="3"/>
    <n v="39"/>
    <s v="Yes"/>
    <s v="No"/>
    <s v="No"/>
    <s v="No"/>
    <s v="Yes"/>
    <s v="Yes"/>
    <m/>
    <s v="0 Failures"/>
    <n v="1"/>
    <x v="3"/>
  </r>
  <r>
    <n v="2205"/>
    <d v="2024-09-22T00:00:00"/>
    <s v="Basic"/>
    <n v="199"/>
    <n v="20.7"/>
    <n v="7"/>
    <n v="0"/>
    <n v="26"/>
    <n v="17"/>
    <s v="No"/>
    <s v="No"/>
    <s v="No"/>
    <s v="Yes"/>
    <s v="Yes"/>
    <s v="No"/>
    <m/>
    <s v="0 Failures"/>
    <n v="0"/>
    <x v="3"/>
  </r>
  <r>
    <n v="2206"/>
    <d v="2023-09-24T00:00:00"/>
    <s v="Premium"/>
    <n v="699"/>
    <n v="20.9"/>
    <n v="4"/>
    <n v="1"/>
    <n v="5"/>
    <n v="4"/>
    <s v="No"/>
    <s v="No"/>
    <s v="Yes"/>
    <s v="No"/>
    <s v="No"/>
    <s v="Yes"/>
    <m/>
    <s v="1+ Failures"/>
    <n v="0"/>
    <x v="3"/>
  </r>
  <r>
    <n v="2207"/>
    <d v="2023-12-13T00:00:00"/>
    <s v="Basic"/>
    <n v="199"/>
    <n v="2.9"/>
    <n v="3"/>
    <n v="5"/>
    <n v="33"/>
    <n v="18"/>
    <s v="Yes"/>
    <s v="Yes"/>
    <s v="Yes"/>
    <s v="No"/>
    <s v="Yes"/>
    <s v="No"/>
    <m/>
    <s v="1+ Failures"/>
    <n v="1"/>
    <x v="0"/>
  </r>
  <r>
    <n v="2208"/>
    <d v="2023-10-28T00:00:00"/>
    <s v="Premium"/>
    <n v="699"/>
    <n v="17.5"/>
    <n v="7"/>
    <n v="2"/>
    <n v="11"/>
    <n v="60"/>
    <s v="Yes"/>
    <s v="No"/>
    <s v="Yes"/>
    <s v="Yes"/>
    <s v="Yes"/>
    <s v="No"/>
    <m/>
    <s v="1+ Failures"/>
    <n v="1"/>
    <x v="1"/>
  </r>
  <r>
    <n v="2209"/>
    <d v="2023-09-04T00:00:00"/>
    <s v="Premium"/>
    <n v="699"/>
    <n v="10.7"/>
    <n v="3"/>
    <n v="2"/>
    <n v="26"/>
    <n v="42"/>
    <s v="Yes"/>
    <s v="No"/>
    <s v="Yes"/>
    <s v="No"/>
    <s v="Yes"/>
    <s v="No"/>
    <m/>
    <s v="1+ Failures"/>
    <n v="1"/>
    <x v="1"/>
  </r>
  <r>
    <n v="2210"/>
    <d v="2023-05-01T00:00:00"/>
    <s v="Standard"/>
    <n v="399"/>
    <n v="17.7"/>
    <n v="0"/>
    <n v="0"/>
    <n v="10"/>
    <n v="3"/>
    <s v="No"/>
    <s v="No"/>
    <s v="No"/>
    <s v="No"/>
    <s v="No"/>
    <s v="No"/>
    <m/>
    <s v="0 Failures"/>
    <n v="0"/>
    <x v="1"/>
  </r>
  <r>
    <n v="2211"/>
    <d v="2023-12-07T00:00:00"/>
    <s v="Basic"/>
    <n v="199"/>
    <n v="25"/>
    <n v="2"/>
    <n v="1"/>
    <n v="7"/>
    <n v="46"/>
    <s v="Yes"/>
    <s v="No"/>
    <s v="Yes"/>
    <s v="No"/>
    <s v="Yes"/>
    <s v="No"/>
    <m/>
    <s v="1+ Failures"/>
    <n v="1"/>
    <x v="3"/>
  </r>
  <r>
    <n v="2212"/>
    <d v="2024-10-21T00:00:00"/>
    <s v="Premium"/>
    <n v="699"/>
    <n v="14.7"/>
    <n v="7"/>
    <n v="3"/>
    <n v="21"/>
    <n v="26"/>
    <s v="Yes"/>
    <s v="No"/>
    <s v="Yes"/>
    <s v="Yes"/>
    <s v="Yes"/>
    <s v="No"/>
    <m/>
    <s v="1+ Failures"/>
    <n v="1"/>
    <x v="1"/>
  </r>
  <r>
    <n v="2213"/>
    <d v="2024-11-02T00:00:00"/>
    <s v="Premium"/>
    <n v="699"/>
    <n v="18.399999999999999"/>
    <n v="4"/>
    <n v="5"/>
    <n v="36"/>
    <n v="13"/>
    <s v="No"/>
    <s v="No"/>
    <s v="Yes"/>
    <s v="No"/>
    <s v="No"/>
    <s v="No"/>
    <m/>
    <s v="1+ Failures"/>
    <n v="0"/>
    <x v="1"/>
  </r>
  <r>
    <n v="2214"/>
    <d v="2023-09-16T00:00:00"/>
    <s v="Basic"/>
    <n v="199"/>
    <n v="4.3"/>
    <n v="3"/>
    <n v="2"/>
    <n v="24"/>
    <n v="4"/>
    <s v="Yes"/>
    <s v="Yes"/>
    <s v="Yes"/>
    <s v="No"/>
    <s v="No"/>
    <s v="No"/>
    <m/>
    <s v="1+ Failures"/>
    <n v="1"/>
    <x v="0"/>
  </r>
  <r>
    <n v="2215"/>
    <d v="2023-11-28T00:00:00"/>
    <s v="Standard"/>
    <n v="399"/>
    <n v="20.399999999999999"/>
    <n v="7"/>
    <n v="5"/>
    <n v="12"/>
    <n v="25"/>
    <s v="No"/>
    <s v="No"/>
    <s v="Yes"/>
    <s v="Yes"/>
    <s v="Yes"/>
    <s v="No"/>
    <m/>
    <s v="1+ Failures"/>
    <n v="0"/>
    <x v="3"/>
  </r>
  <r>
    <n v="2216"/>
    <d v="2024-08-03T00:00:00"/>
    <s v="Standard"/>
    <n v="399"/>
    <n v="20.5"/>
    <n v="6"/>
    <n v="5"/>
    <n v="9"/>
    <n v="20"/>
    <s v="No"/>
    <s v="No"/>
    <s v="Yes"/>
    <s v="Yes"/>
    <s v="Yes"/>
    <s v="No"/>
    <m/>
    <s v="1+ Failures"/>
    <n v="0"/>
    <x v="3"/>
  </r>
  <r>
    <n v="2217"/>
    <d v="2023-12-09T00:00:00"/>
    <s v="Premium"/>
    <n v="699"/>
    <n v="0.7"/>
    <n v="2"/>
    <n v="2"/>
    <n v="12"/>
    <n v="26"/>
    <s v="Yes"/>
    <s v="Yes"/>
    <s v="Yes"/>
    <s v="No"/>
    <s v="Yes"/>
    <s v="No"/>
    <m/>
    <s v="1+ Failures"/>
    <n v="1"/>
    <x v="0"/>
  </r>
  <r>
    <n v="2218"/>
    <d v="2023-10-12T00:00:00"/>
    <s v="Basic"/>
    <n v="199"/>
    <n v="22.2"/>
    <n v="3"/>
    <n v="4"/>
    <n v="3"/>
    <n v="38"/>
    <s v="Yes"/>
    <s v="No"/>
    <s v="Yes"/>
    <s v="No"/>
    <s v="Yes"/>
    <s v="Yes"/>
    <m/>
    <s v="1+ Failures"/>
    <n v="1"/>
    <x v="3"/>
  </r>
  <r>
    <n v="2219"/>
    <d v="2024-09-21T00:00:00"/>
    <s v="Basic"/>
    <n v="199"/>
    <n v="10.7"/>
    <n v="0"/>
    <n v="5"/>
    <n v="12"/>
    <n v="23"/>
    <s v="No"/>
    <s v="No"/>
    <s v="Yes"/>
    <s v="No"/>
    <s v="Yes"/>
    <s v="No"/>
    <m/>
    <s v="1+ Failures"/>
    <n v="0"/>
    <x v="1"/>
  </r>
  <r>
    <n v="2220"/>
    <d v="2023-12-07T00:00:00"/>
    <s v="Standard"/>
    <n v="399"/>
    <n v="0.6"/>
    <n v="7"/>
    <n v="4"/>
    <n v="22"/>
    <n v="12"/>
    <s v="Yes"/>
    <s v="Yes"/>
    <s v="Yes"/>
    <s v="Yes"/>
    <s v="No"/>
    <s v="No"/>
    <m/>
    <s v="1+ Failures"/>
    <n v="1"/>
    <x v="0"/>
  </r>
  <r>
    <n v="2221"/>
    <d v="2024-09-18T00:00:00"/>
    <s v="Premium"/>
    <n v="699"/>
    <n v="7.2"/>
    <n v="6"/>
    <n v="4"/>
    <n v="33"/>
    <n v="37"/>
    <s v="Yes"/>
    <s v="No"/>
    <s v="Yes"/>
    <s v="Yes"/>
    <s v="Yes"/>
    <s v="No"/>
    <m/>
    <s v="1+ Failures"/>
    <n v="1"/>
    <x v="2"/>
  </r>
  <r>
    <n v="2222"/>
    <d v="2023-10-25T00:00:00"/>
    <s v="Basic"/>
    <n v="199"/>
    <n v="19.399999999999999"/>
    <n v="0"/>
    <n v="3"/>
    <n v="28"/>
    <n v="46"/>
    <s v="Yes"/>
    <s v="No"/>
    <s v="Yes"/>
    <s v="No"/>
    <s v="Yes"/>
    <s v="No"/>
    <m/>
    <s v="1+ Failures"/>
    <n v="1"/>
    <x v="1"/>
  </r>
  <r>
    <n v="2223"/>
    <d v="2023-03-06T00:00:00"/>
    <s v="Premium"/>
    <n v="699"/>
    <n v="1.6"/>
    <n v="5"/>
    <n v="0"/>
    <n v="30"/>
    <n v="26"/>
    <s v="Yes"/>
    <s v="Yes"/>
    <s v="No"/>
    <s v="Yes"/>
    <s v="Yes"/>
    <s v="No"/>
    <m/>
    <s v="0 Failures"/>
    <n v="1"/>
    <x v="0"/>
  </r>
  <r>
    <n v="2224"/>
    <d v="2024-04-05T00:00:00"/>
    <s v="Standard"/>
    <n v="399"/>
    <n v="23.3"/>
    <n v="3"/>
    <n v="2"/>
    <n v="27"/>
    <n v="53"/>
    <s v="Yes"/>
    <s v="No"/>
    <s v="Yes"/>
    <s v="No"/>
    <s v="Yes"/>
    <s v="No"/>
    <m/>
    <s v="1+ Failures"/>
    <n v="1"/>
    <x v="3"/>
  </r>
  <r>
    <n v="2225"/>
    <d v="2023-09-18T00:00:00"/>
    <s v="Standard"/>
    <n v="399"/>
    <n v="22.3"/>
    <n v="0"/>
    <n v="1"/>
    <n v="20"/>
    <n v="42"/>
    <s v="No"/>
    <s v="No"/>
    <s v="Yes"/>
    <s v="No"/>
    <s v="Yes"/>
    <s v="No"/>
    <m/>
    <s v="1+ Failures"/>
    <n v="0"/>
    <x v="3"/>
  </r>
  <r>
    <n v="2226"/>
    <d v="2024-04-05T00:00:00"/>
    <s v="Standard"/>
    <n v="399"/>
    <n v="0.6"/>
    <n v="3"/>
    <n v="0"/>
    <n v="17"/>
    <n v="14"/>
    <s v="No"/>
    <s v="Yes"/>
    <s v="No"/>
    <s v="No"/>
    <s v="No"/>
    <s v="No"/>
    <m/>
    <s v="0 Failures"/>
    <n v="0"/>
    <x v="0"/>
  </r>
  <r>
    <n v="2227"/>
    <d v="2024-07-02T00:00:00"/>
    <s v="Basic"/>
    <n v="199"/>
    <n v="0.6"/>
    <n v="0"/>
    <n v="0"/>
    <n v="26"/>
    <n v="51"/>
    <s v="No"/>
    <s v="Yes"/>
    <s v="No"/>
    <s v="No"/>
    <s v="Yes"/>
    <s v="No"/>
    <m/>
    <s v="0 Failures"/>
    <n v="0"/>
    <x v="0"/>
  </r>
  <r>
    <n v="2228"/>
    <d v="2024-08-17T00:00:00"/>
    <s v="Premium"/>
    <n v="699"/>
    <n v="0.9"/>
    <n v="4"/>
    <n v="4"/>
    <n v="27"/>
    <n v="42"/>
    <s v="Yes"/>
    <s v="Yes"/>
    <s v="Yes"/>
    <s v="No"/>
    <s v="Yes"/>
    <s v="No"/>
    <m/>
    <s v="1+ Failures"/>
    <n v="1"/>
    <x v="0"/>
  </r>
  <r>
    <n v="2229"/>
    <d v="2024-02-03T00:00:00"/>
    <s v="Basic"/>
    <n v="199"/>
    <n v="16.7"/>
    <n v="4"/>
    <n v="0"/>
    <n v="35"/>
    <n v="54"/>
    <s v="Yes"/>
    <s v="No"/>
    <s v="No"/>
    <s v="No"/>
    <s v="Yes"/>
    <s v="No"/>
    <m/>
    <s v="0 Failures"/>
    <n v="1"/>
    <x v="1"/>
  </r>
  <r>
    <n v="2230"/>
    <d v="2023-12-03T00:00:00"/>
    <s v="Premium"/>
    <n v="699"/>
    <n v="4.8"/>
    <n v="3"/>
    <n v="0"/>
    <n v="22"/>
    <n v="43"/>
    <s v="Yes"/>
    <s v="Yes"/>
    <s v="No"/>
    <s v="No"/>
    <s v="Yes"/>
    <s v="No"/>
    <m/>
    <s v="0 Failures"/>
    <n v="1"/>
    <x v="0"/>
  </r>
  <r>
    <n v="2231"/>
    <d v="2023-09-22T00:00:00"/>
    <s v="Premium"/>
    <n v="699"/>
    <n v="23.7"/>
    <n v="0"/>
    <n v="0"/>
    <n v="16"/>
    <n v="8"/>
    <s v="No"/>
    <s v="No"/>
    <s v="No"/>
    <s v="No"/>
    <s v="No"/>
    <s v="No"/>
    <m/>
    <s v="0 Failures"/>
    <n v="0"/>
    <x v="3"/>
  </r>
  <r>
    <n v="2232"/>
    <d v="2023-06-17T00:00:00"/>
    <s v="Basic"/>
    <n v="199"/>
    <n v="17"/>
    <n v="6"/>
    <n v="1"/>
    <n v="19"/>
    <n v="57"/>
    <s v="Yes"/>
    <s v="No"/>
    <s v="Yes"/>
    <s v="Yes"/>
    <s v="Yes"/>
    <s v="No"/>
    <m/>
    <s v="1+ Failures"/>
    <n v="1"/>
    <x v="1"/>
  </r>
  <r>
    <n v="2233"/>
    <d v="2024-10-16T00:00:00"/>
    <s v="Standard"/>
    <n v="399"/>
    <n v="19.2"/>
    <n v="4"/>
    <n v="2"/>
    <n v="7"/>
    <n v="34"/>
    <s v="Yes"/>
    <s v="No"/>
    <s v="Yes"/>
    <s v="No"/>
    <s v="Yes"/>
    <s v="No"/>
    <m/>
    <s v="1+ Failures"/>
    <n v="1"/>
    <x v="1"/>
  </r>
  <r>
    <n v="2234"/>
    <d v="2023-10-04T00:00:00"/>
    <s v="Basic"/>
    <n v="199"/>
    <n v="24.6"/>
    <n v="1"/>
    <n v="0"/>
    <n v="5"/>
    <n v="15"/>
    <s v="Yes"/>
    <s v="No"/>
    <s v="No"/>
    <s v="No"/>
    <s v="Yes"/>
    <s v="Yes"/>
    <m/>
    <s v="0 Failures"/>
    <n v="1"/>
    <x v="3"/>
  </r>
  <r>
    <n v="2235"/>
    <d v="2024-07-01T00:00:00"/>
    <s v="Basic"/>
    <n v="199"/>
    <n v="19.2"/>
    <n v="5"/>
    <n v="0"/>
    <n v="8"/>
    <n v="32"/>
    <s v="No"/>
    <s v="No"/>
    <s v="No"/>
    <s v="Yes"/>
    <s v="Yes"/>
    <s v="No"/>
    <m/>
    <s v="0 Failures"/>
    <n v="0"/>
    <x v="1"/>
  </r>
  <r>
    <n v="2236"/>
    <d v="2023-12-28T00:00:00"/>
    <s v="Standard"/>
    <n v="399"/>
    <n v="3.5"/>
    <n v="4"/>
    <n v="0"/>
    <n v="33"/>
    <n v="22"/>
    <s v="No"/>
    <s v="Yes"/>
    <s v="No"/>
    <s v="No"/>
    <s v="Yes"/>
    <s v="No"/>
    <m/>
    <s v="0 Failures"/>
    <n v="0"/>
    <x v="0"/>
  </r>
  <r>
    <n v="2237"/>
    <d v="2024-09-27T00:00:00"/>
    <s v="Basic"/>
    <n v="199"/>
    <n v="20.3"/>
    <n v="8"/>
    <n v="2"/>
    <n v="25"/>
    <n v="46"/>
    <s v="Yes"/>
    <s v="No"/>
    <s v="Yes"/>
    <s v="Yes"/>
    <s v="Yes"/>
    <s v="No"/>
    <m/>
    <s v="1+ Failures"/>
    <n v="1"/>
    <x v="3"/>
  </r>
  <r>
    <n v="2238"/>
    <d v="2024-07-01T00:00:00"/>
    <s v="Basic"/>
    <n v="199"/>
    <n v="4.5"/>
    <n v="5"/>
    <n v="1"/>
    <n v="5"/>
    <n v="33"/>
    <s v="No"/>
    <s v="Yes"/>
    <s v="Yes"/>
    <s v="Yes"/>
    <s v="Yes"/>
    <s v="Yes"/>
    <m/>
    <s v="1+ Failures"/>
    <n v="0"/>
    <x v="0"/>
  </r>
  <r>
    <n v="2239"/>
    <d v="2024-03-18T00:00:00"/>
    <s v="Basic"/>
    <n v="199"/>
    <n v="24.8"/>
    <n v="5"/>
    <n v="0"/>
    <n v="31"/>
    <n v="21"/>
    <s v="No"/>
    <s v="No"/>
    <s v="No"/>
    <s v="Yes"/>
    <s v="Yes"/>
    <s v="No"/>
    <m/>
    <s v="0 Failures"/>
    <n v="0"/>
    <x v="3"/>
  </r>
  <r>
    <n v="2240"/>
    <d v="2024-10-14T00:00:00"/>
    <s v="Basic"/>
    <n v="199"/>
    <n v="19.5"/>
    <n v="6"/>
    <n v="1"/>
    <n v="33"/>
    <n v="10"/>
    <s v="Yes"/>
    <s v="No"/>
    <s v="Yes"/>
    <s v="Yes"/>
    <s v="No"/>
    <s v="No"/>
    <m/>
    <s v="1+ Failures"/>
    <n v="1"/>
    <x v="1"/>
  </r>
  <r>
    <n v="2241"/>
    <d v="2024-05-21T00:00:00"/>
    <s v="Standard"/>
    <n v="399"/>
    <n v="24.4"/>
    <n v="3"/>
    <n v="5"/>
    <n v="5"/>
    <n v="59"/>
    <s v="No"/>
    <s v="No"/>
    <s v="Yes"/>
    <s v="No"/>
    <s v="Yes"/>
    <s v="Yes"/>
    <m/>
    <s v="1+ Failures"/>
    <n v="0"/>
    <x v="3"/>
  </r>
  <r>
    <n v="2242"/>
    <d v="2024-04-08T00:00:00"/>
    <s v="Premium"/>
    <n v="699"/>
    <n v="10"/>
    <n v="5"/>
    <n v="1"/>
    <n v="30"/>
    <n v="57"/>
    <s v="Yes"/>
    <s v="No"/>
    <s v="Yes"/>
    <s v="Yes"/>
    <s v="Yes"/>
    <s v="No"/>
    <m/>
    <s v="1+ Failures"/>
    <n v="1"/>
    <x v="2"/>
  </r>
  <r>
    <n v="2243"/>
    <d v="2023-12-13T00:00:00"/>
    <s v="Basic"/>
    <n v="199"/>
    <n v="14.5"/>
    <n v="0"/>
    <n v="5"/>
    <n v="1"/>
    <n v="59"/>
    <s v="Yes"/>
    <s v="No"/>
    <s v="Yes"/>
    <s v="No"/>
    <s v="Yes"/>
    <s v="Yes"/>
    <m/>
    <s v="1+ Failures"/>
    <n v="1"/>
    <x v="1"/>
  </r>
  <r>
    <n v="2244"/>
    <d v="2024-08-31T00:00:00"/>
    <s v="Standard"/>
    <n v="399"/>
    <n v="24.3"/>
    <n v="7"/>
    <n v="0"/>
    <n v="1"/>
    <n v="8"/>
    <s v="No"/>
    <s v="No"/>
    <s v="No"/>
    <s v="Yes"/>
    <s v="No"/>
    <s v="Yes"/>
    <m/>
    <s v="0 Failures"/>
    <n v="0"/>
    <x v="3"/>
  </r>
  <r>
    <n v="2245"/>
    <d v="2024-07-18T00:00:00"/>
    <s v="Premium"/>
    <n v="699"/>
    <n v="19.3"/>
    <n v="2"/>
    <n v="3"/>
    <n v="36"/>
    <n v="31"/>
    <s v="Yes"/>
    <s v="No"/>
    <s v="Yes"/>
    <s v="No"/>
    <s v="Yes"/>
    <s v="No"/>
    <m/>
    <s v="1+ Failures"/>
    <n v="1"/>
    <x v="1"/>
  </r>
  <r>
    <n v="2246"/>
    <d v="2024-07-03T00:00:00"/>
    <s v="Premium"/>
    <n v="699"/>
    <n v="3.4"/>
    <n v="0"/>
    <n v="5"/>
    <n v="22"/>
    <n v="20"/>
    <s v="Yes"/>
    <s v="Yes"/>
    <s v="Yes"/>
    <s v="No"/>
    <s v="Yes"/>
    <s v="No"/>
    <m/>
    <s v="1+ Failures"/>
    <n v="1"/>
    <x v="0"/>
  </r>
  <r>
    <n v="2247"/>
    <d v="2023-05-21T00:00:00"/>
    <s v="Standard"/>
    <n v="399"/>
    <n v="1.5"/>
    <n v="1"/>
    <n v="0"/>
    <n v="19"/>
    <n v="60"/>
    <s v="Yes"/>
    <s v="Yes"/>
    <s v="No"/>
    <s v="No"/>
    <s v="Yes"/>
    <s v="No"/>
    <m/>
    <s v="0 Failures"/>
    <n v="1"/>
    <x v="0"/>
  </r>
  <r>
    <n v="2248"/>
    <d v="2023-03-18T00:00:00"/>
    <s v="Premium"/>
    <n v="699"/>
    <n v="20.5"/>
    <n v="2"/>
    <n v="2"/>
    <n v="17"/>
    <n v="21"/>
    <s v="No"/>
    <s v="No"/>
    <s v="Yes"/>
    <s v="No"/>
    <s v="Yes"/>
    <s v="No"/>
    <m/>
    <s v="1+ Failures"/>
    <n v="0"/>
    <x v="3"/>
  </r>
  <r>
    <n v="2249"/>
    <d v="2023-01-27T00:00:00"/>
    <s v="Premium"/>
    <n v="699"/>
    <n v="2.2999999999999998"/>
    <n v="4"/>
    <n v="5"/>
    <n v="24"/>
    <n v="19"/>
    <s v="Yes"/>
    <s v="Yes"/>
    <s v="Yes"/>
    <s v="No"/>
    <s v="Yes"/>
    <s v="No"/>
    <m/>
    <s v="1+ Failures"/>
    <n v="1"/>
    <x v="0"/>
  </r>
  <r>
    <n v="2250"/>
    <d v="2024-09-05T00:00:00"/>
    <s v="Standard"/>
    <n v="399"/>
    <n v="5"/>
    <n v="1"/>
    <n v="1"/>
    <n v="21"/>
    <n v="59"/>
    <s v="No"/>
    <s v="No"/>
    <s v="Yes"/>
    <s v="No"/>
    <s v="Yes"/>
    <s v="No"/>
    <m/>
    <s v="1+ Failures"/>
    <n v="0"/>
    <x v="0"/>
  </r>
  <r>
    <n v="2251"/>
    <d v="2023-07-07T00:00:00"/>
    <s v="Basic"/>
    <n v="199"/>
    <n v="3.3"/>
    <n v="4"/>
    <n v="2"/>
    <n v="24"/>
    <n v="20"/>
    <s v="No"/>
    <s v="Yes"/>
    <s v="Yes"/>
    <s v="No"/>
    <s v="Yes"/>
    <s v="No"/>
    <m/>
    <s v="1+ Failures"/>
    <n v="0"/>
    <x v="0"/>
  </r>
  <r>
    <n v="2252"/>
    <d v="2024-07-17T00:00:00"/>
    <s v="Premium"/>
    <n v="699"/>
    <n v="14.8"/>
    <n v="1"/>
    <n v="1"/>
    <n v="14"/>
    <n v="3"/>
    <s v="No"/>
    <s v="No"/>
    <s v="Yes"/>
    <s v="No"/>
    <s v="No"/>
    <s v="No"/>
    <m/>
    <s v="1+ Failures"/>
    <n v="0"/>
    <x v="1"/>
  </r>
  <r>
    <n v="2253"/>
    <d v="2023-11-01T00:00:00"/>
    <s v="Premium"/>
    <n v="699"/>
    <n v="20.399999999999999"/>
    <n v="8"/>
    <n v="4"/>
    <n v="6"/>
    <n v="55"/>
    <s v="Yes"/>
    <s v="No"/>
    <s v="Yes"/>
    <s v="Yes"/>
    <s v="Yes"/>
    <s v="No"/>
    <m/>
    <s v="1+ Failures"/>
    <n v="1"/>
    <x v="3"/>
  </r>
  <r>
    <n v="2254"/>
    <d v="2024-03-06T00:00:00"/>
    <s v="Premium"/>
    <n v="699"/>
    <n v="3"/>
    <n v="6"/>
    <n v="0"/>
    <n v="20"/>
    <n v="19"/>
    <s v="No"/>
    <s v="Yes"/>
    <s v="No"/>
    <s v="Yes"/>
    <s v="Yes"/>
    <s v="No"/>
    <m/>
    <s v="0 Failures"/>
    <n v="0"/>
    <x v="0"/>
  </r>
  <r>
    <n v="2255"/>
    <d v="2024-08-25T00:00:00"/>
    <s v="Basic"/>
    <n v="199"/>
    <n v="7.1"/>
    <n v="0"/>
    <n v="1"/>
    <n v="22"/>
    <n v="4"/>
    <s v="Yes"/>
    <s v="No"/>
    <s v="Yes"/>
    <s v="No"/>
    <s v="No"/>
    <s v="No"/>
    <m/>
    <s v="1+ Failures"/>
    <n v="1"/>
    <x v="2"/>
  </r>
  <r>
    <n v="2256"/>
    <d v="2024-07-08T00:00:00"/>
    <s v="Basic"/>
    <n v="199"/>
    <n v="22.3"/>
    <n v="0"/>
    <n v="3"/>
    <n v="7"/>
    <n v="51"/>
    <s v="Yes"/>
    <s v="No"/>
    <s v="Yes"/>
    <s v="No"/>
    <s v="Yes"/>
    <s v="No"/>
    <m/>
    <s v="1+ Failures"/>
    <n v="1"/>
    <x v="3"/>
  </r>
  <r>
    <n v="2257"/>
    <d v="2023-07-09T00:00:00"/>
    <s v="Basic"/>
    <n v="199"/>
    <n v="4.4000000000000004"/>
    <n v="8"/>
    <n v="1"/>
    <n v="17"/>
    <n v="5"/>
    <s v="Yes"/>
    <s v="Yes"/>
    <s v="Yes"/>
    <s v="Yes"/>
    <s v="No"/>
    <s v="No"/>
    <m/>
    <s v="1+ Failures"/>
    <n v="1"/>
    <x v="0"/>
  </r>
  <r>
    <n v="2258"/>
    <d v="2023-05-10T00:00:00"/>
    <s v="Premium"/>
    <n v="699"/>
    <n v="16"/>
    <n v="0"/>
    <n v="3"/>
    <n v="7"/>
    <n v="13"/>
    <s v="No"/>
    <s v="No"/>
    <s v="Yes"/>
    <s v="No"/>
    <s v="No"/>
    <s v="No"/>
    <m/>
    <s v="1+ Failures"/>
    <n v="0"/>
    <x v="1"/>
  </r>
  <r>
    <n v="2259"/>
    <d v="2023-10-07T00:00:00"/>
    <s v="Basic"/>
    <n v="199"/>
    <n v="6.3"/>
    <n v="6"/>
    <n v="0"/>
    <n v="33"/>
    <n v="43"/>
    <s v="No"/>
    <s v="No"/>
    <s v="No"/>
    <s v="Yes"/>
    <s v="Yes"/>
    <s v="No"/>
    <m/>
    <s v="0 Failures"/>
    <n v="0"/>
    <x v="2"/>
  </r>
  <r>
    <n v="2260"/>
    <d v="2024-11-13T00:00:00"/>
    <s v="Premium"/>
    <n v="699"/>
    <n v="12.6"/>
    <n v="3"/>
    <n v="0"/>
    <n v="13"/>
    <n v="27"/>
    <s v="Yes"/>
    <s v="No"/>
    <s v="No"/>
    <s v="No"/>
    <s v="Yes"/>
    <s v="No"/>
    <m/>
    <s v="0 Failures"/>
    <n v="1"/>
    <x v="1"/>
  </r>
  <r>
    <n v="2261"/>
    <d v="2024-08-27T00:00:00"/>
    <s v="Standard"/>
    <n v="399"/>
    <n v="20.7"/>
    <n v="4"/>
    <n v="2"/>
    <n v="13"/>
    <n v="8"/>
    <s v="Yes"/>
    <s v="No"/>
    <s v="Yes"/>
    <s v="No"/>
    <s v="No"/>
    <s v="No"/>
    <m/>
    <s v="1+ Failures"/>
    <n v="1"/>
    <x v="3"/>
  </r>
  <r>
    <n v="2262"/>
    <d v="2024-09-11T00:00:00"/>
    <s v="Standard"/>
    <n v="399"/>
    <n v="7.1"/>
    <n v="1"/>
    <n v="5"/>
    <n v="19"/>
    <n v="26"/>
    <s v="Yes"/>
    <s v="No"/>
    <s v="Yes"/>
    <s v="No"/>
    <s v="Yes"/>
    <s v="No"/>
    <m/>
    <s v="1+ Failures"/>
    <n v="1"/>
    <x v="2"/>
  </r>
  <r>
    <n v="2263"/>
    <d v="2024-12-08T00:00:00"/>
    <s v="Standard"/>
    <n v="399"/>
    <n v="24.5"/>
    <n v="6"/>
    <n v="4"/>
    <n v="1"/>
    <n v="12"/>
    <s v="No"/>
    <s v="No"/>
    <s v="Yes"/>
    <s v="Yes"/>
    <s v="No"/>
    <s v="Yes"/>
    <m/>
    <s v="1+ Failures"/>
    <n v="0"/>
    <x v="3"/>
  </r>
  <r>
    <n v="2264"/>
    <d v="2023-02-11T00:00:00"/>
    <s v="Basic"/>
    <n v="199"/>
    <n v="20.5"/>
    <n v="1"/>
    <n v="5"/>
    <n v="12"/>
    <n v="15"/>
    <s v="Yes"/>
    <s v="No"/>
    <s v="Yes"/>
    <s v="No"/>
    <s v="Yes"/>
    <s v="No"/>
    <m/>
    <s v="1+ Failures"/>
    <n v="1"/>
    <x v="3"/>
  </r>
  <r>
    <n v="2265"/>
    <d v="2023-08-12T00:00:00"/>
    <s v="Basic"/>
    <n v="199"/>
    <n v="18.7"/>
    <n v="1"/>
    <n v="5"/>
    <n v="16"/>
    <n v="25"/>
    <s v="Yes"/>
    <s v="No"/>
    <s v="Yes"/>
    <s v="No"/>
    <s v="Yes"/>
    <s v="No"/>
    <m/>
    <s v="1+ Failures"/>
    <n v="1"/>
    <x v="1"/>
  </r>
  <r>
    <n v="2266"/>
    <d v="2023-01-15T00:00:00"/>
    <s v="Standard"/>
    <n v="399"/>
    <n v="14.6"/>
    <n v="3"/>
    <n v="5"/>
    <n v="8"/>
    <n v="7"/>
    <s v="No"/>
    <s v="No"/>
    <s v="Yes"/>
    <s v="No"/>
    <s v="No"/>
    <s v="No"/>
    <m/>
    <s v="1+ Failures"/>
    <n v="0"/>
    <x v="1"/>
  </r>
  <r>
    <n v="2267"/>
    <d v="2023-05-07T00:00:00"/>
    <s v="Standard"/>
    <n v="399"/>
    <n v="8.9"/>
    <n v="7"/>
    <n v="1"/>
    <n v="7"/>
    <n v="9"/>
    <s v="No"/>
    <s v="No"/>
    <s v="Yes"/>
    <s v="Yes"/>
    <s v="No"/>
    <s v="No"/>
    <m/>
    <s v="1+ Failures"/>
    <n v="0"/>
    <x v="2"/>
  </r>
  <r>
    <n v="2268"/>
    <d v="2024-03-30T00:00:00"/>
    <s v="Standard"/>
    <n v="399"/>
    <n v="24.4"/>
    <n v="6"/>
    <n v="5"/>
    <n v="21"/>
    <n v="33"/>
    <s v="Yes"/>
    <s v="No"/>
    <s v="Yes"/>
    <s v="Yes"/>
    <s v="Yes"/>
    <s v="No"/>
    <m/>
    <s v="1+ Failures"/>
    <n v="1"/>
    <x v="3"/>
  </r>
  <r>
    <n v="2269"/>
    <d v="2024-11-12T00:00:00"/>
    <s v="Premium"/>
    <n v="699"/>
    <n v="21.5"/>
    <n v="2"/>
    <n v="1"/>
    <n v="13"/>
    <n v="24"/>
    <s v="No"/>
    <s v="No"/>
    <s v="Yes"/>
    <s v="No"/>
    <s v="Yes"/>
    <s v="No"/>
    <m/>
    <s v="1+ Failures"/>
    <n v="0"/>
    <x v="3"/>
  </r>
  <r>
    <n v="2270"/>
    <d v="2024-03-19T00:00:00"/>
    <s v="Premium"/>
    <n v="699"/>
    <n v="12.5"/>
    <n v="4"/>
    <n v="3"/>
    <n v="16"/>
    <n v="3"/>
    <s v="Yes"/>
    <s v="No"/>
    <s v="Yes"/>
    <s v="No"/>
    <s v="No"/>
    <s v="No"/>
    <m/>
    <s v="1+ Failures"/>
    <n v="1"/>
    <x v="1"/>
  </r>
  <r>
    <n v="2271"/>
    <d v="2023-07-28T00:00:00"/>
    <s v="Standard"/>
    <n v="399"/>
    <n v="2"/>
    <n v="0"/>
    <n v="5"/>
    <n v="11"/>
    <n v="29"/>
    <s v="Yes"/>
    <s v="Yes"/>
    <s v="Yes"/>
    <s v="No"/>
    <s v="Yes"/>
    <s v="No"/>
    <m/>
    <s v="1+ Failures"/>
    <n v="1"/>
    <x v="0"/>
  </r>
  <r>
    <n v="2272"/>
    <d v="2023-01-15T00:00:00"/>
    <s v="Standard"/>
    <n v="399"/>
    <n v="22.1"/>
    <n v="2"/>
    <n v="2"/>
    <n v="8"/>
    <n v="17"/>
    <s v="Yes"/>
    <s v="No"/>
    <s v="Yes"/>
    <s v="No"/>
    <s v="Yes"/>
    <s v="No"/>
    <m/>
    <s v="1+ Failures"/>
    <n v="1"/>
    <x v="3"/>
  </r>
  <r>
    <n v="2273"/>
    <d v="2024-04-05T00:00:00"/>
    <s v="Standard"/>
    <n v="399"/>
    <n v="2.1"/>
    <n v="7"/>
    <n v="2"/>
    <n v="34"/>
    <n v="19"/>
    <s v="Yes"/>
    <s v="Yes"/>
    <s v="Yes"/>
    <s v="Yes"/>
    <s v="Yes"/>
    <s v="No"/>
    <m/>
    <s v="1+ Failures"/>
    <n v="1"/>
    <x v="0"/>
  </r>
  <r>
    <n v="2274"/>
    <d v="2024-03-24T00:00:00"/>
    <s v="Basic"/>
    <n v="199"/>
    <n v="21.1"/>
    <n v="6"/>
    <n v="2"/>
    <n v="18"/>
    <n v="10"/>
    <s v="Yes"/>
    <s v="No"/>
    <s v="Yes"/>
    <s v="Yes"/>
    <s v="No"/>
    <s v="No"/>
    <m/>
    <s v="1+ Failures"/>
    <n v="1"/>
    <x v="3"/>
  </r>
  <r>
    <n v="2275"/>
    <d v="2024-07-18T00:00:00"/>
    <s v="Basic"/>
    <n v="199"/>
    <n v="19.600000000000001"/>
    <n v="7"/>
    <n v="3"/>
    <n v="2"/>
    <n v="14"/>
    <s v="No"/>
    <s v="No"/>
    <s v="Yes"/>
    <s v="Yes"/>
    <s v="No"/>
    <s v="Yes"/>
    <m/>
    <s v="1+ Failures"/>
    <n v="0"/>
    <x v="1"/>
  </r>
  <r>
    <n v="2276"/>
    <d v="2023-10-06T00:00:00"/>
    <s v="Premium"/>
    <n v="699"/>
    <n v="3.2"/>
    <n v="5"/>
    <n v="4"/>
    <n v="10"/>
    <n v="16"/>
    <s v="Yes"/>
    <s v="Yes"/>
    <s v="Yes"/>
    <s v="Yes"/>
    <s v="Yes"/>
    <s v="No"/>
    <m/>
    <s v="1+ Failures"/>
    <n v="1"/>
    <x v="0"/>
  </r>
  <r>
    <n v="2277"/>
    <d v="2023-04-20T00:00:00"/>
    <s v="Premium"/>
    <n v="699"/>
    <n v="20.100000000000001"/>
    <n v="6"/>
    <n v="0"/>
    <n v="34"/>
    <n v="4"/>
    <s v="No"/>
    <s v="No"/>
    <s v="No"/>
    <s v="Yes"/>
    <s v="No"/>
    <s v="No"/>
    <m/>
    <s v="0 Failures"/>
    <n v="0"/>
    <x v="3"/>
  </r>
  <r>
    <n v="2278"/>
    <d v="2024-09-20T00:00:00"/>
    <s v="Basic"/>
    <n v="199"/>
    <n v="6.7"/>
    <n v="3"/>
    <n v="5"/>
    <n v="19"/>
    <n v="59"/>
    <s v="Yes"/>
    <s v="No"/>
    <s v="Yes"/>
    <s v="No"/>
    <s v="Yes"/>
    <s v="No"/>
    <m/>
    <s v="1+ Failures"/>
    <n v="1"/>
    <x v="2"/>
  </r>
  <r>
    <n v="2279"/>
    <d v="2023-01-21T00:00:00"/>
    <s v="Premium"/>
    <n v="699"/>
    <n v="23.1"/>
    <n v="7"/>
    <n v="4"/>
    <n v="34"/>
    <n v="0"/>
    <s v="Yes"/>
    <s v="No"/>
    <s v="Yes"/>
    <s v="Yes"/>
    <s v="No"/>
    <s v="No"/>
    <m/>
    <s v="1+ Failures"/>
    <n v="1"/>
    <x v="3"/>
  </r>
  <r>
    <n v="2280"/>
    <d v="2023-04-22T00:00:00"/>
    <s v="Standard"/>
    <n v="399"/>
    <n v="10.8"/>
    <n v="5"/>
    <n v="0"/>
    <n v="36"/>
    <n v="30"/>
    <s v="Yes"/>
    <s v="No"/>
    <s v="No"/>
    <s v="Yes"/>
    <s v="Yes"/>
    <s v="No"/>
    <m/>
    <s v="0 Failures"/>
    <n v="1"/>
    <x v="1"/>
  </r>
  <r>
    <n v="2281"/>
    <d v="2024-08-23T00:00:00"/>
    <s v="Premium"/>
    <n v="699"/>
    <n v="18.2"/>
    <n v="6"/>
    <n v="2"/>
    <n v="20"/>
    <n v="44"/>
    <s v="No"/>
    <s v="No"/>
    <s v="Yes"/>
    <s v="Yes"/>
    <s v="Yes"/>
    <s v="No"/>
    <m/>
    <s v="1+ Failures"/>
    <n v="0"/>
    <x v="1"/>
  </r>
  <r>
    <n v="2282"/>
    <d v="2023-07-20T00:00:00"/>
    <s v="Basic"/>
    <n v="199"/>
    <n v="16.899999999999999"/>
    <n v="5"/>
    <n v="0"/>
    <n v="26"/>
    <n v="24"/>
    <s v="Yes"/>
    <s v="No"/>
    <s v="No"/>
    <s v="Yes"/>
    <s v="Yes"/>
    <s v="No"/>
    <m/>
    <s v="0 Failures"/>
    <n v="1"/>
    <x v="1"/>
  </r>
  <r>
    <n v="2283"/>
    <d v="2024-06-29T00:00:00"/>
    <s v="Basic"/>
    <n v="199"/>
    <n v="1.6"/>
    <n v="5"/>
    <n v="2"/>
    <n v="21"/>
    <n v="30"/>
    <s v="Yes"/>
    <s v="Yes"/>
    <s v="Yes"/>
    <s v="Yes"/>
    <s v="Yes"/>
    <s v="No"/>
    <m/>
    <s v="1+ Failures"/>
    <n v="1"/>
    <x v="0"/>
  </r>
  <r>
    <n v="2284"/>
    <d v="2024-08-01T00:00:00"/>
    <s v="Standard"/>
    <n v="399"/>
    <n v="6.1"/>
    <n v="8"/>
    <n v="0"/>
    <n v="32"/>
    <n v="44"/>
    <s v="Yes"/>
    <s v="No"/>
    <s v="No"/>
    <s v="Yes"/>
    <s v="Yes"/>
    <s v="No"/>
    <m/>
    <s v="0 Failures"/>
    <n v="1"/>
    <x v="2"/>
  </r>
  <r>
    <n v="2285"/>
    <d v="2023-03-16T00:00:00"/>
    <s v="Basic"/>
    <n v="199"/>
    <n v="10.6"/>
    <n v="0"/>
    <n v="1"/>
    <n v="15"/>
    <n v="29"/>
    <s v="No"/>
    <s v="No"/>
    <s v="Yes"/>
    <s v="No"/>
    <s v="Yes"/>
    <s v="No"/>
    <m/>
    <s v="1+ Failures"/>
    <n v="0"/>
    <x v="1"/>
  </r>
  <r>
    <n v="2286"/>
    <d v="2024-01-15T00:00:00"/>
    <s v="Basic"/>
    <n v="199"/>
    <n v="11.3"/>
    <n v="2"/>
    <n v="1"/>
    <n v="36"/>
    <n v="47"/>
    <s v="Yes"/>
    <s v="No"/>
    <s v="Yes"/>
    <s v="No"/>
    <s v="Yes"/>
    <s v="No"/>
    <m/>
    <s v="1+ Failures"/>
    <n v="1"/>
    <x v="1"/>
  </r>
  <r>
    <n v="2287"/>
    <d v="2024-04-05T00:00:00"/>
    <s v="Basic"/>
    <n v="199"/>
    <n v="6.8"/>
    <n v="6"/>
    <n v="0"/>
    <n v="3"/>
    <n v="17"/>
    <s v="No"/>
    <s v="No"/>
    <s v="No"/>
    <s v="Yes"/>
    <s v="Yes"/>
    <s v="Yes"/>
    <m/>
    <s v="0 Failures"/>
    <n v="0"/>
    <x v="2"/>
  </r>
  <r>
    <n v="2288"/>
    <d v="2023-09-14T00:00:00"/>
    <s v="Basic"/>
    <n v="199"/>
    <n v="8.8000000000000007"/>
    <n v="3"/>
    <n v="4"/>
    <n v="6"/>
    <n v="7"/>
    <s v="Yes"/>
    <s v="No"/>
    <s v="Yes"/>
    <s v="No"/>
    <s v="No"/>
    <s v="No"/>
    <m/>
    <s v="1+ Failures"/>
    <n v="1"/>
    <x v="2"/>
  </r>
  <r>
    <n v="2289"/>
    <d v="2024-07-08T00:00:00"/>
    <s v="Premium"/>
    <n v="699"/>
    <n v="18.8"/>
    <n v="3"/>
    <n v="0"/>
    <n v="35"/>
    <n v="30"/>
    <s v="No"/>
    <s v="No"/>
    <s v="No"/>
    <s v="No"/>
    <s v="Yes"/>
    <s v="No"/>
    <m/>
    <s v="0 Failures"/>
    <n v="0"/>
    <x v="1"/>
  </r>
  <r>
    <n v="2290"/>
    <d v="2023-12-05T00:00:00"/>
    <s v="Basic"/>
    <n v="199"/>
    <n v="23.2"/>
    <n v="7"/>
    <n v="1"/>
    <n v="1"/>
    <n v="50"/>
    <s v="Yes"/>
    <s v="No"/>
    <s v="Yes"/>
    <s v="Yes"/>
    <s v="Yes"/>
    <s v="Yes"/>
    <m/>
    <s v="1+ Failures"/>
    <n v="1"/>
    <x v="3"/>
  </r>
  <r>
    <n v="2291"/>
    <d v="2024-12-14T00:00:00"/>
    <s v="Basic"/>
    <n v="199"/>
    <n v="12.8"/>
    <n v="3"/>
    <n v="4"/>
    <n v="6"/>
    <n v="17"/>
    <s v="Yes"/>
    <s v="No"/>
    <s v="Yes"/>
    <s v="No"/>
    <s v="Yes"/>
    <s v="No"/>
    <m/>
    <s v="1+ Failures"/>
    <n v="1"/>
    <x v="1"/>
  </r>
  <r>
    <n v="2292"/>
    <d v="2023-04-10T00:00:00"/>
    <s v="Standard"/>
    <n v="399"/>
    <n v="19"/>
    <n v="8"/>
    <n v="5"/>
    <n v="23"/>
    <n v="10"/>
    <s v="Yes"/>
    <s v="No"/>
    <s v="Yes"/>
    <s v="Yes"/>
    <s v="No"/>
    <s v="No"/>
    <m/>
    <s v="1+ Failures"/>
    <n v="1"/>
    <x v="1"/>
  </r>
  <r>
    <n v="2293"/>
    <d v="2023-02-16T00:00:00"/>
    <s v="Premium"/>
    <n v="699"/>
    <n v="16.8"/>
    <n v="3"/>
    <n v="1"/>
    <n v="2"/>
    <n v="52"/>
    <s v="Yes"/>
    <s v="No"/>
    <s v="Yes"/>
    <s v="No"/>
    <s v="Yes"/>
    <s v="Yes"/>
    <m/>
    <s v="1+ Failures"/>
    <n v="1"/>
    <x v="1"/>
  </r>
  <r>
    <n v="2294"/>
    <d v="2023-03-04T00:00:00"/>
    <s v="Premium"/>
    <n v="699"/>
    <n v="5.3"/>
    <n v="3"/>
    <n v="1"/>
    <n v="12"/>
    <n v="8"/>
    <s v="No"/>
    <s v="No"/>
    <s v="Yes"/>
    <s v="No"/>
    <s v="No"/>
    <s v="No"/>
    <m/>
    <s v="1+ Failures"/>
    <n v="0"/>
    <x v="2"/>
  </r>
  <r>
    <n v="2295"/>
    <d v="2023-07-29T00:00:00"/>
    <s v="Premium"/>
    <n v="699"/>
    <n v="6"/>
    <n v="2"/>
    <n v="0"/>
    <n v="29"/>
    <n v="7"/>
    <s v="No"/>
    <s v="No"/>
    <s v="No"/>
    <s v="No"/>
    <s v="No"/>
    <s v="No"/>
    <m/>
    <s v="0 Failures"/>
    <n v="0"/>
    <x v="2"/>
  </r>
  <r>
    <n v="2296"/>
    <d v="2023-06-12T00:00:00"/>
    <s v="Standard"/>
    <n v="399"/>
    <n v="21"/>
    <n v="6"/>
    <n v="1"/>
    <n v="20"/>
    <n v="44"/>
    <s v="Yes"/>
    <s v="No"/>
    <s v="Yes"/>
    <s v="Yes"/>
    <s v="Yes"/>
    <s v="No"/>
    <m/>
    <s v="1+ Failures"/>
    <n v="1"/>
    <x v="3"/>
  </r>
  <r>
    <n v="2297"/>
    <d v="2024-03-06T00:00:00"/>
    <s v="Standard"/>
    <n v="399"/>
    <n v="0.7"/>
    <n v="5"/>
    <n v="0"/>
    <n v="25"/>
    <n v="34"/>
    <s v="Yes"/>
    <s v="Yes"/>
    <s v="No"/>
    <s v="Yes"/>
    <s v="Yes"/>
    <s v="No"/>
    <m/>
    <s v="0 Failures"/>
    <n v="1"/>
    <x v="0"/>
  </r>
  <r>
    <n v="2298"/>
    <d v="2024-03-21T00:00:00"/>
    <s v="Basic"/>
    <n v="199"/>
    <n v="19.2"/>
    <n v="3"/>
    <n v="0"/>
    <n v="6"/>
    <n v="9"/>
    <s v="No"/>
    <s v="No"/>
    <s v="No"/>
    <s v="No"/>
    <s v="No"/>
    <s v="No"/>
    <m/>
    <s v="0 Failures"/>
    <n v="0"/>
    <x v="1"/>
  </r>
  <r>
    <n v="2299"/>
    <d v="2024-06-27T00:00:00"/>
    <s v="Basic"/>
    <n v="199"/>
    <n v="7"/>
    <n v="8"/>
    <n v="5"/>
    <n v="11"/>
    <n v="35"/>
    <s v="No"/>
    <s v="No"/>
    <s v="Yes"/>
    <s v="Yes"/>
    <s v="Yes"/>
    <s v="No"/>
    <m/>
    <s v="1+ Failures"/>
    <n v="0"/>
    <x v="2"/>
  </r>
  <r>
    <n v="2300"/>
    <d v="2023-08-09T00:00:00"/>
    <s v="Premium"/>
    <n v="699"/>
    <n v="22.2"/>
    <n v="2"/>
    <n v="4"/>
    <n v="22"/>
    <n v="34"/>
    <s v="No"/>
    <s v="No"/>
    <s v="Yes"/>
    <s v="No"/>
    <s v="Yes"/>
    <s v="No"/>
    <m/>
    <s v="1+ Failures"/>
    <n v="0"/>
    <x v="3"/>
  </r>
  <r>
    <n v="2301"/>
    <d v="2023-08-08T00:00:00"/>
    <s v="Standard"/>
    <n v="399"/>
    <n v="4.7"/>
    <n v="7"/>
    <n v="2"/>
    <n v="28"/>
    <n v="20"/>
    <s v="Yes"/>
    <s v="Yes"/>
    <s v="Yes"/>
    <s v="Yes"/>
    <s v="Yes"/>
    <s v="No"/>
    <m/>
    <s v="1+ Failures"/>
    <n v="1"/>
    <x v="0"/>
  </r>
  <r>
    <n v="2302"/>
    <d v="2023-04-04T00:00:00"/>
    <s v="Premium"/>
    <n v="699"/>
    <n v="5.3"/>
    <n v="4"/>
    <n v="3"/>
    <n v="2"/>
    <n v="49"/>
    <s v="Yes"/>
    <s v="No"/>
    <s v="Yes"/>
    <s v="No"/>
    <s v="Yes"/>
    <s v="Yes"/>
    <m/>
    <s v="1+ Failures"/>
    <n v="1"/>
    <x v="2"/>
  </r>
  <r>
    <n v="2303"/>
    <d v="2024-06-30T00:00:00"/>
    <s v="Premium"/>
    <n v="699"/>
    <n v="20"/>
    <n v="2"/>
    <n v="0"/>
    <n v="8"/>
    <n v="14"/>
    <s v="No"/>
    <s v="No"/>
    <s v="No"/>
    <s v="No"/>
    <s v="No"/>
    <s v="No"/>
    <m/>
    <s v="0 Failures"/>
    <n v="0"/>
    <x v="1"/>
  </r>
  <r>
    <n v="2304"/>
    <d v="2023-08-26T00:00:00"/>
    <s v="Basic"/>
    <n v="199"/>
    <n v="12.2"/>
    <n v="2"/>
    <n v="0"/>
    <n v="36"/>
    <n v="33"/>
    <s v="Yes"/>
    <s v="No"/>
    <s v="No"/>
    <s v="No"/>
    <s v="Yes"/>
    <s v="No"/>
    <m/>
    <s v="0 Failures"/>
    <n v="1"/>
    <x v="1"/>
  </r>
  <r>
    <n v="2305"/>
    <d v="2023-09-05T00:00:00"/>
    <s v="Basic"/>
    <n v="199"/>
    <n v="22.7"/>
    <n v="8"/>
    <n v="4"/>
    <n v="16"/>
    <n v="34"/>
    <s v="No"/>
    <s v="No"/>
    <s v="Yes"/>
    <s v="Yes"/>
    <s v="Yes"/>
    <s v="No"/>
    <m/>
    <s v="1+ Failures"/>
    <n v="0"/>
    <x v="3"/>
  </r>
  <r>
    <n v="2306"/>
    <d v="2023-12-07T00:00:00"/>
    <s v="Premium"/>
    <n v="699"/>
    <n v="2.5"/>
    <n v="8"/>
    <n v="4"/>
    <n v="36"/>
    <n v="5"/>
    <s v="Yes"/>
    <s v="Yes"/>
    <s v="Yes"/>
    <s v="Yes"/>
    <s v="No"/>
    <s v="No"/>
    <m/>
    <s v="1+ Failures"/>
    <n v="1"/>
    <x v="0"/>
  </r>
  <r>
    <n v="2307"/>
    <d v="2023-07-30T00:00:00"/>
    <s v="Premium"/>
    <n v="699"/>
    <n v="20.8"/>
    <n v="0"/>
    <n v="3"/>
    <n v="9"/>
    <n v="31"/>
    <s v="No"/>
    <s v="No"/>
    <s v="Yes"/>
    <s v="No"/>
    <s v="Yes"/>
    <s v="No"/>
    <m/>
    <s v="1+ Failures"/>
    <n v="0"/>
    <x v="3"/>
  </r>
  <r>
    <n v="2308"/>
    <d v="2023-03-15T00:00:00"/>
    <s v="Basic"/>
    <n v="199"/>
    <n v="17.600000000000001"/>
    <n v="1"/>
    <n v="4"/>
    <n v="15"/>
    <n v="9"/>
    <s v="No"/>
    <s v="No"/>
    <s v="Yes"/>
    <s v="No"/>
    <s v="No"/>
    <s v="No"/>
    <m/>
    <s v="1+ Failures"/>
    <n v="0"/>
    <x v="1"/>
  </r>
  <r>
    <n v="2309"/>
    <d v="2023-12-12T00:00:00"/>
    <s v="Standard"/>
    <n v="399"/>
    <n v="2.5"/>
    <n v="5"/>
    <n v="3"/>
    <n v="35"/>
    <n v="10"/>
    <s v="Yes"/>
    <s v="Yes"/>
    <s v="Yes"/>
    <s v="Yes"/>
    <s v="No"/>
    <s v="No"/>
    <m/>
    <s v="1+ Failures"/>
    <n v="1"/>
    <x v="0"/>
  </r>
  <r>
    <n v="2310"/>
    <d v="2023-02-01T00:00:00"/>
    <s v="Basic"/>
    <n v="199"/>
    <n v="19.3"/>
    <n v="0"/>
    <n v="5"/>
    <n v="3"/>
    <n v="44"/>
    <s v="Yes"/>
    <s v="No"/>
    <s v="Yes"/>
    <s v="No"/>
    <s v="Yes"/>
    <s v="Yes"/>
    <m/>
    <s v="1+ Failures"/>
    <n v="1"/>
    <x v="1"/>
  </r>
  <r>
    <n v="2311"/>
    <d v="2023-04-11T00:00:00"/>
    <s v="Basic"/>
    <n v="199"/>
    <n v="4.5"/>
    <n v="1"/>
    <n v="0"/>
    <n v="21"/>
    <n v="44"/>
    <s v="Yes"/>
    <s v="Yes"/>
    <s v="No"/>
    <s v="No"/>
    <s v="Yes"/>
    <s v="No"/>
    <m/>
    <s v="0 Failures"/>
    <n v="1"/>
    <x v="0"/>
  </r>
  <r>
    <n v="2312"/>
    <d v="2023-01-27T00:00:00"/>
    <s v="Standard"/>
    <n v="399"/>
    <n v="16.399999999999999"/>
    <n v="0"/>
    <n v="5"/>
    <n v="35"/>
    <n v="47"/>
    <s v="No"/>
    <s v="No"/>
    <s v="Yes"/>
    <s v="No"/>
    <s v="Yes"/>
    <s v="No"/>
    <m/>
    <s v="1+ Failures"/>
    <n v="0"/>
    <x v="1"/>
  </r>
  <r>
    <n v="2313"/>
    <d v="2024-05-31T00:00:00"/>
    <s v="Premium"/>
    <n v="699"/>
    <n v="24.7"/>
    <n v="5"/>
    <n v="3"/>
    <n v="10"/>
    <n v="43"/>
    <s v="Yes"/>
    <s v="No"/>
    <s v="Yes"/>
    <s v="Yes"/>
    <s v="Yes"/>
    <s v="No"/>
    <m/>
    <s v="1+ Failures"/>
    <n v="1"/>
    <x v="3"/>
  </r>
  <r>
    <n v="2314"/>
    <d v="2023-06-01T00:00:00"/>
    <s v="Premium"/>
    <n v="699"/>
    <n v="18.899999999999999"/>
    <n v="4"/>
    <n v="1"/>
    <n v="19"/>
    <n v="5"/>
    <s v="No"/>
    <s v="No"/>
    <s v="Yes"/>
    <s v="No"/>
    <s v="No"/>
    <s v="No"/>
    <m/>
    <s v="1+ Failures"/>
    <n v="0"/>
    <x v="1"/>
  </r>
  <r>
    <n v="2315"/>
    <d v="2023-06-04T00:00:00"/>
    <s v="Premium"/>
    <n v="699"/>
    <n v="12.2"/>
    <n v="7"/>
    <n v="4"/>
    <n v="35"/>
    <n v="58"/>
    <s v="No"/>
    <s v="No"/>
    <s v="Yes"/>
    <s v="Yes"/>
    <s v="Yes"/>
    <s v="No"/>
    <m/>
    <s v="1+ Failures"/>
    <n v="0"/>
    <x v="1"/>
  </r>
  <r>
    <n v="2316"/>
    <d v="2024-06-03T00:00:00"/>
    <s v="Basic"/>
    <n v="199"/>
    <n v="12.8"/>
    <n v="0"/>
    <n v="2"/>
    <n v="19"/>
    <n v="24"/>
    <s v="Yes"/>
    <s v="No"/>
    <s v="Yes"/>
    <s v="No"/>
    <s v="Yes"/>
    <s v="No"/>
    <m/>
    <s v="1+ Failures"/>
    <n v="1"/>
    <x v="1"/>
  </r>
  <r>
    <n v="2317"/>
    <d v="2023-09-09T00:00:00"/>
    <s v="Standard"/>
    <n v="399"/>
    <n v="1.1000000000000001"/>
    <n v="0"/>
    <n v="0"/>
    <n v="30"/>
    <n v="42"/>
    <s v="Yes"/>
    <s v="Yes"/>
    <s v="No"/>
    <s v="No"/>
    <s v="Yes"/>
    <s v="No"/>
    <m/>
    <s v="0 Failures"/>
    <n v="1"/>
    <x v="0"/>
  </r>
  <r>
    <n v="2318"/>
    <d v="2024-06-26T00:00:00"/>
    <s v="Standard"/>
    <n v="399"/>
    <n v="16.100000000000001"/>
    <n v="1"/>
    <n v="2"/>
    <n v="23"/>
    <n v="46"/>
    <s v="Yes"/>
    <s v="No"/>
    <s v="Yes"/>
    <s v="No"/>
    <s v="Yes"/>
    <s v="No"/>
    <m/>
    <s v="1+ Failures"/>
    <n v="1"/>
    <x v="1"/>
  </r>
  <r>
    <n v="2319"/>
    <d v="2023-10-03T00:00:00"/>
    <s v="Basic"/>
    <n v="199"/>
    <n v="9.8000000000000007"/>
    <n v="1"/>
    <n v="1"/>
    <n v="26"/>
    <n v="26"/>
    <s v="Yes"/>
    <s v="No"/>
    <s v="Yes"/>
    <s v="No"/>
    <s v="Yes"/>
    <s v="No"/>
    <m/>
    <s v="1+ Failures"/>
    <n v="1"/>
    <x v="2"/>
  </r>
  <r>
    <n v="2320"/>
    <d v="2023-06-24T00:00:00"/>
    <s v="Premium"/>
    <n v="699"/>
    <n v="24.8"/>
    <n v="5"/>
    <n v="5"/>
    <n v="15"/>
    <n v="3"/>
    <s v="Yes"/>
    <s v="No"/>
    <s v="Yes"/>
    <s v="Yes"/>
    <s v="No"/>
    <s v="No"/>
    <m/>
    <s v="1+ Failures"/>
    <n v="1"/>
    <x v="3"/>
  </r>
  <r>
    <n v="2321"/>
    <d v="2023-02-24T00:00:00"/>
    <s v="Premium"/>
    <n v="699"/>
    <n v="18.399999999999999"/>
    <n v="8"/>
    <n v="5"/>
    <n v="25"/>
    <n v="2"/>
    <s v="No"/>
    <s v="No"/>
    <s v="Yes"/>
    <s v="Yes"/>
    <s v="No"/>
    <s v="No"/>
    <m/>
    <s v="1+ Failures"/>
    <n v="0"/>
    <x v="1"/>
  </r>
  <r>
    <n v="2322"/>
    <d v="2023-01-18T00:00:00"/>
    <s v="Standard"/>
    <n v="399"/>
    <n v="6.4"/>
    <n v="8"/>
    <n v="3"/>
    <n v="14"/>
    <n v="39"/>
    <s v="Yes"/>
    <s v="No"/>
    <s v="Yes"/>
    <s v="Yes"/>
    <s v="Yes"/>
    <s v="No"/>
    <m/>
    <s v="1+ Failures"/>
    <n v="1"/>
    <x v="2"/>
  </r>
  <r>
    <n v="2323"/>
    <d v="2023-05-06T00:00:00"/>
    <s v="Premium"/>
    <n v="699"/>
    <n v="5"/>
    <n v="1"/>
    <n v="0"/>
    <n v="34"/>
    <n v="17"/>
    <s v="No"/>
    <s v="No"/>
    <s v="No"/>
    <s v="No"/>
    <s v="Yes"/>
    <s v="No"/>
    <m/>
    <s v="0 Failures"/>
    <n v="0"/>
    <x v="0"/>
  </r>
  <r>
    <n v="2324"/>
    <d v="2023-01-06T00:00:00"/>
    <s v="Standard"/>
    <n v="399"/>
    <n v="21"/>
    <n v="1"/>
    <n v="4"/>
    <n v="17"/>
    <n v="58"/>
    <s v="Yes"/>
    <s v="No"/>
    <s v="Yes"/>
    <s v="No"/>
    <s v="Yes"/>
    <s v="No"/>
    <m/>
    <s v="1+ Failures"/>
    <n v="1"/>
    <x v="3"/>
  </r>
  <r>
    <n v="2325"/>
    <d v="2023-09-12T00:00:00"/>
    <s v="Standard"/>
    <n v="399"/>
    <n v="24.1"/>
    <n v="2"/>
    <n v="4"/>
    <n v="17"/>
    <n v="60"/>
    <s v="Yes"/>
    <s v="No"/>
    <s v="Yes"/>
    <s v="No"/>
    <s v="Yes"/>
    <s v="No"/>
    <m/>
    <s v="1+ Failures"/>
    <n v="1"/>
    <x v="3"/>
  </r>
  <r>
    <n v="2326"/>
    <d v="2023-10-02T00:00:00"/>
    <s v="Premium"/>
    <n v="699"/>
    <n v="9.8000000000000007"/>
    <n v="3"/>
    <n v="4"/>
    <n v="13"/>
    <n v="41"/>
    <s v="Yes"/>
    <s v="No"/>
    <s v="Yes"/>
    <s v="No"/>
    <s v="Yes"/>
    <s v="No"/>
    <m/>
    <s v="1+ Failures"/>
    <n v="1"/>
    <x v="2"/>
  </r>
  <r>
    <n v="2327"/>
    <d v="2023-10-30T00:00:00"/>
    <s v="Basic"/>
    <n v="199"/>
    <n v="17"/>
    <n v="2"/>
    <n v="5"/>
    <n v="10"/>
    <n v="25"/>
    <s v="No"/>
    <s v="No"/>
    <s v="Yes"/>
    <s v="No"/>
    <s v="Yes"/>
    <s v="No"/>
    <m/>
    <s v="1+ Failures"/>
    <n v="0"/>
    <x v="1"/>
  </r>
  <r>
    <n v="2328"/>
    <d v="2023-09-06T00:00:00"/>
    <s v="Premium"/>
    <n v="699"/>
    <n v="13.3"/>
    <n v="4"/>
    <n v="3"/>
    <n v="11"/>
    <n v="19"/>
    <s v="Yes"/>
    <s v="No"/>
    <s v="Yes"/>
    <s v="No"/>
    <s v="Yes"/>
    <s v="No"/>
    <m/>
    <s v="1+ Failures"/>
    <n v="1"/>
    <x v="1"/>
  </r>
  <r>
    <n v="2329"/>
    <d v="2023-09-15T00:00:00"/>
    <s v="Standard"/>
    <n v="399"/>
    <n v="9.5"/>
    <n v="8"/>
    <n v="3"/>
    <n v="9"/>
    <n v="13"/>
    <s v="Yes"/>
    <s v="No"/>
    <s v="Yes"/>
    <s v="Yes"/>
    <s v="No"/>
    <s v="No"/>
    <m/>
    <s v="1+ Failures"/>
    <n v="1"/>
    <x v="2"/>
  </r>
  <r>
    <n v="2330"/>
    <d v="2024-02-04T00:00:00"/>
    <s v="Basic"/>
    <n v="199"/>
    <n v="21.9"/>
    <n v="6"/>
    <n v="2"/>
    <n v="30"/>
    <n v="60"/>
    <s v="No"/>
    <s v="No"/>
    <s v="Yes"/>
    <s v="Yes"/>
    <s v="Yes"/>
    <s v="No"/>
    <m/>
    <s v="1+ Failures"/>
    <n v="0"/>
    <x v="3"/>
  </r>
  <r>
    <n v="2331"/>
    <d v="2023-07-11T00:00:00"/>
    <s v="Basic"/>
    <n v="199"/>
    <n v="23.7"/>
    <n v="5"/>
    <n v="2"/>
    <n v="23"/>
    <n v="55"/>
    <s v="No"/>
    <s v="No"/>
    <s v="Yes"/>
    <s v="Yes"/>
    <s v="Yes"/>
    <s v="No"/>
    <m/>
    <s v="1+ Failures"/>
    <n v="0"/>
    <x v="3"/>
  </r>
  <r>
    <n v="2332"/>
    <d v="2023-10-28T00:00:00"/>
    <s v="Standard"/>
    <n v="399"/>
    <n v="18.2"/>
    <n v="5"/>
    <n v="2"/>
    <n v="15"/>
    <n v="34"/>
    <s v="Yes"/>
    <s v="No"/>
    <s v="Yes"/>
    <s v="Yes"/>
    <s v="Yes"/>
    <s v="No"/>
    <m/>
    <s v="1+ Failures"/>
    <n v="1"/>
    <x v="1"/>
  </r>
  <r>
    <n v="2333"/>
    <d v="2023-10-14T00:00:00"/>
    <s v="Basic"/>
    <n v="199"/>
    <n v="16.899999999999999"/>
    <n v="7"/>
    <n v="3"/>
    <n v="2"/>
    <n v="19"/>
    <s v="Yes"/>
    <s v="No"/>
    <s v="Yes"/>
    <s v="Yes"/>
    <s v="Yes"/>
    <s v="Yes"/>
    <m/>
    <s v="1+ Failures"/>
    <n v="1"/>
    <x v="1"/>
  </r>
  <r>
    <n v="2334"/>
    <d v="2023-08-20T00:00:00"/>
    <s v="Standard"/>
    <n v="399"/>
    <n v="14.6"/>
    <n v="8"/>
    <n v="4"/>
    <n v="33"/>
    <n v="58"/>
    <s v="No"/>
    <s v="No"/>
    <s v="Yes"/>
    <s v="Yes"/>
    <s v="Yes"/>
    <s v="No"/>
    <m/>
    <s v="1+ Failures"/>
    <n v="0"/>
    <x v="1"/>
  </r>
  <r>
    <n v="2335"/>
    <d v="2023-10-10T00:00:00"/>
    <s v="Premium"/>
    <n v="699"/>
    <n v="9.5"/>
    <n v="8"/>
    <n v="5"/>
    <n v="7"/>
    <n v="32"/>
    <s v="Yes"/>
    <s v="No"/>
    <s v="Yes"/>
    <s v="Yes"/>
    <s v="Yes"/>
    <s v="No"/>
    <m/>
    <s v="1+ Failures"/>
    <n v="1"/>
    <x v="2"/>
  </r>
  <r>
    <n v="2336"/>
    <d v="2023-10-24T00:00:00"/>
    <s v="Standard"/>
    <n v="399"/>
    <n v="11.9"/>
    <n v="0"/>
    <n v="5"/>
    <n v="9"/>
    <n v="44"/>
    <s v="Yes"/>
    <s v="No"/>
    <s v="Yes"/>
    <s v="No"/>
    <s v="Yes"/>
    <s v="No"/>
    <m/>
    <s v="1+ Failures"/>
    <n v="1"/>
    <x v="1"/>
  </r>
  <r>
    <n v="2337"/>
    <d v="2023-08-02T00:00:00"/>
    <s v="Premium"/>
    <n v="699"/>
    <n v="24.8"/>
    <n v="4"/>
    <n v="1"/>
    <n v="4"/>
    <n v="13"/>
    <s v="No"/>
    <s v="No"/>
    <s v="Yes"/>
    <s v="No"/>
    <s v="No"/>
    <s v="Yes"/>
    <m/>
    <s v="1+ Failures"/>
    <n v="0"/>
    <x v="3"/>
  </r>
  <r>
    <n v="2338"/>
    <d v="2023-05-06T00:00:00"/>
    <s v="Standard"/>
    <n v="399"/>
    <n v="20.8"/>
    <n v="4"/>
    <n v="4"/>
    <n v="13"/>
    <n v="20"/>
    <s v="No"/>
    <s v="No"/>
    <s v="Yes"/>
    <s v="No"/>
    <s v="Yes"/>
    <s v="No"/>
    <m/>
    <s v="1+ Failures"/>
    <n v="0"/>
    <x v="3"/>
  </r>
  <r>
    <n v="2339"/>
    <d v="2024-04-10T00:00:00"/>
    <s v="Standard"/>
    <n v="399"/>
    <n v="20.3"/>
    <n v="1"/>
    <n v="0"/>
    <n v="15"/>
    <n v="6"/>
    <s v="No"/>
    <s v="No"/>
    <s v="No"/>
    <s v="No"/>
    <s v="No"/>
    <s v="No"/>
    <m/>
    <s v="0 Failures"/>
    <n v="0"/>
    <x v="3"/>
  </r>
  <r>
    <n v="2340"/>
    <d v="2023-07-23T00:00:00"/>
    <s v="Premium"/>
    <n v="699"/>
    <n v="18.2"/>
    <n v="1"/>
    <n v="4"/>
    <n v="30"/>
    <n v="3"/>
    <s v="No"/>
    <s v="No"/>
    <s v="Yes"/>
    <s v="No"/>
    <s v="No"/>
    <s v="No"/>
    <m/>
    <s v="1+ Failures"/>
    <n v="0"/>
    <x v="1"/>
  </r>
  <r>
    <n v="2341"/>
    <d v="2024-10-21T00:00:00"/>
    <s v="Basic"/>
    <n v="199"/>
    <n v="16"/>
    <n v="3"/>
    <n v="3"/>
    <n v="6"/>
    <n v="13"/>
    <s v="Yes"/>
    <s v="No"/>
    <s v="Yes"/>
    <s v="No"/>
    <s v="No"/>
    <s v="No"/>
    <m/>
    <s v="1+ Failures"/>
    <n v="1"/>
    <x v="1"/>
  </r>
  <r>
    <n v="2342"/>
    <d v="2023-03-27T00:00:00"/>
    <s v="Standard"/>
    <n v="399"/>
    <n v="1.5"/>
    <n v="6"/>
    <n v="0"/>
    <n v="15"/>
    <n v="46"/>
    <s v="Yes"/>
    <s v="Yes"/>
    <s v="No"/>
    <s v="Yes"/>
    <s v="Yes"/>
    <s v="No"/>
    <m/>
    <s v="0 Failures"/>
    <n v="1"/>
    <x v="0"/>
  </r>
  <r>
    <n v="2343"/>
    <d v="2024-05-27T00:00:00"/>
    <s v="Premium"/>
    <n v="699"/>
    <n v="12.7"/>
    <n v="5"/>
    <n v="3"/>
    <n v="33"/>
    <n v="6"/>
    <s v="Yes"/>
    <s v="No"/>
    <s v="Yes"/>
    <s v="Yes"/>
    <s v="No"/>
    <s v="No"/>
    <m/>
    <s v="1+ Failures"/>
    <n v="1"/>
    <x v="1"/>
  </r>
  <r>
    <n v="2344"/>
    <d v="2023-08-02T00:00:00"/>
    <s v="Standard"/>
    <n v="399"/>
    <n v="18.100000000000001"/>
    <n v="8"/>
    <n v="0"/>
    <n v="36"/>
    <n v="0"/>
    <s v="No"/>
    <s v="No"/>
    <s v="No"/>
    <s v="Yes"/>
    <s v="No"/>
    <s v="No"/>
    <m/>
    <s v="0 Failures"/>
    <n v="0"/>
    <x v="1"/>
  </r>
  <r>
    <n v="2345"/>
    <d v="2024-09-03T00:00:00"/>
    <s v="Basic"/>
    <n v="199"/>
    <n v="14.9"/>
    <n v="5"/>
    <n v="3"/>
    <n v="2"/>
    <n v="7"/>
    <s v="No"/>
    <s v="No"/>
    <s v="Yes"/>
    <s v="Yes"/>
    <s v="No"/>
    <s v="Yes"/>
    <m/>
    <s v="1+ Failures"/>
    <n v="0"/>
    <x v="1"/>
  </r>
  <r>
    <n v="2346"/>
    <d v="2024-05-24T00:00:00"/>
    <s v="Premium"/>
    <n v="699"/>
    <n v="6.5"/>
    <n v="6"/>
    <n v="2"/>
    <n v="1"/>
    <n v="30"/>
    <s v="Yes"/>
    <s v="No"/>
    <s v="Yes"/>
    <s v="Yes"/>
    <s v="Yes"/>
    <s v="Yes"/>
    <m/>
    <s v="1+ Failures"/>
    <n v="1"/>
    <x v="2"/>
  </r>
  <r>
    <n v="2347"/>
    <d v="2023-01-04T00:00:00"/>
    <s v="Standard"/>
    <n v="399"/>
    <n v="20.7"/>
    <n v="1"/>
    <n v="5"/>
    <n v="19"/>
    <n v="58"/>
    <s v="Yes"/>
    <s v="No"/>
    <s v="Yes"/>
    <s v="No"/>
    <s v="Yes"/>
    <s v="No"/>
    <m/>
    <s v="1+ Failures"/>
    <n v="1"/>
    <x v="3"/>
  </r>
  <r>
    <n v="2348"/>
    <d v="2023-11-15T00:00:00"/>
    <s v="Premium"/>
    <n v="699"/>
    <n v="10.1"/>
    <n v="5"/>
    <n v="1"/>
    <n v="14"/>
    <n v="56"/>
    <s v="Yes"/>
    <s v="No"/>
    <s v="Yes"/>
    <s v="Yes"/>
    <s v="Yes"/>
    <s v="No"/>
    <m/>
    <s v="1+ Failures"/>
    <n v="1"/>
    <x v="1"/>
  </r>
  <r>
    <n v="2349"/>
    <d v="2023-04-22T00:00:00"/>
    <s v="Premium"/>
    <n v="699"/>
    <n v="20.3"/>
    <n v="8"/>
    <n v="5"/>
    <n v="5"/>
    <n v="49"/>
    <s v="Yes"/>
    <s v="No"/>
    <s v="Yes"/>
    <s v="Yes"/>
    <s v="Yes"/>
    <s v="Yes"/>
    <m/>
    <s v="1+ Failures"/>
    <n v="1"/>
    <x v="3"/>
  </r>
  <r>
    <n v="2350"/>
    <d v="2023-01-28T00:00:00"/>
    <s v="Premium"/>
    <n v="699"/>
    <n v="6"/>
    <n v="6"/>
    <n v="4"/>
    <n v="19"/>
    <n v="30"/>
    <s v="Yes"/>
    <s v="No"/>
    <s v="Yes"/>
    <s v="Yes"/>
    <s v="Yes"/>
    <s v="No"/>
    <m/>
    <s v="1+ Failures"/>
    <n v="1"/>
    <x v="2"/>
  </r>
  <r>
    <n v="2351"/>
    <d v="2023-06-11T00:00:00"/>
    <s v="Premium"/>
    <n v="699"/>
    <n v="19"/>
    <n v="6"/>
    <n v="1"/>
    <n v="9"/>
    <n v="10"/>
    <s v="No"/>
    <s v="No"/>
    <s v="Yes"/>
    <s v="Yes"/>
    <s v="No"/>
    <s v="No"/>
    <m/>
    <s v="1+ Failures"/>
    <n v="0"/>
    <x v="1"/>
  </r>
  <r>
    <n v="2352"/>
    <d v="2024-03-04T00:00:00"/>
    <s v="Basic"/>
    <n v="199"/>
    <n v="4.0999999999999996"/>
    <n v="3"/>
    <n v="3"/>
    <n v="33"/>
    <n v="17"/>
    <s v="Yes"/>
    <s v="Yes"/>
    <s v="Yes"/>
    <s v="No"/>
    <s v="Yes"/>
    <s v="No"/>
    <m/>
    <s v="1+ Failures"/>
    <n v="1"/>
    <x v="0"/>
  </r>
  <r>
    <n v="2353"/>
    <d v="2023-10-29T00:00:00"/>
    <s v="Basic"/>
    <n v="199"/>
    <n v="6.8"/>
    <n v="0"/>
    <n v="5"/>
    <n v="6"/>
    <n v="47"/>
    <s v="No"/>
    <s v="No"/>
    <s v="Yes"/>
    <s v="No"/>
    <s v="Yes"/>
    <s v="No"/>
    <m/>
    <s v="1+ Failures"/>
    <n v="0"/>
    <x v="2"/>
  </r>
  <r>
    <n v="2354"/>
    <d v="2023-12-12T00:00:00"/>
    <s v="Basic"/>
    <n v="199"/>
    <n v="13.6"/>
    <n v="0"/>
    <n v="2"/>
    <n v="34"/>
    <n v="40"/>
    <s v="Yes"/>
    <s v="No"/>
    <s v="Yes"/>
    <s v="No"/>
    <s v="Yes"/>
    <s v="No"/>
    <m/>
    <s v="1+ Failures"/>
    <n v="1"/>
    <x v="1"/>
  </r>
  <r>
    <n v="2355"/>
    <d v="2024-06-15T00:00:00"/>
    <s v="Basic"/>
    <n v="199"/>
    <n v="23.4"/>
    <n v="6"/>
    <n v="3"/>
    <n v="32"/>
    <n v="50"/>
    <s v="Yes"/>
    <s v="No"/>
    <s v="Yes"/>
    <s v="Yes"/>
    <s v="Yes"/>
    <s v="No"/>
    <m/>
    <s v="1+ Failures"/>
    <n v="1"/>
    <x v="3"/>
  </r>
  <r>
    <n v="2356"/>
    <d v="2023-02-13T00:00:00"/>
    <s v="Premium"/>
    <n v="699"/>
    <n v="3.4"/>
    <n v="2"/>
    <n v="3"/>
    <n v="7"/>
    <n v="49"/>
    <s v="Yes"/>
    <s v="Yes"/>
    <s v="Yes"/>
    <s v="No"/>
    <s v="Yes"/>
    <s v="No"/>
    <m/>
    <s v="1+ Failures"/>
    <n v="1"/>
    <x v="0"/>
  </r>
  <r>
    <n v="2357"/>
    <d v="2024-09-14T00:00:00"/>
    <s v="Basic"/>
    <n v="199"/>
    <n v="13.2"/>
    <n v="3"/>
    <n v="2"/>
    <n v="4"/>
    <n v="24"/>
    <s v="Yes"/>
    <s v="No"/>
    <s v="Yes"/>
    <s v="No"/>
    <s v="Yes"/>
    <s v="Yes"/>
    <m/>
    <s v="1+ Failures"/>
    <n v="1"/>
    <x v="1"/>
  </r>
  <r>
    <n v="2358"/>
    <d v="2023-08-06T00:00:00"/>
    <s v="Basic"/>
    <n v="199"/>
    <n v="10"/>
    <n v="7"/>
    <n v="0"/>
    <n v="2"/>
    <n v="20"/>
    <s v="No"/>
    <s v="No"/>
    <s v="No"/>
    <s v="Yes"/>
    <s v="Yes"/>
    <s v="Yes"/>
    <m/>
    <s v="0 Failures"/>
    <n v="0"/>
    <x v="2"/>
  </r>
  <r>
    <n v="2359"/>
    <d v="2024-03-16T00:00:00"/>
    <s v="Basic"/>
    <n v="199"/>
    <n v="19.3"/>
    <n v="4"/>
    <n v="2"/>
    <n v="12"/>
    <n v="22"/>
    <s v="Yes"/>
    <s v="No"/>
    <s v="Yes"/>
    <s v="No"/>
    <s v="Yes"/>
    <s v="No"/>
    <m/>
    <s v="1+ Failures"/>
    <n v="1"/>
    <x v="1"/>
  </r>
  <r>
    <n v="2360"/>
    <d v="2024-03-10T00:00:00"/>
    <s v="Premium"/>
    <n v="699"/>
    <n v="5"/>
    <n v="1"/>
    <n v="3"/>
    <n v="36"/>
    <n v="40"/>
    <s v="No"/>
    <s v="No"/>
    <s v="Yes"/>
    <s v="No"/>
    <s v="Yes"/>
    <s v="No"/>
    <m/>
    <s v="1+ Failures"/>
    <n v="0"/>
    <x v="0"/>
  </r>
  <r>
    <n v="2361"/>
    <d v="2023-02-11T00:00:00"/>
    <s v="Premium"/>
    <n v="699"/>
    <n v="15.7"/>
    <n v="8"/>
    <n v="2"/>
    <n v="10"/>
    <n v="18"/>
    <s v="No"/>
    <s v="No"/>
    <s v="Yes"/>
    <s v="Yes"/>
    <s v="Yes"/>
    <s v="No"/>
    <m/>
    <s v="1+ Failures"/>
    <n v="0"/>
    <x v="1"/>
  </r>
  <r>
    <n v="2362"/>
    <d v="2024-04-03T00:00:00"/>
    <s v="Basic"/>
    <n v="199"/>
    <n v="7.9"/>
    <n v="8"/>
    <n v="0"/>
    <n v="16"/>
    <n v="50"/>
    <s v="No"/>
    <s v="No"/>
    <s v="No"/>
    <s v="Yes"/>
    <s v="Yes"/>
    <s v="No"/>
    <m/>
    <s v="0 Failures"/>
    <n v="0"/>
    <x v="2"/>
  </r>
  <r>
    <n v="2363"/>
    <d v="2024-06-25T00:00:00"/>
    <s v="Basic"/>
    <n v="199"/>
    <n v="7.8"/>
    <n v="7"/>
    <n v="5"/>
    <n v="22"/>
    <n v="58"/>
    <s v="Yes"/>
    <s v="No"/>
    <s v="Yes"/>
    <s v="Yes"/>
    <s v="Yes"/>
    <s v="No"/>
    <m/>
    <s v="1+ Failures"/>
    <n v="1"/>
    <x v="2"/>
  </r>
  <r>
    <n v="2364"/>
    <d v="2023-05-08T00:00:00"/>
    <s v="Basic"/>
    <n v="199"/>
    <n v="1.6"/>
    <n v="3"/>
    <n v="5"/>
    <n v="27"/>
    <n v="23"/>
    <s v="Yes"/>
    <s v="Yes"/>
    <s v="Yes"/>
    <s v="No"/>
    <s v="Yes"/>
    <s v="No"/>
    <m/>
    <s v="1+ Failures"/>
    <n v="1"/>
    <x v="0"/>
  </r>
  <r>
    <n v="2365"/>
    <d v="2023-02-18T00:00:00"/>
    <s v="Basic"/>
    <n v="199"/>
    <n v="16.8"/>
    <n v="7"/>
    <n v="5"/>
    <n v="7"/>
    <n v="44"/>
    <s v="Yes"/>
    <s v="No"/>
    <s v="Yes"/>
    <s v="Yes"/>
    <s v="Yes"/>
    <s v="No"/>
    <m/>
    <s v="1+ Failures"/>
    <n v="1"/>
    <x v="1"/>
  </r>
  <r>
    <n v="2366"/>
    <d v="2023-01-17T00:00:00"/>
    <s v="Premium"/>
    <n v="699"/>
    <n v="24.8"/>
    <n v="1"/>
    <n v="2"/>
    <n v="24"/>
    <n v="18"/>
    <s v="No"/>
    <s v="No"/>
    <s v="Yes"/>
    <s v="No"/>
    <s v="Yes"/>
    <s v="No"/>
    <m/>
    <s v="1+ Failures"/>
    <n v="0"/>
    <x v="3"/>
  </r>
  <r>
    <n v="2367"/>
    <d v="2024-08-09T00:00:00"/>
    <s v="Premium"/>
    <n v="699"/>
    <n v="24.8"/>
    <n v="2"/>
    <n v="3"/>
    <n v="29"/>
    <n v="48"/>
    <s v="Yes"/>
    <s v="No"/>
    <s v="Yes"/>
    <s v="No"/>
    <s v="Yes"/>
    <s v="No"/>
    <m/>
    <s v="1+ Failures"/>
    <n v="1"/>
    <x v="3"/>
  </r>
  <r>
    <n v="2368"/>
    <d v="2024-10-19T00:00:00"/>
    <s v="Premium"/>
    <n v="699"/>
    <n v="19.3"/>
    <n v="6"/>
    <n v="5"/>
    <n v="27"/>
    <n v="18"/>
    <s v="No"/>
    <s v="No"/>
    <s v="Yes"/>
    <s v="Yes"/>
    <s v="Yes"/>
    <s v="No"/>
    <m/>
    <s v="1+ Failures"/>
    <n v="0"/>
    <x v="1"/>
  </r>
  <r>
    <n v="2369"/>
    <d v="2024-01-10T00:00:00"/>
    <s v="Premium"/>
    <n v="699"/>
    <n v="2.7"/>
    <n v="8"/>
    <n v="2"/>
    <n v="30"/>
    <n v="9"/>
    <s v="Yes"/>
    <s v="Yes"/>
    <s v="Yes"/>
    <s v="Yes"/>
    <s v="No"/>
    <s v="No"/>
    <m/>
    <s v="1+ Failures"/>
    <n v="1"/>
    <x v="0"/>
  </r>
  <r>
    <n v="2370"/>
    <d v="2023-10-29T00:00:00"/>
    <s v="Premium"/>
    <n v="699"/>
    <n v="16.100000000000001"/>
    <n v="3"/>
    <n v="1"/>
    <n v="25"/>
    <n v="21"/>
    <s v="No"/>
    <s v="No"/>
    <s v="Yes"/>
    <s v="No"/>
    <s v="Yes"/>
    <s v="No"/>
    <m/>
    <s v="1+ Failures"/>
    <n v="0"/>
    <x v="1"/>
  </r>
  <r>
    <n v="2371"/>
    <d v="2023-07-09T00:00:00"/>
    <s v="Basic"/>
    <n v="199"/>
    <n v="22.2"/>
    <n v="3"/>
    <n v="1"/>
    <n v="33"/>
    <n v="56"/>
    <s v="Yes"/>
    <s v="No"/>
    <s v="Yes"/>
    <s v="No"/>
    <s v="Yes"/>
    <s v="No"/>
    <m/>
    <s v="1+ Failures"/>
    <n v="1"/>
    <x v="3"/>
  </r>
  <r>
    <n v="2372"/>
    <d v="2023-02-26T00:00:00"/>
    <s v="Basic"/>
    <n v="199"/>
    <n v="19.600000000000001"/>
    <n v="6"/>
    <n v="3"/>
    <n v="19"/>
    <n v="36"/>
    <s v="Yes"/>
    <s v="No"/>
    <s v="Yes"/>
    <s v="Yes"/>
    <s v="Yes"/>
    <s v="No"/>
    <m/>
    <s v="1+ Failures"/>
    <n v="1"/>
    <x v="1"/>
  </r>
  <r>
    <n v="2373"/>
    <d v="2024-04-13T00:00:00"/>
    <s v="Standard"/>
    <n v="399"/>
    <n v="24.8"/>
    <n v="7"/>
    <n v="1"/>
    <n v="2"/>
    <n v="25"/>
    <s v="No"/>
    <s v="No"/>
    <s v="Yes"/>
    <s v="Yes"/>
    <s v="Yes"/>
    <s v="Yes"/>
    <m/>
    <s v="1+ Failures"/>
    <n v="0"/>
    <x v="3"/>
  </r>
  <r>
    <n v="2374"/>
    <d v="2023-08-22T00:00:00"/>
    <s v="Standard"/>
    <n v="399"/>
    <n v="16.2"/>
    <n v="2"/>
    <n v="5"/>
    <n v="2"/>
    <n v="13"/>
    <s v="Yes"/>
    <s v="No"/>
    <s v="Yes"/>
    <s v="No"/>
    <s v="No"/>
    <s v="Yes"/>
    <m/>
    <s v="1+ Failures"/>
    <n v="1"/>
    <x v="1"/>
  </r>
  <r>
    <n v="2375"/>
    <d v="2024-06-16T00:00:00"/>
    <s v="Premium"/>
    <n v="699"/>
    <n v="8.5"/>
    <n v="5"/>
    <n v="5"/>
    <n v="15"/>
    <n v="15"/>
    <s v="No"/>
    <s v="No"/>
    <s v="Yes"/>
    <s v="Yes"/>
    <s v="Yes"/>
    <s v="No"/>
    <m/>
    <s v="1+ Failures"/>
    <n v="0"/>
    <x v="2"/>
  </r>
  <r>
    <n v="2376"/>
    <d v="2024-02-22T00:00:00"/>
    <s v="Basic"/>
    <n v="199"/>
    <n v="19"/>
    <n v="4"/>
    <n v="0"/>
    <n v="36"/>
    <n v="57"/>
    <s v="Yes"/>
    <s v="No"/>
    <s v="No"/>
    <s v="No"/>
    <s v="Yes"/>
    <s v="No"/>
    <m/>
    <s v="0 Failures"/>
    <n v="1"/>
    <x v="1"/>
  </r>
  <r>
    <n v="2377"/>
    <d v="2023-05-31T00:00:00"/>
    <s v="Premium"/>
    <n v="699"/>
    <n v="24.5"/>
    <n v="6"/>
    <n v="2"/>
    <n v="8"/>
    <n v="1"/>
    <s v="No"/>
    <s v="No"/>
    <s v="Yes"/>
    <s v="Yes"/>
    <s v="No"/>
    <s v="No"/>
    <m/>
    <s v="1+ Failures"/>
    <n v="0"/>
    <x v="3"/>
  </r>
  <r>
    <n v="2378"/>
    <d v="2024-07-17T00:00:00"/>
    <s v="Standard"/>
    <n v="399"/>
    <n v="13.8"/>
    <n v="2"/>
    <n v="3"/>
    <n v="23"/>
    <n v="42"/>
    <s v="Yes"/>
    <s v="No"/>
    <s v="Yes"/>
    <s v="No"/>
    <s v="Yes"/>
    <s v="No"/>
    <m/>
    <s v="1+ Failures"/>
    <n v="1"/>
    <x v="1"/>
  </r>
  <r>
    <n v="2379"/>
    <d v="2024-03-12T00:00:00"/>
    <s v="Standard"/>
    <n v="399"/>
    <n v="8.9"/>
    <n v="1"/>
    <n v="1"/>
    <n v="25"/>
    <n v="0"/>
    <s v="No"/>
    <s v="No"/>
    <s v="Yes"/>
    <s v="No"/>
    <s v="No"/>
    <s v="No"/>
    <m/>
    <s v="1+ Failures"/>
    <n v="0"/>
    <x v="2"/>
  </r>
  <r>
    <n v="2380"/>
    <d v="2023-05-04T00:00:00"/>
    <s v="Basic"/>
    <n v="199"/>
    <n v="19.3"/>
    <n v="8"/>
    <n v="2"/>
    <n v="10"/>
    <n v="36"/>
    <s v="Yes"/>
    <s v="No"/>
    <s v="Yes"/>
    <s v="Yes"/>
    <s v="Yes"/>
    <s v="No"/>
    <m/>
    <s v="1+ Failures"/>
    <n v="1"/>
    <x v="1"/>
  </r>
  <r>
    <n v="2381"/>
    <d v="2023-11-15T00:00:00"/>
    <s v="Standard"/>
    <n v="399"/>
    <n v="19.5"/>
    <n v="6"/>
    <n v="4"/>
    <n v="13"/>
    <n v="9"/>
    <s v="Yes"/>
    <s v="No"/>
    <s v="Yes"/>
    <s v="Yes"/>
    <s v="No"/>
    <s v="No"/>
    <m/>
    <s v="1+ Failures"/>
    <n v="1"/>
    <x v="1"/>
  </r>
  <r>
    <n v="2382"/>
    <d v="2024-05-04T00:00:00"/>
    <s v="Premium"/>
    <n v="699"/>
    <n v="15.8"/>
    <n v="0"/>
    <n v="0"/>
    <n v="18"/>
    <n v="53"/>
    <s v="No"/>
    <s v="No"/>
    <s v="No"/>
    <s v="No"/>
    <s v="Yes"/>
    <s v="No"/>
    <m/>
    <s v="0 Failures"/>
    <n v="0"/>
    <x v="1"/>
  </r>
  <r>
    <n v="2383"/>
    <d v="2024-02-03T00:00:00"/>
    <s v="Basic"/>
    <n v="199"/>
    <n v="0.7"/>
    <n v="8"/>
    <n v="3"/>
    <n v="1"/>
    <n v="38"/>
    <s v="Yes"/>
    <s v="Yes"/>
    <s v="Yes"/>
    <s v="Yes"/>
    <s v="Yes"/>
    <s v="Yes"/>
    <m/>
    <s v="1+ Failures"/>
    <n v="1"/>
    <x v="0"/>
  </r>
  <r>
    <n v="2384"/>
    <d v="2024-11-15T00:00:00"/>
    <s v="Basic"/>
    <n v="199"/>
    <n v="3.4"/>
    <n v="6"/>
    <n v="4"/>
    <n v="4"/>
    <n v="12"/>
    <s v="Yes"/>
    <s v="Yes"/>
    <s v="Yes"/>
    <s v="Yes"/>
    <s v="No"/>
    <s v="Yes"/>
    <m/>
    <s v="1+ Failures"/>
    <n v="1"/>
    <x v="0"/>
  </r>
  <r>
    <n v="2385"/>
    <d v="2024-06-24T00:00:00"/>
    <s v="Basic"/>
    <n v="199"/>
    <n v="20.7"/>
    <n v="0"/>
    <n v="0"/>
    <n v="22"/>
    <n v="60"/>
    <s v="Yes"/>
    <s v="No"/>
    <s v="No"/>
    <s v="No"/>
    <s v="Yes"/>
    <s v="No"/>
    <m/>
    <s v="0 Failures"/>
    <n v="1"/>
    <x v="3"/>
  </r>
  <r>
    <n v="2386"/>
    <d v="2024-02-22T00:00:00"/>
    <s v="Basic"/>
    <n v="199"/>
    <n v="2.5"/>
    <n v="1"/>
    <n v="5"/>
    <n v="18"/>
    <n v="20"/>
    <s v="Yes"/>
    <s v="Yes"/>
    <s v="Yes"/>
    <s v="No"/>
    <s v="Yes"/>
    <s v="No"/>
    <m/>
    <s v="1+ Failures"/>
    <n v="1"/>
    <x v="0"/>
  </r>
  <r>
    <n v="2387"/>
    <d v="2023-02-21T00:00:00"/>
    <s v="Basic"/>
    <n v="199"/>
    <n v="5.3"/>
    <n v="7"/>
    <n v="5"/>
    <n v="34"/>
    <n v="26"/>
    <s v="Yes"/>
    <s v="No"/>
    <s v="Yes"/>
    <s v="Yes"/>
    <s v="Yes"/>
    <s v="No"/>
    <m/>
    <s v="1+ Failures"/>
    <n v="1"/>
    <x v="2"/>
  </r>
  <r>
    <n v="2388"/>
    <d v="2024-03-27T00:00:00"/>
    <s v="Premium"/>
    <n v="699"/>
    <n v="5.9"/>
    <n v="4"/>
    <n v="2"/>
    <n v="24"/>
    <n v="1"/>
    <s v="No"/>
    <s v="No"/>
    <s v="Yes"/>
    <s v="No"/>
    <s v="No"/>
    <s v="No"/>
    <m/>
    <s v="1+ Failures"/>
    <n v="0"/>
    <x v="2"/>
  </r>
  <r>
    <n v="2389"/>
    <d v="2023-05-24T00:00:00"/>
    <s v="Standard"/>
    <n v="399"/>
    <n v="10.1"/>
    <n v="0"/>
    <n v="5"/>
    <n v="19"/>
    <n v="60"/>
    <s v="Yes"/>
    <s v="No"/>
    <s v="Yes"/>
    <s v="No"/>
    <s v="Yes"/>
    <s v="No"/>
    <m/>
    <s v="1+ Failures"/>
    <n v="1"/>
    <x v="1"/>
  </r>
  <r>
    <n v="2390"/>
    <d v="2023-12-19T00:00:00"/>
    <s v="Premium"/>
    <n v="699"/>
    <n v="19.2"/>
    <n v="6"/>
    <n v="5"/>
    <n v="26"/>
    <n v="8"/>
    <s v="No"/>
    <s v="No"/>
    <s v="Yes"/>
    <s v="Yes"/>
    <s v="No"/>
    <s v="No"/>
    <m/>
    <s v="1+ Failures"/>
    <n v="0"/>
    <x v="1"/>
  </r>
  <r>
    <n v="2391"/>
    <d v="2024-01-29T00:00:00"/>
    <s v="Basic"/>
    <n v="199"/>
    <n v="20.100000000000001"/>
    <n v="7"/>
    <n v="5"/>
    <n v="36"/>
    <n v="40"/>
    <s v="No"/>
    <s v="No"/>
    <s v="Yes"/>
    <s v="Yes"/>
    <s v="Yes"/>
    <s v="No"/>
    <m/>
    <s v="1+ Failures"/>
    <n v="0"/>
    <x v="3"/>
  </r>
  <r>
    <n v="2392"/>
    <d v="2024-06-20T00:00:00"/>
    <s v="Basic"/>
    <n v="199"/>
    <n v="14.4"/>
    <n v="1"/>
    <n v="2"/>
    <n v="11"/>
    <n v="1"/>
    <s v="No"/>
    <s v="No"/>
    <s v="Yes"/>
    <s v="No"/>
    <s v="No"/>
    <s v="No"/>
    <m/>
    <s v="1+ Failures"/>
    <n v="0"/>
    <x v="1"/>
  </r>
  <r>
    <n v="2393"/>
    <d v="2023-04-02T00:00:00"/>
    <s v="Premium"/>
    <n v="699"/>
    <n v="6.9"/>
    <n v="3"/>
    <n v="1"/>
    <n v="35"/>
    <n v="12"/>
    <s v="No"/>
    <s v="No"/>
    <s v="Yes"/>
    <s v="No"/>
    <s v="No"/>
    <s v="No"/>
    <m/>
    <s v="1+ Failures"/>
    <n v="0"/>
    <x v="2"/>
  </r>
  <r>
    <n v="2394"/>
    <d v="2024-02-15T00:00:00"/>
    <s v="Basic"/>
    <n v="199"/>
    <n v="9.3000000000000007"/>
    <n v="2"/>
    <n v="1"/>
    <n v="21"/>
    <n v="22"/>
    <s v="No"/>
    <s v="No"/>
    <s v="Yes"/>
    <s v="No"/>
    <s v="Yes"/>
    <s v="No"/>
    <m/>
    <s v="1+ Failures"/>
    <n v="0"/>
    <x v="2"/>
  </r>
  <r>
    <n v="2395"/>
    <d v="2023-06-18T00:00:00"/>
    <s v="Basic"/>
    <n v="199"/>
    <n v="13.8"/>
    <n v="1"/>
    <n v="3"/>
    <n v="30"/>
    <n v="0"/>
    <s v="Yes"/>
    <s v="No"/>
    <s v="Yes"/>
    <s v="No"/>
    <s v="No"/>
    <s v="No"/>
    <m/>
    <s v="1+ Failures"/>
    <n v="1"/>
    <x v="1"/>
  </r>
  <r>
    <n v="2396"/>
    <d v="2024-03-08T00:00:00"/>
    <s v="Premium"/>
    <n v="699"/>
    <n v="2.4"/>
    <n v="2"/>
    <n v="0"/>
    <n v="7"/>
    <n v="24"/>
    <s v="Yes"/>
    <s v="Yes"/>
    <s v="No"/>
    <s v="No"/>
    <s v="Yes"/>
    <s v="No"/>
    <m/>
    <s v="0 Failures"/>
    <n v="1"/>
    <x v="0"/>
  </r>
  <r>
    <n v="2397"/>
    <d v="2024-08-10T00:00:00"/>
    <s v="Basic"/>
    <n v="199"/>
    <n v="24.5"/>
    <n v="5"/>
    <n v="1"/>
    <n v="33"/>
    <n v="29"/>
    <s v="Yes"/>
    <s v="No"/>
    <s v="Yes"/>
    <s v="Yes"/>
    <s v="Yes"/>
    <s v="No"/>
    <m/>
    <s v="1+ Failures"/>
    <n v="1"/>
    <x v="3"/>
  </r>
  <r>
    <n v="2398"/>
    <d v="2024-07-12T00:00:00"/>
    <s v="Standard"/>
    <n v="399"/>
    <n v="3.5"/>
    <n v="3"/>
    <n v="3"/>
    <n v="25"/>
    <n v="4"/>
    <s v="No"/>
    <s v="Yes"/>
    <s v="Yes"/>
    <s v="No"/>
    <s v="No"/>
    <s v="No"/>
    <m/>
    <s v="1+ Failures"/>
    <n v="0"/>
    <x v="0"/>
  </r>
  <r>
    <n v="2399"/>
    <d v="2023-11-27T00:00:00"/>
    <s v="Standard"/>
    <n v="399"/>
    <n v="7"/>
    <n v="0"/>
    <n v="5"/>
    <n v="20"/>
    <n v="10"/>
    <s v="No"/>
    <s v="No"/>
    <s v="Yes"/>
    <s v="No"/>
    <s v="No"/>
    <s v="No"/>
    <m/>
    <s v="1+ Failures"/>
    <n v="0"/>
    <x v="2"/>
  </r>
  <r>
    <n v="2400"/>
    <d v="2023-04-07T00:00:00"/>
    <s v="Basic"/>
    <n v="199"/>
    <n v="21.7"/>
    <n v="4"/>
    <n v="4"/>
    <n v="10"/>
    <n v="2"/>
    <s v="No"/>
    <s v="No"/>
    <s v="Yes"/>
    <s v="No"/>
    <s v="No"/>
    <s v="No"/>
    <m/>
    <s v="1+ Failures"/>
    <n v="0"/>
    <x v="3"/>
  </r>
  <r>
    <n v="2401"/>
    <d v="2023-09-14T00:00:00"/>
    <s v="Standard"/>
    <n v="399"/>
    <n v="7.5"/>
    <n v="0"/>
    <n v="1"/>
    <n v="18"/>
    <n v="28"/>
    <s v="Yes"/>
    <s v="No"/>
    <s v="Yes"/>
    <s v="No"/>
    <s v="Yes"/>
    <s v="No"/>
    <m/>
    <s v="1+ Failures"/>
    <n v="1"/>
    <x v="2"/>
  </r>
  <r>
    <n v="2402"/>
    <d v="2024-05-26T00:00:00"/>
    <s v="Basic"/>
    <n v="199"/>
    <n v="12"/>
    <n v="1"/>
    <n v="1"/>
    <n v="26"/>
    <n v="57"/>
    <s v="No"/>
    <s v="No"/>
    <s v="Yes"/>
    <s v="No"/>
    <s v="Yes"/>
    <s v="No"/>
    <m/>
    <s v="1+ Failures"/>
    <n v="0"/>
    <x v="1"/>
  </r>
  <r>
    <n v="2403"/>
    <d v="2024-10-16T00:00:00"/>
    <s v="Premium"/>
    <n v="699"/>
    <n v="4.7"/>
    <n v="2"/>
    <n v="0"/>
    <n v="33"/>
    <n v="0"/>
    <s v="No"/>
    <s v="Yes"/>
    <s v="No"/>
    <s v="No"/>
    <s v="No"/>
    <s v="No"/>
    <m/>
    <s v="0 Failures"/>
    <n v="0"/>
    <x v="0"/>
  </r>
  <r>
    <n v="2404"/>
    <d v="2023-09-25T00:00:00"/>
    <s v="Basic"/>
    <n v="199"/>
    <n v="22.4"/>
    <n v="8"/>
    <n v="1"/>
    <n v="32"/>
    <n v="6"/>
    <s v="No"/>
    <s v="No"/>
    <s v="Yes"/>
    <s v="Yes"/>
    <s v="No"/>
    <s v="No"/>
    <m/>
    <s v="1+ Failures"/>
    <n v="0"/>
    <x v="3"/>
  </r>
  <r>
    <n v="2405"/>
    <d v="2024-12-04T00:00:00"/>
    <s v="Premium"/>
    <n v="699"/>
    <n v="4.7"/>
    <n v="8"/>
    <n v="2"/>
    <n v="27"/>
    <n v="47"/>
    <s v="Yes"/>
    <s v="Yes"/>
    <s v="Yes"/>
    <s v="Yes"/>
    <s v="Yes"/>
    <s v="No"/>
    <m/>
    <s v="1+ Failures"/>
    <n v="1"/>
    <x v="0"/>
  </r>
  <r>
    <n v="2406"/>
    <d v="2023-09-06T00:00:00"/>
    <s v="Premium"/>
    <n v="699"/>
    <n v="6.2"/>
    <n v="6"/>
    <n v="1"/>
    <n v="29"/>
    <n v="55"/>
    <s v="No"/>
    <s v="No"/>
    <s v="Yes"/>
    <s v="Yes"/>
    <s v="Yes"/>
    <s v="No"/>
    <m/>
    <s v="1+ Failures"/>
    <n v="0"/>
    <x v="2"/>
  </r>
  <r>
    <n v="2407"/>
    <d v="2024-08-09T00:00:00"/>
    <s v="Basic"/>
    <n v="199"/>
    <n v="4.8"/>
    <n v="5"/>
    <n v="3"/>
    <n v="33"/>
    <n v="1"/>
    <s v="Yes"/>
    <s v="Yes"/>
    <s v="Yes"/>
    <s v="Yes"/>
    <s v="No"/>
    <s v="No"/>
    <m/>
    <s v="1+ Failures"/>
    <n v="1"/>
    <x v="0"/>
  </r>
  <r>
    <n v="2408"/>
    <d v="2024-11-28T00:00:00"/>
    <s v="Standard"/>
    <n v="399"/>
    <n v="12.6"/>
    <n v="8"/>
    <n v="5"/>
    <n v="2"/>
    <n v="40"/>
    <s v="Yes"/>
    <s v="No"/>
    <s v="Yes"/>
    <s v="Yes"/>
    <s v="Yes"/>
    <s v="Yes"/>
    <m/>
    <s v="1+ Failures"/>
    <n v="1"/>
    <x v="1"/>
  </r>
  <r>
    <n v="2409"/>
    <d v="2023-08-30T00:00:00"/>
    <s v="Basic"/>
    <n v="199"/>
    <n v="12.2"/>
    <n v="0"/>
    <n v="3"/>
    <n v="30"/>
    <n v="55"/>
    <s v="No"/>
    <s v="No"/>
    <s v="Yes"/>
    <s v="No"/>
    <s v="Yes"/>
    <s v="No"/>
    <m/>
    <s v="1+ Failures"/>
    <n v="0"/>
    <x v="1"/>
  </r>
  <r>
    <n v="2410"/>
    <d v="2024-01-21T00:00:00"/>
    <s v="Standard"/>
    <n v="399"/>
    <n v="19.600000000000001"/>
    <n v="2"/>
    <n v="0"/>
    <n v="34"/>
    <n v="23"/>
    <s v="No"/>
    <s v="No"/>
    <s v="No"/>
    <s v="No"/>
    <s v="Yes"/>
    <s v="No"/>
    <m/>
    <s v="0 Failures"/>
    <n v="0"/>
    <x v="1"/>
  </r>
  <r>
    <n v="2411"/>
    <d v="2023-12-02T00:00:00"/>
    <s v="Premium"/>
    <n v="699"/>
    <n v="2.6"/>
    <n v="2"/>
    <n v="1"/>
    <n v="10"/>
    <n v="14"/>
    <s v="No"/>
    <s v="Yes"/>
    <s v="Yes"/>
    <s v="No"/>
    <s v="No"/>
    <s v="No"/>
    <m/>
    <s v="1+ Failures"/>
    <n v="0"/>
    <x v="0"/>
  </r>
  <r>
    <n v="2412"/>
    <d v="2023-01-16T00:00:00"/>
    <s v="Premium"/>
    <n v="699"/>
    <n v="2.6"/>
    <n v="6"/>
    <n v="5"/>
    <n v="11"/>
    <n v="55"/>
    <s v="Yes"/>
    <s v="Yes"/>
    <s v="Yes"/>
    <s v="Yes"/>
    <s v="Yes"/>
    <s v="No"/>
    <m/>
    <s v="1+ Failures"/>
    <n v="1"/>
    <x v="0"/>
  </r>
  <r>
    <n v="2413"/>
    <d v="2023-06-03T00:00:00"/>
    <s v="Standard"/>
    <n v="399"/>
    <n v="24.7"/>
    <n v="1"/>
    <n v="5"/>
    <n v="35"/>
    <n v="16"/>
    <s v="No"/>
    <s v="No"/>
    <s v="Yes"/>
    <s v="No"/>
    <s v="Yes"/>
    <s v="No"/>
    <m/>
    <s v="1+ Failures"/>
    <n v="0"/>
    <x v="3"/>
  </r>
  <r>
    <n v="2414"/>
    <d v="2024-08-04T00:00:00"/>
    <s v="Premium"/>
    <n v="699"/>
    <n v="13.3"/>
    <n v="2"/>
    <n v="0"/>
    <n v="5"/>
    <n v="36"/>
    <s v="Yes"/>
    <s v="No"/>
    <s v="No"/>
    <s v="No"/>
    <s v="Yes"/>
    <s v="Yes"/>
    <m/>
    <s v="0 Failures"/>
    <n v="1"/>
    <x v="1"/>
  </r>
  <r>
    <n v="2415"/>
    <d v="2024-11-29T00:00:00"/>
    <s v="Standard"/>
    <n v="399"/>
    <n v="19"/>
    <n v="0"/>
    <n v="4"/>
    <n v="30"/>
    <n v="37"/>
    <s v="Yes"/>
    <s v="No"/>
    <s v="Yes"/>
    <s v="No"/>
    <s v="Yes"/>
    <s v="No"/>
    <m/>
    <s v="1+ Failures"/>
    <n v="1"/>
    <x v="1"/>
  </r>
  <r>
    <n v="2416"/>
    <d v="2023-01-17T00:00:00"/>
    <s v="Standard"/>
    <n v="399"/>
    <n v="11"/>
    <n v="8"/>
    <n v="2"/>
    <n v="16"/>
    <n v="50"/>
    <s v="Yes"/>
    <s v="No"/>
    <s v="Yes"/>
    <s v="Yes"/>
    <s v="Yes"/>
    <s v="No"/>
    <m/>
    <s v="1+ Failures"/>
    <n v="1"/>
    <x v="1"/>
  </r>
  <r>
    <n v="2417"/>
    <d v="2024-09-11T00:00:00"/>
    <s v="Basic"/>
    <n v="199"/>
    <n v="22.4"/>
    <n v="0"/>
    <n v="2"/>
    <n v="9"/>
    <n v="51"/>
    <s v="Yes"/>
    <s v="No"/>
    <s v="Yes"/>
    <s v="No"/>
    <s v="Yes"/>
    <s v="No"/>
    <m/>
    <s v="1+ Failures"/>
    <n v="1"/>
    <x v="3"/>
  </r>
  <r>
    <n v="2418"/>
    <d v="2024-12-09T00:00:00"/>
    <s v="Premium"/>
    <n v="699"/>
    <n v="16.7"/>
    <n v="8"/>
    <n v="3"/>
    <n v="15"/>
    <n v="46"/>
    <s v="Yes"/>
    <s v="No"/>
    <s v="Yes"/>
    <s v="Yes"/>
    <s v="Yes"/>
    <s v="No"/>
    <m/>
    <s v="1+ Failures"/>
    <n v="1"/>
    <x v="1"/>
  </r>
  <r>
    <n v="2419"/>
    <d v="2024-09-16T00:00:00"/>
    <s v="Standard"/>
    <n v="399"/>
    <n v="24.2"/>
    <n v="2"/>
    <n v="2"/>
    <n v="33"/>
    <n v="56"/>
    <s v="No"/>
    <s v="No"/>
    <s v="Yes"/>
    <s v="No"/>
    <s v="Yes"/>
    <s v="No"/>
    <m/>
    <s v="1+ Failures"/>
    <n v="0"/>
    <x v="3"/>
  </r>
  <r>
    <n v="2420"/>
    <d v="2024-07-12T00:00:00"/>
    <s v="Premium"/>
    <n v="699"/>
    <n v="15.9"/>
    <n v="1"/>
    <n v="2"/>
    <n v="36"/>
    <n v="22"/>
    <s v="Yes"/>
    <s v="No"/>
    <s v="Yes"/>
    <s v="No"/>
    <s v="Yes"/>
    <s v="No"/>
    <m/>
    <s v="1+ Failures"/>
    <n v="1"/>
    <x v="1"/>
  </r>
  <r>
    <n v="2421"/>
    <d v="2024-01-01T00:00:00"/>
    <s v="Premium"/>
    <n v="699"/>
    <n v="24.1"/>
    <n v="0"/>
    <n v="5"/>
    <n v="30"/>
    <n v="41"/>
    <s v="Yes"/>
    <s v="No"/>
    <s v="Yes"/>
    <s v="No"/>
    <s v="Yes"/>
    <s v="No"/>
    <m/>
    <s v="1+ Failures"/>
    <n v="1"/>
    <x v="3"/>
  </r>
  <r>
    <n v="2422"/>
    <d v="2024-07-06T00:00:00"/>
    <s v="Basic"/>
    <n v="199"/>
    <n v="22.4"/>
    <n v="6"/>
    <n v="3"/>
    <n v="16"/>
    <n v="24"/>
    <s v="Yes"/>
    <s v="No"/>
    <s v="Yes"/>
    <s v="Yes"/>
    <s v="Yes"/>
    <s v="No"/>
    <m/>
    <s v="1+ Failures"/>
    <n v="1"/>
    <x v="3"/>
  </r>
  <r>
    <n v="2423"/>
    <d v="2024-09-20T00:00:00"/>
    <s v="Premium"/>
    <n v="699"/>
    <n v="1.1000000000000001"/>
    <n v="7"/>
    <n v="2"/>
    <n v="12"/>
    <n v="24"/>
    <s v="Yes"/>
    <s v="Yes"/>
    <s v="Yes"/>
    <s v="Yes"/>
    <s v="Yes"/>
    <s v="No"/>
    <m/>
    <s v="1+ Failures"/>
    <n v="1"/>
    <x v="0"/>
  </r>
  <r>
    <n v="2424"/>
    <d v="2024-09-30T00:00:00"/>
    <s v="Basic"/>
    <n v="199"/>
    <n v="12.6"/>
    <n v="8"/>
    <n v="3"/>
    <n v="30"/>
    <n v="24"/>
    <s v="Yes"/>
    <s v="No"/>
    <s v="Yes"/>
    <s v="Yes"/>
    <s v="Yes"/>
    <s v="No"/>
    <m/>
    <s v="1+ Failures"/>
    <n v="1"/>
    <x v="1"/>
  </r>
  <r>
    <n v="2425"/>
    <d v="2023-07-20T00:00:00"/>
    <s v="Premium"/>
    <n v="699"/>
    <n v="12.9"/>
    <n v="2"/>
    <n v="1"/>
    <n v="28"/>
    <n v="20"/>
    <s v="No"/>
    <s v="No"/>
    <s v="Yes"/>
    <s v="No"/>
    <s v="Yes"/>
    <s v="No"/>
    <m/>
    <s v="1+ Failures"/>
    <n v="0"/>
    <x v="1"/>
  </r>
  <r>
    <n v="2426"/>
    <d v="2024-02-13T00:00:00"/>
    <s v="Standard"/>
    <n v="399"/>
    <n v="19.899999999999999"/>
    <n v="8"/>
    <n v="2"/>
    <n v="3"/>
    <n v="43"/>
    <s v="Yes"/>
    <s v="No"/>
    <s v="Yes"/>
    <s v="Yes"/>
    <s v="Yes"/>
    <s v="Yes"/>
    <m/>
    <s v="1+ Failures"/>
    <n v="1"/>
    <x v="1"/>
  </r>
  <r>
    <n v="2427"/>
    <d v="2023-01-31T00:00:00"/>
    <s v="Premium"/>
    <n v="699"/>
    <n v="17.2"/>
    <n v="3"/>
    <n v="2"/>
    <n v="12"/>
    <n v="3"/>
    <s v="No"/>
    <s v="No"/>
    <s v="Yes"/>
    <s v="No"/>
    <s v="No"/>
    <s v="No"/>
    <m/>
    <s v="1+ Failures"/>
    <n v="0"/>
    <x v="1"/>
  </r>
  <r>
    <n v="2428"/>
    <d v="2024-12-03T00:00:00"/>
    <s v="Premium"/>
    <n v="699"/>
    <n v="19"/>
    <n v="6"/>
    <n v="3"/>
    <n v="24"/>
    <n v="46"/>
    <s v="Yes"/>
    <s v="No"/>
    <s v="Yes"/>
    <s v="Yes"/>
    <s v="Yes"/>
    <s v="No"/>
    <m/>
    <s v="1+ Failures"/>
    <n v="1"/>
    <x v="1"/>
  </r>
  <r>
    <n v="2429"/>
    <d v="2023-06-30T00:00:00"/>
    <s v="Standard"/>
    <n v="399"/>
    <n v="1.3"/>
    <n v="1"/>
    <n v="1"/>
    <n v="3"/>
    <n v="17"/>
    <s v="No"/>
    <s v="Yes"/>
    <s v="Yes"/>
    <s v="No"/>
    <s v="Yes"/>
    <s v="Yes"/>
    <m/>
    <s v="1+ Failures"/>
    <n v="0"/>
    <x v="0"/>
  </r>
  <r>
    <n v="2430"/>
    <d v="2024-02-07T00:00:00"/>
    <s v="Premium"/>
    <n v="699"/>
    <n v="21.4"/>
    <n v="4"/>
    <n v="2"/>
    <n v="22"/>
    <n v="11"/>
    <s v="No"/>
    <s v="No"/>
    <s v="Yes"/>
    <s v="No"/>
    <s v="No"/>
    <s v="No"/>
    <m/>
    <s v="1+ Failures"/>
    <n v="0"/>
    <x v="3"/>
  </r>
  <r>
    <n v="2431"/>
    <d v="2023-09-10T00:00:00"/>
    <s v="Standard"/>
    <n v="399"/>
    <n v="5.3"/>
    <n v="5"/>
    <n v="4"/>
    <n v="26"/>
    <n v="18"/>
    <s v="Yes"/>
    <s v="No"/>
    <s v="Yes"/>
    <s v="Yes"/>
    <s v="Yes"/>
    <s v="No"/>
    <m/>
    <s v="1+ Failures"/>
    <n v="1"/>
    <x v="2"/>
  </r>
  <r>
    <n v="2432"/>
    <d v="2023-07-19T00:00:00"/>
    <s v="Premium"/>
    <n v="699"/>
    <n v="17.2"/>
    <n v="4"/>
    <n v="3"/>
    <n v="9"/>
    <n v="53"/>
    <s v="No"/>
    <s v="No"/>
    <s v="Yes"/>
    <s v="No"/>
    <s v="Yes"/>
    <s v="No"/>
    <m/>
    <s v="1+ Failures"/>
    <n v="0"/>
    <x v="1"/>
  </r>
  <r>
    <n v="2433"/>
    <d v="2023-12-02T00:00:00"/>
    <s v="Premium"/>
    <n v="699"/>
    <n v="8.8000000000000007"/>
    <n v="2"/>
    <n v="2"/>
    <n v="7"/>
    <n v="5"/>
    <s v="No"/>
    <s v="No"/>
    <s v="Yes"/>
    <s v="No"/>
    <s v="No"/>
    <s v="No"/>
    <m/>
    <s v="1+ Failures"/>
    <n v="0"/>
    <x v="2"/>
  </r>
  <r>
    <n v="2434"/>
    <d v="2024-02-03T00:00:00"/>
    <s v="Basic"/>
    <n v="199"/>
    <n v="19.2"/>
    <n v="7"/>
    <n v="1"/>
    <n v="35"/>
    <n v="58"/>
    <s v="No"/>
    <s v="No"/>
    <s v="Yes"/>
    <s v="Yes"/>
    <s v="Yes"/>
    <s v="No"/>
    <m/>
    <s v="1+ Failures"/>
    <n v="0"/>
    <x v="1"/>
  </r>
  <r>
    <n v="2435"/>
    <d v="2024-09-14T00:00:00"/>
    <s v="Basic"/>
    <n v="199"/>
    <n v="10.4"/>
    <n v="3"/>
    <n v="5"/>
    <n v="11"/>
    <n v="14"/>
    <s v="Yes"/>
    <s v="No"/>
    <s v="Yes"/>
    <s v="No"/>
    <s v="No"/>
    <s v="No"/>
    <m/>
    <s v="1+ Failures"/>
    <n v="1"/>
    <x v="1"/>
  </r>
  <r>
    <n v="2436"/>
    <d v="2024-01-14T00:00:00"/>
    <s v="Premium"/>
    <n v="699"/>
    <n v="3"/>
    <n v="8"/>
    <n v="0"/>
    <n v="24"/>
    <n v="35"/>
    <s v="Yes"/>
    <s v="Yes"/>
    <s v="No"/>
    <s v="Yes"/>
    <s v="Yes"/>
    <s v="No"/>
    <m/>
    <s v="0 Failures"/>
    <n v="1"/>
    <x v="0"/>
  </r>
  <r>
    <n v="2437"/>
    <d v="2024-07-26T00:00:00"/>
    <s v="Standard"/>
    <n v="399"/>
    <n v="23.8"/>
    <n v="7"/>
    <n v="4"/>
    <n v="2"/>
    <n v="16"/>
    <s v="No"/>
    <s v="No"/>
    <s v="Yes"/>
    <s v="Yes"/>
    <s v="Yes"/>
    <s v="Yes"/>
    <m/>
    <s v="1+ Failures"/>
    <n v="0"/>
    <x v="3"/>
  </r>
  <r>
    <n v="2438"/>
    <d v="2023-08-18T00:00:00"/>
    <s v="Standard"/>
    <n v="399"/>
    <n v="15.4"/>
    <n v="7"/>
    <n v="5"/>
    <n v="2"/>
    <n v="18"/>
    <s v="No"/>
    <s v="No"/>
    <s v="Yes"/>
    <s v="Yes"/>
    <s v="Yes"/>
    <s v="Yes"/>
    <m/>
    <s v="1+ Failures"/>
    <n v="0"/>
    <x v="1"/>
  </r>
  <r>
    <n v="2439"/>
    <d v="2024-08-13T00:00:00"/>
    <s v="Basic"/>
    <n v="199"/>
    <n v="8"/>
    <n v="1"/>
    <n v="5"/>
    <n v="13"/>
    <n v="57"/>
    <s v="Yes"/>
    <s v="No"/>
    <s v="Yes"/>
    <s v="No"/>
    <s v="Yes"/>
    <s v="No"/>
    <m/>
    <s v="1+ Failures"/>
    <n v="1"/>
    <x v="2"/>
  </r>
  <r>
    <n v="2440"/>
    <d v="2024-12-22T00:00:00"/>
    <s v="Basic"/>
    <n v="199"/>
    <n v="22.9"/>
    <n v="7"/>
    <n v="1"/>
    <n v="8"/>
    <n v="3"/>
    <s v="Yes"/>
    <s v="No"/>
    <s v="Yes"/>
    <s v="Yes"/>
    <s v="No"/>
    <s v="No"/>
    <m/>
    <s v="1+ Failures"/>
    <n v="1"/>
    <x v="3"/>
  </r>
  <r>
    <n v="2441"/>
    <d v="2024-02-08T00:00:00"/>
    <s v="Standard"/>
    <n v="399"/>
    <n v="7.1"/>
    <n v="0"/>
    <n v="0"/>
    <n v="16"/>
    <n v="53"/>
    <s v="No"/>
    <s v="No"/>
    <s v="No"/>
    <s v="No"/>
    <s v="Yes"/>
    <s v="No"/>
    <m/>
    <s v="0 Failures"/>
    <n v="0"/>
    <x v="2"/>
  </r>
  <r>
    <n v="2442"/>
    <d v="2023-07-27T00:00:00"/>
    <s v="Standard"/>
    <n v="399"/>
    <n v="8.5"/>
    <n v="7"/>
    <n v="0"/>
    <n v="6"/>
    <n v="20"/>
    <s v="No"/>
    <s v="No"/>
    <s v="No"/>
    <s v="Yes"/>
    <s v="Yes"/>
    <s v="No"/>
    <m/>
    <s v="0 Failures"/>
    <n v="0"/>
    <x v="2"/>
  </r>
  <r>
    <n v="2443"/>
    <d v="2024-03-05T00:00:00"/>
    <s v="Basic"/>
    <n v="199"/>
    <n v="18.399999999999999"/>
    <n v="5"/>
    <n v="4"/>
    <n v="14"/>
    <n v="56"/>
    <s v="Yes"/>
    <s v="No"/>
    <s v="Yes"/>
    <s v="Yes"/>
    <s v="Yes"/>
    <s v="No"/>
    <m/>
    <s v="1+ Failures"/>
    <n v="1"/>
    <x v="1"/>
  </r>
  <r>
    <n v="2444"/>
    <d v="2023-01-17T00:00:00"/>
    <s v="Standard"/>
    <n v="399"/>
    <n v="2.9"/>
    <n v="6"/>
    <n v="3"/>
    <n v="34"/>
    <n v="54"/>
    <s v="Yes"/>
    <s v="Yes"/>
    <s v="Yes"/>
    <s v="Yes"/>
    <s v="Yes"/>
    <s v="No"/>
    <m/>
    <s v="1+ Failures"/>
    <n v="1"/>
    <x v="0"/>
  </r>
  <r>
    <n v="2445"/>
    <d v="2023-04-22T00:00:00"/>
    <s v="Premium"/>
    <n v="699"/>
    <n v="23.8"/>
    <n v="2"/>
    <n v="5"/>
    <n v="18"/>
    <n v="55"/>
    <s v="No"/>
    <s v="No"/>
    <s v="Yes"/>
    <s v="No"/>
    <s v="Yes"/>
    <s v="No"/>
    <m/>
    <s v="1+ Failures"/>
    <n v="0"/>
    <x v="3"/>
  </r>
  <r>
    <n v="2446"/>
    <d v="2024-06-25T00:00:00"/>
    <s v="Standard"/>
    <n v="399"/>
    <n v="1.4"/>
    <n v="5"/>
    <n v="1"/>
    <n v="6"/>
    <n v="29"/>
    <s v="Yes"/>
    <s v="Yes"/>
    <s v="Yes"/>
    <s v="Yes"/>
    <s v="Yes"/>
    <s v="No"/>
    <m/>
    <s v="1+ Failures"/>
    <n v="1"/>
    <x v="0"/>
  </r>
  <r>
    <n v="2447"/>
    <d v="2024-05-04T00:00:00"/>
    <s v="Basic"/>
    <n v="199"/>
    <n v="12.1"/>
    <n v="0"/>
    <n v="4"/>
    <n v="34"/>
    <n v="46"/>
    <s v="No"/>
    <s v="No"/>
    <s v="Yes"/>
    <s v="No"/>
    <s v="Yes"/>
    <s v="No"/>
    <m/>
    <s v="1+ Failures"/>
    <n v="0"/>
    <x v="1"/>
  </r>
  <r>
    <n v="2448"/>
    <d v="2023-12-23T00:00:00"/>
    <s v="Basic"/>
    <n v="199"/>
    <n v="9.3000000000000007"/>
    <n v="3"/>
    <n v="4"/>
    <n v="18"/>
    <n v="33"/>
    <s v="Yes"/>
    <s v="No"/>
    <s v="Yes"/>
    <s v="No"/>
    <s v="Yes"/>
    <s v="No"/>
    <m/>
    <s v="1+ Failures"/>
    <n v="1"/>
    <x v="2"/>
  </r>
  <r>
    <n v="2449"/>
    <d v="2024-03-14T00:00:00"/>
    <s v="Standard"/>
    <n v="399"/>
    <n v="22.3"/>
    <n v="5"/>
    <n v="4"/>
    <n v="11"/>
    <n v="51"/>
    <s v="No"/>
    <s v="No"/>
    <s v="Yes"/>
    <s v="Yes"/>
    <s v="Yes"/>
    <s v="No"/>
    <m/>
    <s v="1+ Failures"/>
    <n v="0"/>
    <x v="3"/>
  </r>
  <r>
    <n v="2450"/>
    <d v="2024-07-05T00:00:00"/>
    <s v="Standard"/>
    <n v="399"/>
    <n v="23.9"/>
    <n v="8"/>
    <n v="3"/>
    <n v="4"/>
    <n v="50"/>
    <s v="No"/>
    <s v="No"/>
    <s v="Yes"/>
    <s v="Yes"/>
    <s v="Yes"/>
    <s v="Yes"/>
    <m/>
    <s v="1+ Failures"/>
    <n v="0"/>
    <x v="3"/>
  </r>
  <r>
    <n v="2451"/>
    <d v="2024-06-06T00:00:00"/>
    <s v="Standard"/>
    <n v="399"/>
    <n v="7.8"/>
    <n v="2"/>
    <n v="1"/>
    <n v="18"/>
    <n v="31"/>
    <s v="No"/>
    <s v="No"/>
    <s v="Yes"/>
    <s v="No"/>
    <s v="Yes"/>
    <s v="No"/>
    <m/>
    <s v="1+ Failures"/>
    <n v="0"/>
    <x v="2"/>
  </r>
  <r>
    <n v="2452"/>
    <d v="2024-01-08T00:00:00"/>
    <s v="Standard"/>
    <n v="399"/>
    <n v="13.8"/>
    <n v="5"/>
    <n v="5"/>
    <n v="18"/>
    <n v="37"/>
    <s v="Yes"/>
    <s v="No"/>
    <s v="Yes"/>
    <s v="Yes"/>
    <s v="Yes"/>
    <s v="No"/>
    <m/>
    <s v="1+ Failures"/>
    <n v="1"/>
    <x v="1"/>
  </r>
  <r>
    <n v="2453"/>
    <d v="2023-03-26T00:00:00"/>
    <s v="Standard"/>
    <n v="399"/>
    <n v="4.9000000000000004"/>
    <n v="2"/>
    <n v="2"/>
    <n v="19"/>
    <n v="39"/>
    <s v="No"/>
    <s v="Yes"/>
    <s v="Yes"/>
    <s v="No"/>
    <s v="Yes"/>
    <s v="No"/>
    <m/>
    <s v="1+ Failures"/>
    <n v="0"/>
    <x v="0"/>
  </r>
  <r>
    <n v="2454"/>
    <d v="2023-02-10T00:00:00"/>
    <s v="Premium"/>
    <n v="699"/>
    <n v="24.6"/>
    <n v="0"/>
    <n v="1"/>
    <n v="28"/>
    <n v="59"/>
    <s v="No"/>
    <s v="No"/>
    <s v="Yes"/>
    <s v="No"/>
    <s v="Yes"/>
    <s v="No"/>
    <m/>
    <s v="1+ Failures"/>
    <n v="0"/>
    <x v="3"/>
  </r>
  <r>
    <n v="2455"/>
    <d v="2023-08-26T00:00:00"/>
    <s v="Basic"/>
    <n v="199"/>
    <n v="20.100000000000001"/>
    <n v="5"/>
    <n v="5"/>
    <n v="10"/>
    <n v="14"/>
    <s v="No"/>
    <s v="No"/>
    <s v="Yes"/>
    <s v="Yes"/>
    <s v="No"/>
    <s v="No"/>
    <m/>
    <s v="1+ Failures"/>
    <n v="0"/>
    <x v="3"/>
  </r>
  <r>
    <n v="2456"/>
    <d v="2023-08-02T00:00:00"/>
    <s v="Basic"/>
    <n v="199"/>
    <n v="3.7"/>
    <n v="1"/>
    <n v="2"/>
    <n v="16"/>
    <n v="55"/>
    <s v="Yes"/>
    <s v="Yes"/>
    <s v="Yes"/>
    <s v="No"/>
    <s v="Yes"/>
    <s v="No"/>
    <m/>
    <s v="1+ Failures"/>
    <n v="1"/>
    <x v="0"/>
  </r>
  <r>
    <n v="2457"/>
    <d v="2024-03-11T00:00:00"/>
    <s v="Basic"/>
    <n v="199"/>
    <n v="8.8000000000000007"/>
    <n v="0"/>
    <n v="4"/>
    <n v="21"/>
    <n v="13"/>
    <s v="No"/>
    <s v="No"/>
    <s v="Yes"/>
    <s v="No"/>
    <s v="No"/>
    <s v="No"/>
    <m/>
    <s v="1+ Failures"/>
    <n v="0"/>
    <x v="2"/>
  </r>
  <r>
    <n v="2458"/>
    <d v="2024-06-21T00:00:00"/>
    <s v="Premium"/>
    <n v="699"/>
    <n v="17.2"/>
    <n v="4"/>
    <n v="2"/>
    <n v="12"/>
    <n v="18"/>
    <s v="No"/>
    <s v="No"/>
    <s v="Yes"/>
    <s v="No"/>
    <s v="Yes"/>
    <s v="No"/>
    <m/>
    <s v="1+ Failures"/>
    <n v="0"/>
    <x v="1"/>
  </r>
  <r>
    <n v="2459"/>
    <d v="2024-12-07T00:00:00"/>
    <s v="Premium"/>
    <n v="699"/>
    <n v="10"/>
    <n v="7"/>
    <n v="1"/>
    <n v="25"/>
    <n v="31"/>
    <s v="No"/>
    <s v="No"/>
    <s v="Yes"/>
    <s v="Yes"/>
    <s v="Yes"/>
    <s v="No"/>
    <m/>
    <s v="1+ Failures"/>
    <n v="0"/>
    <x v="2"/>
  </r>
  <r>
    <n v="2460"/>
    <d v="2024-02-28T00:00:00"/>
    <s v="Basic"/>
    <n v="199"/>
    <n v="11.5"/>
    <n v="7"/>
    <n v="5"/>
    <n v="28"/>
    <n v="60"/>
    <s v="Yes"/>
    <s v="No"/>
    <s v="Yes"/>
    <s v="Yes"/>
    <s v="Yes"/>
    <s v="No"/>
    <m/>
    <s v="1+ Failures"/>
    <n v="1"/>
    <x v="1"/>
  </r>
  <r>
    <n v="2461"/>
    <d v="2024-01-13T00:00:00"/>
    <s v="Basic"/>
    <n v="199"/>
    <n v="3.7"/>
    <n v="8"/>
    <n v="5"/>
    <n v="1"/>
    <n v="45"/>
    <s v="Yes"/>
    <s v="Yes"/>
    <s v="Yes"/>
    <s v="Yes"/>
    <s v="Yes"/>
    <s v="Yes"/>
    <m/>
    <s v="1+ Failures"/>
    <n v="1"/>
    <x v="0"/>
  </r>
  <r>
    <n v="2462"/>
    <d v="2023-06-27T00:00:00"/>
    <s v="Standard"/>
    <n v="399"/>
    <n v="23.8"/>
    <n v="1"/>
    <n v="4"/>
    <n v="14"/>
    <n v="13"/>
    <s v="No"/>
    <s v="No"/>
    <s v="Yes"/>
    <s v="No"/>
    <s v="No"/>
    <s v="No"/>
    <m/>
    <s v="1+ Failures"/>
    <n v="0"/>
    <x v="3"/>
  </r>
  <r>
    <n v="2463"/>
    <d v="2023-03-06T00:00:00"/>
    <s v="Premium"/>
    <n v="699"/>
    <n v="20.3"/>
    <n v="1"/>
    <n v="5"/>
    <n v="35"/>
    <n v="8"/>
    <s v="Yes"/>
    <s v="No"/>
    <s v="Yes"/>
    <s v="No"/>
    <s v="No"/>
    <s v="No"/>
    <m/>
    <s v="1+ Failures"/>
    <n v="1"/>
    <x v="3"/>
  </r>
  <r>
    <n v="2464"/>
    <d v="2023-03-02T00:00:00"/>
    <s v="Basic"/>
    <n v="199"/>
    <n v="15.4"/>
    <n v="0"/>
    <n v="5"/>
    <n v="13"/>
    <n v="19"/>
    <s v="No"/>
    <s v="No"/>
    <s v="Yes"/>
    <s v="No"/>
    <s v="Yes"/>
    <s v="No"/>
    <m/>
    <s v="1+ Failures"/>
    <n v="0"/>
    <x v="1"/>
  </r>
  <r>
    <n v="2465"/>
    <d v="2023-06-13T00:00:00"/>
    <s v="Standard"/>
    <n v="399"/>
    <n v="22.2"/>
    <n v="8"/>
    <n v="1"/>
    <n v="1"/>
    <n v="26"/>
    <s v="Yes"/>
    <s v="No"/>
    <s v="Yes"/>
    <s v="Yes"/>
    <s v="Yes"/>
    <s v="Yes"/>
    <m/>
    <s v="1+ Failures"/>
    <n v="1"/>
    <x v="3"/>
  </r>
  <r>
    <n v="2466"/>
    <d v="2024-02-18T00:00:00"/>
    <s v="Basic"/>
    <n v="199"/>
    <n v="11.8"/>
    <n v="0"/>
    <n v="4"/>
    <n v="36"/>
    <n v="10"/>
    <s v="No"/>
    <s v="No"/>
    <s v="Yes"/>
    <s v="No"/>
    <s v="No"/>
    <s v="No"/>
    <m/>
    <s v="1+ Failures"/>
    <n v="0"/>
    <x v="1"/>
  </r>
  <r>
    <n v="2467"/>
    <d v="2024-04-20T00:00:00"/>
    <s v="Premium"/>
    <n v="699"/>
    <n v="16.8"/>
    <n v="2"/>
    <n v="1"/>
    <n v="6"/>
    <n v="57"/>
    <s v="No"/>
    <s v="No"/>
    <s v="Yes"/>
    <s v="No"/>
    <s v="Yes"/>
    <s v="No"/>
    <m/>
    <s v="1+ Failures"/>
    <n v="0"/>
    <x v="1"/>
  </r>
  <r>
    <n v="2468"/>
    <d v="2023-05-19T00:00:00"/>
    <s v="Standard"/>
    <n v="399"/>
    <n v="18.8"/>
    <n v="5"/>
    <n v="4"/>
    <n v="17"/>
    <n v="40"/>
    <s v="Yes"/>
    <s v="No"/>
    <s v="Yes"/>
    <s v="Yes"/>
    <s v="Yes"/>
    <s v="No"/>
    <m/>
    <s v="1+ Failures"/>
    <n v="1"/>
    <x v="1"/>
  </r>
  <r>
    <n v="2469"/>
    <d v="2024-06-07T00:00:00"/>
    <s v="Standard"/>
    <n v="399"/>
    <n v="21.6"/>
    <n v="0"/>
    <n v="2"/>
    <n v="10"/>
    <n v="9"/>
    <s v="No"/>
    <s v="No"/>
    <s v="Yes"/>
    <s v="No"/>
    <s v="No"/>
    <s v="No"/>
    <m/>
    <s v="1+ Failures"/>
    <n v="0"/>
    <x v="3"/>
  </r>
  <r>
    <n v="2470"/>
    <d v="2023-02-24T00:00:00"/>
    <s v="Premium"/>
    <n v="699"/>
    <n v="9.9"/>
    <n v="8"/>
    <n v="1"/>
    <n v="30"/>
    <n v="46"/>
    <s v="Yes"/>
    <s v="No"/>
    <s v="Yes"/>
    <s v="Yes"/>
    <s v="Yes"/>
    <s v="No"/>
    <m/>
    <s v="1+ Failures"/>
    <n v="1"/>
    <x v="2"/>
  </r>
  <r>
    <n v="2471"/>
    <d v="2024-04-13T00:00:00"/>
    <s v="Premium"/>
    <n v="699"/>
    <n v="18.100000000000001"/>
    <n v="1"/>
    <n v="5"/>
    <n v="12"/>
    <n v="30"/>
    <s v="Yes"/>
    <s v="No"/>
    <s v="Yes"/>
    <s v="No"/>
    <s v="Yes"/>
    <s v="No"/>
    <m/>
    <s v="1+ Failures"/>
    <n v="1"/>
    <x v="1"/>
  </r>
  <r>
    <n v="2472"/>
    <d v="2023-07-10T00:00:00"/>
    <s v="Premium"/>
    <n v="699"/>
    <n v="5.4"/>
    <n v="3"/>
    <n v="4"/>
    <n v="14"/>
    <n v="41"/>
    <s v="Yes"/>
    <s v="No"/>
    <s v="Yes"/>
    <s v="No"/>
    <s v="Yes"/>
    <s v="No"/>
    <m/>
    <s v="1+ Failures"/>
    <n v="1"/>
    <x v="2"/>
  </r>
  <r>
    <n v="2473"/>
    <d v="2023-08-08T00:00:00"/>
    <s v="Basic"/>
    <n v="199"/>
    <n v="5"/>
    <n v="2"/>
    <n v="4"/>
    <n v="21"/>
    <n v="36"/>
    <s v="No"/>
    <s v="No"/>
    <s v="Yes"/>
    <s v="No"/>
    <s v="Yes"/>
    <s v="No"/>
    <m/>
    <s v="1+ Failures"/>
    <n v="0"/>
    <x v="0"/>
  </r>
  <r>
    <n v="2474"/>
    <d v="2024-11-04T00:00:00"/>
    <s v="Premium"/>
    <n v="699"/>
    <n v="22.1"/>
    <n v="1"/>
    <n v="5"/>
    <n v="27"/>
    <n v="27"/>
    <s v="No"/>
    <s v="No"/>
    <s v="Yes"/>
    <s v="No"/>
    <s v="Yes"/>
    <s v="No"/>
    <m/>
    <s v="1+ Failures"/>
    <n v="0"/>
    <x v="3"/>
  </r>
  <r>
    <n v="2475"/>
    <d v="2023-06-20T00:00:00"/>
    <s v="Premium"/>
    <n v="699"/>
    <n v="16.2"/>
    <n v="3"/>
    <n v="4"/>
    <n v="5"/>
    <n v="35"/>
    <s v="Yes"/>
    <s v="No"/>
    <s v="Yes"/>
    <s v="No"/>
    <s v="Yes"/>
    <s v="Yes"/>
    <m/>
    <s v="1+ Failures"/>
    <n v="1"/>
    <x v="1"/>
  </r>
  <r>
    <n v="2476"/>
    <d v="2023-07-28T00:00:00"/>
    <s v="Standard"/>
    <n v="399"/>
    <n v="17.7"/>
    <n v="3"/>
    <n v="4"/>
    <n v="24"/>
    <n v="54"/>
    <s v="No"/>
    <s v="No"/>
    <s v="Yes"/>
    <s v="No"/>
    <s v="Yes"/>
    <s v="No"/>
    <m/>
    <s v="1+ Failures"/>
    <n v="0"/>
    <x v="1"/>
  </r>
  <r>
    <n v="2477"/>
    <d v="2024-10-22T00:00:00"/>
    <s v="Standard"/>
    <n v="399"/>
    <n v="23.5"/>
    <n v="4"/>
    <n v="3"/>
    <n v="36"/>
    <n v="7"/>
    <s v="Yes"/>
    <s v="No"/>
    <s v="Yes"/>
    <s v="No"/>
    <s v="No"/>
    <s v="No"/>
    <m/>
    <s v="1+ Failures"/>
    <n v="1"/>
    <x v="3"/>
  </r>
  <r>
    <n v="2478"/>
    <d v="2024-08-07T00:00:00"/>
    <s v="Standard"/>
    <n v="399"/>
    <n v="5.9"/>
    <n v="6"/>
    <n v="2"/>
    <n v="32"/>
    <n v="15"/>
    <s v="No"/>
    <s v="No"/>
    <s v="Yes"/>
    <s v="Yes"/>
    <s v="Yes"/>
    <s v="No"/>
    <m/>
    <s v="1+ Failures"/>
    <n v="0"/>
    <x v="2"/>
  </r>
  <r>
    <n v="2479"/>
    <d v="2023-07-04T00:00:00"/>
    <s v="Standard"/>
    <n v="399"/>
    <n v="21.7"/>
    <n v="7"/>
    <n v="4"/>
    <n v="17"/>
    <n v="45"/>
    <s v="Yes"/>
    <s v="No"/>
    <s v="Yes"/>
    <s v="Yes"/>
    <s v="Yes"/>
    <s v="No"/>
    <m/>
    <s v="1+ Failures"/>
    <n v="1"/>
    <x v="3"/>
  </r>
  <r>
    <n v="2480"/>
    <d v="2023-12-06T00:00:00"/>
    <s v="Standard"/>
    <n v="399"/>
    <n v="0.6"/>
    <n v="2"/>
    <n v="3"/>
    <n v="29"/>
    <n v="4"/>
    <s v="Yes"/>
    <s v="Yes"/>
    <s v="Yes"/>
    <s v="No"/>
    <s v="No"/>
    <s v="No"/>
    <m/>
    <s v="1+ Failures"/>
    <n v="1"/>
    <x v="0"/>
  </r>
  <r>
    <n v="2481"/>
    <d v="2024-12-25T00:00:00"/>
    <s v="Basic"/>
    <n v="199"/>
    <n v="19.100000000000001"/>
    <n v="7"/>
    <n v="5"/>
    <n v="30"/>
    <n v="7"/>
    <s v="Yes"/>
    <s v="No"/>
    <s v="Yes"/>
    <s v="Yes"/>
    <s v="No"/>
    <s v="No"/>
    <m/>
    <s v="1+ Failures"/>
    <n v="1"/>
    <x v="1"/>
  </r>
  <r>
    <n v="2482"/>
    <d v="2023-01-29T00:00:00"/>
    <s v="Standard"/>
    <n v="399"/>
    <n v="14.7"/>
    <n v="8"/>
    <n v="4"/>
    <n v="9"/>
    <n v="15"/>
    <s v="Yes"/>
    <s v="No"/>
    <s v="Yes"/>
    <s v="Yes"/>
    <s v="Yes"/>
    <s v="No"/>
    <m/>
    <s v="1+ Failures"/>
    <n v="1"/>
    <x v="1"/>
  </r>
  <r>
    <n v="2483"/>
    <d v="2023-02-25T00:00:00"/>
    <s v="Premium"/>
    <n v="699"/>
    <n v="3.8"/>
    <n v="5"/>
    <n v="3"/>
    <n v="7"/>
    <n v="46"/>
    <s v="Yes"/>
    <s v="Yes"/>
    <s v="Yes"/>
    <s v="Yes"/>
    <s v="Yes"/>
    <s v="No"/>
    <m/>
    <s v="1+ Failures"/>
    <n v="1"/>
    <x v="0"/>
  </r>
  <r>
    <n v="2484"/>
    <d v="2024-09-13T00:00:00"/>
    <s v="Premium"/>
    <n v="699"/>
    <n v="4.7"/>
    <n v="0"/>
    <n v="2"/>
    <n v="13"/>
    <n v="48"/>
    <s v="Yes"/>
    <s v="Yes"/>
    <s v="Yes"/>
    <s v="No"/>
    <s v="Yes"/>
    <s v="No"/>
    <m/>
    <s v="1+ Failures"/>
    <n v="1"/>
    <x v="0"/>
  </r>
  <r>
    <n v="2485"/>
    <d v="2023-08-04T00:00:00"/>
    <s v="Premium"/>
    <n v="699"/>
    <n v="13.2"/>
    <n v="8"/>
    <n v="4"/>
    <n v="30"/>
    <n v="28"/>
    <s v="Yes"/>
    <s v="No"/>
    <s v="Yes"/>
    <s v="Yes"/>
    <s v="Yes"/>
    <s v="No"/>
    <m/>
    <s v="1+ Failures"/>
    <n v="1"/>
    <x v="1"/>
  </r>
  <r>
    <n v="2486"/>
    <d v="2024-02-08T00:00:00"/>
    <s v="Premium"/>
    <n v="699"/>
    <n v="16.899999999999999"/>
    <n v="5"/>
    <n v="1"/>
    <n v="24"/>
    <n v="15"/>
    <s v="No"/>
    <s v="No"/>
    <s v="Yes"/>
    <s v="Yes"/>
    <s v="Yes"/>
    <s v="No"/>
    <m/>
    <s v="1+ Failures"/>
    <n v="0"/>
    <x v="1"/>
  </r>
  <r>
    <n v="2487"/>
    <d v="2024-10-22T00:00:00"/>
    <s v="Basic"/>
    <n v="199"/>
    <n v="5.4"/>
    <n v="4"/>
    <n v="2"/>
    <n v="3"/>
    <n v="15"/>
    <s v="No"/>
    <s v="No"/>
    <s v="Yes"/>
    <s v="No"/>
    <s v="Yes"/>
    <s v="Yes"/>
    <m/>
    <s v="1+ Failures"/>
    <n v="0"/>
    <x v="2"/>
  </r>
  <r>
    <n v="2488"/>
    <d v="2023-08-04T00:00:00"/>
    <s v="Basic"/>
    <n v="199"/>
    <n v="3.2"/>
    <n v="1"/>
    <n v="2"/>
    <n v="21"/>
    <n v="53"/>
    <s v="No"/>
    <s v="Yes"/>
    <s v="Yes"/>
    <s v="No"/>
    <s v="Yes"/>
    <s v="No"/>
    <m/>
    <s v="1+ Failures"/>
    <n v="0"/>
    <x v="0"/>
  </r>
  <r>
    <n v="2489"/>
    <d v="2024-08-23T00:00:00"/>
    <s v="Premium"/>
    <n v="699"/>
    <n v="1.1000000000000001"/>
    <n v="2"/>
    <n v="5"/>
    <n v="6"/>
    <n v="36"/>
    <s v="Yes"/>
    <s v="Yes"/>
    <s v="Yes"/>
    <s v="No"/>
    <s v="Yes"/>
    <s v="No"/>
    <m/>
    <s v="1+ Failures"/>
    <n v="1"/>
    <x v="0"/>
  </r>
  <r>
    <n v="2490"/>
    <d v="2024-10-31T00:00:00"/>
    <s v="Premium"/>
    <n v="699"/>
    <n v="16.8"/>
    <n v="1"/>
    <n v="2"/>
    <n v="23"/>
    <n v="12"/>
    <s v="No"/>
    <s v="No"/>
    <s v="Yes"/>
    <s v="No"/>
    <s v="No"/>
    <s v="No"/>
    <m/>
    <s v="1+ Failures"/>
    <n v="0"/>
    <x v="1"/>
  </r>
  <r>
    <n v="2491"/>
    <d v="2024-04-26T00:00:00"/>
    <s v="Premium"/>
    <n v="699"/>
    <n v="5.2"/>
    <n v="3"/>
    <n v="0"/>
    <n v="33"/>
    <n v="36"/>
    <s v="No"/>
    <s v="No"/>
    <s v="No"/>
    <s v="No"/>
    <s v="Yes"/>
    <s v="No"/>
    <m/>
    <s v="0 Failures"/>
    <n v="0"/>
    <x v="2"/>
  </r>
  <r>
    <n v="2492"/>
    <d v="2023-05-29T00:00:00"/>
    <s v="Basic"/>
    <n v="199"/>
    <n v="17.3"/>
    <n v="7"/>
    <n v="0"/>
    <n v="14"/>
    <n v="38"/>
    <s v="No"/>
    <s v="No"/>
    <s v="No"/>
    <s v="Yes"/>
    <s v="Yes"/>
    <s v="No"/>
    <m/>
    <s v="0 Failures"/>
    <n v="0"/>
    <x v="1"/>
  </r>
  <r>
    <n v="2493"/>
    <d v="2024-12-04T00:00:00"/>
    <s v="Standard"/>
    <n v="399"/>
    <n v="16"/>
    <n v="2"/>
    <n v="0"/>
    <n v="4"/>
    <n v="13"/>
    <s v="No"/>
    <s v="No"/>
    <s v="No"/>
    <s v="No"/>
    <s v="No"/>
    <s v="Yes"/>
    <m/>
    <s v="0 Failures"/>
    <n v="0"/>
    <x v="1"/>
  </r>
  <r>
    <n v="2494"/>
    <d v="2024-11-20T00:00:00"/>
    <s v="Premium"/>
    <n v="699"/>
    <n v="10.5"/>
    <n v="2"/>
    <n v="0"/>
    <n v="30"/>
    <n v="7"/>
    <s v="No"/>
    <s v="No"/>
    <s v="No"/>
    <s v="No"/>
    <s v="No"/>
    <s v="No"/>
    <m/>
    <s v="0 Failures"/>
    <n v="0"/>
    <x v="1"/>
  </r>
  <r>
    <n v="2495"/>
    <d v="2023-02-12T00:00:00"/>
    <s v="Basic"/>
    <n v="199"/>
    <n v="3.3"/>
    <n v="6"/>
    <n v="0"/>
    <n v="8"/>
    <n v="8"/>
    <s v="No"/>
    <s v="Yes"/>
    <s v="No"/>
    <s v="Yes"/>
    <s v="No"/>
    <s v="No"/>
    <m/>
    <s v="0 Failures"/>
    <n v="0"/>
    <x v="0"/>
  </r>
  <r>
    <n v="2496"/>
    <d v="2024-03-24T00:00:00"/>
    <s v="Basic"/>
    <n v="199"/>
    <n v="11.4"/>
    <n v="5"/>
    <n v="5"/>
    <n v="3"/>
    <n v="47"/>
    <s v="No"/>
    <s v="No"/>
    <s v="Yes"/>
    <s v="Yes"/>
    <s v="Yes"/>
    <s v="Yes"/>
    <m/>
    <s v="1+ Failures"/>
    <n v="0"/>
    <x v="1"/>
  </r>
  <r>
    <n v="2497"/>
    <d v="2024-03-17T00:00:00"/>
    <s v="Basic"/>
    <n v="199"/>
    <n v="23.2"/>
    <n v="3"/>
    <n v="0"/>
    <n v="13"/>
    <n v="18"/>
    <s v="No"/>
    <s v="No"/>
    <s v="No"/>
    <s v="No"/>
    <s v="Yes"/>
    <s v="No"/>
    <m/>
    <s v="0 Failures"/>
    <n v="0"/>
    <x v="3"/>
  </r>
  <r>
    <n v="2498"/>
    <d v="2024-11-12T00:00:00"/>
    <s v="Standard"/>
    <n v="399"/>
    <n v="5.6"/>
    <n v="0"/>
    <n v="5"/>
    <n v="22"/>
    <n v="11"/>
    <s v="No"/>
    <s v="No"/>
    <s v="Yes"/>
    <s v="No"/>
    <s v="No"/>
    <s v="No"/>
    <m/>
    <s v="1+ Failures"/>
    <n v="0"/>
    <x v="2"/>
  </r>
  <r>
    <n v="2499"/>
    <d v="2023-01-24T00:00:00"/>
    <s v="Standard"/>
    <n v="399"/>
    <n v="3"/>
    <n v="4"/>
    <n v="1"/>
    <n v="34"/>
    <n v="6"/>
    <s v="Yes"/>
    <s v="Yes"/>
    <s v="Yes"/>
    <s v="No"/>
    <s v="No"/>
    <s v="No"/>
    <m/>
    <s v="1+ Failures"/>
    <n v="1"/>
    <x v="0"/>
  </r>
  <r>
    <n v="2500"/>
    <d v="2024-11-11T00:00:00"/>
    <s v="Premium"/>
    <n v="699"/>
    <n v="15.8"/>
    <n v="2"/>
    <n v="2"/>
    <n v="26"/>
    <n v="55"/>
    <s v="Yes"/>
    <s v="No"/>
    <s v="Yes"/>
    <s v="No"/>
    <s v="Yes"/>
    <s v="No"/>
    <m/>
    <s v="1+ Failures"/>
    <n v="1"/>
    <x v="1"/>
  </r>
  <r>
    <n v="2501"/>
    <d v="2024-08-28T00:00:00"/>
    <s v="Standard"/>
    <n v="399"/>
    <n v="4.2"/>
    <n v="4"/>
    <n v="3"/>
    <n v="9"/>
    <n v="8"/>
    <s v="Yes"/>
    <s v="Yes"/>
    <s v="Yes"/>
    <s v="No"/>
    <s v="No"/>
    <s v="No"/>
    <m/>
    <s v="1+ Failures"/>
    <n v="1"/>
    <x v="0"/>
  </r>
  <r>
    <n v="2502"/>
    <d v="2023-03-09T00:00:00"/>
    <s v="Basic"/>
    <n v="199"/>
    <n v="24.9"/>
    <n v="5"/>
    <n v="5"/>
    <n v="24"/>
    <n v="24"/>
    <s v="No"/>
    <s v="No"/>
    <s v="Yes"/>
    <s v="Yes"/>
    <s v="Yes"/>
    <s v="No"/>
    <m/>
    <s v="1+ Failures"/>
    <n v="0"/>
    <x v="3"/>
  </r>
  <r>
    <n v="2503"/>
    <d v="2023-12-20T00:00:00"/>
    <s v="Premium"/>
    <n v="699"/>
    <n v="20.2"/>
    <n v="3"/>
    <n v="5"/>
    <n v="1"/>
    <n v="42"/>
    <s v="Yes"/>
    <s v="No"/>
    <s v="Yes"/>
    <s v="No"/>
    <s v="Yes"/>
    <s v="Yes"/>
    <m/>
    <s v="1+ Failures"/>
    <n v="1"/>
    <x v="3"/>
  </r>
  <r>
    <n v="2504"/>
    <d v="2023-10-10T00:00:00"/>
    <s v="Basic"/>
    <n v="199"/>
    <n v="20.7"/>
    <n v="1"/>
    <n v="1"/>
    <n v="32"/>
    <n v="29"/>
    <s v="Yes"/>
    <s v="No"/>
    <s v="Yes"/>
    <s v="No"/>
    <s v="Yes"/>
    <s v="No"/>
    <m/>
    <s v="1+ Failures"/>
    <n v="1"/>
    <x v="3"/>
  </r>
  <r>
    <n v="2505"/>
    <d v="2023-11-11T00:00:00"/>
    <s v="Basic"/>
    <n v="199"/>
    <n v="23.4"/>
    <n v="8"/>
    <n v="2"/>
    <n v="28"/>
    <n v="34"/>
    <s v="Yes"/>
    <s v="No"/>
    <s v="Yes"/>
    <s v="Yes"/>
    <s v="Yes"/>
    <s v="No"/>
    <m/>
    <s v="1+ Failures"/>
    <n v="1"/>
    <x v="3"/>
  </r>
  <r>
    <n v="2506"/>
    <d v="2023-06-09T00:00:00"/>
    <s v="Basic"/>
    <n v="199"/>
    <n v="21.2"/>
    <n v="4"/>
    <n v="0"/>
    <n v="14"/>
    <n v="56"/>
    <s v="No"/>
    <s v="No"/>
    <s v="No"/>
    <s v="No"/>
    <s v="Yes"/>
    <s v="No"/>
    <m/>
    <s v="0 Failures"/>
    <n v="0"/>
    <x v="3"/>
  </r>
  <r>
    <n v="2507"/>
    <d v="2023-06-15T00:00:00"/>
    <s v="Basic"/>
    <n v="199"/>
    <n v="24.8"/>
    <n v="0"/>
    <n v="3"/>
    <n v="10"/>
    <n v="7"/>
    <s v="No"/>
    <s v="No"/>
    <s v="Yes"/>
    <s v="No"/>
    <s v="No"/>
    <s v="No"/>
    <m/>
    <s v="1+ Failures"/>
    <n v="0"/>
    <x v="3"/>
  </r>
  <r>
    <n v="2508"/>
    <d v="2023-03-04T00:00:00"/>
    <s v="Standard"/>
    <n v="399"/>
    <n v="14.2"/>
    <n v="4"/>
    <n v="0"/>
    <n v="15"/>
    <n v="10"/>
    <s v="No"/>
    <s v="No"/>
    <s v="No"/>
    <s v="No"/>
    <s v="No"/>
    <s v="No"/>
    <m/>
    <s v="0 Failures"/>
    <n v="0"/>
    <x v="1"/>
  </r>
  <r>
    <n v="2509"/>
    <d v="2023-10-16T00:00:00"/>
    <s v="Standard"/>
    <n v="399"/>
    <n v="11.1"/>
    <n v="0"/>
    <n v="3"/>
    <n v="6"/>
    <n v="14"/>
    <s v="Yes"/>
    <s v="No"/>
    <s v="Yes"/>
    <s v="No"/>
    <s v="No"/>
    <s v="No"/>
    <m/>
    <s v="1+ Failures"/>
    <n v="1"/>
    <x v="1"/>
  </r>
  <r>
    <n v="2510"/>
    <d v="2024-10-08T00:00:00"/>
    <s v="Premium"/>
    <n v="699"/>
    <n v="8.9"/>
    <n v="4"/>
    <n v="1"/>
    <n v="7"/>
    <n v="52"/>
    <s v="No"/>
    <s v="No"/>
    <s v="Yes"/>
    <s v="No"/>
    <s v="Yes"/>
    <s v="No"/>
    <m/>
    <s v="1+ Failures"/>
    <n v="0"/>
    <x v="2"/>
  </r>
  <r>
    <n v="2511"/>
    <d v="2023-01-18T00:00:00"/>
    <s v="Premium"/>
    <n v="699"/>
    <n v="5.9"/>
    <n v="4"/>
    <n v="0"/>
    <n v="1"/>
    <n v="15"/>
    <s v="Yes"/>
    <s v="No"/>
    <s v="No"/>
    <s v="No"/>
    <s v="Yes"/>
    <s v="Yes"/>
    <m/>
    <s v="0 Failures"/>
    <n v="1"/>
    <x v="2"/>
  </r>
  <r>
    <n v="2512"/>
    <d v="2024-10-17T00:00:00"/>
    <s v="Premium"/>
    <n v="699"/>
    <n v="22.7"/>
    <n v="6"/>
    <n v="3"/>
    <n v="24"/>
    <n v="36"/>
    <s v="No"/>
    <s v="No"/>
    <s v="Yes"/>
    <s v="Yes"/>
    <s v="Yes"/>
    <s v="No"/>
    <m/>
    <s v="1+ Failures"/>
    <n v="0"/>
    <x v="3"/>
  </r>
  <r>
    <n v="2513"/>
    <d v="2024-08-27T00:00:00"/>
    <s v="Standard"/>
    <n v="399"/>
    <n v="10.9"/>
    <n v="4"/>
    <n v="4"/>
    <n v="24"/>
    <n v="4"/>
    <s v="Yes"/>
    <s v="No"/>
    <s v="Yes"/>
    <s v="No"/>
    <s v="No"/>
    <s v="No"/>
    <m/>
    <s v="1+ Failures"/>
    <n v="1"/>
    <x v="1"/>
  </r>
  <r>
    <n v="2514"/>
    <d v="2024-05-06T00:00:00"/>
    <s v="Premium"/>
    <n v="699"/>
    <n v="9.6"/>
    <n v="6"/>
    <n v="1"/>
    <n v="23"/>
    <n v="60"/>
    <s v="Yes"/>
    <s v="No"/>
    <s v="Yes"/>
    <s v="Yes"/>
    <s v="Yes"/>
    <s v="No"/>
    <m/>
    <s v="1+ Failures"/>
    <n v="1"/>
    <x v="2"/>
  </r>
  <r>
    <n v="2515"/>
    <d v="2023-02-15T00:00:00"/>
    <s v="Basic"/>
    <n v="199"/>
    <n v="21"/>
    <n v="4"/>
    <n v="3"/>
    <n v="9"/>
    <n v="27"/>
    <s v="Yes"/>
    <s v="No"/>
    <s v="Yes"/>
    <s v="No"/>
    <s v="Yes"/>
    <s v="No"/>
    <m/>
    <s v="1+ Failures"/>
    <n v="1"/>
    <x v="3"/>
  </r>
  <r>
    <n v="2516"/>
    <d v="2024-02-27T00:00:00"/>
    <s v="Premium"/>
    <n v="699"/>
    <n v="19.3"/>
    <n v="8"/>
    <n v="0"/>
    <n v="4"/>
    <n v="2"/>
    <s v="Yes"/>
    <s v="No"/>
    <s v="No"/>
    <s v="Yes"/>
    <s v="No"/>
    <s v="Yes"/>
    <m/>
    <s v="0 Failures"/>
    <n v="1"/>
    <x v="1"/>
  </r>
  <r>
    <n v="2517"/>
    <d v="2024-05-15T00:00:00"/>
    <s v="Premium"/>
    <n v="699"/>
    <n v="3"/>
    <n v="6"/>
    <n v="2"/>
    <n v="15"/>
    <n v="48"/>
    <s v="Yes"/>
    <s v="Yes"/>
    <s v="Yes"/>
    <s v="Yes"/>
    <s v="Yes"/>
    <s v="No"/>
    <m/>
    <s v="1+ Failures"/>
    <n v="1"/>
    <x v="0"/>
  </r>
  <r>
    <n v="2518"/>
    <d v="2024-11-17T00:00:00"/>
    <s v="Basic"/>
    <n v="199"/>
    <n v="13.1"/>
    <n v="8"/>
    <n v="0"/>
    <n v="28"/>
    <n v="33"/>
    <s v="Yes"/>
    <s v="No"/>
    <s v="No"/>
    <s v="Yes"/>
    <s v="Yes"/>
    <s v="No"/>
    <m/>
    <s v="0 Failures"/>
    <n v="1"/>
    <x v="1"/>
  </r>
  <r>
    <n v="2519"/>
    <d v="2024-12-22T00:00:00"/>
    <s v="Standard"/>
    <n v="399"/>
    <n v="3.1"/>
    <n v="0"/>
    <n v="5"/>
    <n v="29"/>
    <n v="6"/>
    <s v="No"/>
    <s v="Yes"/>
    <s v="Yes"/>
    <s v="No"/>
    <s v="No"/>
    <s v="No"/>
    <m/>
    <s v="1+ Failures"/>
    <n v="0"/>
    <x v="0"/>
  </r>
  <r>
    <n v="2520"/>
    <d v="2023-09-10T00:00:00"/>
    <s v="Basic"/>
    <n v="199"/>
    <n v="2.6"/>
    <n v="8"/>
    <n v="0"/>
    <n v="30"/>
    <n v="26"/>
    <s v="Yes"/>
    <s v="Yes"/>
    <s v="No"/>
    <s v="Yes"/>
    <s v="Yes"/>
    <s v="No"/>
    <m/>
    <s v="0 Failures"/>
    <n v="1"/>
    <x v="0"/>
  </r>
  <r>
    <n v="2521"/>
    <d v="2023-10-22T00:00:00"/>
    <s v="Basic"/>
    <n v="199"/>
    <n v="18"/>
    <n v="5"/>
    <n v="0"/>
    <n v="30"/>
    <n v="3"/>
    <s v="No"/>
    <s v="No"/>
    <s v="No"/>
    <s v="Yes"/>
    <s v="No"/>
    <s v="No"/>
    <m/>
    <s v="0 Failures"/>
    <n v="0"/>
    <x v="1"/>
  </r>
  <r>
    <n v="2522"/>
    <d v="2023-06-29T00:00:00"/>
    <s v="Standard"/>
    <n v="399"/>
    <n v="23.9"/>
    <n v="7"/>
    <n v="2"/>
    <n v="34"/>
    <n v="12"/>
    <s v="No"/>
    <s v="No"/>
    <s v="Yes"/>
    <s v="Yes"/>
    <s v="No"/>
    <s v="No"/>
    <m/>
    <s v="1+ Failures"/>
    <n v="0"/>
    <x v="3"/>
  </r>
  <r>
    <n v="2523"/>
    <d v="2024-06-24T00:00:00"/>
    <s v="Basic"/>
    <n v="199"/>
    <n v="1.1000000000000001"/>
    <n v="6"/>
    <n v="1"/>
    <n v="13"/>
    <n v="22"/>
    <s v="Yes"/>
    <s v="Yes"/>
    <s v="Yes"/>
    <s v="Yes"/>
    <s v="Yes"/>
    <s v="No"/>
    <m/>
    <s v="1+ Failures"/>
    <n v="1"/>
    <x v="0"/>
  </r>
  <r>
    <n v="2524"/>
    <d v="2023-07-29T00:00:00"/>
    <s v="Premium"/>
    <n v="699"/>
    <n v="11.4"/>
    <n v="6"/>
    <n v="4"/>
    <n v="23"/>
    <n v="16"/>
    <s v="Yes"/>
    <s v="No"/>
    <s v="Yes"/>
    <s v="Yes"/>
    <s v="Yes"/>
    <s v="No"/>
    <m/>
    <s v="1+ Failures"/>
    <n v="1"/>
    <x v="1"/>
  </r>
  <r>
    <n v="2525"/>
    <d v="2023-07-25T00:00:00"/>
    <s v="Basic"/>
    <n v="199"/>
    <n v="0.6"/>
    <n v="3"/>
    <n v="5"/>
    <n v="36"/>
    <n v="51"/>
    <s v="No"/>
    <s v="Yes"/>
    <s v="Yes"/>
    <s v="No"/>
    <s v="Yes"/>
    <s v="No"/>
    <m/>
    <s v="1+ Failures"/>
    <n v="0"/>
    <x v="0"/>
  </r>
  <r>
    <n v="2526"/>
    <d v="2024-02-08T00:00:00"/>
    <s v="Premium"/>
    <n v="699"/>
    <n v="4.3"/>
    <n v="7"/>
    <n v="2"/>
    <n v="26"/>
    <n v="53"/>
    <s v="Yes"/>
    <s v="Yes"/>
    <s v="Yes"/>
    <s v="Yes"/>
    <s v="Yes"/>
    <s v="No"/>
    <m/>
    <s v="1+ Failures"/>
    <n v="1"/>
    <x v="0"/>
  </r>
  <r>
    <n v="2527"/>
    <d v="2024-12-17T00:00:00"/>
    <s v="Standard"/>
    <n v="399"/>
    <n v="2.4"/>
    <n v="1"/>
    <n v="4"/>
    <n v="10"/>
    <n v="15"/>
    <s v="No"/>
    <s v="Yes"/>
    <s v="Yes"/>
    <s v="No"/>
    <s v="Yes"/>
    <s v="No"/>
    <m/>
    <s v="1+ Failures"/>
    <n v="0"/>
    <x v="0"/>
  </r>
  <r>
    <n v="2528"/>
    <d v="2023-11-15T00:00:00"/>
    <s v="Standard"/>
    <n v="399"/>
    <n v="1.3"/>
    <n v="4"/>
    <n v="3"/>
    <n v="2"/>
    <n v="26"/>
    <s v="Yes"/>
    <s v="Yes"/>
    <s v="Yes"/>
    <s v="No"/>
    <s v="Yes"/>
    <s v="Yes"/>
    <m/>
    <s v="1+ Failures"/>
    <n v="1"/>
    <x v="0"/>
  </r>
  <r>
    <n v="2529"/>
    <d v="2024-11-13T00:00:00"/>
    <s v="Standard"/>
    <n v="399"/>
    <n v="19"/>
    <n v="1"/>
    <n v="0"/>
    <n v="2"/>
    <n v="28"/>
    <s v="No"/>
    <s v="No"/>
    <s v="No"/>
    <s v="No"/>
    <s v="Yes"/>
    <s v="Yes"/>
    <m/>
    <s v="0 Failures"/>
    <n v="0"/>
    <x v="1"/>
  </r>
  <r>
    <n v="2530"/>
    <d v="2024-08-22T00:00:00"/>
    <s v="Standard"/>
    <n v="399"/>
    <n v="22.9"/>
    <n v="0"/>
    <n v="0"/>
    <n v="8"/>
    <n v="47"/>
    <s v="No"/>
    <s v="No"/>
    <s v="No"/>
    <s v="No"/>
    <s v="Yes"/>
    <s v="No"/>
    <m/>
    <s v="0 Failures"/>
    <n v="0"/>
    <x v="3"/>
  </r>
  <r>
    <n v="2531"/>
    <d v="2024-12-17T00:00:00"/>
    <s v="Basic"/>
    <n v="199"/>
    <n v="19.3"/>
    <n v="8"/>
    <n v="0"/>
    <n v="35"/>
    <n v="52"/>
    <s v="No"/>
    <s v="No"/>
    <s v="No"/>
    <s v="Yes"/>
    <s v="Yes"/>
    <s v="No"/>
    <m/>
    <s v="0 Failures"/>
    <n v="0"/>
    <x v="1"/>
  </r>
  <r>
    <n v="2532"/>
    <d v="2023-03-09T00:00:00"/>
    <s v="Premium"/>
    <n v="699"/>
    <n v="14.6"/>
    <n v="5"/>
    <n v="1"/>
    <n v="18"/>
    <n v="42"/>
    <s v="No"/>
    <s v="No"/>
    <s v="Yes"/>
    <s v="Yes"/>
    <s v="Yes"/>
    <s v="No"/>
    <m/>
    <s v="1+ Failures"/>
    <n v="0"/>
    <x v="1"/>
  </r>
  <r>
    <n v="2533"/>
    <d v="2024-10-24T00:00:00"/>
    <s v="Standard"/>
    <n v="399"/>
    <n v="1.5"/>
    <n v="8"/>
    <n v="0"/>
    <n v="12"/>
    <n v="51"/>
    <s v="Yes"/>
    <s v="Yes"/>
    <s v="No"/>
    <s v="Yes"/>
    <s v="Yes"/>
    <s v="No"/>
    <m/>
    <s v="0 Failures"/>
    <n v="1"/>
    <x v="0"/>
  </r>
  <r>
    <n v="2534"/>
    <d v="2024-10-16T00:00:00"/>
    <s v="Premium"/>
    <n v="699"/>
    <n v="23.3"/>
    <n v="6"/>
    <n v="4"/>
    <n v="32"/>
    <n v="33"/>
    <s v="No"/>
    <s v="No"/>
    <s v="Yes"/>
    <s v="Yes"/>
    <s v="Yes"/>
    <s v="No"/>
    <m/>
    <s v="1+ Failures"/>
    <n v="0"/>
    <x v="3"/>
  </r>
  <r>
    <n v="2535"/>
    <d v="2024-01-27T00:00:00"/>
    <s v="Basic"/>
    <n v="199"/>
    <n v="5.4"/>
    <n v="7"/>
    <n v="5"/>
    <n v="5"/>
    <n v="7"/>
    <s v="No"/>
    <s v="No"/>
    <s v="Yes"/>
    <s v="Yes"/>
    <s v="No"/>
    <s v="Yes"/>
    <m/>
    <s v="1+ Failures"/>
    <n v="0"/>
    <x v="2"/>
  </r>
  <r>
    <n v="2536"/>
    <d v="2023-04-12T00:00:00"/>
    <s v="Premium"/>
    <n v="699"/>
    <n v="18.899999999999999"/>
    <n v="1"/>
    <n v="3"/>
    <n v="36"/>
    <n v="58"/>
    <s v="Yes"/>
    <s v="No"/>
    <s v="Yes"/>
    <s v="No"/>
    <s v="Yes"/>
    <s v="No"/>
    <m/>
    <s v="1+ Failures"/>
    <n v="1"/>
    <x v="1"/>
  </r>
  <r>
    <n v="2537"/>
    <d v="2023-09-12T00:00:00"/>
    <s v="Basic"/>
    <n v="199"/>
    <n v="12.4"/>
    <n v="0"/>
    <n v="3"/>
    <n v="14"/>
    <n v="30"/>
    <s v="Yes"/>
    <s v="No"/>
    <s v="Yes"/>
    <s v="No"/>
    <s v="Yes"/>
    <s v="No"/>
    <m/>
    <s v="1+ Failures"/>
    <n v="1"/>
    <x v="1"/>
  </r>
  <r>
    <n v="2538"/>
    <d v="2024-06-11T00:00:00"/>
    <s v="Basic"/>
    <n v="199"/>
    <n v="19.2"/>
    <n v="6"/>
    <n v="1"/>
    <n v="12"/>
    <n v="13"/>
    <s v="No"/>
    <s v="No"/>
    <s v="Yes"/>
    <s v="Yes"/>
    <s v="No"/>
    <s v="No"/>
    <m/>
    <s v="1+ Failures"/>
    <n v="0"/>
    <x v="1"/>
  </r>
  <r>
    <n v="2539"/>
    <d v="2023-03-10T00:00:00"/>
    <s v="Premium"/>
    <n v="699"/>
    <n v="14.8"/>
    <n v="1"/>
    <n v="4"/>
    <n v="19"/>
    <n v="28"/>
    <s v="No"/>
    <s v="No"/>
    <s v="Yes"/>
    <s v="No"/>
    <s v="Yes"/>
    <s v="No"/>
    <m/>
    <s v="1+ Failures"/>
    <n v="0"/>
    <x v="1"/>
  </r>
  <r>
    <n v="2540"/>
    <d v="2024-04-23T00:00:00"/>
    <s v="Premium"/>
    <n v="699"/>
    <n v="4.5"/>
    <n v="6"/>
    <n v="5"/>
    <n v="17"/>
    <n v="8"/>
    <s v="Yes"/>
    <s v="Yes"/>
    <s v="Yes"/>
    <s v="Yes"/>
    <s v="No"/>
    <s v="No"/>
    <m/>
    <s v="1+ Failures"/>
    <n v="1"/>
    <x v="0"/>
  </r>
  <r>
    <n v="2541"/>
    <d v="2023-02-26T00:00:00"/>
    <s v="Basic"/>
    <n v="199"/>
    <n v="11.8"/>
    <n v="8"/>
    <n v="1"/>
    <n v="33"/>
    <n v="6"/>
    <s v="Yes"/>
    <s v="No"/>
    <s v="Yes"/>
    <s v="Yes"/>
    <s v="No"/>
    <s v="No"/>
    <m/>
    <s v="1+ Failures"/>
    <n v="1"/>
    <x v="1"/>
  </r>
  <r>
    <n v="2542"/>
    <d v="2024-07-12T00:00:00"/>
    <s v="Basic"/>
    <n v="199"/>
    <n v="16"/>
    <n v="4"/>
    <n v="0"/>
    <n v="2"/>
    <n v="54"/>
    <s v="No"/>
    <s v="No"/>
    <s v="No"/>
    <s v="No"/>
    <s v="Yes"/>
    <s v="Yes"/>
    <m/>
    <s v="0 Failures"/>
    <n v="0"/>
    <x v="1"/>
  </r>
  <r>
    <n v="2543"/>
    <d v="2024-08-21T00:00:00"/>
    <s v="Basic"/>
    <n v="199"/>
    <n v="9.5"/>
    <n v="8"/>
    <n v="4"/>
    <n v="16"/>
    <n v="32"/>
    <s v="No"/>
    <s v="No"/>
    <s v="Yes"/>
    <s v="Yes"/>
    <s v="Yes"/>
    <s v="No"/>
    <m/>
    <s v="1+ Failures"/>
    <n v="0"/>
    <x v="2"/>
  </r>
  <r>
    <n v="2544"/>
    <d v="2024-07-04T00:00:00"/>
    <s v="Standard"/>
    <n v="399"/>
    <n v="22.5"/>
    <n v="1"/>
    <n v="3"/>
    <n v="10"/>
    <n v="1"/>
    <s v="No"/>
    <s v="No"/>
    <s v="Yes"/>
    <s v="No"/>
    <s v="No"/>
    <s v="No"/>
    <m/>
    <s v="1+ Failures"/>
    <n v="0"/>
    <x v="3"/>
  </r>
  <r>
    <n v="2545"/>
    <d v="2023-03-14T00:00:00"/>
    <s v="Premium"/>
    <n v="699"/>
    <n v="23.2"/>
    <n v="8"/>
    <n v="0"/>
    <n v="19"/>
    <n v="52"/>
    <s v="No"/>
    <s v="No"/>
    <s v="No"/>
    <s v="Yes"/>
    <s v="Yes"/>
    <s v="No"/>
    <m/>
    <s v="0 Failures"/>
    <n v="0"/>
    <x v="3"/>
  </r>
  <r>
    <n v="2546"/>
    <d v="2023-05-04T00:00:00"/>
    <s v="Premium"/>
    <n v="699"/>
    <n v="22.4"/>
    <n v="4"/>
    <n v="4"/>
    <n v="26"/>
    <n v="8"/>
    <s v="Yes"/>
    <s v="No"/>
    <s v="Yes"/>
    <s v="No"/>
    <s v="No"/>
    <s v="No"/>
    <m/>
    <s v="1+ Failures"/>
    <n v="1"/>
    <x v="3"/>
  </r>
  <r>
    <n v="2547"/>
    <d v="2024-01-18T00:00:00"/>
    <s v="Standard"/>
    <n v="399"/>
    <n v="13.3"/>
    <n v="3"/>
    <n v="4"/>
    <n v="23"/>
    <n v="28"/>
    <s v="No"/>
    <s v="No"/>
    <s v="Yes"/>
    <s v="No"/>
    <s v="Yes"/>
    <s v="No"/>
    <m/>
    <s v="1+ Failures"/>
    <n v="0"/>
    <x v="1"/>
  </r>
  <r>
    <n v="2548"/>
    <d v="2024-03-04T00:00:00"/>
    <s v="Standard"/>
    <n v="399"/>
    <n v="13.7"/>
    <n v="0"/>
    <n v="0"/>
    <n v="1"/>
    <n v="16"/>
    <s v="No"/>
    <s v="No"/>
    <s v="No"/>
    <s v="No"/>
    <s v="Yes"/>
    <s v="Yes"/>
    <m/>
    <s v="0 Failures"/>
    <n v="0"/>
    <x v="1"/>
  </r>
  <r>
    <n v="2549"/>
    <d v="2024-07-30T00:00:00"/>
    <s v="Standard"/>
    <n v="399"/>
    <n v="12.1"/>
    <n v="1"/>
    <n v="1"/>
    <n v="21"/>
    <n v="53"/>
    <s v="Yes"/>
    <s v="No"/>
    <s v="Yes"/>
    <s v="No"/>
    <s v="Yes"/>
    <s v="No"/>
    <m/>
    <s v="1+ Failures"/>
    <n v="1"/>
    <x v="1"/>
  </r>
  <r>
    <n v="2550"/>
    <d v="2023-06-11T00:00:00"/>
    <s v="Basic"/>
    <n v="199"/>
    <n v="15.1"/>
    <n v="1"/>
    <n v="5"/>
    <n v="20"/>
    <n v="42"/>
    <s v="Yes"/>
    <s v="No"/>
    <s v="Yes"/>
    <s v="No"/>
    <s v="Yes"/>
    <s v="No"/>
    <m/>
    <s v="1+ Failures"/>
    <n v="1"/>
    <x v="1"/>
  </r>
  <r>
    <n v="2551"/>
    <d v="2024-07-27T00:00:00"/>
    <s v="Premium"/>
    <n v="699"/>
    <n v="17"/>
    <n v="4"/>
    <n v="1"/>
    <n v="32"/>
    <n v="38"/>
    <s v="No"/>
    <s v="No"/>
    <s v="Yes"/>
    <s v="No"/>
    <s v="Yes"/>
    <s v="No"/>
    <m/>
    <s v="1+ Failures"/>
    <n v="0"/>
    <x v="1"/>
  </r>
  <r>
    <n v="2552"/>
    <d v="2024-05-03T00:00:00"/>
    <s v="Premium"/>
    <n v="699"/>
    <n v="11.9"/>
    <n v="6"/>
    <n v="4"/>
    <n v="10"/>
    <n v="60"/>
    <s v="No"/>
    <s v="No"/>
    <s v="Yes"/>
    <s v="Yes"/>
    <s v="Yes"/>
    <s v="No"/>
    <m/>
    <s v="1+ Failures"/>
    <n v="0"/>
    <x v="1"/>
  </r>
  <r>
    <n v="2553"/>
    <d v="2023-04-01T00:00:00"/>
    <s v="Premium"/>
    <n v="699"/>
    <n v="7"/>
    <n v="5"/>
    <n v="1"/>
    <n v="4"/>
    <n v="45"/>
    <s v="Yes"/>
    <s v="No"/>
    <s v="Yes"/>
    <s v="Yes"/>
    <s v="Yes"/>
    <s v="Yes"/>
    <m/>
    <s v="1+ Failures"/>
    <n v="1"/>
    <x v="2"/>
  </r>
  <r>
    <n v="2554"/>
    <d v="2024-10-19T00:00:00"/>
    <s v="Premium"/>
    <n v="699"/>
    <n v="3.3"/>
    <n v="6"/>
    <n v="0"/>
    <n v="28"/>
    <n v="31"/>
    <s v="No"/>
    <s v="Yes"/>
    <s v="No"/>
    <s v="Yes"/>
    <s v="Yes"/>
    <s v="No"/>
    <m/>
    <s v="0 Failures"/>
    <n v="0"/>
    <x v="0"/>
  </r>
  <r>
    <n v="2555"/>
    <d v="2024-01-22T00:00:00"/>
    <s v="Basic"/>
    <n v="199"/>
    <n v="12.4"/>
    <n v="8"/>
    <n v="4"/>
    <n v="12"/>
    <n v="14"/>
    <s v="Yes"/>
    <s v="No"/>
    <s v="Yes"/>
    <s v="Yes"/>
    <s v="No"/>
    <s v="No"/>
    <m/>
    <s v="1+ Failures"/>
    <n v="1"/>
    <x v="1"/>
  </r>
  <r>
    <n v="2556"/>
    <d v="2024-11-05T00:00:00"/>
    <s v="Standard"/>
    <n v="399"/>
    <n v="19.600000000000001"/>
    <n v="7"/>
    <n v="4"/>
    <n v="7"/>
    <n v="51"/>
    <s v="No"/>
    <s v="No"/>
    <s v="Yes"/>
    <s v="Yes"/>
    <s v="Yes"/>
    <s v="No"/>
    <m/>
    <s v="1+ Failures"/>
    <n v="0"/>
    <x v="1"/>
  </r>
  <r>
    <n v="2557"/>
    <d v="2024-10-17T00:00:00"/>
    <s v="Premium"/>
    <n v="699"/>
    <n v="5"/>
    <n v="0"/>
    <n v="4"/>
    <n v="26"/>
    <n v="59"/>
    <s v="Yes"/>
    <s v="No"/>
    <s v="Yes"/>
    <s v="No"/>
    <s v="Yes"/>
    <s v="No"/>
    <m/>
    <s v="1+ Failures"/>
    <n v="1"/>
    <x v="0"/>
  </r>
  <r>
    <n v="2558"/>
    <d v="2024-03-15T00:00:00"/>
    <s v="Standard"/>
    <n v="399"/>
    <n v="9.9"/>
    <n v="3"/>
    <n v="5"/>
    <n v="25"/>
    <n v="16"/>
    <s v="No"/>
    <s v="No"/>
    <s v="Yes"/>
    <s v="No"/>
    <s v="Yes"/>
    <s v="No"/>
    <m/>
    <s v="1+ Failures"/>
    <n v="0"/>
    <x v="2"/>
  </r>
  <r>
    <n v="2559"/>
    <d v="2023-06-06T00:00:00"/>
    <s v="Basic"/>
    <n v="199"/>
    <n v="11.6"/>
    <n v="4"/>
    <n v="1"/>
    <n v="18"/>
    <n v="4"/>
    <s v="No"/>
    <s v="No"/>
    <s v="Yes"/>
    <s v="No"/>
    <s v="No"/>
    <s v="No"/>
    <m/>
    <s v="1+ Failures"/>
    <n v="0"/>
    <x v="1"/>
  </r>
  <r>
    <n v="2560"/>
    <d v="2023-09-06T00:00:00"/>
    <s v="Premium"/>
    <n v="699"/>
    <n v="3"/>
    <n v="2"/>
    <n v="1"/>
    <n v="22"/>
    <n v="59"/>
    <s v="Yes"/>
    <s v="Yes"/>
    <s v="Yes"/>
    <s v="No"/>
    <s v="Yes"/>
    <s v="No"/>
    <m/>
    <s v="1+ Failures"/>
    <n v="1"/>
    <x v="0"/>
  </r>
  <r>
    <n v="2561"/>
    <d v="2024-08-10T00:00:00"/>
    <s v="Premium"/>
    <n v="699"/>
    <n v="7.2"/>
    <n v="8"/>
    <n v="1"/>
    <n v="27"/>
    <n v="0"/>
    <s v="No"/>
    <s v="No"/>
    <s v="Yes"/>
    <s v="Yes"/>
    <s v="No"/>
    <s v="No"/>
    <m/>
    <s v="1+ Failures"/>
    <n v="0"/>
    <x v="2"/>
  </r>
  <r>
    <n v="2562"/>
    <d v="2023-02-12T00:00:00"/>
    <s v="Basic"/>
    <n v="199"/>
    <n v="13.6"/>
    <n v="8"/>
    <n v="5"/>
    <n v="18"/>
    <n v="32"/>
    <s v="Yes"/>
    <s v="No"/>
    <s v="Yes"/>
    <s v="Yes"/>
    <s v="Yes"/>
    <s v="No"/>
    <m/>
    <s v="1+ Failures"/>
    <n v="1"/>
    <x v="1"/>
  </r>
  <r>
    <n v="2563"/>
    <d v="2024-06-23T00:00:00"/>
    <s v="Standard"/>
    <n v="399"/>
    <n v="24.6"/>
    <n v="6"/>
    <n v="3"/>
    <n v="9"/>
    <n v="9"/>
    <s v="No"/>
    <s v="No"/>
    <s v="Yes"/>
    <s v="Yes"/>
    <s v="No"/>
    <s v="No"/>
    <m/>
    <s v="1+ Failures"/>
    <n v="0"/>
    <x v="3"/>
  </r>
  <r>
    <n v="2564"/>
    <d v="2023-04-26T00:00:00"/>
    <s v="Standard"/>
    <n v="399"/>
    <n v="10.9"/>
    <n v="1"/>
    <n v="0"/>
    <n v="5"/>
    <n v="19"/>
    <s v="Yes"/>
    <s v="No"/>
    <s v="No"/>
    <s v="No"/>
    <s v="Yes"/>
    <s v="Yes"/>
    <m/>
    <s v="0 Failures"/>
    <n v="1"/>
    <x v="1"/>
  </r>
  <r>
    <n v="2565"/>
    <d v="2023-08-27T00:00:00"/>
    <s v="Premium"/>
    <n v="699"/>
    <n v="9.3000000000000007"/>
    <n v="2"/>
    <n v="1"/>
    <n v="16"/>
    <n v="45"/>
    <s v="No"/>
    <s v="No"/>
    <s v="Yes"/>
    <s v="No"/>
    <s v="Yes"/>
    <s v="No"/>
    <m/>
    <s v="1+ Failures"/>
    <n v="0"/>
    <x v="2"/>
  </r>
  <r>
    <n v="2566"/>
    <d v="2023-02-14T00:00:00"/>
    <s v="Basic"/>
    <n v="199"/>
    <n v="18.100000000000001"/>
    <n v="0"/>
    <n v="2"/>
    <n v="31"/>
    <n v="11"/>
    <s v="No"/>
    <s v="No"/>
    <s v="Yes"/>
    <s v="No"/>
    <s v="No"/>
    <s v="No"/>
    <m/>
    <s v="1+ Failures"/>
    <n v="0"/>
    <x v="1"/>
  </r>
  <r>
    <n v="2567"/>
    <d v="2024-12-18T00:00:00"/>
    <s v="Standard"/>
    <n v="399"/>
    <n v="14.1"/>
    <n v="1"/>
    <n v="3"/>
    <n v="21"/>
    <n v="21"/>
    <s v="No"/>
    <s v="No"/>
    <s v="Yes"/>
    <s v="No"/>
    <s v="Yes"/>
    <s v="No"/>
    <m/>
    <s v="1+ Failures"/>
    <n v="0"/>
    <x v="1"/>
  </r>
  <r>
    <n v="2568"/>
    <d v="2023-05-08T00:00:00"/>
    <s v="Basic"/>
    <n v="199"/>
    <n v="9.3000000000000007"/>
    <n v="4"/>
    <n v="2"/>
    <n v="11"/>
    <n v="31"/>
    <s v="Yes"/>
    <s v="No"/>
    <s v="Yes"/>
    <s v="No"/>
    <s v="Yes"/>
    <s v="No"/>
    <m/>
    <s v="1+ Failures"/>
    <n v="1"/>
    <x v="2"/>
  </r>
  <r>
    <n v="2569"/>
    <d v="2023-01-29T00:00:00"/>
    <s v="Premium"/>
    <n v="699"/>
    <n v="11"/>
    <n v="0"/>
    <n v="1"/>
    <n v="7"/>
    <n v="44"/>
    <s v="Yes"/>
    <s v="No"/>
    <s v="Yes"/>
    <s v="No"/>
    <s v="Yes"/>
    <s v="No"/>
    <m/>
    <s v="1+ Failures"/>
    <n v="1"/>
    <x v="1"/>
  </r>
  <r>
    <n v="2570"/>
    <d v="2023-03-08T00:00:00"/>
    <s v="Premium"/>
    <n v="699"/>
    <n v="10.4"/>
    <n v="1"/>
    <n v="3"/>
    <n v="27"/>
    <n v="48"/>
    <s v="No"/>
    <s v="No"/>
    <s v="Yes"/>
    <s v="No"/>
    <s v="Yes"/>
    <s v="No"/>
    <m/>
    <s v="1+ Failures"/>
    <n v="0"/>
    <x v="1"/>
  </r>
  <r>
    <n v="2571"/>
    <d v="2023-02-12T00:00:00"/>
    <s v="Premium"/>
    <n v="699"/>
    <n v="17.7"/>
    <n v="8"/>
    <n v="4"/>
    <n v="9"/>
    <n v="48"/>
    <s v="Yes"/>
    <s v="No"/>
    <s v="Yes"/>
    <s v="Yes"/>
    <s v="Yes"/>
    <s v="No"/>
    <m/>
    <s v="1+ Failures"/>
    <n v="1"/>
    <x v="1"/>
  </r>
  <r>
    <n v="2572"/>
    <d v="2023-05-29T00:00:00"/>
    <s v="Premium"/>
    <n v="699"/>
    <n v="23.9"/>
    <n v="0"/>
    <n v="3"/>
    <n v="35"/>
    <n v="29"/>
    <s v="No"/>
    <s v="No"/>
    <s v="Yes"/>
    <s v="No"/>
    <s v="Yes"/>
    <s v="No"/>
    <m/>
    <s v="1+ Failures"/>
    <n v="0"/>
    <x v="3"/>
  </r>
  <r>
    <n v="2573"/>
    <d v="2023-04-18T00:00:00"/>
    <s v="Basic"/>
    <n v="199"/>
    <n v="2.5"/>
    <n v="4"/>
    <n v="3"/>
    <n v="18"/>
    <n v="33"/>
    <s v="Yes"/>
    <s v="Yes"/>
    <s v="Yes"/>
    <s v="No"/>
    <s v="Yes"/>
    <s v="No"/>
    <m/>
    <s v="1+ Failures"/>
    <n v="1"/>
    <x v="0"/>
  </r>
  <r>
    <n v="2574"/>
    <d v="2024-07-13T00:00:00"/>
    <s v="Basic"/>
    <n v="199"/>
    <n v="15.8"/>
    <n v="6"/>
    <n v="5"/>
    <n v="21"/>
    <n v="24"/>
    <s v="No"/>
    <s v="No"/>
    <s v="Yes"/>
    <s v="Yes"/>
    <s v="Yes"/>
    <s v="No"/>
    <m/>
    <s v="1+ Failures"/>
    <n v="0"/>
    <x v="1"/>
  </r>
  <r>
    <n v="2575"/>
    <d v="2024-09-25T00:00:00"/>
    <s v="Standard"/>
    <n v="399"/>
    <n v="15.6"/>
    <n v="3"/>
    <n v="5"/>
    <n v="35"/>
    <n v="37"/>
    <s v="Yes"/>
    <s v="No"/>
    <s v="Yes"/>
    <s v="No"/>
    <s v="Yes"/>
    <s v="No"/>
    <m/>
    <s v="1+ Failures"/>
    <n v="1"/>
    <x v="1"/>
  </r>
  <r>
    <n v="2576"/>
    <d v="2023-04-03T00:00:00"/>
    <s v="Premium"/>
    <n v="699"/>
    <n v="8.1"/>
    <n v="8"/>
    <n v="3"/>
    <n v="29"/>
    <n v="36"/>
    <s v="Yes"/>
    <s v="No"/>
    <s v="Yes"/>
    <s v="Yes"/>
    <s v="Yes"/>
    <s v="No"/>
    <m/>
    <s v="1+ Failures"/>
    <n v="1"/>
    <x v="2"/>
  </r>
  <r>
    <n v="2577"/>
    <d v="2024-09-20T00:00:00"/>
    <s v="Standard"/>
    <n v="399"/>
    <n v="14.9"/>
    <n v="5"/>
    <n v="5"/>
    <n v="22"/>
    <n v="3"/>
    <s v="Yes"/>
    <s v="No"/>
    <s v="Yes"/>
    <s v="Yes"/>
    <s v="No"/>
    <s v="No"/>
    <m/>
    <s v="1+ Failures"/>
    <n v="1"/>
    <x v="1"/>
  </r>
  <r>
    <n v="2578"/>
    <d v="2024-01-26T00:00:00"/>
    <s v="Basic"/>
    <n v="199"/>
    <n v="1.9"/>
    <n v="7"/>
    <n v="2"/>
    <n v="12"/>
    <n v="15"/>
    <s v="Yes"/>
    <s v="Yes"/>
    <s v="Yes"/>
    <s v="Yes"/>
    <s v="Yes"/>
    <s v="No"/>
    <m/>
    <s v="1+ Failures"/>
    <n v="1"/>
    <x v="0"/>
  </r>
  <r>
    <n v="2579"/>
    <d v="2023-03-05T00:00:00"/>
    <s v="Premium"/>
    <n v="699"/>
    <n v="9.1"/>
    <n v="1"/>
    <n v="3"/>
    <n v="3"/>
    <n v="5"/>
    <s v="No"/>
    <s v="No"/>
    <s v="Yes"/>
    <s v="No"/>
    <s v="No"/>
    <s v="Yes"/>
    <m/>
    <s v="1+ Failures"/>
    <n v="0"/>
    <x v="2"/>
  </r>
  <r>
    <n v="2580"/>
    <d v="2023-09-12T00:00:00"/>
    <s v="Basic"/>
    <n v="199"/>
    <n v="18.899999999999999"/>
    <n v="8"/>
    <n v="3"/>
    <n v="35"/>
    <n v="13"/>
    <s v="Yes"/>
    <s v="No"/>
    <s v="Yes"/>
    <s v="Yes"/>
    <s v="No"/>
    <s v="No"/>
    <m/>
    <s v="1+ Failures"/>
    <n v="1"/>
    <x v="1"/>
  </r>
  <r>
    <n v="2581"/>
    <d v="2024-01-24T00:00:00"/>
    <s v="Standard"/>
    <n v="399"/>
    <n v="3"/>
    <n v="4"/>
    <n v="2"/>
    <n v="9"/>
    <n v="23"/>
    <s v="Yes"/>
    <s v="Yes"/>
    <s v="Yes"/>
    <s v="No"/>
    <s v="Yes"/>
    <s v="No"/>
    <m/>
    <s v="1+ Failures"/>
    <n v="1"/>
    <x v="0"/>
  </r>
  <r>
    <n v="2582"/>
    <d v="2024-08-17T00:00:00"/>
    <s v="Standard"/>
    <n v="399"/>
    <n v="1.7"/>
    <n v="4"/>
    <n v="1"/>
    <n v="1"/>
    <n v="19"/>
    <s v="No"/>
    <s v="Yes"/>
    <s v="Yes"/>
    <s v="No"/>
    <s v="Yes"/>
    <s v="Yes"/>
    <m/>
    <s v="1+ Failures"/>
    <n v="0"/>
    <x v="0"/>
  </r>
  <r>
    <n v="2583"/>
    <d v="2024-07-24T00:00:00"/>
    <s v="Standard"/>
    <n v="399"/>
    <n v="1.7"/>
    <n v="6"/>
    <n v="3"/>
    <n v="12"/>
    <n v="43"/>
    <s v="Yes"/>
    <s v="Yes"/>
    <s v="Yes"/>
    <s v="Yes"/>
    <s v="Yes"/>
    <s v="No"/>
    <m/>
    <s v="1+ Failures"/>
    <n v="1"/>
    <x v="0"/>
  </r>
  <r>
    <n v="2584"/>
    <d v="2023-09-26T00:00:00"/>
    <s v="Premium"/>
    <n v="699"/>
    <n v="11.1"/>
    <n v="6"/>
    <n v="0"/>
    <n v="28"/>
    <n v="20"/>
    <s v="No"/>
    <s v="No"/>
    <s v="No"/>
    <s v="Yes"/>
    <s v="Yes"/>
    <s v="No"/>
    <m/>
    <s v="0 Failures"/>
    <n v="0"/>
    <x v="1"/>
  </r>
  <r>
    <n v="2585"/>
    <d v="2024-05-16T00:00:00"/>
    <s v="Basic"/>
    <n v="199"/>
    <n v="20.6"/>
    <n v="4"/>
    <n v="2"/>
    <n v="1"/>
    <n v="27"/>
    <s v="No"/>
    <s v="No"/>
    <s v="Yes"/>
    <s v="No"/>
    <s v="Yes"/>
    <s v="Yes"/>
    <m/>
    <s v="1+ Failures"/>
    <n v="0"/>
    <x v="3"/>
  </r>
  <r>
    <n v="2586"/>
    <d v="2023-11-12T00:00:00"/>
    <s v="Standard"/>
    <n v="399"/>
    <n v="13.7"/>
    <n v="0"/>
    <n v="4"/>
    <n v="22"/>
    <n v="28"/>
    <s v="No"/>
    <s v="No"/>
    <s v="Yes"/>
    <s v="No"/>
    <s v="Yes"/>
    <s v="No"/>
    <m/>
    <s v="1+ Failures"/>
    <n v="0"/>
    <x v="1"/>
  </r>
  <r>
    <n v="2587"/>
    <d v="2023-09-06T00:00:00"/>
    <s v="Standard"/>
    <n v="399"/>
    <n v="5.2"/>
    <n v="8"/>
    <n v="4"/>
    <n v="15"/>
    <n v="1"/>
    <s v="Yes"/>
    <s v="No"/>
    <s v="Yes"/>
    <s v="Yes"/>
    <s v="No"/>
    <s v="No"/>
    <m/>
    <s v="1+ Failures"/>
    <n v="1"/>
    <x v="2"/>
  </r>
  <r>
    <n v="2588"/>
    <d v="2024-03-04T00:00:00"/>
    <s v="Standard"/>
    <n v="399"/>
    <n v="20.100000000000001"/>
    <n v="6"/>
    <n v="1"/>
    <n v="17"/>
    <n v="54"/>
    <s v="No"/>
    <s v="No"/>
    <s v="Yes"/>
    <s v="Yes"/>
    <s v="Yes"/>
    <s v="No"/>
    <m/>
    <s v="1+ Failures"/>
    <n v="0"/>
    <x v="3"/>
  </r>
  <r>
    <n v="2589"/>
    <d v="2023-12-22T00:00:00"/>
    <s v="Standard"/>
    <n v="399"/>
    <n v="1.8"/>
    <n v="6"/>
    <n v="5"/>
    <n v="19"/>
    <n v="21"/>
    <s v="Yes"/>
    <s v="Yes"/>
    <s v="Yes"/>
    <s v="Yes"/>
    <s v="Yes"/>
    <s v="No"/>
    <m/>
    <s v="1+ Failures"/>
    <n v="1"/>
    <x v="0"/>
  </r>
  <r>
    <n v="2590"/>
    <d v="2023-06-29T00:00:00"/>
    <s v="Basic"/>
    <n v="199"/>
    <n v="0.7"/>
    <n v="6"/>
    <n v="1"/>
    <n v="4"/>
    <n v="54"/>
    <s v="Yes"/>
    <s v="Yes"/>
    <s v="Yes"/>
    <s v="Yes"/>
    <s v="Yes"/>
    <s v="Yes"/>
    <m/>
    <s v="1+ Failures"/>
    <n v="1"/>
    <x v="0"/>
  </r>
  <r>
    <n v="2591"/>
    <d v="2024-11-03T00:00:00"/>
    <s v="Basic"/>
    <n v="199"/>
    <n v="4.9000000000000004"/>
    <n v="7"/>
    <n v="3"/>
    <n v="19"/>
    <n v="56"/>
    <s v="Yes"/>
    <s v="Yes"/>
    <s v="Yes"/>
    <s v="Yes"/>
    <s v="Yes"/>
    <s v="No"/>
    <m/>
    <s v="1+ Failures"/>
    <n v="1"/>
    <x v="0"/>
  </r>
  <r>
    <n v="2592"/>
    <d v="2023-04-17T00:00:00"/>
    <s v="Standard"/>
    <n v="399"/>
    <n v="10.3"/>
    <n v="5"/>
    <n v="4"/>
    <n v="20"/>
    <n v="4"/>
    <s v="Yes"/>
    <s v="No"/>
    <s v="Yes"/>
    <s v="Yes"/>
    <s v="No"/>
    <s v="No"/>
    <m/>
    <s v="1+ Failures"/>
    <n v="1"/>
    <x v="1"/>
  </r>
  <r>
    <n v="2593"/>
    <d v="2024-05-30T00:00:00"/>
    <s v="Basic"/>
    <n v="199"/>
    <n v="7.4"/>
    <n v="1"/>
    <n v="0"/>
    <n v="12"/>
    <n v="23"/>
    <s v="No"/>
    <s v="No"/>
    <s v="No"/>
    <s v="No"/>
    <s v="Yes"/>
    <s v="No"/>
    <m/>
    <s v="0 Failures"/>
    <n v="0"/>
    <x v="2"/>
  </r>
  <r>
    <n v="2594"/>
    <d v="2024-07-03T00:00:00"/>
    <s v="Standard"/>
    <n v="399"/>
    <n v="20"/>
    <n v="6"/>
    <n v="0"/>
    <n v="35"/>
    <n v="0"/>
    <s v="No"/>
    <s v="No"/>
    <s v="No"/>
    <s v="Yes"/>
    <s v="No"/>
    <s v="No"/>
    <m/>
    <s v="0 Failures"/>
    <n v="0"/>
    <x v="1"/>
  </r>
  <r>
    <n v="2595"/>
    <d v="2024-07-26T00:00:00"/>
    <s v="Basic"/>
    <n v="199"/>
    <n v="12.1"/>
    <n v="8"/>
    <n v="3"/>
    <n v="7"/>
    <n v="30"/>
    <s v="Yes"/>
    <s v="No"/>
    <s v="Yes"/>
    <s v="Yes"/>
    <s v="Yes"/>
    <s v="No"/>
    <m/>
    <s v="1+ Failures"/>
    <n v="1"/>
    <x v="1"/>
  </r>
  <r>
    <n v="2596"/>
    <d v="2024-01-02T00:00:00"/>
    <s v="Basic"/>
    <n v="199"/>
    <n v="21.9"/>
    <n v="2"/>
    <n v="4"/>
    <n v="13"/>
    <n v="38"/>
    <s v="No"/>
    <s v="No"/>
    <s v="Yes"/>
    <s v="No"/>
    <s v="Yes"/>
    <s v="No"/>
    <m/>
    <s v="1+ Failures"/>
    <n v="0"/>
    <x v="3"/>
  </r>
  <r>
    <n v="2597"/>
    <d v="2024-02-23T00:00:00"/>
    <s v="Standard"/>
    <n v="399"/>
    <n v="23.3"/>
    <n v="4"/>
    <n v="3"/>
    <n v="1"/>
    <n v="8"/>
    <s v="No"/>
    <s v="No"/>
    <s v="Yes"/>
    <s v="No"/>
    <s v="No"/>
    <s v="Yes"/>
    <m/>
    <s v="1+ Failures"/>
    <n v="0"/>
    <x v="3"/>
  </r>
  <r>
    <n v="2598"/>
    <d v="2023-06-18T00:00:00"/>
    <s v="Standard"/>
    <n v="399"/>
    <n v="16.100000000000001"/>
    <n v="6"/>
    <n v="0"/>
    <n v="11"/>
    <n v="9"/>
    <s v="No"/>
    <s v="No"/>
    <s v="No"/>
    <s v="Yes"/>
    <s v="No"/>
    <s v="No"/>
    <m/>
    <s v="0 Failures"/>
    <n v="0"/>
    <x v="1"/>
  </r>
  <r>
    <n v="2599"/>
    <d v="2023-12-17T00:00:00"/>
    <s v="Basic"/>
    <n v="199"/>
    <n v="13.5"/>
    <n v="3"/>
    <n v="5"/>
    <n v="14"/>
    <n v="48"/>
    <s v="No"/>
    <s v="No"/>
    <s v="Yes"/>
    <s v="No"/>
    <s v="Yes"/>
    <s v="No"/>
    <m/>
    <s v="1+ Failures"/>
    <n v="0"/>
    <x v="1"/>
  </r>
  <r>
    <n v="2600"/>
    <d v="2023-12-25T00:00:00"/>
    <s v="Basic"/>
    <n v="199"/>
    <n v="9"/>
    <n v="6"/>
    <n v="4"/>
    <n v="28"/>
    <n v="3"/>
    <s v="Yes"/>
    <s v="No"/>
    <s v="Yes"/>
    <s v="Yes"/>
    <s v="No"/>
    <s v="No"/>
    <m/>
    <s v="1+ Failures"/>
    <n v="1"/>
    <x v="2"/>
  </r>
  <r>
    <n v="2601"/>
    <d v="2023-05-07T00:00:00"/>
    <s v="Premium"/>
    <n v="699"/>
    <n v="9.5"/>
    <n v="4"/>
    <n v="4"/>
    <n v="11"/>
    <n v="11"/>
    <s v="Yes"/>
    <s v="No"/>
    <s v="Yes"/>
    <s v="No"/>
    <s v="No"/>
    <s v="No"/>
    <m/>
    <s v="1+ Failures"/>
    <n v="1"/>
    <x v="2"/>
  </r>
  <r>
    <n v="2602"/>
    <d v="2024-01-06T00:00:00"/>
    <s v="Premium"/>
    <n v="699"/>
    <n v="17.5"/>
    <n v="3"/>
    <n v="4"/>
    <n v="36"/>
    <n v="20"/>
    <s v="No"/>
    <s v="No"/>
    <s v="Yes"/>
    <s v="No"/>
    <s v="Yes"/>
    <s v="No"/>
    <m/>
    <s v="1+ Failures"/>
    <n v="0"/>
    <x v="1"/>
  </r>
  <r>
    <n v="2603"/>
    <d v="2023-10-20T00:00:00"/>
    <s v="Standard"/>
    <n v="399"/>
    <n v="1.3"/>
    <n v="6"/>
    <n v="2"/>
    <n v="4"/>
    <n v="19"/>
    <s v="Yes"/>
    <s v="Yes"/>
    <s v="Yes"/>
    <s v="Yes"/>
    <s v="Yes"/>
    <s v="Yes"/>
    <m/>
    <s v="1+ Failures"/>
    <n v="1"/>
    <x v="0"/>
  </r>
  <r>
    <n v="2604"/>
    <d v="2023-04-25T00:00:00"/>
    <s v="Premium"/>
    <n v="699"/>
    <n v="8.8000000000000007"/>
    <n v="2"/>
    <n v="1"/>
    <n v="30"/>
    <n v="54"/>
    <s v="No"/>
    <s v="No"/>
    <s v="Yes"/>
    <s v="No"/>
    <s v="Yes"/>
    <s v="No"/>
    <m/>
    <s v="1+ Failures"/>
    <n v="0"/>
    <x v="2"/>
  </r>
  <r>
    <n v="2605"/>
    <d v="2024-05-18T00:00:00"/>
    <s v="Basic"/>
    <n v="199"/>
    <n v="4.3"/>
    <n v="7"/>
    <n v="2"/>
    <n v="13"/>
    <n v="49"/>
    <s v="Yes"/>
    <s v="Yes"/>
    <s v="Yes"/>
    <s v="Yes"/>
    <s v="Yes"/>
    <s v="No"/>
    <m/>
    <s v="1+ Failures"/>
    <n v="1"/>
    <x v="0"/>
  </r>
  <r>
    <n v="2606"/>
    <d v="2024-10-22T00:00:00"/>
    <s v="Premium"/>
    <n v="699"/>
    <n v="11.5"/>
    <n v="6"/>
    <n v="1"/>
    <n v="6"/>
    <n v="15"/>
    <s v="No"/>
    <s v="No"/>
    <s v="Yes"/>
    <s v="Yes"/>
    <s v="Yes"/>
    <s v="No"/>
    <m/>
    <s v="1+ Failures"/>
    <n v="0"/>
    <x v="1"/>
  </r>
  <r>
    <n v="2607"/>
    <d v="2024-07-05T00:00:00"/>
    <s v="Premium"/>
    <n v="699"/>
    <n v="12.5"/>
    <n v="0"/>
    <n v="1"/>
    <n v="11"/>
    <n v="55"/>
    <s v="No"/>
    <s v="No"/>
    <s v="Yes"/>
    <s v="No"/>
    <s v="Yes"/>
    <s v="No"/>
    <m/>
    <s v="1+ Failures"/>
    <n v="0"/>
    <x v="1"/>
  </r>
  <r>
    <n v="2608"/>
    <d v="2024-07-09T00:00:00"/>
    <s v="Standard"/>
    <n v="399"/>
    <n v="20.6"/>
    <n v="7"/>
    <n v="2"/>
    <n v="11"/>
    <n v="45"/>
    <s v="Yes"/>
    <s v="No"/>
    <s v="Yes"/>
    <s v="Yes"/>
    <s v="Yes"/>
    <s v="No"/>
    <m/>
    <s v="1+ Failures"/>
    <n v="1"/>
    <x v="3"/>
  </r>
  <r>
    <n v="2609"/>
    <d v="2023-12-03T00:00:00"/>
    <s v="Basic"/>
    <n v="199"/>
    <n v="15.4"/>
    <n v="6"/>
    <n v="1"/>
    <n v="5"/>
    <n v="52"/>
    <s v="Yes"/>
    <s v="No"/>
    <s v="Yes"/>
    <s v="Yes"/>
    <s v="Yes"/>
    <s v="Yes"/>
    <m/>
    <s v="1+ Failures"/>
    <n v="1"/>
    <x v="1"/>
  </r>
  <r>
    <n v="2610"/>
    <d v="2023-05-29T00:00:00"/>
    <s v="Premium"/>
    <n v="699"/>
    <n v="1.3"/>
    <n v="3"/>
    <n v="2"/>
    <n v="13"/>
    <n v="46"/>
    <s v="Yes"/>
    <s v="Yes"/>
    <s v="Yes"/>
    <s v="No"/>
    <s v="Yes"/>
    <s v="No"/>
    <m/>
    <s v="1+ Failures"/>
    <n v="1"/>
    <x v="0"/>
  </r>
  <r>
    <n v="2611"/>
    <d v="2024-12-17T00:00:00"/>
    <s v="Standard"/>
    <n v="399"/>
    <n v="8.6"/>
    <n v="3"/>
    <n v="2"/>
    <n v="15"/>
    <n v="0"/>
    <s v="Yes"/>
    <s v="No"/>
    <s v="Yes"/>
    <s v="No"/>
    <s v="No"/>
    <s v="No"/>
    <m/>
    <s v="1+ Failures"/>
    <n v="1"/>
    <x v="2"/>
  </r>
  <r>
    <n v="2612"/>
    <d v="2024-06-10T00:00:00"/>
    <s v="Premium"/>
    <n v="699"/>
    <n v="13.1"/>
    <n v="6"/>
    <n v="3"/>
    <n v="7"/>
    <n v="30"/>
    <s v="Yes"/>
    <s v="No"/>
    <s v="Yes"/>
    <s v="Yes"/>
    <s v="Yes"/>
    <s v="No"/>
    <m/>
    <s v="1+ Failures"/>
    <n v="1"/>
    <x v="1"/>
  </r>
  <r>
    <n v="2613"/>
    <d v="2024-11-17T00:00:00"/>
    <s v="Basic"/>
    <n v="199"/>
    <n v="9"/>
    <n v="2"/>
    <n v="2"/>
    <n v="28"/>
    <n v="16"/>
    <s v="Yes"/>
    <s v="No"/>
    <s v="Yes"/>
    <s v="No"/>
    <s v="Yes"/>
    <s v="No"/>
    <m/>
    <s v="1+ Failures"/>
    <n v="1"/>
    <x v="2"/>
  </r>
  <r>
    <n v="2614"/>
    <d v="2024-01-06T00:00:00"/>
    <s v="Standard"/>
    <n v="399"/>
    <n v="6.9"/>
    <n v="0"/>
    <n v="4"/>
    <n v="17"/>
    <n v="13"/>
    <s v="No"/>
    <s v="No"/>
    <s v="Yes"/>
    <s v="No"/>
    <s v="No"/>
    <s v="No"/>
    <m/>
    <s v="1+ Failures"/>
    <n v="0"/>
    <x v="2"/>
  </r>
  <r>
    <n v="2615"/>
    <d v="2023-04-20T00:00:00"/>
    <s v="Premium"/>
    <n v="699"/>
    <n v="12.1"/>
    <n v="3"/>
    <n v="3"/>
    <n v="5"/>
    <n v="45"/>
    <s v="No"/>
    <s v="No"/>
    <s v="Yes"/>
    <s v="No"/>
    <s v="Yes"/>
    <s v="Yes"/>
    <m/>
    <s v="1+ Failures"/>
    <n v="0"/>
    <x v="1"/>
  </r>
  <r>
    <n v="2616"/>
    <d v="2024-05-29T00:00:00"/>
    <s v="Basic"/>
    <n v="199"/>
    <n v="6.4"/>
    <n v="1"/>
    <n v="1"/>
    <n v="21"/>
    <n v="34"/>
    <s v="No"/>
    <s v="No"/>
    <s v="Yes"/>
    <s v="No"/>
    <s v="Yes"/>
    <s v="No"/>
    <m/>
    <s v="1+ Failures"/>
    <n v="0"/>
    <x v="2"/>
  </r>
  <r>
    <n v="2617"/>
    <d v="2024-08-23T00:00:00"/>
    <s v="Premium"/>
    <n v="699"/>
    <n v="21.9"/>
    <n v="6"/>
    <n v="4"/>
    <n v="17"/>
    <n v="36"/>
    <s v="Yes"/>
    <s v="No"/>
    <s v="Yes"/>
    <s v="Yes"/>
    <s v="Yes"/>
    <s v="No"/>
    <m/>
    <s v="1+ Failures"/>
    <n v="1"/>
    <x v="3"/>
  </r>
  <r>
    <n v="2618"/>
    <d v="2024-12-20T00:00:00"/>
    <s v="Premium"/>
    <n v="699"/>
    <n v="19.5"/>
    <n v="0"/>
    <n v="2"/>
    <n v="33"/>
    <n v="20"/>
    <s v="No"/>
    <s v="No"/>
    <s v="Yes"/>
    <s v="No"/>
    <s v="Yes"/>
    <s v="No"/>
    <m/>
    <s v="1+ Failures"/>
    <n v="0"/>
    <x v="1"/>
  </r>
  <r>
    <n v="2619"/>
    <d v="2023-08-27T00:00:00"/>
    <s v="Basic"/>
    <n v="199"/>
    <n v="3.1"/>
    <n v="7"/>
    <n v="5"/>
    <n v="31"/>
    <n v="8"/>
    <s v="Yes"/>
    <s v="Yes"/>
    <s v="Yes"/>
    <s v="Yes"/>
    <s v="No"/>
    <s v="No"/>
    <m/>
    <s v="1+ Failures"/>
    <n v="1"/>
    <x v="0"/>
  </r>
  <r>
    <n v="2620"/>
    <d v="2023-06-29T00:00:00"/>
    <s v="Basic"/>
    <n v="199"/>
    <n v="21.6"/>
    <n v="8"/>
    <n v="5"/>
    <n v="6"/>
    <n v="24"/>
    <s v="Yes"/>
    <s v="No"/>
    <s v="Yes"/>
    <s v="Yes"/>
    <s v="Yes"/>
    <s v="No"/>
    <m/>
    <s v="1+ Failures"/>
    <n v="1"/>
    <x v="3"/>
  </r>
  <r>
    <n v="2621"/>
    <d v="2023-06-16T00:00:00"/>
    <s v="Standard"/>
    <n v="399"/>
    <n v="22.7"/>
    <n v="8"/>
    <n v="5"/>
    <n v="9"/>
    <n v="14"/>
    <s v="No"/>
    <s v="No"/>
    <s v="Yes"/>
    <s v="Yes"/>
    <s v="No"/>
    <s v="No"/>
    <m/>
    <s v="1+ Failures"/>
    <n v="0"/>
    <x v="3"/>
  </r>
  <r>
    <n v="2622"/>
    <d v="2024-11-06T00:00:00"/>
    <s v="Premium"/>
    <n v="699"/>
    <n v="6.3"/>
    <n v="1"/>
    <n v="1"/>
    <n v="16"/>
    <n v="7"/>
    <s v="No"/>
    <s v="No"/>
    <s v="Yes"/>
    <s v="No"/>
    <s v="No"/>
    <s v="No"/>
    <m/>
    <s v="1+ Failures"/>
    <n v="0"/>
    <x v="2"/>
  </r>
  <r>
    <n v="2623"/>
    <d v="2024-06-13T00:00:00"/>
    <s v="Premium"/>
    <n v="699"/>
    <n v="1.2"/>
    <n v="2"/>
    <n v="4"/>
    <n v="32"/>
    <n v="13"/>
    <s v="No"/>
    <s v="Yes"/>
    <s v="Yes"/>
    <s v="No"/>
    <s v="No"/>
    <s v="No"/>
    <m/>
    <s v="1+ Failures"/>
    <n v="0"/>
    <x v="0"/>
  </r>
  <r>
    <n v="2624"/>
    <d v="2023-02-15T00:00:00"/>
    <s v="Premium"/>
    <n v="699"/>
    <n v="17.899999999999999"/>
    <n v="8"/>
    <n v="1"/>
    <n v="4"/>
    <n v="10"/>
    <s v="Yes"/>
    <s v="No"/>
    <s v="Yes"/>
    <s v="Yes"/>
    <s v="No"/>
    <s v="Yes"/>
    <m/>
    <s v="1+ Failures"/>
    <n v="1"/>
    <x v="1"/>
  </r>
  <r>
    <n v="2625"/>
    <d v="2024-06-18T00:00:00"/>
    <s v="Basic"/>
    <n v="199"/>
    <n v="5"/>
    <n v="2"/>
    <n v="0"/>
    <n v="1"/>
    <n v="1"/>
    <s v="Yes"/>
    <s v="No"/>
    <s v="No"/>
    <s v="No"/>
    <s v="No"/>
    <s v="Yes"/>
    <m/>
    <s v="0 Failures"/>
    <n v="1"/>
    <x v="0"/>
  </r>
  <r>
    <n v="2626"/>
    <d v="2024-10-08T00:00:00"/>
    <s v="Standard"/>
    <n v="399"/>
    <n v="11.1"/>
    <n v="1"/>
    <n v="0"/>
    <n v="30"/>
    <n v="58"/>
    <s v="Yes"/>
    <s v="No"/>
    <s v="No"/>
    <s v="No"/>
    <s v="Yes"/>
    <s v="No"/>
    <m/>
    <s v="0 Failures"/>
    <n v="1"/>
    <x v="1"/>
  </r>
  <r>
    <n v="2627"/>
    <d v="2024-07-14T00:00:00"/>
    <s v="Premium"/>
    <n v="699"/>
    <n v="23"/>
    <n v="7"/>
    <n v="5"/>
    <n v="36"/>
    <n v="24"/>
    <s v="Yes"/>
    <s v="No"/>
    <s v="Yes"/>
    <s v="Yes"/>
    <s v="Yes"/>
    <s v="No"/>
    <m/>
    <s v="1+ Failures"/>
    <n v="1"/>
    <x v="3"/>
  </r>
  <r>
    <n v="2628"/>
    <d v="2023-08-29T00:00:00"/>
    <s v="Basic"/>
    <n v="199"/>
    <n v="5.0999999999999996"/>
    <n v="6"/>
    <n v="0"/>
    <n v="19"/>
    <n v="18"/>
    <s v="Yes"/>
    <s v="No"/>
    <s v="No"/>
    <s v="Yes"/>
    <s v="Yes"/>
    <s v="No"/>
    <m/>
    <s v="0 Failures"/>
    <n v="1"/>
    <x v="2"/>
  </r>
  <r>
    <n v="2629"/>
    <d v="2024-06-06T00:00:00"/>
    <s v="Premium"/>
    <n v="699"/>
    <n v="23.2"/>
    <n v="3"/>
    <n v="5"/>
    <n v="19"/>
    <n v="60"/>
    <s v="Yes"/>
    <s v="No"/>
    <s v="Yes"/>
    <s v="No"/>
    <s v="Yes"/>
    <s v="No"/>
    <m/>
    <s v="1+ Failures"/>
    <n v="1"/>
    <x v="3"/>
  </r>
  <r>
    <n v="2630"/>
    <d v="2023-11-13T00:00:00"/>
    <s v="Basic"/>
    <n v="199"/>
    <n v="7.3"/>
    <n v="8"/>
    <n v="5"/>
    <n v="31"/>
    <n v="8"/>
    <s v="Yes"/>
    <s v="No"/>
    <s v="Yes"/>
    <s v="Yes"/>
    <s v="No"/>
    <s v="No"/>
    <m/>
    <s v="1+ Failures"/>
    <n v="1"/>
    <x v="2"/>
  </r>
  <r>
    <n v="2631"/>
    <d v="2023-01-18T00:00:00"/>
    <s v="Standard"/>
    <n v="399"/>
    <n v="20.9"/>
    <n v="1"/>
    <n v="0"/>
    <n v="21"/>
    <n v="0"/>
    <s v="No"/>
    <s v="No"/>
    <s v="No"/>
    <s v="No"/>
    <s v="No"/>
    <s v="No"/>
    <m/>
    <s v="0 Failures"/>
    <n v="0"/>
    <x v="3"/>
  </r>
  <r>
    <n v="2632"/>
    <d v="2023-12-04T00:00:00"/>
    <s v="Standard"/>
    <n v="399"/>
    <n v="22.9"/>
    <n v="0"/>
    <n v="2"/>
    <n v="26"/>
    <n v="52"/>
    <s v="No"/>
    <s v="No"/>
    <s v="Yes"/>
    <s v="No"/>
    <s v="Yes"/>
    <s v="No"/>
    <m/>
    <s v="1+ Failures"/>
    <n v="0"/>
    <x v="3"/>
  </r>
  <r>
    <n v="2633"/>
    <d v="2023-02-17T00:00:00"/>
    <s v="Premium"/>
    <n v="699"/>
    <n v="11.2"/>
    <n v="1"/>
    <n v="2"/>
    <n v="25"/>
    <n v="1"/>
    <s v="No"/>
    <s v="No"/>
    <s v="Yes"/>
    <s v="No"/>
    <s v="No"/>
    <s v="No"/>
    <m/>
    <s v="1+ Failures"/>
    <n v="0"/>
    <x v="1"/>
  </r>
  <r>
    <n v="2634"/>
    <d v="2023-01-14T00:00:00"/>
    <s v="Standard"/>
    <n v="399"/>
    <n v="24.3"/>
    <n v="6"/>
    <n v="3"/>
    <n v="28"/>
    <n v="17"/>
    <s v="Yes"/>
    <s v="No"/>
    <s v="Yes"/>
    <s v="Yes"/>
    <s v="Yes"/>
    <s v="No"/>
    <m/>
    <s v="1+ Failures"/>
    <n v="1"/>
    <x v="3"/>
  </r>
  <r>
    <n v="2635"/>
    <d v="2023-08-19T00:00:00"/>
    <s v="Premium"/>
    <n v="699"/>
    <n v="22.9"/>
    <n v="4"/>
    <n v="0"/>
    <n v="26"/>
    <n v="45"/>
    <s v="Yes"/>
    <s v="No"/>
    <s v="No"/>
    <s v="No"/>
    <s v="Yes"/>
    <s v="No"/>
    <m/>
    <s v="0 Failures"/>
    <n v="1"/>
    <x v="3"/>
  </r>
  <r>
    <n v="2636"/>
    <d v="2024-08-28T00:00:00"/>
    <s v="Standard"/>
    <n v="399"/>
    <n v="20.3"/>
    <n v="8"/>
    <n v="2"/>
    <n v="1"/>
    <n v="6"/>
    <s v="Yes"/>
    <s v="No"/>
    <s v="Yes"/>
    <s v="Yes"/>
    <s v="No"/>
    <s v="Yes"/>
    <m/>
    <s v="1+ Failures"/>
    <n v="1"/>
    <x v="3"/>
  </r>
  <r>
    <n v="2637"/>
    <d v="2023-07-19T00:00:00"/>
    <s v="Standard"/>
    <n v="399"/>
    <n v="1.5"/>
    <n v="0"/>
    <n v="2"/>
    <n v="31"/>
    <n v="49"/>
    <s v="Yes"/>
    <s v="Yes"/>
    <s v="Yes"/>
    <s v="No"/>
    <s v="Yes"/>
    <s v="No"/>
    <m/>
    <s v="1+ Failures"/>
    <n v="1"/>
    <x v="0"/>
  </r>
  <r>
    <n v="2638"/>
    <d v="2024-08-04T00:00:00"/>
    <s v="Standard"/>
    <n v="399"/>
    <n v="13.9"/>
    <n v="4"/>
    <n v="4"/>
    <n v="27"/>
    <n v="9"/>
    <s v="Yes"/>
    <s v="No"/>
    <s v="Yes"/>
    <s v="No"/>
    <s v="No"/>
    <s v="No"/>
    <m/>
    <s v="1+ Failures"/>
    <n v="1"/>
    <x v="1"/>
  </r>
  <r>
    <n v="2639"/>
    <d v="2024-03-19T00:00:00"/>
    <s v="Premium"/>
    <n v="699"/>
    <n v="4.4000000000000004"/>
    <n v="7"/>
    <n v="0"/>
    <n v="26"/>
    <n v="33"/>
    <s v="Yes"/>
    <s v="Yes"/>
    <s v="No"/>
    <s v="Yes"/>
    <s v="Yes"/>
    <s v="No"/>
    <m/>
    <s v="0 Failures"/>
    <n v="1"/>
    <x v="0"/>
  </r>
  <r>
    <n v="2640"/>
    <d v="2024-11-07T00:00:00"/>
    <s v="Premium"/>
    <n v="699"/>
    <n v="13.2"/>
    <n v="1"/>
    <n v="3"/>
    <n v="36"/>
    <n v="33"/>
    <s v="No"/>
    <s v="No"/>
    <s v="Yes"/>
    <s v="No"/>
    <s v="Yes"/>
    <s v="No"/>
    <m/>
    <s v="1+ Failures"/>
    <n v="0"/>
    <x v="1"/>
  </r>
  <r>
    <n v="2641"/>
    <d v="2024-08-28T00:00:00"/>
    <s v="Premium"/>
    <n v="699"/>
    <n v="19.600000000000001"/>
    <n v="1"/>
    <n v="2"/>
    <n v="32"/>
    <n v="1"/>
    <s v="No"/>
    <s v="No"/>
    <s v="Yes"/>
    <s v="No"/>
    <s v="No"/>
    <s v="No"/>
    <m/>
    <s v="1+ Failures"/>
    <n v="0"/>
    <x v="1"/>
  </r>
  <r>
    <n v="2642"/>
    <d v="2023-01-24T00:00:00"/>
    <s v="Standard"/>
    <n v="399"/>
    <n v="9.4"/>
    <n v="1"/>
    <n v="4"/>
    <n v="12"/>
    <n v="29"/>
    <s v="No"/>
    <s v="No"/>
    <s v="Yes"/>
    <s v="No"/>
    <s v="Yes"/>
    <s v="No"/>
    <m/>
    <s v="1+ Failures"/>
    <n v="0"/>
    <x v="2"/>
  </r>
  <r>
    <n v="2643"/>
    <d v="2024-01-03T00:00:00"/>
    <s v="Premium"/>
    <n v="699"/>
    <n v="3.6"/>
    <n v="1"/>
    <n v="1"/>
    <n v="16"/>
    <n v="27"/>
    <s v="No"/>
    <s v="Yes"/>
    <s v="Yes"/>
    <s v="No"/>
    <s v="Yes"/>
    <s v="No"/>
    <m/>
    <s v="1+ Failures"/>
    <n v="0"/>
    <x v="0"/>
  </r>
  <r>
    <n v="2644"/>
    <d v="2023-03-22T00:00:00"/>
    <s v="Standard"/>
    <n v="399"/>
    <n v="14.6"/>
    <n v="2"/>
    <n v="3"/>
    <n v="34"/>
    <n v="0"/>
    <s v="Yes"/>
    <s v="No"/>
    <s v="Yes"/>
    <s v="No"/>
    <s v="No"/>
    <s v="No"/>
    <m/>
    <s v="1+ Failures"/>
    <n v="1"/>
    <x v="1"/>
  </r>
  <r>
    <n v="2645"/>
    <d v="2024-04-17T00:00:00"/>
    <s v="Premium"/>
    <n v="699"/>
    <n v="19.100000000000001"/>
    <n v="5"/>
    <n v="1"/>
    <n v="1"/>
    <n v="60"/>
    <s v="Yes"/>
    <s v="No"/>
    <s v="Yes"/>
    <s v="Yes"/>
    <s v="Yes"/>
    <s v="Yes"/>
    <m/>
    <s v="1+ Failures"/>
    <n v="1"/>
    <x v="1"/>
  </r>
  <r>
    <n v="2646"/>
    <d v="2024-12-24T00:00:00"/>
    <s v="Standard"/>
    <n v="399"/>
    <n v="13"/>
    <n v="1"/>
    <n v="3"/>
    <n v="22"/>
    <n v="31"/>
    <s v="Yes"/>
    <s v="No"/>
    <s v="Yes"/>
    <s v="No"/>
    <s v="Yes"/>
    <s v="No"/>
    <m/>
    <s v="1+ Failures"/>
    <n v="1"/>
    <x v="1"/>
  </r>
  <r>
    <n v="2647"/>
    <d v="2023-04-09T00:00:00"/>
    <s v="Basic"/>
    <n v="199"/>
    <n v="12.5"/>
    <n v="6"/>
    <n v="4"/>
    <n v="9"/>
    <n v="11"/>
    <s v="No"/>
    <s v="No"/>
    <s v="Yes"/>
    <s v="Yes"/>
    <s v="No"/>
    <s v="No"/>
    <m/>
    <s v="1+ Failures"/>
    <n v="0"/>
    <x v="1"/>
  </r>
  <r>
    <n v="2648"/>
    <d v="2023-05-22T00:00:00"/>
    <s v="Premium"/>
    <n v="699"/>
    <n v="4"/>
    <n v="1"/>
    <n v="4"/>
    <n v="36"/>
    <n v="45"/>
    <s v="Yes"/>
    <s v="Yes"/>
    <s v="Yes"/>
    <s v="No"/>
    <s v="Yes"/>
    <s v="No"/>
    <m/>
    <s v="1+ Failures"/>
    <n v="1"/>
    <x v="0"/>
  </r>
  <r>
    <n v="2649"/>
    <d v="2024-06-08T00:00:00"/>
    <s v="Standard"/>
    <n v="399"/>
    <n v="4.8"/>
    <n v="2"/>
    <n v="4"/>
    <n v="18"/>
    <n v="60"/>
    <s v="Yes"/>
    <s v="Yes"/>
    <s v="Yes"/>
    <s v="No"/>
    <s v="Yes"/>
    <s v="No"/>
    <m/>
    <s v="1+ Failures"/>
    <n v="1"/>
    <x v="0"/>
  </r>
  <r>
    <n v="2650"/>
    <d v="2023-05-16T00:00:00"/>
    <s v="Premium"/>
    <n v="699"/>
    <n v="11.5"/>
    <n v="4"/>
    <n v="5"/>
    <n v="5"/>
    <n v="46"/>
    <s v="Yes"/>
    <s v="No"/>
    <s v="Yes"/>
    <s v="No"/>
    <s v="Yes"/>
    <s v="Yes"/>
    <m/>
    <s v="1+ Failures"/>
    <n v="1"/>
    <x v="1"/>
  </r>
  <r>
    <n v="2651"/>
    <d v="2023-02-16T00:00:00"/>
    <s v="Basic"/>
    <n v="199"/>
    <n v="9"/>
    <n v="4"/>
    <n v="2"/>
    <n v="36"/>
    <n v="31"/>
    <s v="No"/>
    <s v="No"/>
    <s v="Yes"/>
    <s v="No"/>
    <s v="Yes"/>
    <s v="No"/>
    <m/>
    <s v="1+ Failures"/>
    <n v="0"/>
    <x v="2"/>
  </r>
  <r>
    <n v="2652"/>
    <d v="2023-05-10T00:00:00"/>
    <s v="Standard"/>
    <n v="399"/>
    <n v="19.600000000000001"/>
    <n v="2"/>
    <n v="0"/>
    <n v="28"/>
    <n v="54"/>
    <s v="No"/>
    <s v="No"/>
    <s v="No"/>
    <s v="No"/>
    <s v="Yes"/>
    <s v="No"/>
    <m/>
    <s v="0 Failures"/>
    <n v="0"/>
    <x v="1"/>
  </r>
  <r>
    <n v="2653"/>
    <d v="2024-02-13T00:00:00"/>
    <s v="Standard"/>
    <n v="399"/>
    <n v="20.8"/>
    <n v="0"/>
    <n v="5"/>
    <n v="32"/>
    <n v="3"/>
    <s v="Yes"/>
    <s v="No"/>
    <s v="Yes"/>
    <s v="No"/>
    <s v="No"/>
    <s v="No"/>
    <m/>
    <s v="1+ Failures"/>
    <n v="1"/>
    <x v="3"/>
  </r>
  <r>
    <n v="2654"/>
    <d v="2023-05-20T00:00:00"/>
    <s v="Basic"/>
    <n v="199"/>
    <n v="10.5"/>
    <n v="0"/>
    <n v="3"/>
    <n v="22"/>
    <n v="10"/>
    <s v="Yes"/>
    <s v="No"/>
    <s v="Yes"/>
    <s v="No"/>
    <s v="No"/>
    <s v="No"/>
    <m/>
    <s v="1+ Failures"/>
    <n v="1"/>
    <x v="1"/>
  </r>
  <r>
    <n v="2655"/>
    <d v="2023-12-02T00:00:00"/>
    <s v="Standard"/>
    <n v="399"/>
    <n v="24.8"/>
    <n v="8"/>
    <n v="1"/>
    <n v="31"/>
    <n v="58"/>
    <s v="No"/>
    <s v="No"/>
    <s v="Yes"/>
    <s v="Yes"/>
    <s v="Yes"/>
    <s v="No"/>
    <m/>
    <s v="1+ Failures"/>
    <n v="0"/>
    <x v="3"/>
  </r>
  <r>
    <n v="2656"/>
    <d v="2024-06-13T00:00:00"/>
    <s v="Premium"/>
    <n v="699"/>
    <n v="0.6"/>
    <n v="1"/>
    <n v="3"/>
    <n v="18"/>
    <n v="33"/>
    <s v="Yes"/>
    <s v="Yes"/>
    <s v="Yes"/>
    <s v="No"/>
    <s v="Yes"/>
    <s v="No"/>
    <m/>
    <s v="1+ Failures"/>
    <n v="1"/>
    <x v="0"/>
  </r>
  <r>
    <n v="2657"/>
    <d v="2024-03-05T00:00:00"/>
    <s v="Basic"/>
    <n v="199"/>
    <n v="17.399999999999999"/>
    <n v="7"/>
    <n v="1"/>
    <n v="11"/>
    <n v="5"/>
    <s v="Yes"/>
    <s v="No"/>
    <s v="Yes"/>
    <s v="Yes"/>
    <s v="No"/>
    <s v="No"/>
    <m/>
    <s v="1+ Failures"/>
    <n v="1"/>
    <x v="1"/>
  </r>
  <r>
    <n v="2658"/>
    <d v="2023-03-02T00:00:00"/>
    <s v="Basic"/>
    <n v="199"/>
    <n v="23.6"/>
    <n v="8"/>
    <n v="2"/>
    <n v="25"/>
    <n v="0"/>
    <s v="Yes"/>
    <s v="No"/>
    <s v="Yes"/>
    <s v="Yes"/>
    <s v="No"/>
    <s v="No"/>
    <m/>
    <s v="1+ Failures"/>
    <n v="1"/>
    <x v="3"/>
  </r>
  <r>
    <n v="2659"/>
    <d v="2023-01-02T00:00:00"/>
    <s v="Standard"/>
    <n v="399"/>
    <n v="16.2"/>
    <n v="0"/>
    <n v="0"/>
    <n v="36"/>
    <n v="7"/>
    <s v="No"/>
    <s v="No"/>
    <s v="No"/>
    <s v="No"/>
    <s v="No"/>
    <s v="No"/>
    <m/>
    <s v="0 Failures"/>
    <n v="0"/>
    <x v="1"/>
  </r>
  <r>
    <n v="2660"/>
    <d v="2024-03-13T00:00:00"/>
    <s v="Premium"/>
    <n v="699"/>
    <n v="21.2"/>
    <n v="1"/>
    <n v="5"/>
    <n v="12"/>
    <n v="5"/>
    <s v="Yes"/>
    <s v="No"/>
    <s v="Yes"/>
    <s v="No"/>
    <s v="No"/>
    <s v="No"/>
    <m/>
    <s v="1+ Failures"/>
    <n v="1"/>
    <x v="3"/>
  </r>
  <r>
    <n v="2661"/>
    <d v="2023-05-20T00:00:00"/>
    <s v="Basic"/>
    <n v="199"/>
    <n v="18.7"/>
    <n v="3"/>
    <n v="3"/>
    <n v="3"/>
    <n v="3"/>
    <s v="No"/>
    <s v="No"/>
    <s v="Yes"/>
    <s v="No"/>
    <s v="No"/>
    <s v="Yes"/>
    <m/>
    <s v="1+ Failures"/>
    <n v="0"/>
    <x v="1"/>
  </r>
  <r>
    <n v="2662"/>
    <d v="2023-01-16T00:00:00"/>
    <s v="Basic"/>
    <n v="199"/>
    <n v="1.3"/>
    <n v="1"/>
    <n v="3"/>
    <n v="3"/>
    <n v="37"/>
    <s v="Yes"/>
    <s v="Yes"/>
    <s v="Yes"/>
    <s v="No"/>
    <s v="Yes"/>
    <s v="Yes"/>
    <m/>
    <s v="1+ Failures"/>
    <n v="1"/>
    <x v="0"/>
  </r>
  <r>
    <n v="2663"/>
    <d v="2024-07-29T00:00:00"/>
    <s v="Basic"/>
    <n v="199"/>
    <n v="6.8"/>
    <n v="1"/>
    <n v="4"/>
    <n v="31"/>
    <n v="36"/>
    <s v="No"/>
    <s v="No"/>
    <s v="Yes"/>
    <s v="No"/>
    <s v="Yes"/>
    <s v="No"/>
    <m/>
    <s v="1+ Failures"/>
    <n v="0"/>
    <x v="2"/>
  </r>
  <r>
    <n v="2664"/>
    <d v="2024-06-18T00:00:00"/>
    <s v="Premium"/>
    <n v="699"/>
    <n v="17.600000000000001"/>
    <n v="3"/>
    <n v="5"/>
    <n v="21"/>
    <n v="9"/>
    <s v="No"/>
    <s v="No"/>
    <s v="Yes"/>
    <s v="No"/>
    <s v="No"/>
    <s v="No"/>
    <m/>
    <s v="1+ Failures"/>
    <n v="0"/>
    <x v="1"/>
  </r>
  <r>
    <n v="2665"/>
    <d v="2023-09-21T00:00:00"/>
    <s v="Standard"/>
    <n v="399"/>
    <n v="15"/>
    <n v="3"/>
    <n v="3"/>
    <n v="27"/>
    <n v="22"/>
    <s v="Yes"/>
    <s v="No"/>
    <s v="Yes"/>
    <s v="No"/>
    <s v="Yes"/>
    <s v="No"/>
    <m/>
    <s v="1+ Failures"/>
    <n v="1"/>
    <x v="1"/>
  </r>
  <r>
    <n v="2666"/>
    <d v="2024-06-11T00:00:00"/>
    <s v="Standard"/>
    <n v="399"/>
    <n v="19.3"/>
    <n v="6"/>
    <n v="5"/>
    <n v="31"/>
    <n v="5"/>
    <s v="No"/>
    <s v="No"/>
    <s v="Yes"/>
    <s v="Yes"/>
    <s v="No"/>
    <s v="No"/>
    <m/>
    <s v="1+ Failures"/>
    <n v="0"/>
    <x v="1"/>
  </r>
  <r>
    <n v="2667"/>
    <d v="2023-03-14T00:00:00"/>
    <s v="Basic"/>
    <n v="199"/>
    <n v="5.5"/>
    <n v="4"/>
    <n v="4"/>
    <n v="31"/>
    <n v="5"/>
    <s v="Yes"/>
    <s v="No"/>
    <s v="Yes"/>
    <s v="No"/>
    <s v="No"/>
    <s v="No"/>
    <m/>
    <s v="1+ Failures"/>
    <n v="1"/>
    <x v="2"/>
  </r>
  <r>
    <n v="2668"/>
    <d v="2024-09-17T00:00:00"/>
    <s v="Basic"/>
    <n v="199"/>
    <n v="8.6"/>
    <n v="2"/>
    <n v="2"/>
    <n v="17"/>
    <n v="49"/>
    <s v="Yes"/>
    <s v="No"/>
    <s v="Yes"/>
    <s v="No"/>
    <s v="Yes"/>
    <s v="No"/>
    <m/>
    <s v="1+ Failures"/>
    <n v="1"/>
    <x v="2"/>
  </r>
  <r>
    <n v="2669"/>
    <d v="2024-01-04T00:00:00"/>
    <s v="Standard"/>
    <n v="399"/>
    <n v="17.3"/>
    <n v="1"/>
    <n v="3"/>
    <n v="15"/>
    <n v="57"/>
    <s v="Yes"/>
    <s v="No"/>
    <s v="Yes"/>
    <s v="No"/>
    <s v="Yes"/>
    <s v="No"/>
    <m/>
    <s v="1+ Failures"/>
    <n v="1"/>
    <x v="1"/>
  </r>
  <r>
    <n v="2670"/>
    <d v="2024-03-06T00:00:00"/>
    <s v="Standard"/>
    <n v="399"/>
    <n v="13.3"/>
    <n v="3"/>
    <n v="2"/>
    <n v="17"/>
    <n v="55"/>
    <s v="No"/>
    <s v="No"/>
    <s v="Yes"/>
    <s v="No"/>
    <s v="Yes"/>
    <s v="No"/>
    <m/>
    <s v="1+ Failures"/>
    <n v="0"/>
    <x v="1"/>
  </r>
  <r>
    <n v="2671"/>
    <d v="2024-03-15T00:00:00"/>
    <s v="Premium"/>
    <n v="699"/>
    <n v="10.4"/>
    <n v="4"/>
    <n v="4"/>
    <n v="4"/>
    <n v="27"/>
    <s v="Yes"/>
    <s v="No"/>
    <s v="Yes"/>
    <s v="No"/>
    <s v="Yes"/>
    <s v="Yes"/>
    <m/>
    <s v="1+ Failures"/>
    <n v="1"/>
    <x v="1"/>
  </r>
  <r>
    <n v="2672"/>
    <d v="2024-07-08T00:00:00"/>
    <s v="Standard"/>
    <n v="399"/>
    <n v="14.9"/>
    <n v="3"/>
    <n v="5"/>
    <n v="13"/>
    <n v="16"/>
    <s v="No"/>
    <s v="No"/>
    <s v="Yes"/>
    <s v="No"/>
    <s v="Yes"/>
    <s v="No"/>
    <m/>
    <s v="1+ Failures"/>
    <n v="0"/>
    <x v="1"/>
  </r>
  <r>
    <n v="2673"/>
    <d v="2024-10-07T00:00:00"/>
    <s v="Premium"/>
    <n v="699"/>
    <n v="13.9"/>
    <n v="2"/>
    <n v="2"/>
    <n v="13"/>
    <n v="51"/>
    <s v="Yes"/>
    <s v="No"/>
    <s v="Yes"/>
    <s v="No"/>
    <s v="Yes"/>
    <s v="No"/>
    <m/>
    <s v="1+ Failures"/>
    <n v="1"/>
    <x v="1"/>
  </r>
  <r>
    <n v="2674"/>
    <d v="2024-04-01T00:00:00"/>
    <s v="Standard"/>
    <n v="399"/>
    <n v="22.9"/>
    <n v="8"/>
    <n v="0"/>
    <n v="26"/>
    <n v="21"/>
    <s v="Yes"/>
    <s v="No"/>
    <s v="No"/>
    <s v="Yes"/>
    <s v="Yes"/>
    <s v="No"/>
    <m/>
    <s v="0 Failures"/>
    <n v="1"/>
    <x v="3"/>
  </r>
  <r>
    <n v="2675"/>
    <d v="2023-12-27T00:00:00"/>
    <s v="Standard"/>
    <n v="399"/>
    <n v="17.8"/>
    <n v="6"/>
    <n v="2"/>
    <n v="18"/>
    <n v="28"/>
    <s v="Yes"/>
    <s v="No"/>
    <s v="Yes"/>
    <s v="Yes"/>
    <s v="Yes"/>
    <s v="No"/>
    <m/>
    <s v="1+ Failures"/>
    <n v="1"/>
    <x v="1"/>
  </r>
  <r>
    <n v="2676"/>
    <d v="2023-01-10T00:00:00"/>
    <s v="Basic"/>
    <n v="199"/>
    <n v="24"/>
    <n v="2"/>
    <n v="1"/>
    <n v="24"/>
    <n v="36"/>
    <s v="Yes"/>
    <s v="No"/>
    <s v="Yes"/>
    <s v="No"/>
    <s v="Yes"/>
    <s v="No"/>
    <m/>
    <s v="1+ Failures"/>
    <n v="1"/>
    <x v="3"/>
  </r>
  <r>
    <n v="2677"/>
    <d v="2024-10-06T00:00:00"/>
    <s v="Premium"/>
    <n v="699"/>
    <n v="13.8"/>
    <n v="5"/>
    <n v="2"/>
    <n v="3"/>
    <n v="6"/>
    <s v="Yes"/>
    <s v="No"/>
    <s v="Yes"/>
    <s v="Yes"/>
    <s v="No"/>
    <s v="Yes"/>
    <m/>
    <s v="1+ Failures"/>
    <n v="1"/>
    <x v="1"/>
  </r>
  <r>
    <n v="2678"/>
    <d v="2023-04-13T00:00:00"/>
    <s v="Premium"/>
    <n v="699"/>
    <n v="18.399999999999999"/>
    <n v="1"/>
    <n v="1"/>
    <n v="20"/>
    <n v="6"/>
    <s v="No"/>
    <s v="No"/>
    <s v="Yes"/>
    <s v="No"/>
    <s v="No"/>
    <s v="No"/>
    <m/>
    <s v="1+ Failures"/>
    <n v="0"/>
    <x v="1"/>
  </r>
  <r>
    <n v="2679"/>
    <d v="2023-12-03T00:00:00"/>
    <s v="Standard"/>
    <n v="399"/>
    <n v="23.6"/>
    <n v="1"/>
    <n v="4"/>
    <n v="33"/>
    <n v="43"/>
    <s v="Yes"/>
    <s v="No"/>
    <s v="Yes"/>
    <s v="No"/>
    <s v="Yes"/>
    <s v="No"/>
    <m/>
    <s v="1+ Failures"/>
    <n v="1"/>
    <x v="3"/>
  </r>
  <r>
    <n v="2680"/>
    <d v="2024-10-11T00:00:00"/>
    <s v="Standard"/>
    <n v="399"/>
    <n v="17.2"/>
    <n v="0"/>
    <n v="5"/>
    <n v="29"/>
    <n v="44"/>
    <s v="Yes"/>
    <s v="No"/>
    <s v="Yes"/>
    <s v="No"/>
    <s v="Yes"/>
    <s v="No"/>
    <m/>
    <s v="1+ Failures"/>
    <n v="1"/>
    <x v="1"/>
  </r>
  <r>
    <n v="2681"/>
    <d v="2023-10-02T00:00:00"/>
    <s v="Basic"/>
    <n v="199"/>
    <n v="18.100000000000001"/>
    <n v="5"/>
    <n v="1"/>
    <n v="26"/>
    <n v="20"/>
    <s v="No"/>
    <s v="No"/>
    <s v="Yes"/>
    <s v="Yes"/>
    <s v="Yes"/>
    <s v="No"/>
    <m/>
    <s v="1+ Failures"/>
    <n v="0"/>
    <x v="1"/>
  </r>
  <r>
    <n v="2682"/>
    <d v="2024-03-24T00:00:00"/>
    <s v="Premium"/>
    <n v="699"/>
    <n v="17.2"/>
    <n v="0"/>
    <n v="0"/>
    <n v="6"/>
    <n v="42"/>
    <s v="Yes"/>
    <s v="No"/>
    <s v="No"/>
    <s v="No"/>
    <s v="Yes"/>
    <s v="No"/>
    <m/>
    <s v="0 Failures"/>
    <n v="1"/>
    <x v="1"/>
  </r>
  <r>
    <n v="2683"/>
    <d v="2024-12-17T00:00:00"/>
    <s v="Standard"/>
    <n v="399"/>
    <n v="21.9"/>
    <n v="0"/>
    <n v="0"/>
    <n v="23"/>
    <n v="10"/>
    <s v="No"/>
    <s v="No"/>
    <s v="No"/>
    <s v="No"/>
    <s v="No"/>
    <s v="No"/>
    <m/>
    <s v="0 Failures"/>
    <n v="0"/>
    <x v="3"/>
  </r>
  <r>
    <n v="2684"/>
    <d v="2023-07-07T00:00:00"/>
    <s v="Basic"/>
    <n v="199"/>
    <n v="8.3000000000000007"/>
    <n v="5"/>
    <n v="1"/>
    <n v="6"/>
    <n v="55"/>
    <s v="No"/>
    <s v="No"/>
    <s v="Yes"/>
    <s v="Yes"/>
    <s v="Yes"/>
    <s v="No"/>
    <m/>
    <s v="1+ Failures"/>
    <n v="0"/>
    <x v="2"/>
  </r>
  <r>
    <n v="2685"/>
    <d v="2024-05-19T00:00:00"/>
    <s v="Standard"/>
    <n v="399"/>
    <n v="11.3"/>
    <n v="5"/>
    <n v="0"/>
    <n v="17"/>
    <n v="28"/>
    <s v="Yes"/>
    <s v="No"/>
    <s v="No"/>
    <s v="Yes"/>
    <s v="Yes"/>
    <s v="No"/>
    <m/>
    <s v="0 Failures"/>
    <n v="1"/>
    <x v="1"/>
  </r>
  <r>
    <n v="2686"/>
    <d v="2023-12-29T00:00:00"/>
    <s v="Basic"/>
    <n v="199"/>
    <n v="17.8"/>
    <n v="2"/>
    <n v="3"/>
    <n v="29"/>
    <n v="38"/>
    <s v="Yes"/>
    <s v="No"/>
    <s v="Yes"/>
    <s v="No"/>
    <s v="Yes"/>
    <s v="No"/>
    <m/>
    <s v="1+ Failures"/>
    <n v="1"/>
    <x v="1"/>
  </r>
  <r>
    <n v="2687"/>
    <d v="2023-02-19T00:00:00"/>
    <s v="Premium"/>
    <n v="699"/>
    <n v="16.3"/>
    <n v="3"/>
    <n v="5"/>
    <n v="24"/>
    <n v="48"/>
    <s v="No"/>
    <s v="No"/>
    <s v="Yes"/>
    <s v="No"/>
    <s v="Yes"/>
    <s v="No"/>
    <m/>
    <s v="1+ Failures"/>
    <n v="0"/>
    <x v="1"/>
  </r>
  <r>
    <n v="2688"/>
    <d v="2023-07-28T00:00:00"/>
    <s v="Basic"/>
    <n v="199"/>
    <n v="7.6"/>
    <n v="3"/>
    <n v="2"/>
    <n v="26"/>
    <n v="49"/>
    <s v="No"/>
    <s v="No"/>
    <s v="Yes"/>
    <s v="No"/>
    <s v="Yes"/>
    <s v="No"/>
    <m/>
    <s v="1+ Failures"/>
    <n v="0"/>
    <x v="2"/>
  </r>
  <r>
    <n v="2689"/>
    <d v="2023-08-08T00:00:00"/>
    <s v="Premium"/>
    <n v="699"/>
    <n v="0.6"/>
    <n v="5"/>
    <n v="1"/>
    <n v="8"/>
    <n v="60"/>
    <s v="Yes"/>
    <s v="Yes"/>
    <s v="Yes"/>
    <s v="Yes"/>
    <s v="Yes"/>
    <s v="No"/>
    <m/>
    <s v="1+ Failures"/>
    <n v="1"/>
    <x v="0"/>
  </r>
  <r>
    <n v="2690"/>
    <d v="2024-10-03T00:00:00"/>
    <s v="Standard"/>
    <n v="399"/>
    <n v="12.9"/>
    <n v="4"/>
    <n v="0"/>
    <n v="3"/>
    <n v="4"/>
    <s v="No"/>
    <s v="No"/>
    <s v="No"/>
    <s v="No"/>
    <s v="No"/>
    <s v="Yes"/>
    <m/>
    <s v="0 Failures"/>
    <n v="0"/>
    <x v="1"/>
  </r>
  <r>
    <n v="2691"/>
    <d v="2024-07-12T00:00:00"/>
    <s v="Premium"/>
    <n v="699"/>
    <n v="23.9"/>
    <n v="5"/>
    <n v="4"/>
    <n v="7"/>
    <n v="39"/>
    <s v="No"/>
    <s v="No"/>
    <s v="Yes"/>
    <s v="Yes"/>
    <s v="Yes"/>
    <s v="No"/>
    <m/>
    <s v="1+ Failures"/>
    <n v="0"/>
    <x v="3"/>
  </r>
  <r>
    <n v="2692"/>
    <d v="2023-05-31T00:00:00"/>
    <s v="Standard"/>
    <n v="399"/>
    <n v="19.100000000000001"/>
    <n v="3"/>
    <n v="2"/>
    <n v="23"/>
    <n v="43"/>
    <s v="Yes"/>
    <s v="No"/>
    <s v="Yes"/>
    <s v="No"/>
    <s v="Yes"/>
    <s v="No"/>
    <m/>
    <s v="1+ Failures"/>
    <n v="1"/>
    <x v="1"/>
  </r>
  <r>
    <n v="2693"/>
    <d v="2024-08-06T00:00:00"/>
    <s v="Basic"/>
    <n v="199"/>
    <n v="10"/>
    <n v="0"/>
    <n v="0"/>
    <n v="24"/>
    <n v="26"/>
    <s v="No"/>
    <s v="No"/>
    <s v="No"/>
    <s v="No"/>
    <s v="Yes"/>
    <s v="No"/>
    <m/>
    <s v="0 Failures"/>
    <n v="0"/>
    <x v="2"/>
  </r>
  <r>
    <n v="2694"/>
    <d v="2024-07-14T00:00:00"/>
    <s v="Premium"/>
    <n v="699"/>
    <n v="16.3"/>
    <n v="6"/>
    <n v="4"/>
    <n v="1"/>
    <n v="27"/>
    <s v="No"/>
    <s v="No"/>
    <s v="Yes"/>
    <s v="Yes"/>
    <s v="Yes"/>
    <s v="Yes"/>
    <m/>
    <s v="1+ Failures"/>
    <n v="0"/>
    <x v="1"/>
  </r>
  <r>
    <n v="2695"/>
    <d v="2024-12-13T00:00:00"/>
    <s v="Basic"/>
    <n v="199"/>
    <n v="13.9"/>
    <n v="7"/>
    <n v="3"/>
    <n v="5"/>
    <n v="16"/>
    <s v="Yes"/>
    <s v="No"/>
    <s v="Yes"/>
    <s v="Yes"/>
    <s v="Yes"/>
    <s v="Yes"/>
    <m/>
    <s v="1+ Failures"/>
    <n v="1"/>
    <x v="1"/>
  </r>
  <r>
    <n v="2696"/>
    <d v="2024-11-09T00:00:00"/>
    <s v="Basic"/>
    <n v="199"/>
    <n v="12.8"/>
    <n v="2"/>
    <n v="5"/>
    <n v="31"/>
    <n v="56"/>
    <s v="No"/>
    <s v="No"/>
    <s v="Yes"/>
    <s v="No"/>
    <s v="Yes"/>
    <s v="No"/>
    <m/>
    <s v="1+ Failures"/>
    <n v="0"/>
    <x v="1"/>
  </r>
  <r>
    <n v="2697"/>
    <d v="2024-05-17T00:00:00"/>
    <s v="Basic"/>
    <n v="199"/>
    <n v="8"/>
    <n v="5"/>
    <n v="1"/>
    <n v="19"/>
    <n v="1"/>
    <s v="Yes"/>
    <s v="No"/>
    <s v="Yes"/>
    <s v="Yes"/>
    <s v="No"/>
    <s v="No"/>
    <m/>
    <s v="1+ Failures"/>
    <n v="1"/>
    <x v="2"/>
  </r>
  <r>
    <n v="2698"/>
    <d v="2023-06-14T00:00:00"/>
    <s v="Standard"/>
    <n v="399"/>
    <n v="19.100000000000001"/>
    <n v="2"/>
    <n v="2"/>
    <n v="25"/>
    <n v="20"/>
    <s v="Yes"/>
    <s v="No"/>
    <s v="Yes"/>
    <s v="No"/>
    <s v="Yes"/>
    <s v="No"/>
    <m/>
    <s v="1+ Failures"/>
    <n v="1"/>
    <x v="1"/>
  </r>
  <r>
    <n v="2699"/>
    <d v="2023-11-17T00:00:00"/>
    <s v="Premium"/>
    <n v="699"/>
    <n v="20.8"/>
    <n v="1"/>
    <n v="3"/>
    <n v="23"/>
    <n v="13"/>
    <s v="No"/>
    <s v="No"/>
    <s v="Yes"/>
    <s v="No"/>
    <s v="No"/>
    <s v="No"/>
    <m/>
    <s v="1+ Failures"/>
    <n v="0"/>
    <x v="3"/>
  </r>
  <r>
    <n v="2700"/>
    <d v="2023-09-18T00:00:00"/>
    <s v="Standard"/>
    <n v="399"/>
    <n v="22.5"/>
    <n v="2"/>
    <n v="2"/>
    <n v="9"/>
    <n v="6"/>
    <s v="No"/>
    <s v="No"/>
    <s v="Yes"/>
    <s v="No"/>
    <s v="No"/>
    <s v="No"/>
    <m/>
    <s v="1+ Failures"/>
    <n v="0"/>
    <x v="3"/>
  </r>
  <r>
    <n v="2701"/>
    <d v="2023-12-05T00:00:00"/>
    <s v="Basic"/>
    <n v="199"/>
    <n v="15.9"/>
    <n v="2"/>
    <n v="1"/>
    <n v="4"/>
    <n v="50"/>
    <s v="Yes"/>
    <s v="No"/>
    <s v="Yes"/>
    <s v="No"/>
    <s v="Yes"/>
    <s v="Yes"/>
    <m/>
    <s v="1+ Failures"/>
    <n v="1"/>
    <x v="1"/>
  </r>
  <r>
    <n v="2702"/>
    <d v="2024-03-07T00:00:00"/>
    <s v="Basic"/>
    <n v="199"/>
    <n v="0.9"/>
    <n v="0"/>
    <n v="4"/>
    <n v="5"/>
    <n v="2"/>
    <s v="No"/>
    <s v="Yes"/>
    <s v="Yes"/>
    <s v="No"/>
    <s v="No"/>
    <s v="Yes"/>
    <m/>
    <s v="1+ Failures"/>
    <n v="0"/>
    <x v="0"/>
  </r>
  <r>
    <n v="2703"/>
    <d v="2024-07-23T00:00:00"/>
    <s v="Premium"/>
    <n v="699"/>
    <n v="9.1999999999999993"/>
    <n v="0"/>
    <n v="5"/>
    <n v="3"/>
    <n v="48"/>
    <s v="No"/>
    <s v="No"/>
    <s v="Yes"/>
    <s v="No"/>
    <s v="Yes"/>
    <s v="Yes"/>
    <m/>
    <s v="1+ Failures"/>
    <n v="0"/>
    <x v="2"/>
  </r>
  <r>
    <n v="2704"/>
    <d v="2023-04-01T00:00:00"/>
    <s v="Standard"/>
    <n v="399"/>
    <n v="6.7"/>
    <n v="0"/>
    <n v="1"/>
    <n v="33"/>
    <n v="56"/>
    <s v="No"/>
    <s v="No"/>
    <s v="Yes"/>
    <s v="No"/>
    <s v="Yes"/>
    <s v="No"/>
    <m/>
    <s v="1+ Failures"/>
    <n v="0"/>
    <x v="2"/>
  </r>
  <r>
    <n v="2705"/>
    <d v="2024-11-25T00:00:00"/>
    <s v="Standard"/>
    <n v="399"/>
    <n v="11.4"/>
    <n v="2"/>
    <n v="4"/>
    <n v="26"/>
    <n v="59"/>
    <s v="Yes"/>
    <s v="No"/>
    <s v="Yes"/>
    <s v="No"/>
    <s v="Yes"/>
    <s v="No"/>
    <m/>
    <s v="1+ Failures"/>
    <n v="1"/>
    <x v="1"/>
  </r>
  <r>
    <n v="2706"/>
    <d v="2024-08-02T00:00:00"/>
    <s v="Standard"/>
    <n v="399"/>
    <n v="8.6999999999999993"/>
    <n v="8"/>
    <n v="4"/>
    <n v="30"/>
    <n v="28"/>
    <s v="Yes"/>
    <s v="No"/>
    <s v="Yes"/>
    <s v="Yes"/>
    <s v="Yes"/>
    <s v="No"/>
    <m/>
    <s v="1+ Failures"/>
    <n v="1"/>
    <x v="2"/>
  </r>
  <r>
    <n v="2707"/>
    <d v="2023-08-25T00:00:00"/>
    <s v="Basic"/>
    <n v="199"/>
    <n v="4.7"/>
    <n v="6"/>
    <n v="2"/>
    <n v="6"/>
    <n v="10"/>
    <s v="Yes"/>
    <s v="Yes"/>
    <s v="Yes"/>
    <s v="Yes"/>
    <s v="No"/>
    <s v="No"/>
    <m/>
    <s v="1+ Failures"/>
    <n v="1"/>
    <x v="0"/>
  </r>
  <r>
    <n v="2708"/>
    <d v="2024-04-13T00:00:00"/>
    <s v="Basic"/>
    <n v="199"/>
    <n v="16.899999999999999"/>
    <n v="2"/>
    <n v="0"/>
    <n v="27"/>
    <n v="56"/>
    <s v="No"/>
    <s v="No"/>
    <s v="No"/>
    <s v="No"/>
    <s v="Yes"/>
    <s v="No"/>
    <m/>
    <s v="0 Failures"/>
    <n v="0"/>
    <x v="1"/>
  </r>
  <r>
    <n v="2709"/>
    <d v="2023-01-26T00:00:00"/>
    <s v="Standard"/>
    <n v="399"/>
    <n v="13.3"/>
    <n v="1"/>
    <n v="2"/>
    <n v="23"/>
    <n v="29"/>
    <s v="No"/>
    <s v="No"/>
    <s v="Yes"/>
    <s v="No"/>
    <s v="Yes"/>
    <s v="No"/>
    <m/>
    <s v="1+ Failures"/>
    <n v="0"/>
    <x v="1"/>
  </r>
  <r>
    <n v="2710"/>
    <d v="2023-06-15T00:00:00"/>
    <s v="Premium"/>
    <n v="699"/>
    <n v="0.5"/>
    <n v="7"/>
    <n v="0"/>
    <n v="9"/>
    <n v="5"/>
    <s v="No"/>
    <s v="Yes"/>
    <s v="No"/>
    <s v="Yes"/>
    <s v="No"/>
    <s v="No"/>
    <m/>
    <s v="0 Failures"/>
    <n v="0"/>
    <x v="0"/>
  </r>
  <r>
    <n v="2711"/>
    <d v="2023-04-12T00:00:00"/>
    <s v="Basic"/>
    <n v="199"/>
    <n v="0.6"/>
    <n v="3"/>
    <n v="3"/>
    <n v="36"/>
    <n v="44"/>
    <s v="No"/>
    <s v="Yes"/>
    <s v="Yes"/>
    <s v="No"/>
    <s v="Yes"/>
    <s v="No"/>
    <m/>
    <s v="1+ Failures"/>
    <n v="0"/>
    <x v="0"/>
  </r>
  <r>
    <n v="2712"/>
    <d v="2024-05-15T00:00:00"/>
    <s v="Premium"/>
    <n v="699"/>
    <n v="2.2000000000000002"/>
    <n v="8"/>
    <n v="0"/>
    <n v="11"/>
    <n v="33"/>
    <s v="Yes"/>
    <s v="Yes"/>
    <s v="No"/>
    <s v="Yes"/>
    <s v="Yes"/>
    <s v="No"/>
    <m/>
    <s v="0 Failures"/>
    <n v="1"/>
    <x v="0"/>
  </r>
  <r>
    <n v="2713"/>
    <d v="2024-05-30T00:00:00"/>
    <s v="Premium"/>
    <n v="699"/>
    <n v="17.3"/>
    <n v="1"/>
    <n v="3"/>
    <n v="1"/>
    <n v="6"/>
    <s v="No"/>
    <s v="No"/>
    <s v="Yes"/>
    <s v="No"/>
    <s v="No"/>
    <s v="Yes"/>
    <m/>
    <s v="1+ Failures"/>
    <n v="0"/>
    <x v="1"/>
  </r>
  <r>
    <n v="2714"/>
    <d v="2024-08-25T00:00:00"/>
    <s v="Standard"/>
    <n v="399"/>
    <n v="13.6"/>
    <n v="5"/>
    <n v="4"/>
    <n v="14"/>
    <n v="35"/>
    <s v="Yes"/>
    <s v="No"/>
    <s v="Yes"/>
    <s v="Yes"/>
    <s v="Yes"/>
    <s v="No"/>
    <m/>
    <s v="1+ Failures"/>
    <n v="1"/>
    <x v="1"/>
  </r>
  <r>
    <n v="2715"/>
    <d v="2024-01-26T00:00:00"/>
    <s v="Standard"/>
    <n v="399"/>
    <n v="17.399999999999999"/>
    <n v="7"/>
    <n v="1"/>
    <n v="30"/>
    <n v="45"/>
    <s v="No"/>
    <s v="No"/>
    <s v="Yes"/>
    <s v="Yes"/>
    <s v="Yes"/>
    <s v="No"/>
    <m/>
    <s v="1+ Failures"/>
    <n v="0"/>
    <x v="1"/>
  </r>
  <r>
    <n v="2716"/>
    <d v="2024-07-01T00:00:00"/>
    <s v="Premium"/>
    <n v="699"/>
    <n v="1.6"/>
    <n v="0"/>
    <n v="2"/>
    <n v="34"/>
    <n v="58"/>
    <s v="Yes"/>
    <s v="Yes"/>
    <s v="Yes"/>
    <s v="No"/>
    <s v="Yes"/>
    <s v="No"/>
    <m/>
    <s v="1+ Failures"/>
    <n v="1"/>
    <x v="0"/>
  </r>
  <r>
    <n v="2717"/>
    <d v="2024-08-18T00:00:00"/>
    <s v="Premium"/>
    <n v="699"/>
    <n v="2.1"/>
    <n v="6"/>
    <n v="4"/>
    <n v="14"/>
    <n v="60"/>
    <s v="Yes"/>
    <s v="Yes"/>
    <s v="Yes"/>
    <s v="Yes"/>
    <s v="Yes"/>
    <s v="No"/>
    <m/>
    <s v="1+ Failures"/>
    <n v="1"/>
    <x v="0"/>
  </r>
  <r>
    <n v="2718"/>
    <d v="2023-02-24T00:00:00"/>
    <s v="Standard"/>
    <n v="399"/>
    <n v="20.2"/>
    <n v="4"/>
    <n v="2"/>
    <n v="12"/>
    <n v="56"/>
    <s v="Yes"/>
    <s v="No"/>
    <s v="Yes"/>
    <s v="No"/>
    <s v="Yes"/>
    <s v="No"/>
    <m/>
    <s v="1+ Failures"/>
    <n v="1"/>
    <x v="3"/>
  </r>
  <r>
    <n v="2719"/>
    <d v="2023-06-16T00:00:00"/>
    <s v="Premium"/>
    <n v="699"/>
    <n v="24.9"/>
    <n v="2"/>
    <n v="1"/>
    <n v="7"/>
    <n v="46"/>
    <s v="No"/>
    <s v="No"/>
    <s v="Yes"/>
    <s v="No"/>
    <s v="Yes"/>
    <s v="No"/>
    <m/>
    <s v="1+ Failures"/>
    <n v="0"/>
    <x v="3"/>
  </r>
  <r>
    <n v="2720"/>
    <d v="2024-10-02T00:00:00"/>
    <s v="Basic"/>
    <n v="199"/>
    <n v="4.9000000000000004"/>
    <n v="3"/>
    <n v="4"/>
    <n v="4"/>
    <n v="18"/>
    <s v="Yes"/>
    <s v="Yes"/>
    <s v="Yes"/>
    <s v="No"/>
    <s v="Yes"/>
    <s v="Yes"/>
    <m/>
    <s v="1+ Failures"/>
    <n v="1"/>
    <x v="0"/>
  </r>
  <r>
    <n v="2721"/>
    <d v="2023-10-13T00:00:00"/>
    <s v="Basic"/>
    <n v="199"/>
    <n v="16.7"/>
    <n v="2"/>
    <n v="0"/>
    <n v="9"/>
    <n v="16"/>
    <s v="Yes"/>
    <s v="No"/>
    <s v="No"/>
    <s v="No"/>
    <s v="Yes"/>
    <s v="No"/>
    <m/>
    <s v="0 Failures"/>
    <n v="1"/>
    <x v="1"/>
  </r>
  <r>
    <n v="2722"/>
    <d v="2023-04-23T00:00:00"/>
    <s v="Standard"/>
    <n v="399"/>
    <n v="16.5"/>
    <n v="2"/>
    <n v="5"/>
    <n v="18"/>
    <n v="55"/>
    <s v="Yes"/>
    <s v="No"/>
    <s v="Yes"/>
    <s v="No"/>
    <s v="Yes"/>
    <s v="No"/>
    <m/>
    <s v="1+ Failures"/>
    <n v="1"/>
    <x v="1"/>
  </r>
  <r>
    <n v="2723"/>
    <d v="2024-12-18T00:00:00"/>
    <s v="Basic"/>
    <n v="199"/>
    <n v="24.4"/>
    <n v="5"/>
    <n v="4"/>
    <n v="27"/>
    <n v="38"/>
    <s v="Yes"/>
    <s v="No"/>
    <s v="Yes"/>
    <s v="Yes"/>
    <s v="Yes"/>
    <s v="No"/>
    <m/>
    <s v="1+ Failures"/>
    <n v="1"/>
    <x v="3"/>
  </r>
  <r>
    <n v="2724"/>
    <d v="2023-02-21T00:00:00"/>
    <s v="Basic"/>
    <n v="199"/>
    <n v="18.5"/>
    <n v="0"/>
    <n v="1"/>
    <n v="9"/>
    <n v="2"/>
    <s v="No"/>
    <s v="No"/>
    <s v="Yes"/>
    <s v="No"/>
    <s v="No"/>
    <s v="No"/>
    <m/>
    <s v="1+ Failures"/>
    <n v="0"/>
    <x v="1"/>
  </r>
  <r>
    <n v="2725"/>
    <d v="2024-01-03T00:00:00"/>
    <s v="Standard"/>
    <n v="399"/>
    <n v="5.9"/>
    <n v="2"/>
    <n v="1"/>
    <n v="10"/>
    <n v="45"/>
    <s v="No"/>
    <s v="No"/>
    <s v="Yes"/>
    <s v="No"/>
    <s v="Yes"/>
    <s v="No"/>
    <m/>
    <s v="1+ Failures"/>
    <n v="0"/>
    <x v="2"/>
  </r>
  <r>
    <n v="2726"/>
    <d v="2023-05-14T00:00:00"/>
    <s v="Basic"/>
    <n v="199"/>
    <n v="6.5"/>
    <n v="3"/>
    <n v="0"/>
    <n v="7"/>
    <n v="57"/>
    <s v="No"/>
    <s v="No"/>
    <s v="No"/>
    <s v="No"/>
    <s v="Yes"/>
    <s v="No"/>
    <m/>
    <s v="0 Failures"/>
    <n v="0"/>
    <x v="2"/>
  </r>
  <r>
    <n v="2727"/>
    <d v="2023-01-03T00:00:00"/>
    <s v="Premium"/>
    <n v="699"/>
    <n v="10.7"/>
    <n v="0"/>
    <n v="3"/>
    <n v="6"/>
    <n v="16"/>
    <s v="No"/>
    <s v="No"/>
    <s v="Yes"/>
    <s v="No"/>
    <s v="Yes"/>
    <s v="No"/>
    <m/>
    <s v="1+ Failures"/>
    <n v="0"/>
    <x v="1"/>
  </r>
  <r>
    <n v="2728"/>
    <d v="2024-02-12T00:00:00"/>
    <s v="Premium"/>
    <n v="699"/>
    <n v="8.9"/>
    <n v="3"/>
    <n v="3"/>
    <n v="4"/>
    <n v="29"/>
    <s v="Yes"/>
    <s v="No"/>
    <s v="Yes"/>
    <s v="No"/>
    <s v="Yes"/>
    <s v="Yes"/>
    <m/>
    <s v="1+ Failures"/>
    <n v="1"/>
    <x v="2"/>
  </r>
  <r>
    <n v="2729"/>
    <d v="2023-01-24T00:00:00"/>
    <s v="Premium"/>
    <n v="699"/>
    <n v="15.5"/>
    <n v="3"/>
    <n v="1"/>
    <n v="7"/>
    <n v="49"/>
    <s v="Yes"/>
    <s v="No"/>
    <s v="Yes"/>
    <s v="No"/>
    <s v="Yes"/>
    <s v="No"/>
    <m/>
    <s v="1+ Failures"/>
    <n v="1"/>
    <x v="1"/>
  </r>
  <r>
    <n v="2730"/>
    <d v="2024-12-03T00:00:00"/>
    <s v="Premium"/>
    <n v="699"/>
    <n v="24.8"/>
    <n v="1"/>
    <n v="3"/>
    <n v="11"/>
    <n v="43"/>
    <s v="No"/>
    <s v="No"/>
    <s v="Yes"/>
    <s v="No"/>
    <s v="Yes"/>
    <s v="No"/>
    <m/>
    <s v="1+ Failures"/>
    <n v="0"/>
    <x v="3"/>
  </r>
  <r>
    <n v="2731"/>
    <d v="2023-06-12T00:00:00"/>
    <s v="Premium"/>
    <n v="699"/>
    <n v="12"/>
    <n v="6"/>
    <n v="4"/>
    <n v="5"/>
    <n v="2"/>
    <s v="No"/>
    <s v="No"/>
    <s v="Yes"/>
    <s v="Yes"/>
    <s v="No"/>
    <s v="Yes"/>
    <m/>
    <s v="1+ Failures"/>
    <n v="0"/>
    <x v="1"/>
  </r>
  <r>
    <n v="2732"/>
    <d v="2024-07-08T00:00:00"/>
    <s v="Premium"/>
    <n v="699"/>
    <n v="5.8"/>
    <n v="0"/>
    <n v="2"/>
    <n v="34"/>
    <n v="15"/>
    <s v="No"/>
    <s v="No"/>
    <s v="Yes"/>
    <s v="No"/>
    <s v="Yes"/>
    <s v="No"/>
    <m/>
    <s v="1+ Failures"/>
    <n v="0"/>
    <x v="2"/>
  </r>
  <r>
    <n v="2733"/>
    <d v="2023-07-27T00:00:00"/>
    <s v="Standard"/>
    <n v="399"/>
    <n v="15.7"/>
    <n v="6"/>
    <n v="1"/>
    <n v="5"/>
    <n v="9"/>
    <s v="No"/>
    <s v="No"/>
    <s v="Yes"/>
    <s v="Yes"/>
    <s v="No"/>
    <s v="Yes"/>
    <m/>
    <s v="1+ Failures"/>
    <n v="0"/>
    <x v="1"/>
  </r>
  <r>
    <n v="2734"/>
    <d v="2024-01-13T00:00:00"/>
    <s v="Basic"/>
    <n v="199"/>
    <n v="12.4"/>
    <n v="8"/>
    <n v="0"/>
    <n v="27"/>
    <n v="23"/>
    <s v="Yes"/>
    <s v="No"/>
    <s v="No"/>
    <s v="Yes"/>
    <s v="Yes"/>
    <s v="No"/>
    <m/>
    <s v="0 Failures"/>
    <n v="1"/>
    <x v="1"/>
  </r>
  <r>
    <n v="2735"/>
    <d v="2023-06-06T00:00:00"/>
    <s v="Standard"/>
    <n v="399"/>
    <n v="11.8"/>
    <n v="0"/>
    <n v="3"/>
    <n v="26"/>
    <n v="14"/>
    <s v="No"/>
    <s v="No"/>
    <s v="Yes"/>
    <s v="No"/>
    <s v="No"/>
    <s v="No"/>
    <m/>
    <s v="1+ Failures"/>
    <n v="0"/>
    <x v="1"/>
  </r>
  <r>
    <n v="2736"/>
    <d v="2023-10-21T00:00:00"/>
    <s v="Basic"/>
    <n v="199"/>
    <n v="20.2"/>
    <n v="5"/>
    <n v="2"/>
    <n v="33"/>
    <n v="3"/>
    <s v="Yes"/>
    <s v="No"/>
    <s v="Yes"/>
    <s v="Yes"/>
    <s v="No"/>
    <s v="No"/>
    <m/>
    <s v="1+ Failures"/>
    <n v="1"/>
    <x v="3"/>
  </r>
  <r>
    <n v="2737"/>
    <d v="2024-12-02T00:00:00"/>
    <s v="Standard"/>
    <n v="399"/>
    <n v="16.600000000000001"/>
    <n v="7"/>
    <n v="3"/>
    <n v="20"/>
    <n v="25"/>
    <s v="No"/>
    <s v="No"/>
    <s v="Yes"/>
    <s v="Yes"/>
    <s v="Yes"/>
    <s v="No"/>
    <m/>
    <s v="1+ Failures"/>
    <n v="0"/>
    <x v="1"/>
  </r>
  <r>
    <n v="2738"/>
    <d v="2024-09-11T00:00:00"/>
    <s v="Standard"/>
    <n v="399"/>
    <n v="18.100000000000001"/>
    <n v="6"/>
    <n v="2"/>
    <n v="13"/>
    <n v="0"/>
    <s v="Yes"/>
    <s v="No"/>
    <s v="Yes"/>
    <s v="Yes"/>
    <s v="No"/>
    <s v="No"/>
    <m/>
    <s v="1+ Failures"/>
    <n v="1"/>
    <x v="1"/>
  </r>
  <r>
    <n v="2739"/>
    <d v="2023-05-01T00:00:00"/>
    <s v="Standard"/>
    <n v="399"/>
    <n v="11.6"/>
    <n v="2"/>
    <n v="1"/>
    <n v="11"/>
    <n v="24"/>
    <s v="Yes"/>
    <s v="No"/>
    <s v="Yes"/>
    <s v="No"/>
    <s v="Yes"/>
    <s v="No"/>
    <m/>
    <s v="1+ Failures"/>
    <n v="1"/>
    <x v="1"/>
  </r>
  <r>
    <n v="2740"/>
    <d v="2023-05-21T00:00:00"/>
    <s v="Basic"/>
    <n v="199"/>
    <n v="24.2"/>
    <n v="4"/>
    <n v="1"/>
    <n v="19"/>
    <n v="50"/>
    <s v="Yes"/>
    <s v="No"/>
    <s v="Yes"/>
    <s v="No"/>
    <s v="Yes"/>
    <s v="No"/>
    <m/>
    <s v="1+ Failures"/>
    <n v="1"/>
    <x v="3"/>
  </r>
  <r>
    <n v="2741"/>
    <d v="2023-06-04T00:00:00"/>
    <s v="Premium"/>
    <n v="699"/>
    <n v="23.6"/>
    <n v="8"/>
    <n v="5"/>
    <n v="22"/>
    <n v="20"/>
    <s v="Yes"/>
    <s v="No"/>
    <s v="Yes"/>
    <s v="Yes"/>
    <s v="Yes"/>
    <s v="No"/>
    <m/>
    <s v="1+ Failures"/>
    <n v="1"/>
    <x v="3"/>
  </r>
  <r>
    <n v="2742"/>
    <d v="2024-08-31T00:00:00"/>
    <s v="Basic"/>
    <n v="199"/>
    <n v="21.3"/>
    <n v="0"/>
    <n v="4"/>
    <n v="33"/>
    <n v="47"/>
    <s v="Yes"/>
    <s v="No"/>
    <s v="Yes"/>
    <s v="No"/>
    <s v="Yes"/>
    <s v="No"/>
    <m/>
    <s v="1+ Failures"/>
    <n v="1"/>
    <x v="3"/>
  </r>
  <r>
    <n v="2743"/>
    <d v="2023-11-15T00:00:00"/>
    <s v="Premium"/>
    <n v="699"/>
    <n v="18.600000000000001"/>
    <n v="6"/>
    <n v="1"/>
    <n v="7"/>
    <n v="40"/>
    <s v="Yes"/>
    <s v="No"/>
    <s v="Yes"/>
    <s v="Yes"/>
    <s v="Yes"/>
    <s v="No"/>
    <m/>
    <s v="1+ Failures"/>
    <n v="1"/>
    <x v="1"/>
  </r>
  <r>
    <n v="2744"/>
    <d v="2023-12-13T00:00:00"/>
    <s v="Premium"/>
    <n v="699"/>
    <n v="16.600000000000001"/>
    <n v="6"/>
    <n v="2"/>
    <n v="6"/>
    <n v="14"/>
    <s v="Yes"/>
    <s v="No"/>
    <s v="Yes"/>
    <s v="Yes"/>
    <s v="No"/>
    <s v="No"/>
    <m/>
    <s v="1+ Failures"/>
    <n v="1"/>
    <x v="1"/>
  </r>
  <r>
    <n v="2745"/>
    <d v="2024-11-13T00:00:00"/>
    <s v="Basic"/>
    <n v="199"/>
    <n v="18.100000000000001"/>
    <n v="4"/>
    <n v="3"/>
    <n v="9"/>
    <n v="11"/>
    <s v="No"/>
    <s v="No"/>
    <s v="Yes"/>
    <s v="No"/>
    <s v="No"/>
    <s v="No"/>
    <m/>
    <s v="1+ Failures"/>
    <n v="0"/>
    <x v="1"/>
  </r>
  <r>
    <n v="2746"/>
    <d v="2023-02-05T00:00:00"/>
    <s v="Basic"/>
    <n v="199"/>
    <n v="13.5"/>
    <n v="3"/>
    <n v="1"/>
    <n v="24"/>
    <n v="16"/>
    <s v="No"/>
    <s v="No"/>
    <s v="Yes"/>
    <s v="No"/>
    <s v="Yes"/>
    <s v="No"/>
    <m/>
    <s v="1+ Failures"/>
    <n v="0"/>
    <x v="1"/>
  </r>
  <r>
    <n v="2747"/>
    <d v="2023-01-29T00:00:00"/>
    <s v="Premium"/>
    <n v="699"/>
    <n v="2.4"/>
    <n v="5"/>
    <n v="5"/>
    <n v="16"/>
    <n v="33"/>
    <s v="Yes"/>
    <s v="Yes"/>
    <s v="Yes"/>
    <s v="Yes"/>
    <s v="Yes"/>
    <s v="No"/>
    <m/>
    <s v="1+ Failures"/>
    <n v="1"/>
    <x v="0"/>
  </r>
  <r>
    <n v="2748"/>
    <d v="2024-07-31T00:00:00"/>
    <s v="Standard"/>
    <n v="399"/>
    <n v="9.6"/>
    <n v="7"/>
    <n v="5"/>
    <n v="18"/>
    <n v="24"/>
    <s v="No"/>
    <s v="No"/>
    <s v="Yes"/>
    <s v="Yes"/>
    <s v="Yes"/>
    <s v="No"/>
    <m/>
    <s v="1+ Failures"/>
    <n v="0"/>
    <x v="2"/>
  </r>
  <r>
    <n v="2749"/>
    <d v="2023-10-02T00:00:00"/>
    <s v="Premium"/>
    <n v="699"/>
    <n v="12.7"/>
    <n v="7"/>
    <n v="3"/>
    <n v="18"/>
    <n v="37"/>
    <s v="Yes"/>
    <s v="No"/>
    <s v="Yes"/>
    <s v="Yes"/>
    <s v="Yes"/>
    <s v="No"/>
    <m/>
    <s v="1+ Failures"/>
    <n v="1"/>
    <x v="1"/>
  </r>
  <r>
    <n v="2750"/>
    <d v="2024-04-28T00:00:00"/>
    <s v="Premium"/>
    <n v="699"/>
    <n v="23.7"/>
    <n v="5"/>
    <n v="1"/>
    <n v="22"/>
    <n v="27"/>
    <s v="Yes"/>
    <s v="No"/>
    <s v="Yes"/>
    <s v="Yes"/>
    <s v="Yes"/>
    <s v="No"/>
    <m/>
    <s v="1+ Failures"/>
    <n v="1"/>
    <x v="3"/>
  </r>
  <r>
    <n v="2751"/>
    <d v="2023-08-02T00:00:00"/>
    <s v="Standard"/>
    <n v="399"/>
    <n v="10"/>
    <n v="8"/>
    <n v="3"/>
    <n v="26"/>
    <n v="51"/>
    <s v="Yes"/>
    <s v="No"/>
    <s v="Yes"/>
    <s v="Yes"/>
    <s v="Yes"/>
    <s v="No"/>
    <m/>
    <s v="1+ Failures"/>
    <n v="1"/>
    <x v="2"/>
  </r>
  <r>
    <n v="2752"/>
    <d v="2024-12-15T00:00:00"/>
    <s v="Standard"/>
    <n v="399"/>
    <n v="2.4"/>
    <n v="5"/>
    <n v="2"/>
    <n v="9"/>
    <n v="23"/>
    <s v="Yes"/>
    <s v="Yes"/>
    <s v="Yes"/>
    <s v="Yes"/>
    <s v="Yes"/>
    <s v="No"/>
    <m/>
    <s v="1+ Failures"/>
    <n v="1"/>
    <x v="0"/>
  </r>
  <r>
    <n v="2753"/>
    <d v="2023-07-09T00:00:00"/>
    <s v="Basic"/>
    <n v="199"/>
    <n v="23.2"/>
    <n v="4"/>
    <n v="4"/>
    <n v="22"/>
    <n v="5"/>
    <s v="No"/>
    <s v="No"/>
    <s v="Yes"/>
    <s v="No"/>
    <s v="No"/>
    <s v="No"/>
    <m/>
    <s v="1+ Failures"/>
    <n v="0"/>
    <x v="3"/>
  </r>
  <r>
    <n v="2754"/>
    <d v="2024-04-02T00:00:00"/>
    <s v="Standard"/>
    <n v="399"/>
    <n v="8.4"/>
    <n v="5"/>
    <n v="4"/>
    <n v="10"/>
    <n v="24"/>
    <s v="Yes"/>
    <s v="No"/>
    <s v="Yes"/>
    <s v="Yes"/>
    <s v="Yes"/>
    <s v="No"/>
    <m/>
    <s v="1+ Failures"/>
    <n v="1"/>
    <x v="2"/>
  </r>
  <r>
    <n v="2755"/>
    <d v="2023-10-10T00:00:00"/>
    <s v="Basic"/>
    <n v="199"/>
    <n v="21.4"/>
    <n v="3"/>
    <n v="0"/>
    <n v="8"/>
    <n v="29"/>
    <s v="No"/>
    <s v="No"/>
    <s v="No"/>
    <s v="No"/>
    <s v="Yes"/>
    <s v="No"/>
    <m/>
    <s v="0 Failures"/>
    <n v="0"/>
    <x v="3"/>
  </r>
  <r>
    <n v="2756"/>
    <d v="2023-10-20T00:00:00"/>
    <s v="Basic"/>
    <n v="199"/>
    <n v="9.5"/>
    <n v="1"/>
    <n v="2"/>
    <n v="16"/>
    <n v="11"/>
    <s v="No"/>
    <s v="No"/>
    <s v="Yes"/>
    <s v="No"/>
    <s v="No"/>
    <s v="No"/>
    <m/>
    <s v="1+ Failures"/>
    <n v="0"/>
    <x v="2"/>
  </r>
  <r>
    <n v="2757"/>
    <d v="2024-03-01T00:00:00"/>
    <s v="Basic"/>
    <n v="199"/>
    <n v="16.399999999999999"/>
    <n v="3"/>
    <n v="1"/>
    <n v="17"/>
    <n v="50"/>
    <s v="No"/>
    <s v="No"/>
    <s v="Yes"/>
    <s v="No"/>
    <s v="Yes"/>
    <s v="No"/>
    <m/>
    <s v="1+ Failures"/>
    <n v="0"/>
    <x v="1"/>
  </r>
  <r>
    <n v="2758"/>
    <d v="2024-04-08T00:00:00"/>
    <s v="Basic"/>
    <n v="199"/>
    <n v="19.5"/>
    <n v="4"/>
    <n v="1"/>
    <n v="20"/>
    <n v="45"/>
    <s v="No"/>
    <s v="No"/>
    <s v="Yes"/>
    <s v="No"/>
    <s v="Yes"/>
    <s v="No"/>
    <m/>
    <s v="1+ Failures"/>
    <n v="0"/>
    <x v="1"/>
  </r>
  <r>
    <n v="2759"/>
    <d v="2024-11-28T00:00:00"/>
    <s v="Premium"/>
    <n v="699"/>
    <n v="5.9"/>
    <n v="7"/>
    <n v="1"/>
    <n v="27"/>
    <n v="6"/>
    <s v="No"/>
    <s v="No"/>
    <s v="Yes"/>
    <s v="Yes"/>
    <s v="No"/>
    <s v="No"/>
    <m/>
    <s v="1+ Failures"/>
    <n v="0"/>
    <x v="2"/>
  </r>
  <r>
    <n v="2760"/>
    <d v="2023-12-31T00:00:00"/>
    <s v="Basic"/>
    <n v="199"/>
    <n v="13.6"/>
    <n v="1"/>
    <n v="3"/>
    <n v="2"/>
    <n v="60"/>
    <s v="Yes"/>
    <s v="No"/>
    <s v="Yes"/>
    <s v="No"/>
    <s v="Yes"/>
    <s v="Yes"/>
    <m/>
    <s v="1+ Failures"/>
    <n v="1"/>
    <x v="1"/>
  </r>
  <r>
    <n v="2761"/>
    <d v="2023-04-05T00:00:00"/>
    <s v="Basic"/>
    <n v="199"/>
    <n v="23.3"/>
    <n v="1"/>
    <n v="2"/>
    <n v="10"/>
    <n v="46"/>
    <s v="Yes"/>
    <s v="No"/>
    <s v="Yes"/>
    <s v="No"/>
    <s v="Yes"/>
    <s v="No"/>
    <m/>
    <s v="1+ Failures"/>
    <n v="1"/>
    <x v="3"/>
  </r>
  <r>
    <n v="2762"/>
    <d v="2023-10-14T00:00:00"/>
    <s v="Premium"/>
    <n v="699"/>
    <n v="8.3000000000000007"/>
    <n v="3"/>
    <n v="2"/>
    <n v="18"/>
    <n v="52"/>
    <s v="No"/>
    <s v="No"/>
    <s v="Yes"/>
    <s v="No"/>
    <s v="Yes"/>
    <s v="No"/>
    <m/>
    <s v="1+ Failures"/>
    <n v="0"/>
    <x v="2"/>
  </r>
  <r>
    <n v="2763"/>
    <d v="2024-11-27T00:00:00"/>
    <s v="Premium"/>
    <n v="699"/>
    <n v="11.1"/>
    <n v="8"/>
    <n v="3"/>
    <n v="12"/>
    <n v="16"/>
    <s v="Yes"/>
    <s v="No"/>
    <s v="Yes"/>
    <s v="Yes"/>
    <s v="Yes"/>
    <s v="No"/>
    <m/>
    <s v="1+ Failures"/>
    <n v="1"/>
    <x v="1"/>
  </r>
  <r>
    <n v="2764"/>
    <d v="2024-10-25T00:00:00"/>
    <s v="Premium"/>
    <n v="699"/>
    <n v="1.7"/>
    <n v="7"/>
    <n v="1"/>
    <n v="32"/>
    <n v="41"/>
    <s v="No"/>
    <s v="Yes"/>
    <s v="Yes"/>
    <s v="Yes"/>
    <s v="Yes"/>
    <s v="No"/>
    <m/>
    <s v="1+ Failures"/>
    <n v="0"/>
    <x v="0"/>
  </r>
  <r>
    <n v="2765"/>
    <d v="2023-06-01T00:00:00"/>
    <s v="Premium"/>
    <n v="699"/>
    <n v="17.399999999999999"/>
    <n v="6"/>
    <n v="2"/>
    <n v="2"/>
    <n v="56"/>
    <s v="Yes"/>
    <s v="No"/>
    <s v="Yes"/>
    <s v="Yes"/>
    <s v="Yes"/>
    <s v="Yes"/>
    <m/>
    <s v="1+ Failures"/>
    <n v="1"/>
    <x v="1"/>
  </r>
  <r>
    <n v="2766"/>
    <d v="2023-11-28T00:00:00"/>
    <s v="Basic"/>
    <n v="199"/>
    <n v="11.8"/>
    <n v="2"/>
    <n v="4"/>
    <n v="29"/>
    <n v="27"/>
    <s v="Yes"/>
    <s v="No"/>
    <s v="Yes"/>
    <s v="No"/>
    <s v="Yes"/>
    <s v="No"/>
    <m/>
    <s v="1+ Failures"/>
    <n v="1"/>
    <x v="1"/>
  </r>
  <r>
    <n v="2767"/>
    <d v="2024-10-23T00:00:00"/>
    <s v="Standard"/>
    <n v="399"/>
    <n v="5.3"/>
    <n v="0"/>
    <n v="0"/>
    <n v="13"/>
    <n v="17"/>
    <s v="No"/>
    <s v="No"/>
    <s v="No"/>
    <s v="No"/>
    <s v="Yes"/>
    <s v="No"/>
    <m/>
    <s v="0 Failures"/>
    <n v="0"/>
    <x v="2"/>
  </r>
  <r>
    <n v="2768"/>
    <d v="2024-01-12T00:00:00"/>
    <s v="Basic"/>
    <n v="199"/>
    <n v="20.5"/>
    <n v="7"/>
    <n v="4"/>
    <n v="23"/>
    <n v="4"/>
    <s v="Yes"/>
    <s v="No"/>
    <s v="Yes"/>
    <s v="Yes"/>
    <s v="No"/>
    <s v="No"/>
    <m/>
    <s v="1+ Failures"/>
    <n v="1"/>
    <x v="3"/>
  </r>
  <r>
    <n v="2769"/>
    <d v="2024-05-10T00:00:00"/>
    <s v="Standard"/>
    <n v="399"/>
    <n v="16.600000000000001"/>
    <n v="0"/>
    <n v="0"/>
    <n v="34"/>
    <n v="1"/>
    <s v="No"/>
    <s v="No"/>
    <s v="No"/>
    <s v="No"/>
    <s v="No"/>
    <s v="No"/>
    <m/>
    <s v="0 Failures"/>
    <n v="0"/>
    <x v="1"/>
  </r>
  <r>
    <n v="2770"/>
    <d v="2024-11-09T00:00:00"/>
    <s v="Premium"/>
    <n v="699"/>
    <n v="18.399999999999999"/>
    <n v="1"/>
    <n v="2"/>
    <n v="12"/>
    <n v="11"/>
    <s v="Yes"/>
    <s v="No"/>
    <s v="Yes"/>
    <s v="No"/>
    <s v="No"/>
    <s v="No"/>
    <m/>
    <s v="1+ Failures"/>
    <n v="1"/>
    <x v="1"/>
  </r>
  <r>
    <n v="2771"/>
    <d v="2023-05-07T00:00:00"/>
    <s v="Basic"/>
    <n v="199"/>
    <n v="10.9"/>
    <n v="4"/>
    <n v="1"/>
    <n v="8"/>
    <n v="36"/>
    <s v="No"/>
    <s v="No"/>
    <s v="Yes"/>
    <s v="No"/>
    <s v="Yes"/>
    <s v="No"/>
    <m/>
    <s v="1+ Failures"/>
    <n v="0"/>
    <x v="1"/>
  </r>
  <r>
    <n v="2772"/>
    <d v="2023-07-23T00:00:00"/>
    <s v="Basic"/>
    <n v="199"/>
    <n v="13.5"/>
    <n v="1"/>
    <n v="3"/>
    <n v="26"/>
    <n v="10"/>
    <s v="No"/>
    <s v="No"/>
    <s v="Yes"/>
    <s v="No"/>
    <s v="No"/>
    <s v="No"/>
    <m/>
    <s v="1+ Failures"/>
    <n v="0"/>
    <x v="1"/>
  </r>
  <r>
    <n v="2773"/>
    <d v="2024-02-05T00:00:00"/>
    <s v="Basic"/>
    <n v="199"/>
    <n v="9.8000000000000007"/>
    <n v="5"/>
    <n v="2"/>
    <n v="13"/>
    <n v="45"/>
    <s v="Yes"/>
    <s v="No"/>
    <s v="Yes"/>
    <s v="Yes"/>
    <s v="Yes"/>
    <s v="No"/>
    <m/>
    <s v="1+ Failures"/>
    <n v="1"/>
    <x v="2"/>
  </r>
  <r>
    <n v="2774"/>
    <d v="2024-05-11T00:00:00"/>
    <s v="Basic"/>
    <n v="199"/>
    <n v="15.2"/>
    <n v="2"/>
    <n v="4"/>
    <n v="2"/>
    <n v="46"/>
    <s v="No"/>
    <s v="No"/>
    <s v="Yes"/>
    <s v="No"/>
    <s v="Yes"/>
    <s v="Yes"/>
    <m/>
    <s v="1+ Failures"/>
    <n v="0"/>
    <x v="1"/>
  </r>
  <r>
    <n v="2775"/>
    <d v="2024-11-06T00:00:00"/>
    <s v="Basic"/>
    <n v="199"/>
    <n v="3.6"/>
    <n v="5"/>
    <n v="4"/>
    <n v="23"/>
    <n v="22"/>
    <s v="Yes"/>
    <s v="Yes"/>
    <s v="Yes"/>
    <s v="Yes"/>
    <s v="Yes"/>
    <s v="No"/>
    <m/>
    <s v="1+ Failures"/>
    <n v="1"/>
    <x v="0"/>
  </r>
  <r>
    <n v="2776"/>
    <d v="2024-03-29T00:00:00"/>
    <s v="Premium"/>
    <n v="699"/>
    <n v="22.8"/>
    <n v="2"/>
    <n v="1"/>
    <n v="14"/>
    <n v="9"/>
    <s v="No"/>
    <s v="No"/>
    <s v="Yes"/>
    <s v="No"/>
    <s v="No"/>
    <s v="No"/>
    <m/>
    <s v="1+ Failures"/>
    <n v="0"/>
    <x v="3"/>
  </r>
  <r>
    <n v="2777"/>
    <d v="2024-04-30T00:00:00"/>
    <s v="Basic"/>
    <n v="199"/>
    <n v="22.4"/>
    <n v="2"/>
    <n v="0"/>
    <n v="13"/>
    <n v="18"/>
    <s v="No"/>
    <s v="No"/>
    <s v="No"/>
    <s v="No"/>
    <s v="Yes"/>
    <s v="No"/>
    <m/>
    <s v="0 Failures"/>
    <n v="0"/>
    <x v="3"/>
  </r>
  <r>
    <n v="2778"/>
    <d v="2023-03-31T00:00:00"/>
    <s v="Premium"/>
    <n v="699"/>
    <n v="19.7"/>
    <n v="3"/>
    <n v="1"/>
    <n v="15"/>
    <n v="14"/>
    <s v="No"/>
    <s v="No"/>
    <s v="Yes"/>
    <s v="No"/>
    <s v="No"/>
    <s v="No"/>
    <m/>
    <s v="1+ Failures"/>
    <n v="0"/>
    <x v="1"/>
  </r>
  <r>
    <n v="2779"/>
    <d v="2024-07-18T00:00:00"/>
    <s v="Premium"/>
    <n v="699"/>
    <n v="24.3"/>
    <n v="7"/>
    <n v="3"/>
    <n v="23"/>
    <n v="5"/>
    <s v="No"/>
    <s v="No"/>
    <s v="Yes"/>
    <s v="Yes"/>
    <s v="No"/>
    <s v="No"/>
    <m/>
    <s v="1+ Failures"/>
    <n v="0"/>
    <x v="3"/>
  </r>
  <r>
    <n v="2780"/>
    <d v="2023-05-04T00:00:00"/>
    <s v="Standard"/>
    <n v="399"/>
    <n v="13"/>
    <n v="6"/>
    <n v="4"/>
    <n v="3"/>
    <n v="31"/>
    <s v="No"/>
    <s v="No"/>
    <s v="Yes"/>
    <s v="Yes"/>
    <s v="Yes"/>
    <s v="Yes"/>
    <m/>
    <s v="1+ Failures"/>
    <n v="0"/>
    <x v="1"/>
  </r>
  <r>
    <n v="2781"/>
    <d v="2024-05-18T00:00:00"/>
    <s v="Premium"/>
    <n v="699"/>
    <n v="20.8"/>
    <n v="3"/>
    <n v="3"/>
    <n v="11"/>
    <n v="2"/>
    <s v="Yes"/>
    <s v="No"/>
    <s v="Yes"/>
    <s v="No"/>
    <s v="No"/>
    <s v="No"/>
    <m/>
    <s v="1+ Failures"/>
    <n v="1"/>
    <x v="3"/>
  </r>
  <r>
    <n v="2782"/>
    <d v="2024-07-20T00:00:00"/>
    <s v="Basic"/>
    <n v="199"/>
    <n v="10.199999999999999"/>
    <n v="5"/>
    <n v="5"/>
    <n v="10"/>
    <n v="54"/>
    <s v="No"/>
    <s v="No"/>
    <s v="Yes"/>
    <s v="Yes"/>
    <s v="Yes"/>
    <s v="No"/>
    <m/>
    <s v="1+ Failures"/>
    <n v="0"/>
    <x v="1"/>
  </r>
  <r>
    <n v="2783"/>
    <d v="2024-05-19T00:00:00"/>
    <s v="Basic"/>
    <n v="199"/>
    <n v="17.100000000000001"/>
    <n v="2"/>
    <n v="5"/>
    <n v="36"/>
    <n v="5"/>
    <s v="No"/>
    <s v="No"/>
    <s v="Yes"/>
    <s v="No"/>
    <s v="No"/>
    <s v="No"/>
    <m/>
    <s v="1+ Failures"/>
    <n v="0"/>
    <x v="1"/>
  </r>
  <r>
    <n v="2784"/>
    <d v="2024-02-17T00:00:00"/>
    <s v="Premium"/>
    <n v="699"/>
    <n v="23.1"/>
    <n v="4"/>
    <n v="4"/>
    <n v="28"/>
    <n v="55"/>
    <s v="Yes"/>
    <s v="No"/>
    <s v="Yes"/>
    <s v="No"/>
    <s v="Yes"/>
    <s v="No"/>
    <m/>
    <s v="1+ Failures"/>
    <n v="1"/>
    <x v="3"/>
  </r>
  <r>
    <n v="2785"/>
    <d v="2023-08-10T00:00:00"/>
    <s v="Standard"/>
    <n v="399"/>
    <n v="8.4"/>
    <n v="4"/>
    <n v="1"/>
    <n v="13"/>
    <n v="9"/>
    <s v="Yes"/>
    <s v="No"/>
    <s v="Yes"/>
    <s v="No"/>
    <s v="No"/>
    <s v="No"/>
    <m/>
    <s v="1+ Failures"/>
    <n v="1"/>
    <x v="2"/>
  </r>
  <r>
    <n v="2786"/>
    <d v="2023-04-19T00:00:00"/>
    <s v="Premium"/>
    <n v="699"/>
    <n v="4"/>
    <n v="2"/>
    <n v="5"/>
    <n v="10"/>
    <n v="32"/>
    <s v="Yes"/>
    <s v="Yes"/>
    <s v="Yes"/>
    <s v="No"/>
    <s v="Yes"/>
    <s v="No"/>
    <m/>
    <s v="1+ Failures"/>
    <n v="1"/>
    <x v="0"/>
  </r>
  <r>
    <n v="2787"/>
    <d v="2024-08-02T00:00:00"/>
    <s v="Premium"/>
    <n v="699"/>
    <n v="6.7"/>
    <n v="2"/>
    <n v="2"/>
    <n v="19"/>
    <n v="35"/>
    <s v="No"/>
    <s v="No"/>
    <s v="Yes"/>
    <s v="No"/>
    <s v="Yes"/>
    <s v="No"/>
    <m/>
    <s v="1+ Failures"/>
    <n v="0"/>
    <x v="2"/>
  </r>
  <r>
    <n v="2788"/>
    <d v="2024-09-24T00:00:00"/>
    <s v="Basic"/>
    <n v="199"/>
    <n v="4.9000000000000004"/>
    <n v="5"/>
    <n v="3"/>
    <n v="12"/>
    <n v="3"/>
    <s v="Yes"/>
    <s v="Yes"/>
    <s v="Yes"/>
    <s v="Yes"/>
    <s v="No"/>
    <s v="No"/>
    <m/>
    <s v="1+ Failures"/>
    <n v="1"/>
    <x v="0"/>
  </r>
  <r>
    <n v="2789"/>
    <d v="2024-10-12T00:00:00"/>
    <s v="Standard"/>
    <n v="399"/>
    <n v="9.6"/>
    <n v="0"/>
    <n v="3"/>
    <n v="14"/>
    <n v="15"/>
    <s v="No"/>
    <s v="No"/>
    <s v="Yes"/>
    <s v="No"/>
    <s v="Yes"/>
    <s v="No"/>
    <m/>
    <s v="1+ Failures"/>
    <n v="0"/>
    <x v="2"/>
  </r>
  <r>
    <n v="2790"/>
    <d v="2024-06-28T00:00:00"/>
    <s v="Premium"/>
    <n v="699"/>
    <n v="21.7"/>
    <n v="3"/>
    <n v="0"/>
    <n v="31"/>
    <n v="54"/>
    <s v="No"/>
    <s v="No"/>
    <s v="No"/>
    <s v="No"/>
    <s v="Yes"/>
    <s v="No"/>
    <m/>
    <s v="0 Failures"/>
    <n v="0"/>
    <x v="3"/>
  </r>
  <r>
    <n v="2791"/>
    <d v="2023-01-07T00:00:00"/>
    <s v="Basic"/>
    <n v="199"/>
    <n v="10.199999999999999"/>
    <n v="7"/>
    <n v="2"/>
    <n v="18"/>
    <n v="6"/>
    <s v="No"/>
    <s v="No"/>
    <s v="Yes"/>
    <s v="Yes"/>
    <s v="No"/>
    <s v="No"/>
    <m/>
    <s v="1+ Failures"/>
    <n v="0"/>
    <x v="1"/>
  </r>
  <r>
    <n v="2792"/>
    <d v="2024-07-29T00:00:00"/>
    <s v="Standard"/>
    <n v="399"/>
    <n v="6.1"/>
    <n v="8"/>
    <n v="2"/>
    <n v="21"/>
    <n v="49"/>
    <s v="Yes"/>
    <s v="No"/>
    <s v="Yes"/>
    <s v="Yes"/>
    <s v="Yes"/>
    <s v="No"/>
    <m/>
    <s v="1+ Failures"/>
    <n v="1"/>
    <x v="2"/>
  </r>
  <r>
    <n v="2793"/>
    <d v="2024-02-15T00:00:00"/>
    <s v="Standard"/>
    <n v="399"/>
    <n v="0.8"/>
    <n v="1"/>
    <n v="1"/>
    <n v="10"/>
    <n v="49"/>
    <s v="Yes"/>
    <s v="Yes"/>
    <s v="Yes"/>
    <s v="No"/>
    <s v="Yes"/>
    <s v="No"/>
    <m/>
    <s v="1+ Failures"/>
    <n v="1"/>
    <x v="0"/>
  </r>
  <r>
    <n v="2794"/>
    <d v="2024-04-29T00:00:00"/>
    <s v="Premium"/>
    <n v="699"/>
    <n v="13"/>
    <n v="4"/>
    <n v="5"/>
    <n v="4"/>
    <n v="25"/>
    <s v="Yes"/>
    <s v="No"/>
    <s v="Yes"/>
    <s v="No"/>
    <s v="Yes"/>
    <s v="Yes"/>
    <m/>
    <s v="1+ Failures"/>
    <n v="1"/>
    <x v="1"/>
  </r>
  <r>
    <n v="2795"/>
    <d v="2023-02-16T00:00:00"/>
    <s v="Premium"/>
    <n v="699"/>
    <n v="10"/>
    <n v="5"/>
    <n v="5"/>
    <n v="24"/>
    <n v="17"/>
    <s v="No"/>
    <s v="No"/>
    <s v="Yes"/>
    <s v="Yes"/>
    <s v="Yes"/>
    <s v="No"/>
    <m/>
    <s v="1+ Failures"/>
    <n v="0"/>
    <x v="2"/>
  </r>
  <r>
    <n v="2796"/>
    <d v="2023-03-10T00:00:00"/>
    <s v="Standard"/>
    <n v="399"/>
    <n v="6.7"/>
    <n v="1"/>
    <n v="1"/>
    <n v="21"/>
    <n v="59"/>
    <s v="No"/>
    <s v="No"/>
    <s v="Yes"/>
    <s v="No"/>
    <s v="Yes"/>
    <s v="No"/>
    <m/>
    <s v="1+ Failures"/>
    <n v="0"/>
    <x v="2"/>
  </r>
  <r>
    <n v="2797"/>
    <d v="2024-11-20T00:00:00"/>
    <s v="Standard"/>
    <n v="399"/>
    <n v="11"/>
    <n v="4"/>
    <n v="0"/>
    <n v="6"/>
    <n v="4"/>
    <s v="No"/>
    <s v="No"/>
    <s v="No"/>
    <s v="No"/>
    <s v="No"/>
    <s v="No"/>
    <m/>
    <s v="0 Failures"/>
    <n v="0"/>
    <x v="1"/>
  </r>
  <r>
    <n v="2798"/>
    <d v="2024-08-13T00:00:00"/>
    <s v="Standard"/>
    <n v="399"/>
    <n v="11"/>
    <n v="0"/>
    <n v="4"/>
    <n v="22"/>
    <n v="59"/>
    <s v="No"/>
    <s v="No"/>
    <s v="Yes"/>
    <s v="No"/>
    <s v="Yes"/>
    <s v="No"/>
    <m/>
    <s v="1+ Failures"/>
    <n v="0"/>
    <x v="1"/>
  </r>
  <r>
    <n v="2799"/>
    <d v="2024-05-23T00:00:00"/>
    <s v="Premium"/>
    <n v="699"/>
    <n v="15"/>
    <n v="3"/>
    <n v="4"/>
    <n v="25"/>
    <n v="20"/>
    <s v="No"/>
    <s v="No"/>
    <s v="Yes"/>
    <s v="No"/>
    <s v="Yes"/>
    <s v="No"/>
    <m/>
    <s v="1+ Failures"/>
    <n v="0"/>
    <x v="1"/>
  </r>
  <r>
    <n v="2800"/>
    <d v="2024-03-21T00:00:00"/>
    <s v="Standard"/>
    <n v="399"/>
    <n v="2"/>
    <n v="0"/>
    <n v="1"/>
    <n v="12"/>
    <n v="1"/>
    <s v="Yes"/>
    <s v="Yes"/>
    <s v="Yes"/>
    <s v="No"/>
    <s v="No"/>
    <s v="No"/>
    <m/>
    <s v="1+ Failures"/>
    <n v="1"/>
    <x v="0"/>
  </r>
  <r>
    <m/>
    <m/>
    <m/>
    <m/>
    <m/>
    <m/>
    <m/>
    <m/>
    <m/>
    <m/>
    <m/>
    <m/>
    <m/>
    <m/>
    <m/>
    <m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n v="1"/>
    <d v="2023-04-15T00:00:00"/>
    <s v="Premium"/>
    <n v="699"/>
    <n v="1.1000000000000001"/>
    <n v="4"/>
    <n v="1"/>
    <n v="8"/>
    <n v="14"/>
    <s v="Yes"/>
    <s v="Yes"/>
    <s v="Yes"/>
    <s v="No"/>
    <s v="No"/>
    <s v="No"/>
    <m/>
    <s v="1+ Failures"/>
    <n v="1"/>
    <s v="0-5 hrs"/>
    <x v="0"/>
  </r>
  <r>
    <n v="2"/>
    <d v="2023-08-27T00:00:00"/>
    <s v="Premium"/>
    <n v="699"/>
    <n v="2.6"/>
    <n v="6"/>
    <n v="0"/>
    <n v="35"/>
    <n v="1"/>
    <s v="Yes"/>
    <s v="Yes"/>
    <s v="No"/>
    <s v="Yes"/>
    <s v="No"/>
    <s v="No"/>
    <m/>
    <s v="0 Failures"/>
    <n v="1"/>
    <s v="0-5 hrs"/>
    <x v="1"/>
  </r>
  <r>
    <n v="3"/>
    <d v="2023-10-12T00:00:00"/>
    <s v="Premium"/>
    <n v="699"/>
    <n v="14.3"/>
    <n v="8"/>
    <n v="3"/>
    <n v="2"/>
    <n v="14"/>
    <s v="Yes"/>
    <s v="No"/>
    <s v="Yes"/>
    <s v="Yes"/>
    <s v="No"/>
    <s v="Yes"/>
    <m/>
    <s v="1+ Failures"/>
    <n v="1"/>
    <s v="10-20hrs"/>
    <x v="2"/>
  </r>
  <r>
    <n v="4"/>
    <d v="2023-12-11T00:00:00"/>
    <s v="Basic"/>
    <n v="199"/>
    <n v="17.600000000000001"/>
    <n v="5"/>
    <n v="2"/>
    <n v="11"/>
    <n v="9"/>
    <s v="Yes"/>
    <s v="No"/>
    <s v="Yes"/>
    <s v="Yes"/>
    <s v="No"/>
    <s v="No"/>
    <m/>
    <s v="1+ Failures"/>
    <n v="1"/>
    <s v="10-20hrs"/>
    <x v="0"/>
  </r>
  <r>
    <n v="5"/>
    <d v="2023-02-14T00:00:00"/>
    <s v="Basic"/>
    <n v="199"/>
    <n v="9.8000000000000007"/>
    <n v="5"/>
    <n v="2"/>
    <n v="6"/>
    <n v="38"/>
    <s v="Yes"/>
    <s v="No"/>
    <s v="Yes"/>
    <s v="Yes"/>
    <s v="Yes"/>
    <s v="No"/>
    <m/>
    <s v="1+ Failures"/>
    <n v="1"/>
    <s v="5-10 hrs"/>
    <x v="3"/>
  </r>
  <r>
    <n v="6"/>
    <d v="2024-10-05T00:00:00"/>
    <s v="Premium"/>
    <n v="699"/>
    <n v="13.6"/>
    <n v="6"/>
    <n v="0"/>
    <n v="30"/>
    <n v="35"/>
    <s v="Yes"/>
    <s v="No"/>
    <s v="No"/>
    <s v="Yes"/>
    <s v="Yes"/>
    <s v="No"/>
    <m/>
    <s v="0 Failures"/>
    <n v="1"/>
    <s v="10-20hrs"/>
    <x v="1"/>
  </r>
  <r>
    <n v="7"/>
    <d v="2023-10-24T00:00:00"/>
    <s v="Premium"/>
    <n v="699"/>
    <n v="14.6"/>
    <n v="1"/>
    <n v="0"/>
    <n v="24"/>
    <n v="42"/>
    <s v="Yes"/>
    <s v="No"/>
    <s v="No"/>
    <s v="No"/>
    <s v="Yes"/>
    <s v="No"/>
    <m/>
    <s v="0 Failures"/>
    <n v="1"/>
    <s v="10-20hrs"/>
    <x v="1"/>
  </r>
  <r>
    <n v="8"/>
    <d v="2024-01-09T00:00:00"/>
    <s v="Basic"/>
    <n v="199"/>
    <n v="21.7"/>
    <n v="6"/>
    <n v="2"/>
    <n v="15"/>
    <n v="29"/>
    <s v="Yes"/>
    <s v="No"/>
    <s v="Yes"/>
    <s v="Yes"/>
    <s v="Yes"/>
    <s v="No"/>
    <m/>
    <s v="1+ Failures"/>
    <n v="1"/>
    <s v="20+ hrs"/>
    <x v="1"/>
  </r>
  <r>
    <n v="9"/>
    <d v="2023-03-15T00:00:00"/>
    <s v="Basic"/>
    <n v="199"/>
    <n v="9.1999999999999993"/>
    <n v="4"/>
    <n v="5"/>
    <n v="24"/>
    <n v="59"/>
    <s v="Yes"/>
    <s v="No"/>
    <s v="Yes"/>
    <s v="No"/>
    <s v="Yes"/>
    <s v="No"/>
    <m/>
    <s v="1+ Failures"/>
    <n v="1"/>
    <s v="5-10 hrs"/>
    <x v="1"/>
  </r>
  <r>
    <n v="10"/>
    <d v="2024-10-17T00:00:00"/>
    <s v="Premium"/>
    <n v="699"/>
    <n v="13.6"/>
    <n v="3"/>
    <n v="1"/>
    <n v="11"/>
    <n v="29"/>
    <s v="No"/>
    <s v="No"/>
    <s v="Yes"/>
    <s v="No"/>
    <s v="Yes"/>
    <s v="No"/>
    <m/>
    <s v="1+ Failures"/>
    <n v="0"/>
    <s v="10-20hrs"/>
    <x v="0"/>
  </r>
  <r>
    <n v="11"/>
    <d v="2023-11-20T00:00:00"/>
    <s v="Premium"/>
    <n v="699"/>
    <n v="5.9"/>
    <n v="5"/>
    <n v="0"/>
    <n v="36"/>
    <n v="14"/>
    <s v="No"/>
    <s v="No"/>
    <s v="No"/>
    <s v="Yes"/>
    <s v="No"/>
    <s v="No"/>
    <m/>
    <s v="0 Failures"/>
    <n v="0"/>
    <s v="5-10 hrs"/>
    <x v="1"/>
  </r>
  <r>
    <n v="12"/>
    <d v="2024-10-20T00:00:00"/>
    <s v="Standard"/>
    <n v="399"/>
    <n v="2.1"/>
    <n v="5"/>
    <n v="1"/>
    <n v="18"/>
    <n v="41"/>
    <s v="Yes"/>
    <s v="Yes"/>
    <s v="Yes"/>
    <s v="Yes"/>
    <s v="Yes"/>
    <s v="No"/>
    <m/>
    <s v="1+ Failures"/>
    <n v="1"/>
    <s v="0-5 hrs"/>
    <x v="1"/>
  </r>
  <r>
    <n v="13"/>
    <d v="2024-08-21T00:00:00"/>
    <s v="Standard"/>
    <n v="399"/>
    <n v="7"/>
    <n v="3"/>
    <n v="5"/>
    <n v="10"/>
    <n v="35"/>
    <s v="Yes"/>
    <s v="No"/>
    <s v="Yes"/>
    <s v="No"/>
    <s v="Yes"/>
    <s v="No"/>
    <m/>
    <s v="1+ Failures"/>
    <n v="1"/>
    <s v="5-10 hrs"/>
    <x v="0"/>
  </r>
  <r>
    <n v="14"/>
    <d v="2023-02-18T00:00:00"/>
    <s v="Standard"/>
    <n v="399"/>
    <n v="9.4"/>
    <n v="2"/>
    <n v="4"/>
    <n v="26"/>
    <n v="31"/>
    <s v="Yes"/>
    <s v="No"/>
    <s v="Yes"/>
    <s v="No"/>
    <s v="Yes"/>
    <s v="No"/>
    <m/>
    <s v="1+ Failures"/>
    <n v="1"/>
    <s v="5-10 hrs"/>
    <x v="1"/>
  </r>
  <r>
    <n v="15"/>
    <d v="2024-09-02T00:00:00"/>
    <s v="Basic"/>
    <n v="199"/>
    <n v="15.9"/>
    <n v="6"/>
    <n v="4"/>
    <n v="10"/>
    <n v="4"/>
    <s v="Yes"/>
    <s v="No"/>
    <s v="Yes"/>
    <s v="Yes"/>
    <s v="No"/>
    <s v="No"/>
    <m/>
    <s v="1+ Failures"/>
    <n v="1"/>
    <s v="10-20hrs"/>
    <x v="0"/>
  </r>
  <r>
    <n v="16"/>
    <d v="2024-11-29T00:00:00"/>
    <s v="Standard"/>
    <n v="399"/>
    <n v="6.7"/>
    <n v="8"/>
    <n v="0"/>
    <n v="34"/>
    <n v="43"/>
    <s v="No"/>
    <s v="No"/>
    <s v="No"/>
    <s v="Yes"/>
    <s v="Yes"/>
    <s v="No"/>
    <m/>
    <s v="0 Failures"/>
    <n v="0"/>
    <s v="5-10 hrs"/>
    <x v="1"/>
  </r>
  <r>
    <n v="17"/>
    <d v="2024-04-09T00:00:00"/>
    <s v="Premium"/>
    <n v="699"/>
    <n v="19.3"/>
    <n v="5"/>
    <n v="0"/>
    <n v="18"/>
    <n v="18"/>
    <s v="No"/>
    <s v="No"/>
    <s v="No"/>
    <s v="Yes"/>
    <s v="Yes"/>
    <s v="No"/>
    <m/>
    <s v="0 Failures"/>
    <n v="0"/>
    <s v="10-20hrs"/>
    <x v="1"/>
  </r>
  <r>
    <n v="18"/>
    <d v="2024-10-02T00:00:00"/>
    <s v="Basic"/>
    <n v="199"/>
    <n v="24.3"/>
    <n v="2"/>
    <n v="4"/>
    <n v="17"/>
    <n v="58"/>
    <s v="Yes"/>
    <s v="No"/>
    <s v="Yes"/>
    <s v="No"/>
    <s v="Yes"/>
    <s v="No"/>
    <m/>
    <s v="1+ Failures"/>
    <n v="1"/>
    <s v="20+ hrs"/>
    <x v="1"/>
  </r>
  <r>
    <n v="19"/>
    <d v="2024-06-27T00:00:00"/>
    <s v="Standard"/>
    <n v="399"/>
    <n v="15.4"/>
    <n v="2"/>
    <n v="2"/>
    <n v="33"/>
    <n v="48"/>
    <s v="Yes"/>
    <s v="No"/>
    <s v="Yes"/>
    <s v="No"/>
    <s v="Yes"/>
    <s v="No"/>
    <m/>
    <s v="1+ Failures"/>
    <n v="1"/>
    <s v="10-20hrs"/>
    <x v="1"/>
  </r>
  <r>
    <n v="20"/>
    <d v="2023-11-11T00:00:00"/>
    <s v="Basic"/>
    <n v="199"/>
    <n v="12.5"/>
    <n v="1"/>
    <n v="2"/>
    <n v="21"/>
    <n v="56"/>
    <s v="No"/>
    <s v="No"/>
    <s v="Yes"/>
    <s v="No"/>
    <s v="Yes"/>
    <s v="No"/>
    <m/>
    <s v="1+ Failures"/>
    <n v="0"/>
    <s v="10-20hrs"/>
    <x v="1"/>
  </r>
  <r>
    <n v="21"/>
    <d v="2023-03-12T00:00:00"/>
    <s v="Basic"/>
    <n v="199"/>
    <n v="6.4"/>
    <n v="1"/>
    <n v="0"/>
    <n v="4"/>
    <n v="46"/>
    <s v="No"/>
    <s v="No"/>
    <s v="No"/>
    <s v="No"/>
    <s v="Yes"/>
    <s v="Yes"/>
    <m/>
    <s v="0 Failures"/>
    <n v="0"/>
    <s v="5-10 hrs"/>
    <x v="3"/>
  </r>
  <r>
    <n v="22"/>
    <d v="2024-09-13T00:00:00"/>
    <s v="Premium"/>
    <n v="699"/>
    <n v="3.6"/>
    <n v="7"/>
    <n v="4"/>
    <n v="9"/>
    <n v="10"/>
    <s v="Yes"/>
    <s v="Yes"/>
    <s v="Yes"/>
    <s v="Yes"/>
    <s v="No"/>
    <s v="No"/>
    <m/>
    <s v="1+ Failures"/>
    <n v="1"/>
    <s v="0-5 hrs"/>
    <x v="0"/>
  </r>
  <r>
    <n v="23"/>
    <d v="2024-11-18T00:00:00"/>
    <s v="Standard"/>
    <n v="399"/>
    <n v="23.3"/>
    <n v="3"/>
    <n v="5"/>
    <n v="14"/>
    <n v="19"/>
    <s v="No"/>
    <s v="No"/>
    <s v="Yes"/>
    <s v="No"/>
    <s v="Yes"/>
    <s v="No"/>
    <m/>
    <s v="1+ Failures"/>
    <n v="0"/>
    <s v="20+ hrs"/>
    <x v="1"/>
  </r>
  <r>
    <n v="24"/>
    <d v="2023-03-07T00:00:00"/>
    <s v="Premium"/>
    <n v="699"/>
    <n v="11.2"/>
    <n v="8"/>
    <n v="3"/>
    <n v="24"/>
    <n v="7"/>
    <s v="Yes"/>
    <s v="No"/>
    <s v="Yes"/>
    <s v="Yes"/>
    <s v="No"/>
    <s v="No"/>
    <m/>
    <s v="1+ Failures"/>
    <n v="1"/>
    <s v="10-20hrs"/>
    <x v="1"/>
  </r>
  <r>
    <n v="25"/>
    <d v="2024-12-25T00:00:00"/>
    <s v="Standard"/>
    <n v="399"/>
    <n v="14.9"/>
    <n v="3"/>
    <n v="4"/>
    <n v="2"/>
    <n v="14"/>
    <s v="Yes"/>
    <s v="No"/>
    <s v="Yes"/>
    <s v="No"/>
    <s v="No"/>
    <s v="Yes"/>
    <m/>
    <s v="1+ Failures"/>
    <n v="1"/>
    <s v="10-20hrs"/>
    <x v="2"/>
  </r>
  <r>
    <n v="26"/>
    <d v="2023-10-13T00:00:00"/>
    <s v="Premium"/>
    <n v="699"/>
    <n v="6.1"/>
    <n v="0"/>
    <n v="2"/>
    <n v="4"/>
    <n v="4"/>
    <s v="No"/>
    <s v="No"/>
    <s v="Yes"/>
    <s v="No"/>
    <s v="No"/>
    <s v="Yes"/>
    <m/>
    <s v="1+ Failures"/>
    <n v="0"/>
    <s v="5-10 hrs"/>
    <x v="3"/>
  </r>
  <r>
    <n v="27"/>
    <d v="2024-08-13T00:00:00"/>
    <s v="Premium"/>
    <n v="699"/>
    <n v="5.7"/>
    <n v="2"/>
    <n v="5"/>
    <n v="32"/>
    <n v="59"/>
    <s v="No"/>
    <s v="No"/>
    <s v="Yes"/>
    <s v="No"/>
    <s v="Yes"/>
    <s v="No"/>
    <m/>
    <s v="1+ Failures"/>
    <n v="0"/>
    <s v="5-10 hrs"/>
    <x v="1"/>
  </r>
  <r>
    <n v="28"/>
    <d v="2024-03-17T00:00:00"/>
    <s v="Standard"/>
    <n v="399"/>
    <n v="19.7"/>
    <n v="6"/>
    <n v="1"/>
    <n v="16"/>
    <n v="6"/>
    <s v="Yes"/>
    <s v="No"/>
    <s v="Yes"/>
    <s v="Yes"/>
    <s v="No"/>
    <s v="No"/>
    <m/>
    <s v="1+ Failures"/>
    <n v="1"/>
    <s v="10-20hrs"/>
    <x v="1"/>
  </r>
  <r>
    <n v="29"/>
    <d v="2023-04-11T00:00:00"/>
    <s v="Standard"/>
    <n v="399"/>
    <n v="10.6"/>
    <n v="0"/>
    <n v="5"/>
    <n v="28"/>
    <n v="41"/>
    <s v="No"/>
    <s v="No"/>
    <s v="Yes"/>
    <s v="No"/>
    <s v="Yes"/>
    <s v="No"/>
    <m/>
    <s v="1+ Failures"/>
    <n v="0"/>
    <s v="10-20hrs"/>
    <x v="1"/>
  </r>
  <r>
    <n v="30"/>
    <d v="2024-04-04T00:00:00"/>
    <s v="Basic"/>
    <n v="199"/>
    <n v="18.3"/>
    <n v="1"/>
    <n v="1"/>
    <n v="26"/>
    <n v="12"/>
    <s v="No"/>
    <s v="No"/>
    <s v="Yes"/>
    <s v="No"/>
    <s v="No"/>
    <s v="No"/>
    <m/>
    <s v="1+ Failures"/>
    <n v="0"/>
    <s v="10-20hrs"/>
    <x v="1"/>
  </r>
  <r>
    <n v="31"/>
    <d v="2024-03-29T00:00:00"/>
    <s v="Basic"/>
    <n v="199"/>
    <n v="5"/>
    <n v="7"/>
    <n v="1"/>
    <n v="28"/>
    <n v="55"/>
    <s v="No"/>
    <s v="No"/>
    <s v="Yes"/>
    <s v="Yes"/>
    <s v="Yes"/>
    <s v="No"/>
    <m/>
    <s v="1+ Failures"/>
    <n v="0"/>
    <s v="0-5 hrs"/>
    <x v="1"/>
  </r>
  <r>
    <n v="32"/>
    <d v="2023-08-31T00:00:00"/>
    <s v="Premium"/>
    <n v="699"/>
    <n v="1.7"/>
    <n v="8"/>
    <n v="0"/>
    <n v="7"/>
    <n v="5"/>
    <s v="No"/>
    <s v="Yes"/>
    <s v="No"/>
    <s v="Yes"/>
    <s v="No"/>
    <s v="No"/>
    <m/>
    <s v="0 Failures"/>
    <n v="0"/>
    <s v="0-5 hrs"/>
    <x v="0"/>
  </r>
  <r>
    <n v="33"/>
    <d v="2024-01-24T00:00:00"/>
    <s v="Basic"/>
    <n v="199"/>
    <n v="12.4"/>
    <n v="3"/>
    <n v="3"/>
    <n v="27"/>
    <n v="57"/>
    <s v="Yes"/>
    <s v="No"/>
    <s v="Yes"/>
    <s v="No"/>
    <s v="Yes"/>
    <s v="No"/>
    <m/>
    <s v="1+ Failures"/>
    <n v="1"/>
    <s v="10-20hrs"/>
    <x v="1"/>
  </r>
  <r>
    <n v="34"/>
    <d v="2024-07-23T00:00:00"/>
    <s v="Basic"/>
    <n v="199"/>
    <n v="7"/>
    <n v="7"/>
    <n v="2"/>
    <n v="25"/>
    <n v="27"/>
    <s v="Yes"/>
    <s v="No"/>
    <s v="Yes"/>
    <s v="Yes"/>
    <s v="Yes"/>
    <s v="No"/>
    <m/>
    <s v="1+ Failures"/>
    <n v="1"/>
    <s v="5-10 hrs"/>
    <x v="1"/>
  </r>
  <r>
    <n v="35"/>
    <d v="2024-07-09T00:00:00"/>
    <s v="Premium"/>
    <n v="699"/>
    <n v="4.3"/>
    <n v="4"/>
    <n v="1"/>
    <n v="32"/>
    <n v="3"/>
    <s v="No"/>
    <s v="Yes"/>
    <s v="Yes"/>
    <s v="No"/>
    <s v="No"/>
    <s v="No"/>
    <m/>
    <s v="1+ Failures"/>
    <n v="0"/>
    <s v="0-5 hrs"/>
    <x v="1"/>
  </r>
  <r>
    <n v="36"/>
    <d v="2023-06-11T00:00:00"/>
    <s v="Basic"/>
    <n v="199"/>
    <n v="1.9"/>
    <n v="7"/>
    <n v="4"/>
    <n v="21"/>
    <n v="58"/>
    <s v="Yes"/>
    <s v="Yes"/>
    <s v="Yes"/>
    <s v="Yes"/>
    <s v="Yes"/>
    <s v="No"/>
    <m/>
    <s v="1+ Failures"/>
    <n v="1"/>
    <s v="0-5 hrs"/>
    <x v="1"/>
  </r>
  <r>
    <n v="37"/>
    <d v="2023-08-29T00:00:00"/>
    <s v="Basic"/>
    <n v="199"/>
    <n v="2.5"/>
    <n v="2"/>
    <n v="0"/>
    <n v="33"/>
    <n v="38"/>
    <s v="Yes"/>
    <s v="Yes"/>
    <s v="No"/>
    <s v="No"/>
    <s v="Yes"/>
    <s v="No"/>
    <m/>
    <s v="0 Failures"/>
    <n v="1"/>
    <s v="0-5 hrs"/>
    <x v="1"/>
  </r>
  <r>
    <n v="38"/>
    <d v="2023-03-25T00:00:00"/>
    <s v="Standard"/>
    <n v="399"/>
    <n v="23.6"/>
    <n v="3"/>
    <n v="4"/>
    <n v="8"/>
    <n v="38"/>
    <s v="Yes"/>
    <s v="No"/>
    <s v="Yes"/>
    <s v="No"/>
    <s v="Yes"/>
    <s v="No"/>
    <m/>
    <s v="1+ Failures"/>
    <n v="1"/>
    <s v="20+ hrs"/>
    <x v="0"/>
  </r>
  <r>
    <n v="39"/>
    <d v="2023-09-02T00:00:00"/>
    <s v="Standard"/>
    <n v="399"/>
    <n v="8.3000000000000007"/>
    <n v="4"/>
    <n v="1"/>
    <n v="34"/>
    <n v="42"/>
    <s v="No"/>
    <s v="No"/>
    <s v="Yes"/>
    <s v="No"/>
    <s v="Yes"/>
    <s v="No"/>
    <m/>
    <s v="1+ Failures"/>
    <n v="0"/>
    <s v="5-10 hrs"/>
    <x v="1"/>
  </r>
  <r>
    <n v="40"/>
    <d v="2023-03-16T00:00:00"/>
    <s v="Standard"/>
    <n v="399"/>
    <n v="3.7"/>
    <n v="4"/>
    <n v="3"/>
    <n v="26"/>
    <n v="20"/>
    <s v="No"/>
    <s v="Yes"/>
    <s v="Yes"/>
    <s v="No"/>
    <s v="Yes"/>
    <s v="No"/>
    <m/>
    <s v="1+ Failures"/>
    <n v="0"/>
    <s v="0-5 hrs"/>
    <x v="1"/>
  </r>
  <r>
    <n v="41"/>
    <d v="2023-09-29T00:00:00"/>
    <s v="Basic"/>
    <n v="199"/>
    <n v="15.7"/>
    <n v="1"/>
    <n v="0"/>
    <n v="30"/>
    <n v="34"/>
    <s v="Yes"/>
    <s v="No"/>
    <s v="No"/>
    <s v="No"/>
    <s v="Yes"/>
    <s v="No"/>
    <m/>
    <s v="0 Failures"/>
    <n v="1"/>
    <s v="10-20hrs"/>
    <x v="1"/>
  </r>
  <r>
    <n v="42"/>
    <d v="2024-07-10T00:00:00"/>
    <s v="Basic"/>
    <n v="199"/>
    <n v="22.1"/>
    <n v="3"/>
    <n v="2"/>
    <n v="23"/>
    <n v="18"/>
    <s v="Yes"/>
    <s v="No"/>
    <s v="Yes"/>
    <s v="No"/>
    <s v="Yes"/>
    <s v="No"/>
    <m/>
    <s v="1+ Failures"/>
    <n v="1"/>
    <s v="20+ hrs"/>
    <x v="1"/>
  </r>
  <r>
    <n v="43"/>
    <d v="2023-11-03T00:00:00"/>
    <s v="Premium"/>
    <n v="699"/>
    <n v="15.5"/>
    <n v="8"/>
    <n v="0"/>
    <n v="20"/>
    <n v="42"/>
    <s v="No"/>
    <s v="No"/>
    <s v="No"/>
    <s v="Yes"/>
    <s v="Yes"/>
    <s v="No"/>
    <m/>
    <s v="0 Failures"/>
    <n v="0"/>
    <s v="10-20hrs"/>
    <x v="1"/>
  </r>
  <r>
    <n v="44"/>
    <d v="2024-07-20T00:00:00"/>
    <s v="Premium"/>
    <n v="699"/>
    <n v="23.5"/>
    <n v="2"/>
    <n v="2"/>
    <n v="7"/>
    <n v="7"/>
    <s v="No"/>
    <s v="No"/>
    <s v="Yes"/>
    <s v="No"/>
    <s v="No"/>
    <s v="No"/>
    <m/>
    <s v="1+ Failures"/>
    <n v="0"/>
    <s v="20+ hrs"/>
    <x v="0"/>
  </r>
  <r>
    <n v="45"/>
    <d v="2024-10-11T00:00:00"/>
    <s v="Basic"/>
    <n v="199"/>
    <n v="7.4"/>
    <n v="3"/>
    <n v="5"/>
    <n v="18"/>
    <n v="21"/>
    <s v="Yes"/>
    <s v="No"/>
    <s v="Yes"/>
    <s v="No"/>
    <s v="Yes"/>
    <s v="No"/>
    <m/>
    <s v="1+ Failures"/>
    <n v="1"/>
    <s v="5-10 hrs"/>
    <x v="1"/>
  </r>
  <r>
    <n v="46"/>
    <d v="2023-10-11T00:00:00"/>
    <s v="Standard"/>
    <n v="399"/>
    <n v="12.5"/>
    <n v="0"/>
    <n v="0"/>
    <n v="33"/>
    <n v="40"/>
    <s v="No"/>
    <s v="No"/>
    <s v="No"/>
    <s v="No"/>
    <s v="Yes"/>
    <s v="No"/>
    <m/>
    <s v="0 Failures"/>
    <n v="0"/>
    <s v="10-20hrs"/>
    <x v="1"/>
  </r>
  <r>
    <n v="47"/>
    <d v="2024-03-28T00:00:00"/>
    <s v="Basic"/>
    <n v="199"/>
    <n v="8.6999999999999993"/>
    <n v="2"/>
    <n v="5"/>
    <n v="1"/>
    <n v="16"/>
    <s v="Yes"/>
    <s v="No"/>
    <s v="Yes"/>
    <s v="No"/>
    <s v="Yes"/>
    <s v="Yes"/>
    <m/>
    <s v="1+ Failures"/>
    <n v="1"/>
    <s v="5-10 hrs"/>
    <x v="2"/>
  </r>
  <r>
    <n v="48"/>
    <d v="2023-06-02T00:00:00"/>
    <s v="Premium"/>
    <n v="699"/>
    <n v="14.2"/>
    <n v="1"/>
    <n v="0"/>
    <n v="28"/>
    <n v="60"/>
    <s v="No"/>
    <s v="No"/>
    <s v="No"/>
    <s v="No"/>
    <s v="Yes"/>
    <s v="No"/>
    <m/>
    <s v="0 Failures"/>
    <n v="0"/>
    <s v="10-20hrs"/>
    <x v="1"/>
  </r>
  <r>
    <n v="49"/>
    <d v="2023-11-12T00:00:00"/>
    <s v="Premium"/>
    <n v="699"/>
    <n v="20.9"/>
    <n v="8"/>
    <n v="1"/>
    <n v="3"/>
    <n v="27"/>
    <s v="Yes"/>
    <s v="No"/>
    <s v="Yes"/>
    <s v="Yes"/>
    <s v="Yes"/>
    <s v="Yes"/>
    <m/>
    <s v="1+ Failures"/>
    <n v="1"/>
    <s v="20+ hrs"/>
    <x v="2"/>
  </r>
  <r>
    <n v="50"/>
    <d v="2023-12-29T00:00:00"/>
    <s v="Standard"/>
    <n v="399"/>
    <n v="22.5"/>
    <n v="3"/>
    <n v="5"/>
    <n v="3"/>
    <n v="15"/>
    <s v="No"/>
    <s v="No"/>
    <s v="Yes"/>
    <s v="No"/>
    <s v="Yes"/>
    <s v="Yes"/>
    <m/>
    <s v="1+ Failures"/>
    <n v="0"/>
    <s v="20+ hrs"/>
    <x v="2"/>
  </r>
  <r>
    <n v="51"/>
    <d v="2023-07-01T00:00:00"/>
    <s v="Premium"/>
    <n v="699"/>
    <n v="24.4"/>
    <n v="2"/>
    <n v="1"/>
    <n v="27"/>
    <n v="55"/>
    <s v="Yes"/>
    <s v="No"/>
    <s v="Yes"/>
    <s v="No"/>
    <s v="Yes"/>
    <s v="No"/>
    <m/>
    <s v="1+ Failures"/>
    <n v="1"/>
    <s v="20+ hrs"/>
    <x v="1"/>
  </r>
  <r>
    <n v="52"/>
    <d v="2023-09-12T00:00:00"/>
    <s v="Standard"/>
    <n v="399"/>
    <n v="4.9000000000000004"/>
    <n v="5"/>
    <n v="3"/>
    <n v="2"/>
    <n v="51"/>
    <s v="Yes"/>
    <s v="Yes"/>
    <s v="Yes"/>
    <s v="Yes"/>
    <s v="Yes"/>
    <s v="Yes"/>
    <m/>
    <s v="1+ Failures"/>
    <n v="1"/>
    <s v="0-5 hrs"/>
    <x v="2"/>
  </r>
  <r>
    <n v="53"/>
    <d v="2024-04-26T00:00:00"/>
    <s v="Standard"/>
    <n v="399"/>
    <n v="19.8"/>
    <n v="1"/>
    <n v="3"/>
    <n v="11"/>
    <n v="55"/>
    <s v="Yes"/>
    <s v="No"/>
    <s v="Yes"/>
    <s v="No"/>
    <s v="Yes"/>
    <s v="No"/>
    <m/>
    <s v="1+ Failures"/>
    <n v="1"/>
    <s v="10-20hrs"/>
    <x v="0"/>
  </r>
  <r>
    <n v="54"/>
    <d v="2023-08-22T00:00:00"/>
    <s v="Basic"/>
    <n v="199"/>
    <n v="20.5"/>
    <n v="7"/>
    <n v="2"/>
    <n v="13"/>
    <n v="19"/>
    <s v="No"/>
    <s v="No"/>
    <s v="Yes"/>
    <s v="Yes"/>
    <s v="Yes"/>
    <s v="No"/>
    <m/>
    <s v="1+ Failures"/>
    <n v="0"/>
    <s v="20+ hrs"/>
    <x v="1"/>
  </r>
  <r>
    <n v="55"/>
    <d v="2023-10-13T00:00:00"/>
    <s v="Basic"/>
    <n v="199"/>
    <n v="16.7"/>
    <n v="6"/>
    <n v="2"/>
    <n v="2"/>
    <n v="17"/>
    <s v="No"/>
    <s v="No"/>
    <s v="Yes"/>
    <s v="Yes"/>
    <s v="Yes"/>
    <s v="Yes"/>
    <m/>
    <s v="1+ Failures"/>
    <n v="0"/>
    <s v="10-20hrs"/>
    <x v="2"/>
  </r>
  <r>
    <n v="56"/>
    <d v="2023-09-25T00:00:00"/>
    <s v="Standard"/>
    <n v="399"/>
    <n v="10.3"/>
    <n v="8"/>
    <n v="2"/>
    <n v="33"/>
    <n v="60"/>
    <s v="Yes"/>
    <s v="No"/>
    <s v="Yes"/>
    <s v="Yes"/>
    <s v="Yes"/>
    <s v="No"/>
    <m/>
    <s v="1+ Failures"/>
    <n v="1"/>
    <s v="10-20hrs"/>
    <x v="1"/>
  </r>
  <r>
    <n v="57"/>
    <d v="2024-03-22T00:00:00"/>
    <s v="Basic"/>
    <n v="199"/>
    <n v="1.4"/>
    <n v="6"/>
    <n v="2"/>
    <n v="17"/>
    <n v="46"/>
    <s v="Yes"/>
    <s v="Yes"/>
    <s v="Yes"/>
    <s v="Yes"/>
    <s v="Yes"/>
    <s v="No"/>
    <m/>
    <s v="1+ Failures"/>
    <n v="1"/>
    <s v="0-5 hrs"/>
    <x v="1"/>
  </r>
  <r>
    <n v="58"/>
    <d v="2023-01-02T00:00:00"/>
    <s v="Premium"/>
    <n v="699"/>
    <n v="3.3"/>
    <n v="3"/>
    <n v="2"/>
    <n v="33"/>
    <n v="2"/>
    <s v="No"/>
    <s v="Yes"/>
    <s v="Yes"/>
    <s v="No"/>
    <s v="No"/>
    <s v="No"/>
    <m/>
    <s v="1+ Failures"/>
    <n v="0"/>
    <s v="0-5 hrs"/>
    <x v="1"/>
  </r>
  <r>
    <n v="59"/>
    <d v="2024-11-11T00:00:00"/>
    <s v="Premium"/>
    <n v="699"/>
    <n v="17.3"/>
    <n v="3"/>
    <n v="2"/>
    <n v="35"/>
    <n v="27"/>
    <s v="Yes"/>
    <s v="No"/>
    <s v="Yes"/>
    <s v="No"/>
    <s v="Yes"/>
    <s v="No"/>
    <m/>
    <s v="1+ Failures"/>
    <n v="1"/>
    <s v="10-20hrs"/>
    <x v="1"/>
  </r>
  <r>
    <n v="60"/>
    <d v="2023-11-13T00:00:00"/>
    <s v="Standard"/>
    <n v="399"/>
    <n v="16.8"/>
    <n v="1"/>
    <n v="5"/>
    <n v="21"/>
    <n v="57"/>
    <s v="Yes"/>
    <s v="No"/>
    <s v="Yes"/>
    <s v="No"/>
    <s v="Yes"/>
    <s v="No"/>
    <m/>
    <s v="1+ Failures"/>
    <n v="1"/>
    <s v="10-20hrs"/>
    <x v="1"/>
  </r>
  <r>
    <n v="61"/>
    <d v="2024-11-11T00:00:00"/>
    <s v="Premium"/>
    <n v="699"/>
    <n v="8.5"/>
    <n v="4"/>
    <n v="4"/>
    <n v="27"/>
    <n v="8"/>
    <s v="Yes"/>
    <s v="No"/>
    <s v="Yes"/>
    <s v="No"/>
    <s v="No"/>
    <s v="No"/>
    <m/>
    <s v="1+ Failures"/>
    <n v="1"/>
    <s v="5-10 hrs"/>
    <x v="1"/>
  </r>
  <r>
    <n v="62"/>
    <d v="2023-11-08T00:00:00"/>
    <s v="Standard"/>
    <n v="399"/>
    <n v="15.6"/>
    <n v="4"/>
    <n v="3"/>
    <n v="12"/>
    <n v="35"/>
    <s v="No"/>
    <s v="No"/>
    <s v="Yes"/>
    <s v="No"/>
    <s v="Yes"/>
    <s v="No"/>
    <m/>
    <s v="1+ Failures"/>
    <n v="0"/>
    <s v="10-20hrs"/>
    <x v="0"/>
  </r>
  <r>
    <n v="63"/>
    <d v="2023-08-07T00:00:00"/>
    <s v="Standard"/>
    <n v="399"/>
    <n v="11"/>
    <n v="5"/>
    <n v="3"/>
    <n v="14"/>
    <n v="28"/>
    <s v="Yes"/>
    <s v="No"/>
    <s v="Yes"/>
    <s v="Yes"/>
    <s v="Yes"/>
    <s v="No"/>
    <m/>
    <s v="1+ Failures"/>
    <n v="1"/>
    <s v="10-20hrs"/>
    <x v="1"/>
  </r>
  <r>
    <n v="64"/>
    <d v="2024-11-10T00:00:00"/>
    <s v="Premium"/>
    <n v="699"/>
    <n v="19.899999999999999"/>
    <n v="2"/>
    <n v="5"/>
    <n v="31"/>
    <n v="5"/>
    <s v="Yes"/>
    <s v="No"/>
    <s v="Yes"/>
    <s v="No"/>
    <s v="No"/>
    <s v="No"/>
    <m/>
    <s v="1+ Failures"/>
    <n v="1"/>
    <s v="10-20hrs"/>
    <x v="1"/>
  </r>
  <r>
    <n v="65"/>
    <d v="2023-07-23T00:00:00"/>
    <s v="Premium"/>
    <n v="699"/>
    <n v="2.8"/>
    <n v="3"/>
    <n v="5"/>
    <n v="22"/>
    <n v="19"/>
    <s v="Yes"/>
    <s v="Yes"/>
    <s v="Yes"/>
    <s v="No"/>
    <s v="Yes"/>
    <s v="No"/>
    <m/>
    <s v="1+ Failures"/>
    <n v="1"/>
    <s v="0-5 hrs"/>
    <x v="1"/>
  </r>
  <r>
    <n v="66"/>
    <d v="2024-04-11T00:00:00"/>
    <s v="Basic"/>
    <n v="199"/>
    <n v="1.6"/>
    <n v="7"/>
    <n v="4"/>
    <n v="2"/>
    <n v="54"/>
    <s v="Yes"/>
    <s v="Yes"/>
    <s v="Yes"/>
    <s v="Yes"/>
    <s v="Yes"/>
    <s v="Yes"/>
    <m/>
    <s v="1+ Failures"/>
    <n v="1"/>
    <s v="0-5 hrs"/>
    <x v="2"/>
  </r>
  <r>
    <n v="67"/>
    <d v="2024-11-02T00:00:00"/>
    <s v="Standard"/>
    <n v="399"/>
    <n v="18.100000000000001"/>
    <n v="6"/>
    <n v="3"/>
    <n v="13"/>
    <n v="25"/>
    <s v="Yes"/>
    <s v="No"/>
    <s v="Yes"/>
    <s v="Yes"/>
    <s v="Yes"/>
    <s v="No"/>
    <m/>
    <s v="1+ Failures"/>
    <n v="1"/>
    <s v="10-20hrs"/>
    <x v="1"/>
  </r>
  <r>
    <n v="68"/>
    <d v="2024-12-13T00:00:00"/>
    <s v="Premium"/>
    <n v="699"/>
    <n v="22.4"/>
    <n v="1"/>
    <n v="3"/>
    <n v="1"/>
    <n v="14"/>
    <s v="Yes"/>
    <s v="No"/>
    <s v="Yes"/>
    <s v="No"/>
    <s v="No"/>
    <s v="Yes"/>
    <m/>
    <s v="1+ Failures"/>
    <n v="1"/>
    <s v="20+ hrs"/>
    <x v="2"/>
  </r>
  <r>
    <n v="69"/>
    <d v="2024-04-20T00:00:00"/>
    <s v="Premium"/>
    <n v="699"/>
    <n v="1.7"/>
    <n v="3"/>
    <n v="0"/>
    <n v="30"/>
    <n v="29"/>
    <s v="Yes"/>
    <s v="Yes"/>
    <s v="No"/>
    <s v="No"/>
    <s v="Yes"/>
    <s v="No"/>
    <m/>
    <s v="0 Failures"/>
    <n v="1"/>
    <s v="0-5 hrs"/>
    <x v="1"/>
  </r>
  <r>
    <n v="70"/>
    <d v="2024-05-31T00:00:00"/>
    <s v="Premium"/>
    <n v="699"/>
    <n v="24.7"/>
    <n v="5"/>
    <n v="3"/>
    <n v="34"/>
    <n v="39"/>
    <s v="No"/>
    <s v="No"/>
    <s v="Yes"/>
    <s v="Yes"/>
    <s v="Yes"/>
    <s v="No"/>
    <m/>
    <s v="1+ Failures"/>
    <n v="0"/>
    <s v="20+ hrs"/>
    <x v="1"/>
  </r>
  <r>
    <n v="71"/>
    <d v="2023-09-23T00:00:00"/>
    <s v="Standard"/>
    <n v="399"/>
    <n v="11.4"/>
    <n v="2"/>
    <n v="5"/>
    <n v="36"/>
    <n v="55"/>
    <s v="Yes"/>
    <s v="No"/>
    <s v="Yes"/>
    <s v="No"/>
    <s v="Yes"/>
    <s v="No"/>
    <m/>
    <s v="1+ Failures"/>
    <n v="1"/>
    <s v="10-20hrs"/>
    <x v="1"/>
  </r>
  <r>
    <n v="72"/>
    <d v="2024-03-26T00:00:00"/>
    <s v="Basic"/>
    <n v="199"/>
    <n v="19.3"/>
    <n v="8"/>
    <n v="3"/>
    <n v="18"/>
    <n v="40"/>
    <s v="Yes"/>
    <s v="No"/>
    <s v="Yes"/>
    <s v="Yes"/>
    <s v="Yes"/>
    <s v="No"/>
    <m/>
    <s v="1+ Failures"/>
    <n v="1"/>
    <s v="10-20hrs"/>
    <x v="1"/>
  </r>
  <r>
    <n v="73"/>
    <d v="2023-05-22T00:00:00"/>
    <s v="Basic"/>
    <n v="199"/>
    <n v="6.2"/>
    <n v="5"/>
    <n v="2"/>
    <n v="19"/>
    <n v="57"/>
    <s v="Yes"/>
    <s v="No"/>
    <s v="Yes"/>
    <s v="Yes"/>
    <s v="Yes"/>
    <s v="No"/>
    <m/>
    <s v="1+ Failures"/>
    <n v="1"/>
    <s v="5-10 hrs"/>
    <x v="1"/>
  </r>
  <r>
    <n v="74"/>
    <d v="2024-02-22T00:00:00"/>
    <s v="Basic"/>
    <n v="199"/>
    <n v="9.9"/>
    <n v="2"/>
    <n v="5"/>
    <n v="15"/>
    <n v="13"/>
    <s v="Yes"/>
    <s v="No"/>
    <s v="Yes"/>
    <s v="No"/>
    <s v="No"/>
    <s v="No"/>
    <m/>
    <s v="1+ Failures"/>
    <n v="1"/>
    <s v="5-10 hrs"/>
    <x v="1"/>
  </r>
  <r>
    <n v="75"/>
    <d v="2024-08-21T00:00:00"/>
    <s v="Standard"/>
    <n v="399"/>
    <n v="11.9"/>
    <n v="0"/>
    <n v="1"/>
    <n v="35"/>
    <n v="53"/>
    <s v="No"/>
    <s v="No"/>
    <s v="Yes"/>
    <s v="No"/>
    <s v="Yes"/>
    <s v="No"/>
    <m/>
    <s v="1+ Failures"/>
    <n v="0"/>
    <s v="10-20hrs"/>
    <x v="1"/>
  </r>
  <r>
    <n v="76"/>
    <d v="2023-11-02T00:00:00"/>
    <s v="Premium"/>
    <n v="699"/>
    <n v="21.5"/>
    <n v="6"/>
    <n v="3"/>
    <n v="2"/>
    <n v="0"/>
    <s v="No"/>
    <s v="No"/>
    <s v="Yes"/>
    <s v="Yes"/>
    <s v="No"/>
    <s v="Yes"/>
    <m/>
    <s v="1+ Failures"/>
    <n v="0"/>
    <s v="20+ hrs"/>
    <x v="2"/>
  </r>
  <r>
    <n v="77"/>
    <d v="2023-08-13T00:00:00"/>
    <s v="Standard"/>
    <n v="399"/>
    <n v="13.7"/>
    <n v="8"/>
    <n v="4"/>
    <n v="27"/>
    <n v="57"/>
    <s v="Yes"/>
    <s v="No"/>
    <s v="Yes"/>
    <s v="Yes"/>
    <s v="Yes"/>
    <s v="No"/>
    <m/>
    <s v="1+ Failures"/>
    <n v="1"/>
    <s v="10-20hrs"/>
    <x v="1"/>
  </r>
  <r>
    <n v="78"/>
    <d v="2024-02-19T00:00:00"/>
    <s v="Standard"/>
    <n v="399"/>
    <n v="12.4"/>
    <n v="6"/>
    <n v="2"/>
    <n v="28"/>
    <n v="42"/>
    <s v="Yes"/>
    <s v="No"/>
    <s v="Yes"/>
    <s v="Yes"/>
    <s v="Yes"/>
    <s v="No"/>
    <m/>
    <s v="1+ Failures"/>
    <n v="1"/>
    <s v="10-20hrs"/>
    <x v="1"/>
  </r>
  <r>
    <n v="79"/>
    <d v="2024-02-08T00:00:00"/>
    <s v="Premium"/>
    <n v="699"/>
    <n v="21.1"/>
    <n v="2"/>
    <n v="4"/>
    <n v="11"/>
    <n v="34"/>
    <s v="Yes"/>
    <s v="No"/>
    <s v="Yes"/>
    <s v="No"/>
    <s v="Yes"/>
    <s v="No"/>
    <m/>
    <s v="1+ Failures"/>
    <n v="1"/>
    <s v="20+ hrs"/>
    <x v="0"/>
  </r>
  <r>
    <n v="80"/>
    <d v="2023-02-21T00:00:00"/>
    <s v="Premium"/>
    <n v="699"/>
    <n v="2.6"/>
    <n v="6"/>
    <n v="1"/>
    <n v="2"/>
    <n v="55"/>
    <s v="Yes"/>
    <s v="Yes"/>
    <s v="Yes"/>
    <s v="Yes"/>
    <s v="Yes"/>
    <s v="Yes"/>
    <m/>
    <s v="1+ Failures"/>
    <n v="1"/>
    <s v="0-5 hrs"/>
    <x v="2"/>
  </r>
  <r>
    <n v="81"/>
    <d v="2024-01-24T00:00:00"/>
    <s v="Standard"/>
    <n v="399"/>
    <n v="8.5"/>
    <n v="7"/>
    <n v="2"/>
    <n v="25"/>
    <n v="21"/>
    <s v="No"/>
    <s v="No"/>
    <s v="Yes"/>
    <s v="Yes"/>
    <s v="Yes"/>
    <s v="No"/>
    <m/>
    <s v="1+ Failures"/>
    <n v="0"/>
    <s v="5-10 hrs"/>
    <x v="1"/>
  </r>
  <r>
    <n v="82"/>
    <d v="2023-02-23T00:00:00"/>
    <s v="Standard"/>
    <n v="399"/>
    <n v="6.7"/>
    <n v="1"/>
    <n v="3"/>
    <n v="27"/>
    <n v="1"/>
    <s v="No"/>
    <s v="No"/>
    <s v="Yes"/>
    <s v="No"/>
    <s v="No"/>
    <s v="No"/>
    <m/>
    <s v="1+ Failures"/>
    <n v="0"/>
    <s v="5-10 hrs"/>
    <x v="1"/>
  </r>
  <r>
    <n v="83"/>
    <d v="2023-01-21T00:00:00"/>
    <s v="Standard"/>
    <n v="399"/>
    <n v="16.399999999999999"/>
    <n v="0"/>
    <n v="0"/>
    <n v="15"/>
    <n v="60"/>
    <s v="Yes"/>
    <s v="No"/>
    <s v="No"/>
    <s v="No"/>
    <s v="Yes"/>
    <s v="No"/>
    <m/>
    <s v="0 Failures"/>
    <n v="1"/>
    <s v="10-20hrs"/>
    <x v="1"/>
  </r>
  <r>
    <n v="84"/>
    <d v="2023-08-12T00:00:00"/>
    <s v="Premium"/>
    <n v="699"/>
    <n v="6.3"/>
    <n v="7"/>
    <n v="5"/>
    <n v="10"/>
    <n v="7"/>
    <s v="No"/>
    <s v="No"/>
    <s v="Yes"/>
    <s v="Yes"/>
    <s v="No"/>
    <s v="No"/>
    <m/>
    <s v="1+ Failures"/>
    <n v="0"/>
    <s v="5-10 hrs"/>
    <x v="0"/>
  </r>
  <r>
    <n v="85"/>
    <d v="2023-04-28T00:00:00"/>
    <s v="Standard"/>
    <n v="399"/>
    <n v="19.3"/>
    <n v="2"/>
    <n v="4"/>
    <n v="17"/>
    <n v="38"/>
    <s v="No"/>
    <s v="No"/>
    <s v="Yes"/>
    <s v="No"/>
    <s v="Yes"/>
    <s v="No"/>
    <m/>
    <s v="1+ Failures"/>
    <n v="0"/>
    <s v="10-20hrs"/>
    <x v="1"/>
  </r>
  <r>
    <n v="86"/>
    <d v="2024-01-20T00:00:00"/>
    <s v="Basic"/>
    <n v="199"/>
    <n v="3.1"/>
    <n v="0"/>
    <n v="2"/>
    <n v="20"/>
    <n v="36"/>
    <s v="Yes"/>
    <s v="Yes"/>
    <s v="Yes"/>
    <s v="No"/>
    <s v="Yes"/>
    <s v="No"/>
    <m/>
    <s v="1+ Failures"/>
    <n v="1"/>
    <s v="0-5 hrs"/>
    <x v="1"/>
  </r>
  <r>
    <n v="87"/>
    <d v="2024-12-01T00:00:00"/>
    <s v="Standard"/>
    <n v="399"/>
    <n v="2.4"/>
    <n v="3"/>
    <n v="0"/>
    <n v="13"/>
    <n v="44"/>
    <s v="No"/>
    <s v="Yes"/>
    <s v="No"/>
    <s v="No"/>
    <s v="Yes"/>
    <s v="No"/>
    <m/>
    <s v="0 Failures"/>
    <n v="0"/>
    <s v="0-5 hrs"/>
    <x v="1"/>
  </r>
  <r>
    <n v="88"/>
    <d v="2024-01-15T00:00:00"/>
    <s v="Premium"/>
    <n v="699"/>
    <n v="20"/>
    <n v="0"/>
    <n v="2"/>
    <n v="8"/>
    <n v="34"/>
    <s v="Yes"/>
    <s v="No"/>
    <s v="Yes"/>
    <s v="No"/>
    <s v="Yes"/>
    <s v="No"/>
    <m/>
    <s v="1+ Failures"/>
    <n v="1"/>
    <s v="10-20hrs"/>
    <x v="0"/>
  </r>
  <r>
    <n v="89"/>
    <d v="2024-03-19T00:00:00"/>
    <s v="Basic"/>
    <n v="199"/>
    <n v="16.399999999999999"/>
    <n v="0"/>
    <n v="3"/>
    <n v="33"/>
    <n v="52"/>
    <s v="Yes"/>
    <s v="No"/>
    <s v="Yes"/>
    <s v="No"/>
    <s v="Yes"/>
    <s v="No"/>
    <m/>
    <s v="1+ Failures"/>
    <n v="1"/>
    <s v="10-20hrs"/>
    <x v="1"/>
  </r>
  <r>
    <n v="90"/>
    <d v="2024-10-28T00:00:00"/>
    <s v="Standard"/>
    <n v="399"/>
    <n v="17.8"/>
    <n v="6"/>
    <n v="1"/>
    <n v="30"/>
    <n v="46"/>
    <s v="No"/>
    <s v="No"/>
    <s v="Yes"/>
    <s v="Yes"/>
    <s v="Yes"/>
    <s v="No"/>
    <m/>
    <s v="1+ Failures"/>
    <n v="0"/>
    <s v="10-20hrs"/>
    <x v="1"/>
  </r>
  <r>
    <n v="91"/>
    <d v="2023-10-02T00:00:00"/>
    <s v="Standard"/>
    <n v="399"/>
    <n v="19.5"/>
    <n v="7"/>
    <n v="3"/>
    <n v="35"/>
    <n v="52"/>
    <s v="Yes"/>
    <s v="No"/>
    <s v="Yes"/>
    <s v="Yes"/>
    <s v="Yes"/>
    <s v="No"/>
    <m/>
    <s v="1+ Failures"/>
    <n v="1"/>
    <s v="10-20hrs"/>
    <x v="1"/>
  </r>
  <r>
    <n v="92"/>
    <d v="2024-04-20T00:00:00"/>
    <s v="Standard"/>
    <n v="399"/>
    <n v="20.9"/>
    <n v="1"/>
    <n v="2"/>
    <n v="16"/>
    <n v="56"/>
    <s v="Yes"/>
    <s v="No"/>
    <s v="Yes"/>
    <s v="No"/>
    <s v="Yes"/>
    <s v="No"/>
    <m/>
    <s v="1+ Failures"/>
    <n v="1"/>
    <s v="20+ hrs"/>
    <x v="1"/>
  </r>
  <r>
    <n v="93"/>
    <d v="2023-12-30T00:00:00"/>
    <s v="Premium"/>
    <n v="699"/>
    <n v="8.6999999999999993"/>
    <n v="7"/>
    <n v="2"/>
    <n v="25"/>
    <n v="11"/>
    <s v="Yes"/>
    <s v="No"/>
    <s v="Yes"/>
    <s v="Yes"/>
    <s v="No"/>
    <s v="No"/>
    <m/>
    <s v="1+ Failures"/>
    <n v="1"/>
    <s v="5-10 hrs"/>
    <x v="1"/>
  </r>
  <r>
    <n v="94"/>
    <d v="2023-07-15T00:00:00"/>
    <s v="Standard"/>
    <n v="399"/>
    <n v="7.4"/>
    <n v="4"/>
    <n v="4"/>
    <n v="22"/>
    <n v="0"/>
    <s v="No"/>
    <s v="No"/>
    <s v="Yes"/>
    <s v="No"/>
    <s v="No"/>
    <s v="No"/>
    <m/>
    <s v="1+ Failures"/>
    <n v="0"/>
    <s v="5-10 hrs"/>
    <x v="1"/>
  </r>
  <r>
    <n v="95"/>
    <d v="2024-05-02T00:00:00"/>
    <s v="Basic"/>
    <n v="199"/>
    <n v="18.100000000000001"/>
    <n v="7"/>
    <n v="4"/>
    <n v="16"/>
    <n v="48"/>
    <s v="Yes"/>
    <s v="No"/>
    <s v="Yes"/>
    <s v="Yes"/>
    <s v="Yes"/>
    <s v="No"/>
    <m/>
    <s v="1+ Failures"/>
    <n v="1"/>
    <s v="10-20hrs"/>
    <x v="1"/>
  </r>
  <r>
    <n v="96"/>
    <d v="2024-12-09T00:00:00"/>
    <s v="Premium"/>
    <n v="699"/>
    <n v="11.5"/>
    <n v="0"/>
    <n v="0"/>
    <n v="32"/>
    <n v="18"/>
    <s v="No"/>
    <s v="No"/>
    <s v="No"/>
    <s v="No"/>
    <s v="Yes"/>
    <s v="No"/>
    <m/>
    <s v="0 Failures"/>
    <n v="0"/>
    <s v="10-20hrs"/>
    <x v="1"/>
  </r>
  <r>
    <n v="97"/>
    <d v="2024-03-11T00:00:00"/>
    <s v="Basic"/>
    <n v="199"/>
    <n v="16.8"/>
    <n v="5"/>
    <n v="3"/>
    <n v="20"/>
    <n v="35"/>
    <s v="Yes"/>
    <s v="No"/>
    <s v="Yes"/>
    <s v="Yes"/>
    <s v="Yes"/>
    <s v="No"/>
    <m/>
    <s v="1+ Failures"/>
    <n v="1"/>
    <s v="10-20hrs"/>
    <x v="1"/>
  </r>
  <r>
    <n v="98"/>
    <d v="2023-05-04T00:00:00"/>
    <s v="Premium"/>
    <n v="699"/>
    <n v="8.6"/>
    <n v="7"/>
    <n v="2"/>
    <n v="36"/>
    <n v="19"/>
    <s v="Yes"/>
    <s v="No"/>
    <s v="Yes"/>
    <s v="Yes"/>
    <s v="Yes"/>
    <s v="No"/>
    <m/>
    <s v="1+ Failures"/>
    <n v="1"/>
    <s v="5-10 hrs"/>
    <x v="1"/>
  </r>
  <r>
    <n v="99"/>
    <d v="2024-05-10T00:00:00"/>
    <s v="Premium"/>
    <n v="699"/>
    <n v="8.1999999999999993"/>
    <n v="8"/>
    <n v="5"/>
    <n v="13"/>
    <n v="11"/>
    <s v="Yes"/>
    <s v="No"/>
    <s v="Yes"/>
    <s v="Yes"/>
    <s v="No"/>
    <s v="No"/>
    <m/>
    <s v="1+ Failures"/>
    <n v="1"/>
    <s v="5-10 hrs"/>
    <x v="1"/>
  </r>
  <r>
    <n v="100"/>
    <d v="2023-07-03T00:00:00"/>
    <s v="Standard"/>
    <n v="399"/>
    <n v="15.1"/>
    <n v="1"/>
    <n v="1"/>
    <n v="34"/>
    <n v="18"/>
    <s v="No"/>
    <s v="No"/>
    <s v="Yes"/>
    <s v="No"/>
    <s v="Yes"/>
    <s v="No"/>
    <m/>
    <s v="1+ Failures"/>
    <n v="0"/>
    <s v="10-20hrs"/>
    <x v="1"/>
  </r>
  <r>
    <n v="101"/>
    <d v="2024-07-20T00:00:00"/>
    <s v="Standard"/>
    <n v="399"/>
    <n v="17.8"/>
    <n v="2"/>
    <n v="2"/>
    <n v="1"/>
    <n v="2"/>
    <s v="No"/>
    <s v="No"/>
    <s v="Yes"/>
    <s v="No"/>
    <s v="No"/>
    <s v="Yes"/>
    <m/>
    <s v="1+ Failures"/>
    <n v="0"/>
    <s v="10-20hrs"/>
    <x v="2"/>
  </r>
  <r>
    <n v="102"/>
    <d v="2023-10-19T00:00:00"/>
    <s v="Standard"/>
    <n v="399"/>
    <n v="16.100000000000001"/>
    <n v="7"/>
    <n v="0"/>
    <n v="9"/>
    <n v="55"/>
    <s v="Yes"/>
    <s v="No"/>
    <s v="No"/>
    <s v="Yes"/>
    <s v="Yes"/>
    <s v="No"/>
    <m/>
    <s v="0 Failures"/>
    <n v="1"/>
    <s v="10-20hrs"/>
    <x v="0"/>
  </r>
  <r>
    <n v="103"/>
    <d v="2024-05-04T00:00:00"/>
    <s v="Standard"/>
    <n v="399"/>
    <n v="11.3"/>
    <n v="2"/>
    <n v="0"/>
    <n v="31"/>
    <n v="16"/>
    <s v="No"/>
    <s v="No"/>
    <s v="No"/>
    <s v="No"/>
    <s v="Yes"/>
    <s v="No"/>
    <m/>
    <s v="0 Failures"/>
    <n v="0"/>
    <s v="10-20hrs"/>
    <x v="1"/>
  </r>
  <r>
    <n v="104"/>
    <d v="2023-06-05T00:00:00"/>
    <s v="Basic"/>
    <n v="199"/>
    <n v="10.3"/>
    <n v="1"/>
    <n v="4"/>
    <n v="5"/>
    <n v="40"/>
    <s v="No"/>
    <s v="No"/>
    <s v="Yes"/>
    <s v="No"/>
    <s v="Yes"/>
    <s v="Yes"/>
    <m/>
    <s v="1+ Failures"/>
    <n v="0"/>
    <s v="10-20hrs"/>
    <x v="3"/>
  </r>
  <r>
    <n v="105"/>
    <d v="2024-09-12T00:00:00"/>
    <s v="Basic"/>
    <n v="199"/>
    <n v="2.6"/>
    <n v="3"/>
    <n v="0"/>
    <n v="20"/>
    <n v="35"/>
    <s v="No"/>
    <s v="Yes"/>
    <s v="No"/>
    <s v="No"/>
    <s v="Yes"/>
    <s v="No"/>
    <m/>
    <s v="0 Failures"/>
    <n v="0"/>
    <s v="0-5 hrs"/>
    <x v="1"/>
  </r>
  <r>
    <n v="106"/>
    <d v="2024-08-25T00:00:00"/>
    <s v="Premium"/>
    <n v="699"/>
    <n v="19.5"/>
    <n v="6"/>
    <n v="3"/>
    <n v="15"/>
    <n v="58"/>
    <s v="Yes"/>
    <s v="No"/>
    <s v="Yes"/>
    <s v="Yes"/>
    <s v="Yes"/>
    <s v="No"/>
    <m/>
    <s v="1+ Failures"/>
    <n v="1"/>
    <s v="10-20hrs"/>
    <x v="1"/>
  </r>
  <r>
    <n v="107"/>
    <d v="2023-08-01T00:00:00"/>
    <s v="Standard"/>
    <n v="399"/>
    <n v="14.4"/>
    <n v="0"/>
    <n v="4"/>
    <n v="20"/>
    <n v="47"/>
    <s v="Yes"/>
    <s v="No"/>
    <s v="Yes"/>
    <s v="No"/>
    <s v="Yes"/>
    <s v="No"/>
    <m/>
    <s v="1+ Failures"/>
    <n v="1"/>
    <s v="10-20hrs"/>
    <x v="1"/>
  </r>
  <r>
    <n v="108"/>
    <d v="2023-03-18T00:00:00"/>
    <s v="Premium"/>
    <n v="699"/>
    <n v="7"/>
    <n v="1"/>
    <n v="1"/>
    <n v="14"/>
    <n v="15"/>
    <s v="No"/>
    <s v="No"/>
    <s v="Yes"/>
    <s v="No"/>
    <s v="Yes"/>
    <s v="No"/>
    <m/>
    <s v="1+ Failures"/>
    <n v="0"/>
    <s v="5-10 hrs"/>
    <x v="1"/>
  </r>
  <r>
    <n v="109"/>
    <d v="2024-12-24T00:00:00"/>
    <s v="Basic"/>
    <n v="199"/>
    <n v="10.5"/>
    <n v="7"/>
    <n v="2"/>
    <n v="1"/>
    <n v="2"/>
    <s v="Yes"/>
    <s v="No"/>
    <s v="Yes"/>
    <s v="Yes"/>
    <s v="No"/>
    <s v="Yes"/>
    <m/>
    <s v="1+ Failures"/>
    <n v="1"/>
    <s v="10-20hrs"/>
    <x v="2"/>
  </r>
  <r>
    <n v="110"/>
    <d v="2024-08-26T00:00:00"/>
    <s v="Standard"/>
    <n v="399"/>
    <n v="2.2000000000000002"/>
    <n v="3"/>
    <n v="2"/>
    <n v="30"/>
    <n v="50"/>
    <s v="Yes"/>
    <s v="Yes"/>
    <s v="Yes"/>
    <s v="No"/>
    <s v="Yes"/>
    <s v="No"/>
    <m/>
    <s v="1+ Failures"/>
    <n v="1"/>
    <s v="0-5 hrs"/>
    <x v="1"/>
  </r>
  <r>
    <n v="111"/>
    <d v="2023-09-30T00:00:00"/>
    <s v="Premium"/>
    <n v="699"/>
    <n v="10.9"/>
    <n v="8"/>
    <n v="1"/>
    <n v="13"/>
    <n v="41"/>
    <s v="Yes"/>
    <s v="No"/>
    <s v="Yes"/>
    <s v="Yes"/>
    <s v="Yes"/>
    <s v="No"/>
    <m/>
    <s v="1+ Failures"/>
    <n v="1"/>
    <s v="10-20hrs"/>
    <x v="1"/>
  </r>
  <r>
    <n v="112"/>
    <d v="2023-10-23T00:00:00"/>
    <s v="Basic"/>
    <n v="199"/>
    <n v="2"/>
    <n v="4"/>
    <n v="4"/>
    <n v="5"/>
    <n v="47"/>
    <s v="Yes"/>
    <s v="Yes"/>
    <s v="Yes"/>
    <s v="No"/>
    <s v="Yes"/>
    <s v="Yes"/>
    <m/>
    <s v="1+ Failures"/>
    <n v="1"/>
    <s v="0-5 hrs"/>
    <x v="3"/>
  </r>
  <r>
    <n v="113"/>
    <d v="2024-05-27T00:00:00"/>
    <s v="Standard"/>
    <n v="399"/>
    <n v="12"/>
    <n v="4"/>
    <n v="5"/>
    <n v="8"/>
    <n v="25"/>
    <s v="No"/>
    <s v="No"/>
    <s v="Yes"/>
    <s v="No"/>
    <s v="Yes"/>
    <s v="No"/>
    <m/>
    <s v="1+ Failures"/>
    <n v="0"/>
    <s v="10-20hrs"/>
    <x v="0"/>
  </r>
  <r>
    <n v="114"/>
    <d v="2023-09-14T00:00:00"/>
    <s v="Premium"/>
    <n v="699"/>
    <n v="11.2"/>
    <n v="0"/>
    <n v="3"/>
    <n v="32"/>
    <n v="47"/>
    <s v="Yes"/>
    <s v="No"/>
    <s v="Yes"/>
    <s v="No"/>
    <s v="Yes"/>
    <s v="No"/>
    <m/>
    <s v="1+ Failures"/>
    <n v="1"/>
    <s v="10-20hrs"/>
    <x v="1"/>
  </r>
  <r>
    <n v="115"/>
    <d v="2023-02-11T00:00:00"/>
    <s v="Basic"/>
    <n v="199"/>
    <n v="6.1"/>
    <n v="0"/>
    <n v="5"/>
    <n v="6"/>
    <n v="52"/>
    <s v="Yes"/>
    <s v="No"/>
    <s v="Yes"/>
    <s v="No"/>
    <s v="Yes"/>
    <s v="No"/>
    <m/>
    <s v="1+ Failures"/>
    <n v="1"/>
    <s v="5-10 hrs"/>
    <x v="3"/>
  </r>
  <r>
    <n v="116"/>
    <d v="2024-03-22T00:00:00"/>
    <s v="Basic"/>
    <n v="199"/>
    <n v="13.2"/>
    <n v="7"/>
    <n v="2"/>
    <n v="31"/>
    <n v="11"/>
    <s v="No"/>
    <s v="No"/>
    <s v="Yes"/>
    <s v="Yes"/>
    <s v="No"/>
    <s v="No"/>
    <m/>
    <s v="1+ Failures"/>
    <n v="0"/>
    <s v="10-20hrs"/>
    <x v="1"/>
  </r>
  <r>
    <n v="117"/>
    <d v="2024-11-17T00:00:00"/>
    <s v="Premium"/>
    <n v="699"/>
    <n v="24.2"/>
    <n v="7"/>
    <n v="2"/>
    <n v="32"/>
    <n v="26"/>
    <s v="Yes"/>
    <s v="No"/>
    <s v="Yes"/>
    <s v="Yes"/>
    <s v="Yes"/>
    <s v="No"/>
    <m/>
    <s v="1+ Failures"/>
    <n v="1"/>
    <s v="20+ hrs"/>
    <x v="1"/>
  </r>
  <r>
    <n v="118"/>
    <d v="2024-07-17T00:00:00"/>
    <s v="Basic"/>
    <n v="199"/>
    <n v="8.6"/>
    <n v="7"/>
    <n v="2"/>
    <n v="11"/>
    <n v="42"/>
    <s v="No"/>
    <s v="No"/>
    <s v="Yes"/>
    <s v="Yes"/>
    <s v="Yes"/>
    <s v="No"/>
    <m/>
    <s v="1+ Failures"/>
    <n v="0"/>
    <s v="5-10 hrs"/>
    <x v="0"/>
  </r>
  <r>
    <n v="119"/>
    <d v="2024-02-18T00:00:00"/>
    <s v="Basic"/>
    <n v="199"/>
    <n v="2.7"/>
    <n v="4"/>
    <n v="2"/>
    <n v="30"/>
    <n v="7"/>
    <s v="No"/>
    <s v="Yes"/>
    <s v="Yes"/>
    <s v="No"/>
    <s v="No"/>
    <s v="No"/>
    <m/>
    <s v="1+ Failures"/>
    <n v="0"/>
    <s v="0-5 hrs"/>
    <x v="1"/>
  </r>
  <r>
    <n v="120"/>
    <d v="2024-06-14T00:00:00"/>
    <s v="Premium"/>
    <n v="699"/>
    <n v="16.600000000000001"/>
    <n v="8"/>
    <n v="3"/>
    <n v="1"/>
    <n v="26"/>
    <s v="Yes"/>
    <s v="No"/>
    <s v="Yes"/>
    <s v="Yes"/>
    <s v="Yes"/>
    <s v="Yes"/>
    <m/>
    <s v="1+ Failures"/>
    <n v="1"/>
    <s v="10-20hrs"/>
    <x v="2"/>
  </r>
  <r>
    <n v="121"/>
    <d v="2023-10-22T00:00:00"/>
    <s v="Standard"/>
    <n v="399"/>
    <n v="15.8"/>
    <n v="0"/>
    <n v="1"/>
    <n v="32"/>
    <n v="17"/>
    <s v="No"/>
    <s v="No"/>
    <s v="Yes"/>
    <s v="No"/>
    <s v="Yes"/>
    <s v="No"/>
    <m/>
    <s v="1+ Failures"/>
    <n v="0"/>
    <s v="10-20hrs"/>
    <x v="1"/>
  </r>
  <r>
    <n v="122"/>
    <d v="2023-01-15T00:00:00"/>
    <s v="Standard"/>
    <n v="399"/>
    <n v="3.5"/>
    <n v="3"/>
    <n v="5"/>
    <n v="32"/>
    <n v="10"/>
    <s v="Yes"/>
    <s v="Yes"/>
    <s v="Yes"/>
    <s v="No"/>
    <s v="No"/>
    <s v="No"/>
    <m/>
    <s v="1+ Failures"/>
    <n v="1"/>
    <s v="0-5 hrs"/>
    <x v="1"/>
  </r>
  <r>
    <n v="123"/>
    <d v="2023-06-07T00:00:00"/>
    <s v="Premium"/>
    <n v="699"/>
    <n v="2.8"/>
    <n v="1"/>
    <n v="3"/>
    <n v="27"/>
    <n v="60"/>
    <s v="Yes"/>
    <s v="Yes"/>
    <s v="Yes"/>
    <s v="No"/>
    <s v="Yes"/>
    <s v="No"/>
    <m/>
    <s v="1+ Failures"/>
    <n v="1"/>
    <s v="0-5 hrs"/>
    <x v="1"/>
  </r>
  <r>
    <n v="124"/>
    <d v="2024-04-28T00:00:00"/>
    <s v="Standard"/>
    <n v="399"/>
    <n v="13"/>
    <n v="4"/>
    <n v="3"/>
    <n v="19"/>
    <n v="53"/>
    <s v="Yes"/>
    <s v="No"/>
    <s v="Yes"/>
    <s v="No"/>
    <s v="Yes"/>
    <s v="No"/>
    <m/>
    <s v="1+ Failures"/>
    <n v="1"/>
    <s v="10-20hrs"/>
    <x v="1"/>
  </r>
  <r>
    <n v="125"/>
    <d v="2023-05-20T00:00:00"/>
    <s v="Basic"/>
    <n v="199"/>
    <n v="14"/>
    <n v="6"/>
    <n v="1"/>
    <n v="30"/>
    <n v="58"/>
    <s v="No"/>
    <s v="No"/>
    <s v="Yes"/>
    <s v="Yes"/>
    <s v="Yes"/>
    <s v="No"/>
    <m/>
    <s v="1+ Failures"/>
    <n v="0"/>
    <s v="10-20hrs"/>
    <x v="1"/>
  </r>
  <r>
    <n v="126"/>
    <d v="2023-10-01T00:00:00"/>
    <s v="Basic"/>
    <n v="199"/>
    <n v="19.399999999999999"/>
    <n v="6"/>
    <n v="2"/>
    <n v="18"/>
    <n v="59"/>
    <s v="No"/>
    <s v="No"/>
    <s v="Yes"/>
    <s v="Yes"/>
    <s v="Yes"/>
    <s v="No"/>
    <m/>
    <s v="1+ Failures"/>
    <n v="0"/>
    <s v="10-20hrs"/>
    <x v="1"/>
  </r>
  <r>
    <n v="127"/>
    <d v="2023-12-20T00:00:00"/>
    <s v="Basic"/>
    <n v="199"/>
    <n v="18.3"/>
    <n v="7"/>
    <n v="1"/>
    <n v="19"/>
    <n v="28"/>
    <s v="No"/>
    <s v="No"/>
    <s v="Yes"/>
    <s v="Yes"/>
    <s v="Yes"/>
    <s v="No"/>
    <m/>
    <s v="1+ Failures"/>
    <n v="0"/>
    <s v="10-20hrs"/>
    <x v="1"/>
  </r>
  <r>
    <n v="128"/>
    <d v="2023-07-13T00:00:00"/>
    <s v="Standard"/>
    <n v="399"/>
    <n v="19.2"/>
    <n v="6"/>
    <n v="3"/>
    <n v="36"/>
    <n v="59"/>
    <s v="Yes"/>
    <s v="No"/>
    <s v="Yes"/>
    <s v="Yes"/>
    <s v="Yes"/>
    <s v="No"/>
    <m/>
    <s v="1+ Failures"/>
    <n v="1"/>
    <s v="10-20hrs"/>
    <x v="1"/>
  </r>
  <r>
    <n v="129"/>
    <d v="2024-04-29T00:00:00"/>
    <s v="Premium"/>
    <n v="699"/>
    <n v="14.5"/>
    <n v="3"/>
    <n v="3"/>
    <n v="16"/>
    <n v="2"/>
    <s v="Yes"/>
    <s v="No"/>
    <s v="Yes"/>
    <s v="No"/>
    <s v="No"/>
    <s v="No"/>
    <m/>
    <s v="1+ Failures"/>
    <n v="1"/>
    <s v="10-20hrs"/>
    <x v="1"/>
  </r>
  <r>
    <n v="130"/>
    <d v="2024-08-27T00:00:00"/>
    <s v="Premium"/>
    <n v="699"/>
    <n v="10"/>
    <n v="2"/>
    <n v="3"/>
    <n v="25"/>
    <n v="2"/>
    <s v="Yes"/>
    <s v="No"/>
    <s v="Yes"/>
    <s v="No"/>
    <s v="No"/>
    <s v="No"/>
    <m/>
    <s v="1+ Failures"/>
    <n v="1"/>
    <s v="5-10 hrs"/>
    <x v="1"/>
  </r>
  <r>
    <n v="131"/>
    <d v="2023-01-16T00:00:00"/>
    <s v="Standard"/>
    <n v="399"/>
    <n v="21.9"/>
    <n v="7"/>
    <n v="0"/>
    <n v="7"/>
    <n v="33"/>
    <s v="No"/>
    <s v="No"/>
    <s v="No"/>
    <s v="Yes"/>
    <s v="Yes"/>
    <s v="No"/>
    <m/>
    <s v="0 Failures"/>
    <n v="0"/>
    <s v="20+ hrs"/>
    <x v="0"/>
  </r>
  <r>
    <n v="132"/>
    <d v="2023-09-29T00:00:00"/>
    <s v="Premium"/>
    <n v="699"/>
    <n v="10.5"/>
    <n v="2"/>
    <n v="0"/>
    <n v="10"/>
    <n v="30"/>
    <s v="No"/>
    <s v="No"/>
    <s v="No"/>
    <s v="No"/>
    <s v="Yes"/>
    <s v="No"/>
    <m/>
    <s v="0 Failures"/>
    <n v="0"/>
    <s v="10-20hrs"/>
    <x v="0"/>
  </r>
  <r>
    <n v="133"/>
    <d v="2023-11-21T00:00:00"/>
    <s v="Standard"/>
    <n v="399"/>
    <n v="16.399999999999999"/>
    <n v="5"/>
    <n v="5"/>
    <n v="26"/>
    <n v="54"/>
    <s v="Yes"/>
    <s v="No"/>
    <s v="Yes"/>
    <s v="Yes"/>
    <s v="Yes"/>
    <s v="No"/>
    <m/>
    <s v="1+ Failures"/>
    <n v="1"/>
    <s v="10-20hrs"/>
    <x v="1"/>
  </r>
  <r>
    <n v="134"/>
    <d v="2024-12-01T00:00:00"/>
    <s v="Premium"/>
    <n v="699"/>
    <n v="21.9"/>
    <n v="0"/>
    <n v="4"/>
    <n v="32"/>
    <n v="4"/>
    <s v="Yes"/>
    <s v="No"/>
    <s v="Yes"/>
    <s v="No"/>
    <s v="No"/>
    <s v="No"/>
    <m/>
    <s v="1+ Failures"/>
    <n v="1"/>
    <s v="20+ hrs"/>
    <x v="1"/>
  </r>
  <r>
    <n v="135"/>
    <d v="2023-04-13T00:00:00"/>
    <s v="Standard"/>
    <n v="399"/>
    <n v="18.8"/>
    <n v="6"/>
    <n v="0"/>
    <n v="15"/>
    <n v="48"/>
    <s v="No"/>
    <s v="No"/>
    <s v="No"/>
    <s v="Yes"/>
    <s v="Yes"/>
    <s v="No"/>
    <m/>
    <s v="0 Failures"/>
    <n v="0"/>
    <s v="10-20hrs"/>
    <x v="1"/>
  </r>
  <r>
    <n v="136"/>
    <d v="2023-10-28T00:00:00"/>
    <s v="Standard"/>
    <n v="399"/>
    <n v="17.5"/>
    <n v="0"/>
    <n v="0"/>
    <n v="11"/>
    <n v="20"/>
    <s v="No"/>
    <s v="No"/>
    <s v="No"/>
    <s v="No"/>
    <s v="Yes"/>
    <s v="No"/>
    <m/>
    <s v="0 Failures"/>
    <n v="0"/>
    <s v="10-20hrs"/>
    <x v="0"/>
  </r>
  <r>
    <n v="137"/>
    <d v="2023-07-04T00:00:00"/>
    <s v="Standard"/>
    <n v="399"/>
    <n v="11.1"/>
    <n v="3"/>
    <n v="4"/>
    <n v="24"/>
    <n v="26"/>
    <s v="Yes"/>
    <s v="No"/>
    <s v="Yes"/>
    <s v="No"/>
    <s v="Yes"/>
    <s v="No"/>
    <m/>
    <s v="1+ Failures"/>
    <n v="1"/>
    <s v="10-20hrs"/>
    <x v="1"/>
  </r>
  <r>
    <n v="138"/>
    <d v="2024-08-20T00:00:00"/>
    <s v="Basic"/>
    <n v="199"/>
    <n v="2.4"/>
    <n v="6"/>
    <n v="4"/>
    <n v="12"/>
    <n v="43"/>
    <s v="Yes"/>
    <s v="Yes"/>
    <s v="Yes"/>
    <s v="Yes"/>
    <s v="Yes"/>
    <s v="No"/>
    <m/>
    <s v="1+ Failures"/>
    <n v="1"/>
    <s v="0-5 hrs"/>
    <x v="0"/>
  </r>
  <r>
    <n v="139"/>
    <d v="2024-04-21T00:00:00"/>
    <s v="Basic"/>
    <n v="199"/>
    <n v="11.8"/>
    <n v="4"/>
    <n v="3"/>
    <n v="15"/>
    <n v="16"/>
    <s v="No"/>
    <s v="No"/>
    <s v="Yes"/>
    <s v="No"/>
    <s v="Yes"/>
    <s v="No"/>
    <m/>
    <s v="1+ Failures"/>
    <n v="0"/>
    <s v="10-20hrs"/>
    <x v="1"/>
  </r>
  <r>
    <n v="140"/>
    <d v="2024-03-10T00:00:00"/>
    <s v="Standard"/>
    <n v="399"/>
    <n v="4.4000000000000004"/>
    <n v="7"/>
    <n v="2"/>
    <n v="35"/>
    <n v="37"/>
    <s v="Yes"/>
    <s v="Yes"/>
    <s v="Yes"/>
    <s v="Yes"/>
    <s v="Yes"/>
    <s v="No"/>
    <m/>
    <s v="1+ Failures"/>
    <n v="1"/>
    <s v="0-5 hrs"/>
    <x v="1"/>
  </r>
  <r>
    <n v="141"/>
    <d v="2023-04-20T00:00:00"/>
    <s v="Premium"/>
    <n v="699"/>
    <n v="11.7"/>
    <n v="4"/>
    <n v="1"/>
    <n v="17"/>
    <n v="24"/>
    <s v="No"/>
    <s v="No"/>
    <s v="Yes"/>
    <s v="No"/>
    <s v="Yes"/>
    <s v="No"/>
    <m/>
    <s v="1+ Failures"/>
    <n v="0"/>
    <s v="10-20hrs"/>
    <x v="1"/>
  </r>
  <r>
    <n v="142"/>
    <d v="2024-11-05T00:00:00"/>
    <s v="Basic"/>
    <n v="199"/>
    <n v="14.5"/>
    <n v="4"/>
    <n v="5"/>
    <n v="25"/>
    <n v="18"/>
    <s v="Yes"/>
    <s v="No"/>
    <s v="Yes"/>
    <s v="No"/>
    <s v="Yes"/>
    <s v="No"/>
    <m/>
    <s v="1+ Failures"/>
    <n v="1"/>
    <s v="10-20hrs"/>
    <x v="1"/>
  </r>
  <r>
    <n v="143"/>
    <d v="2023-10-21T00:00:00"/>
    <s v="Standard"/>
    <n v="399"/>
    <n v="0.7"/>
    <n v="0"/>
    <n v="4"/>
    <n v="18"/>
    <n v="47"/>
    <s v="Yes"/>
    <s v="Yes"/>
    <s v="Yes"/>
    <s v="No"/>
    <s v="Yes"/>
    <s v="No"/>
    <m/>
    <s v="1+ Failures"/>
    <n v="1"/>
    <s v="0-5 hrs"/>
    <x v="1"/>
  </r>
  <r>
    <n v="144"/>
    <d v="2024-11-06T00:00:00"/>
    <s v="Basic"/>
    <n v="199"/>
    <n v="5.9"/>
    <n v="3"/>
    <n v="4"/>
    <n v="23"/>
    <n v="16"/>
    <s v="No"/>
    <s v="No"/>
    <s v="Yes"/>
    <s v="No"/>
    <s v="Yes"/>
    <s v="No"/>
    <m/>
    <s v="1+ Failures"/>
    <n v="0"/>
    <s v="5-10 hrs"/>
    <x v="1"/>
  </r>
  <r>
    <n v="145"/>
    <d v="2024-08-16T00:00:00"/>
    <s v="Premium"/>
    <n v="699"/>
    <n v="15.9"/>
    <n v="0"/>
    <n v="2"/>
    <n v="9"/>
    <n v="50"/>
    <s v="Yes"/>
    <s v="No"/>
    <s v="Yes"/>
    <s v="No"/>
    <s v="Yes"/>
    <s v="No"/>
    <m/>
    <s v="1+ Failures"/>
    <n v="1"/>
    <s v="10-20hrs"/>
    <x v="0"/>
  </r>
  <r>
    <n v="146"/>
    <d v="2023-07-25T00:00:00"/>
    <s v="Standard"/>
    <n v="399"/>
    <n v="2.7"/>
    <n v="4"/>
    <n v="2"/>
    <n v="9"/>
    <n v="47"/>
    <s v="Yes"/>
    <s v="Yes"/>
    <s v="Yes"/>
    <s v="No"/>
    <s v="Yes"/>
    <s v="No"/>
    <m/>
    <s v="1+ Failures"/>
    <n v="1"/>
    <s v="0-5 hrs"/>
    <x v="0"/>
  </r>
  <r>
    <n v="147"/>
    <d v="2023-06-18T00:00:00"/>
    <s v="Basic"/>
    <n v="199"/>
    <n v="22"/>
    <n v="5"/>
    <n v="4"/>
    <n v="35"/>
    <n v="32"/>
    <s v="No"/>
    <s v="No"/>
    <s v="Yes"/>
    <s v="Yes"/>
    <s v="Yes"/>
    <s v="No"/>
    <m/>
    <s v="1+ Failures"/>
    <n v="0"/>
    <s v="20+ hrs"/>
    <x v="1"/>
  </r>
  <r>
    <n v="148"/>
    <d v="2023-04-28T00:00:00"/>
    <s v="Standard"/>
    <n v="399"/>
    <n v="24.2"/>
    <n v="4"/>
    <n v="5"/>
    <n v="31"/>
    <n v="55"/>
    <s v="Yes"/>
    <s v="No"/>
    <s v="Yes"/>
    <s v="No"/>
    <s v="Yes"/>
    <s v="No"/>
    <m/>
    <s v="1+ Failures"/>
    <n v="1"/>
    <s v="20+ hrs"/>
    <x v="1"/>
  </r>
  <r>
    <n v="149"/>
    <d v="2024-02-11T00:00:00"/>
    <s v="Standard"/>
    <n v="399"/>
    <n v="3.9"/>
    <n v="3"/>
    <n v="5"/>
    <n v="5"/>
    <n v="46"/>
    <s v="Yes"/>
    <s v="Yes"/>
    <s v="Yes"/>
    <s v="No"/>
    <s v="Yes"/>
    <s v="Yes"/>
    <m/>
    <s v="1+ Failures"/>
    <n v="1"/>
    <s v="0-5 hrs"/>
    <x v="3"/>
  </r>
  <r>
    <n v="150"/>
    <d v="2024-04-10T00:00:00"/>
    <s v="Premium"/>
    <n v="699"/>
    <n v="2.7"/>
    <n v="6"/>
    <n v="0"/>
    <n v="24"/>
    <n v="16"/>
    <s v="No"/>
    <s v="Yes"/>
    <s v="No"/>
    <s v="Yes"/>
    <s v="Yes"/>
    <s v="No"/>
    <m/>
    <s v="0 Failures"/>
    <n v="0"/>
    <s v="0-5 hrs"/>
    <x v="1"/>
  </r>
  <r>
    <n v="151"/>
    <d v="2023-01-26T00:00:00"/>
    <s v="Standard"/>
    <n v="399"/>
    <n v="14.8"/>
    <n v="5"/>
    <n v="0"/>
    <n v="17"/>
    <n v="43"/>
    <s v="Yes"/>
    <s v="No"/>
    <s v="No"/>
    <s v="Yes"/>
    <s v="Yes"/>
    <s v="No"/>
    <m/>
    <s v="0 Failures"/>
    <n v="1"/>
    <s v="10-20hrs"/>
    <x v="1"/>
  </r>
  <r>
    <n v="152"/>
    <d v="2024-04-20T00:00:00"/>
    <s v="Premium"/>
    <n v="699"/>
    <n v="8.5"/>
    <n v="3"/>
    <n v="5"/>
    <n v="36"/>
    <n v="4"/>
    <s v="No"/>
    <s v="No"/>
    <s v="Yes"/>
    <s v="No"/>
    <s v="No"/>
    <s v="No"/>
    <m/>
    <s v="1+ Failures"/>
    <n v="0"/>
    <s v="5-10 hrs"/>
    <x v="1"/>
  </r>
  <r>
    <n v="153"/>
    <d v="2023-11-08T00:00:00"/>
    <s v="Premium"/>
    <n v="699"/>
    <n v="16.399999999999999"/>
    <n v="1"/>
    <n v="1"/>
    <n v="20"/>
    <n v="2"/>
    <s v="No"/>
    <s v="No"/>
    <s v="Yes"/>
    <s v="No"/>
    <s v="No"/>
    <s v="No"/>
    <m/>
    <s v="1+ Failures"/>
    <n v="0"/>
    <s v="10-20hrs"/>
    <x v="1"/>
  </r>
  <r>
    <n v="154"/>
    <d v="2024-11-17T00:00:00"/>
    <s v="Standard"/>
    <n v="399"/>
    <n v="2.9"/>
    <n v="8"/>
    <n v="1"/>
    <n v="8"/>
    <n v="24"/>
    <s v="Yes"/>
    <s v="Yes"/>
    <s v="Yes"/>
    <s v="Yes"/>
    <s v="Yes"/>
    <s v="No"/>
    <m/>
    <s v="1+ Failures"/>
    <n v="1"/>
    <s v="0-5 hrs"/>
    <x v="0"/>
  </r>
  <r>
    <n v="155"/>
    <d v="2024-05-16T00:00:00"/>
    <s v="Premium"/>
    <n v="699"/>
    <n v="10.8"/>
    <n v="2"/>
    <n v="3"/>
    <n v="35"/>
    <n v="41"/>
    <s v="Yes"/>
    <s v="No"/>
    <s v="Yes"/>
    <s v="No"/>
    <s v="Yes"/>
    <s v="No"/>
    <m/>
    <s v="1+ Failures"/>
    <n v="1"/>
    <s v="10-20hrs"/>
    <x v="1"/>
  </r>
  <r>
    <n v="156"/>
    <d v="2024-03-30T00:00:00"/>
    <s v="Premium"/>
    <n v="699"/>
    <n v="23.5"/>
    <n v="4"/>
    <n v="0"/>
    <n v="27"/>
    <n v="44"/>
    <s v="Yes"/>
    <s v="No"/>
    <s v="No"/>
    <s v="No"/>
    <s v="Yes"/>
    <s v="No"/>
    <m/>
    <s v="0 Failures"/>
    <n v="1"/>
    <s v="20+ hrs"/>
    <x v="1"/>
  </r>
  <r>
    <n v="157"/>
    <d v="2024-10-22T00:00:00"/>
    <s v="Standard"/>
    <n v="399"/>
    <n v="21.5"/>
    <n v="1"/>
    <n v="5"/>
    <n v="16"/>
    <n v="23"/>
    <s v="Yes"/>
    <s v="No"/>
    <s v="Yes"/>
    <s v="No"/>
    <s v="Yes"/>
    <s v="No"/>
    <m/>
    <s v="1+ Failures"/>
    <n v="1"/>
    <s v="20+ hrs"/>
    <x v="1"/>
  </r>
  <r>
    <n v="158"/>
    <d v="2024-04-10T00:00:00"/>
    <s v="Standard"/>
    <n v="399"/>
    <n v="10.3"/>
    <n v="3"/>
    <n v="0"/>
    <n v="4"/>
    <n v="60"/>
    <s v="No"/>
    <s v="No"/>
    <s v="No"/>
    <s v="No"/>
    <s v="Yes"/>
    <s v="Yes"/>
    <m/>
    <s v="0 Failures"/>
    <n v="0"/>
    <s v="10-20hrs"/>
    <x v="3"/>
  </r>
  <r>
    <n v="159"/>
    <d v="2023-05-09T00:00:00"/>
    <s v="Basic"/>
    <n v="199"/>
    <n v="16.2"/>
    <n v="0"/>
    <n v="0"/>
    <n v="14"/>
    <n v="50"/>
    <s v="Yes"/>
    <s v="No"/>
    <s v="No"/>
    <s v="No"/>
    <s v="Yes"/>
    <s v="No"/>
    <m/>
    <s v="0 Failures"/>
    <n v="1"/>
    <s v="10-20hrs"/>
    <x v="1"/>
  </r>
  <r>
    <n v="160"/>
    <d v="2023-08-27T00:00:00"/>
    <s v="Premium"/>
    <n v="699"/>
    <n v="2.2000000000000002"/>
    <n v="8"/>
    <n v="1"/>
    <n v="14"/>
    <n v="37"/>
    <s v="Yes"/>
    <s v="Yes"/>
    <s v="Yes"/>
    <s v="Yes"/>
    <s v="Yes"/>
    <s v="No"/>
    <m/>
    <s v="1+ Failures"/>
    <n v="1"/>
    <s v="0-5 hrs"/>
    <x v="1"/>
  </r>
  <r>
    <n v="161"/>
    <d v="2023-05-14T00:00:00"/>
    <s v="Standard"/>
    <n v="399"/>
    <n v="19.8"/>
    <n v="0"/>
    <n v="2"/>
    <n v="10"/>
    <n v="54"/>
    <s v="No"/>
    <s v="No"/>
    <s v="Yes"/>
    <s v="No"/>
    <s v="Yes"/>
    <s v="No"/>
    <m/>
    <s v="1+ Failures"/>
    <n v="0"/>
    <s v="10-20hrs"/>
    <x v="0"/>
  </r>
  <r>
    <n v="162"/>
    <d v="2023-01-16T00:00:00"/>
    <s v="Premium"/>
    <n v="699"/>
    <n v="20.100000000000001"/>
    <n v="1"/>
    <n v="5"/>
    <n v="17"/>
    <n v="55"/>
    <s v="Yes"/>
    <s v="No"/>
    <s v="Yes"/>
    <s v="No"/>
    <s v="Yes"/>
    <s v="No"/>
    <m/>
    <s v="1+ Failures"/>
    <n v="1"/>
    <s v="20+ hrs"/>
    <x v="1"/>
  </r>
  <r>
    <n v="163"/>
    <d v="2024-03-07T00:00:00"/>
    <s v="Standard"/>
    <n v="399"/>
    <n v="14.9"/>
    <n v="0"/>
    <n v="1"/>
    <n v="16"/>
    <n v="16"/>
    <s v="Yes"/>
    <s v="No"/>
    <s v="Yes"/>
    <s v="No"/>
    <s v="Yes"/>
    <s v="No"/>
    <m/>
    <s v="1+ Failures"/>
    <n v="1"/>
    <s v="10-20hrs"/>
    <x v="1"/>
  </r>
  <r>
    <n v="164"/>
    <d v="2024-08-30T00:00:00"/>
    <s v="Premium"/>
    <n v="699"/>
    <n v="18.8"/>
    <n v="7"/>
    <n v="3"/>
    <n v="8"/>
    <n v="49"/>
    <s v="Yes"/>
    <s v="No"/>
    <s v="Yes"/>
    <s v="Yes"/>
    <s v="Yes"/>
    <s v="No"/>
    <m/>
    <s v="1+ Failures"/>
    <n v="1"/>
    <s v="10-20hrs"/>
    <x v="0"/>
  </r>
  <r>
    <n v="165"/>
    <d v="2024-11-05T00:00:00"/>
    <s v="Basic"/>
    <n v="199"/>
    <n v="12.8"/>
    <n v="0"/>
    <n v="5"/>
    <n v="29"/>
    <n v="50"/>
    <s v="No"/>
    <s v="No"/>
    <s v="Yes"/>
    <s v="No"/>
    <s v="Yes"/>
    <s v="No"/>
    <m/>
    <s v="1+ Failures"/>
    <n v="0"/>
    <s v="10-20hrs"/>
    <x v="1"/>
  </r>
  <r>
    <n v="166"/>
    <d v="2024-03-12T00:00:00"/>
    <s v="Premium"/>
    <n v="699"/>
    <n v="11.7"/>
    <n v="0"/>
    <n v="0"/>
    <n v="20"/>
    <n v="30"/>
    <s v="No"/>
    <s v="No"/>
    <s v="No"/>
    <s v="No"/>
    <s v="Yes"/>
    <s v="No"/>
    <m/>
    <s v="0 Failures"/>
    <n v="0"/>
    <s v="10-20hrs"/>
    <x v="1"/>
  </r>
  <r>
    <n v="167"/>
    <d v="2024-09-14T00:00:00"/>
    <s v="Premium"/>
    <n v="699"/>
    <n v="12.5"/>
    <n v="7"/>
    <n v="0"/>
    <n v="7"/>
    <n v="57"/>
    <s v="Yes"/>
    <s v="No"/>
    <s v="No"/>
    <s v="Yes"/>
    <s v="Yes"/>
    <s v="No"/>
    <m/>
    <s v="0 Failures"/>
    <n v="1"/>
    <s v="10-20hrs"/>
    <x v="0"/>
  </r>
  <r>
    <n v="168"/>
    <d v="2024-09-03T00:00:00"/>
    <s v="Basic"/>
    <n v="199"/>
    <n v="3.6"/>
    <n v="8"/>
    <n v="5"/>
    <n v="5"/>
    <n v="20"/>
    <s v="Yes"/>
    <s v="Yes"/>
    <s v="Yes"/>
    <s v="Yes"/>
    <s v="Yes"/>
    <s v="Yes"/>
    <m/>
    <s v="1+ Failures"/>
    <n v="1"/>
    <s v="0-5 hrs"/>
    <x v="3"/>
  </r>
  <r>
    <n v="169"/>
    <d v="2024-11-01T00:00:00"/>
    <s v="Premium"/>
    <n v="699"/>
    <n v="11.6"/>
    <n v="6"/>
    <n v="0"/>
    <n v="19"/>
    <n v="50"/>
    <s v="No"/>
    <s v="No"/>
    <s v="No"/>
    <s v="Yes"/>
    <s v="Yes"/>
    <s v="No"/>
    <m/>
    <s v="0 Failures"/>
    <n v="0"/>
    <s v="10-20hrs"/>
    <x v="1"/>
  </r>
  <r>
    <n v="170"/>
    <d v="2024-02-28T00:00:00"/>
    <s v="Premium"/>
    <n v="699"/>
    <n v="18.2"/>
    <n v="3"/>
    <n v="3"/>
    <n v="36"/>
    <n v="28"/>
    <s v="No"/>
    <s v="No"/>
    <s v="Yes"/>
    <s v="No"/>
    <s v="Yes"/>
    <s v="No"/>
    <m/>
    <s v="1+ Failures"/>
    <n v="0"/>
    <s v="10-20hrs"/>
    <x v="1"/>
  </r>
  <r>
    <n v="171"/>
    <d v="2023-09-19T00:00:00"/>
    <s v="Standard"/>
    <n v="399"/>
    <n v="10.3"/>
    <n v="1"/>
    <n v="2"/>
    <n v="30"/>
    <n v="27"/>
    <s v="Yes"/>
    <s v="No"/>
    <s v="Yes"/>
    <s v="No"/>
    <s v="Yes"/>
    <s v="No"/>
    <m/>
    <s v="1+ Failures"/>
    <n v="1"/>
    <s v="10-20hrs"/>
    <x v="1"/>
  </r>
  <r>
    <n v="172"/>
    <d v="2023-04-06T00:00:00"/>
    <s v="Standard"/>
    <n v="399"/>
    <n v="17.3"/>
    <n v="7"/>
    <n v="0"/>
    <n v="10"/>
    <n v="5"/>
    <s v="No"/>
    <s v="No"/>
    <s v="No"/>
    <s v="Yes"/>
    <s v="No"/>
    <s v="No"/>
    <m/>
    <s v="0 Failures"/>
    <n v="0"/>
    <s v="10-20hrs"/>
    <x v="0"/>
  </r>
  <r>
    <n v="173"/>
    <d v="2024-07-29T00:00:00"/>
    <s v="Standard"/>
    <n v="399"/>
    <n v="18.7"/>
    <n v="5"/>
    <n v="1"/>
    <n v="7"/>
    <n v="35"/>
    <s v="Yes"/>
    <s v="No"/>
    <s v="Yes"/>
    <s v="Yes"/>
    <s v="Yes"/>
    <s v="No"/>
    <m/>
    <s v="1+ Failures"/>
    <n v="1"/>
    <s v="10-20hrs"/>
    <x v="0"/>
  </r>
  <r>
    <n v="174"/>
    <d v="2024-03-09T00:00:00"/>
    <s v="Premium"/>
    <n v="699"/>
    <n v="16.899999999999999"/>
    <n v="6"/>
    <n v="2"/>
    <n v="22"/>
    <n v="55"/>
    <s v="Yes"/>
    <s v="No"/>
    <s v="Yes"/>
    <s v="Yes"/>
    <s v="Yes"/>
    <s v="No"/>
    <m/>
    <s v="1+ Failures"/>
    <n v="1"/>
    <s v="10-20hrs"/>
    <x v="1"/>
  </r>
  <r>
    <n v="175"/>
    <d v="2023-08-06T00:00:00"/>
    <s v="Premium"/>
    <n v="699"/>
    <n v="24.2"/>
    <n v="4"/>
    <n v="2"/>
    <n v="4"/>
    <n v="6"/>
    <s v="No"/>
    <s v="No"/>
    <s v="Yes"/>
    <s v="No"/>
    <s v="No"/>
    <s v="Yes"/>
    <m/>
    <s v="1+ Failures"/>
    <n v="0"/>
    <s v="20+ hrs"/>
    <x v="3"/>
  </r>
  <r>
    <n v="176"/>
    <d v="2023-04-28T00:00:00"/>
    <s v="Basic"/>
    <n v="199"/>
    <n v="6"/>
    <n v="1"/>
    <n v="2"/>
    <n v="31"/>
    <n v="54"/>
    <s v="Yes"/>
    <s v="No"/>
    <s v="Yes"/>
    <s v="No"/>
    <s v="Yes"/>
    <s v="No"/>
    <m/>
    <s v="1+ Failures"/>
    <n v="1"/>
    <s v="5-10 hrs"/>
    <x v="1"/>
  </r>
  <r>
    <n v="177"/>
    <d v="2024-07-24T00:00:00"/>
    <s v="Standard"/>
    <n v="399"/>
    <n v="20.3"/>
    <n v="8"/>
    <n v="4"/>
    <n v="15"/>
    <n v="39"/>
    <s v="Yes"/>
    <s v="No"/>
    <s v="Yes"/>
    <s v="Yes"/>
    <s v="Yes"/>
    <s v="No"/>
    <m/>
    <s v="1+ Failures"/>
    <n v="1"/>
    <s v="20+ hrs"/>
    <x v="1"/>
  </r>
  <r>
    <n v="178"/>
    <d v="2023-12-14T00:00:00"/>
    <s v="Basic"/>
    <n v="199"/>
    <n v="1.2"/>
    <n v="4"/>
    <n v="5"/>
    <n v="18"/>
    <n v="48"/>
    <s v="Yes"/>
    <s v="Yes"/>
    <s v="Yes"/>
    <s v="No"/>
    <s v="Yes"/>
    <s v="No"/>
    <m/>
    <s v="1+ Failures"/>
    <n v="1"/>
    <s v="0-5 hrs"/>
    <x v="1"/>
  </r>
  <r>
    <n v="179"/>
    <d v="2023-05-26T00:00:00"/>
    <s v="Standard"/>
    <n v="399"/>
    <n v="4.9000000000000004"/>
    <n v="2"/>
    <n v="4"/>
    <n v="1"/>
    <n v="42"/>
    <s v="Yes"/>
    <s v="Yes"/>
    <s v="Yes"/>
    <s v="No"/>
    <s v="Yes"/>
    <s v="Yes"/>
    <m/>
    <s v="1+ Failures"/>
    <n v="1"/>
    <s v="0-5 hrs"/>
    <x v="2"/>
  </r>
  <r>
    <n v="180"/>
    <d v="2023-12-16T00:00:00"/>
    <s v="Premium"/>
    <n v="699"/>
    <n v="2.7"/>
    <n v="8"/>
    <n v="1"/>
    <n v="2"/>
    <n v="24"/>
    <s v="Yes"/>
    <s v="Yes"/>
    <s v="Yes"/>
    <s v="Yes"/>
    <s v="Yes"/>
    <s v="Yes"/>
    <m/>
    <s v="1+ Failures"/>
    <n v="1"/>
    <s v="0-5 hrs"/>
    <x v="2"/>
  </r>
  <r>
    <n v="181"/>
    <d v="2023-02-23T00:00:00"/>
    <s v="Basic"/>
    <n v="199"/>
    <n v="8.1"/>
    <n v="5"/>
    <n v="4"/>
    <n v="24"/>
    <n v="38"/>
    <s v="Yes"/>
    <s v="No"/>
    <s v="Yes"/>
    <s v="Yes"/>
    <s v="Yes"/>
    <s v="No"/>
    <m/>
    <s v="1+ Failures"/>
    <n v="1"/>
    <s v="5-10 hrs"/>
    <x v="1"/>
  </r>
  <r>
    <n v="182"/>
    <d v="2024-11-08T00:00:00"/>
    <s v="Basic"/>
    <n v="199"/>
    <n v="19"/>
    <n v="0"/>
    <n v="5"/>
    <n v="11"/>
    <n v="5"/>
    <s v="Yes"/>
    <s v="No"/>
    <s v="Yes"/>
    <s v="No"/>
    <s v="No"/>
    <s v="No"/>
    <m/>
    <s v="1+ Failures"/>
    <n v="1"/>
    <s v="10-20hrs"/>
    <x v="0"/>
  </r>
  <r>
    <n v="183"/>
    <d v="2023-04-27T00:00:00"/>
    <s v="Standard"/>
    <n v="399"/>
    <n v="15.4"/>
    <n v="6"/>
    <n v="2"/>
    <n v="32"/>
    <n v="13"/>
    <s v="No"/>
    <s v="No"/>
    <s v="Yes"/>
    <s v="Yes"/>
    <s v="No"/>
    <s v="No"/>
    <m/>
    <s v="1+ Failures"/>
    <n v="0"/>
    <s v="10-20hrs"/>
    <x v="1"/>
  </r>
  <r>
    <n v="184"/>
    <d v="2023-08-14T00:00:00"/>
    <s v="Standard"/>
    <n v="399"/>
    <n v="3.2"/>
    <n v="7"/>
    <n v="4"/>
    <n v="28"/>
    <n v="42"/>
    <s v="Yes"/>
    <s v="Yes"/>
    <s v="Yes"/>
    <s v="Yes"/>
    <s v="Yes"/>
    <s v="No"/>
    <m/>
    <s v="1+ Failures"/>
    <n v="1"/>
    <s v="0-5 hrs"/>
    <x v="1"/>
  </r>
  <r>
    <n v="185"/>
    <d v="2023-09-19T00:00:00"/>
    <s v="Standard"/>
    <n v="399"/>
    <n v="0.7"/>
    <n v="4"/>
    <n v="1"/>
    <n v="4"/>
    <n v="49"/>
    <s v="Yes"/>
    <s v="Yes"/>
    <s v="Yes"/>
    <s v="No"/>
    <s v="Yes"/>
    <s v="Yes"/>
    <m/>
    <s v="1+ Failures"/>
    <n v="1"/>
    <s v="0-5 hrs"/>
    <x v="3"/>
  </r>
  <r>
    <n v="186"/>
    <d v="2024-01-25T00:00:00"/>
    <s v="Standard"/>
    <n v="399"/>
    <n v="3.4"/>
    <n v="7"/>
    <n v="5"/>
    <n v="21"/>
    <n v="27"/>
    <s v="Yes"/>
    <s v="Yes"/>
    <s v="Yes"/>
    <s v="Yes"/>
    <s v="Yes"/>
    <s v="No"/>
    <m/>
    <s v="1+ Failures"/>
    <n v="1"/>
    <s v="0-5 hrs"/>
    <x v="1"/>
  </r>
  <r>
    <n v="187"/>
    <d v="2023-02-13T00:00:00"/>
    <s v="Premium"/>
    <n v="699"/>
    <n v="12.8"/>
    <n v="5"/>
    <n v="0"/>
    <n v="15"/>
    <n v="25"/>
    <s v="No"/>
    <s v="No"/>
    <s v="No"/>
    <s v="Yes"/>
    <s v="Yes"/>
    <s v="No"/>
    <m/>
    <s v="0 Failures"/>
    <n v="0"/>
    <s v="10-20hrs"/>
    <x v="1"/>
  </r>
  <r>
    <n v="188"/>
    <d v="2024-02-19T00:00:00"/>
    <s v="Standard"/>
    <n v="399"/>
    <n v="11.8"/>
    <n v="1"/>
    <n v="2"/>
    <n v="2"/>
    <n v="36"/>
    <s v="Yes"/>
    <s v="No"/>
    <s v="Yes"/>
    <s v="No"/>
    <s v="Yes"/>
    <s v="Yes"/>
    <m/>
    <s v="1+ Failures"/>
    <n v="1"/>
    <s v="10-20hrs"/>
    <x v="2"/>
  </r>
  <r>
    <n v="189"/>
    <d v="2024-09-24T00:00:00"/>
    <s v="Premium"/>
    <n v="699"/>
    <n v="7.6"/>
    <n v="6"/>
    <n v="0"/>
    <n v="27"/>
    <n v="20"/>
    <s v="Yes"/>
    <s v="No"/>
    <s v="No"/>
    <s v="Yes"/>
    <s v="Yes"/>
    <s v="No"/>
    <m/>
    <s v="0 Failures"/>
    <n v="1"/>
    <s v="5-10 hrs"/>
    <x v="1"/>
  </r>
  <r>
    <n v="190"/>
    <d v="2024-06-20T00:00:00"/>
    <s v="Standard"/>
    <n v="399"/>
    <n v="2.7"/>
    <n v="1"/>
    <n v="1"/>
    <n v="24"/>
    <n v="27"/>
    <s v="Yes"/>
    <s v="Yes"/>
    <s v="Yes"/>
    <s v="No"/>
    <s v="Yes"/>
    <s v="No"/>
    <m/>
    <s v="1+ Failures"/>
    <n v="1"/>
    <s v="0-5 hrs"/>
    <x v="1"/>
  </r>
  <r>
    <n v="191"/>
    <d v="2023-03-20T00:00:00"/>
    <s v="Basic"/>
    <n v="199"/>
    <n v="21.8"/>
    <n v="5"/>
    <n v="1"/>
    <n v="26"/>
    <n v="21"/>
    <s v="No"/>
    <s v="No"/>
    <s v="Yes"/>
    <s v="Yes"/>
    <s v="Yes"/>
    <s v="No"/>
    <m/>
    <s v="1+ Failures"/>
    <n v="0"/>
    <s v="20+ hrs"/>
    <x v="1"/>
  </r>
  <r>
    <n v="192"/>
    <d v="2024-10-22T00:00:00"/>
    <s v="Premium"/>
    <n v="699"/>
    <n v="13.5"/>
    <n v="3"/>
    <n v="2"/>
    <n v="8"/>
    <n v="22"/>
    <s v="No"/>
    <s v="No"/>
    <s v="Yes"/>
    <s v="No"/>
    <s v="Yes"/>
    <s v="No"/>
    <m/>
    <s v="1+ Failures"/>
    <n v="0"/>
    <s v="10-20hrs"/>
    <x v="0"/>
  </r>
  <r>
    <n v="193"/>
    <d v="2024-11-02T00:00:00"/>
    <s v="Basic"/>
    <n v="199"/>
    <n v="3"/>
    <n v="4"/>
    <n v="1"/>
    <n v="16"/>
    <n v="11"/>
    <s v="No"/>
    <s v="Yes"/>
    <s v="Yes"/>
    <s v="No"/>
    <s v="No"/>
    <s v="No"/>
    <m/>
    <s v="1+ Failures"/>
    <n v="0"/>
    <s v="0-5 hrs"/>
    <x v="1"/>
  </r>
  <r>
    <n v="194"/>
    <d v="2024-08-16T00:00:00"/>
    <s v="Basic"/>
    <n v="199"/>
    <n v="23.8"/>
    <n v="7"/>
    <n v="3"/>
    <n v="12"/>
    <n v="48"/>
    <s v="Yes"/>
    <s v="No"/>
    <s v="Yes"/>
    <s v="Yes"/>
    <s v="Yes"/>
    <s v="No"/>
    <m/>
    <s v="1+ Failures"/>
    <n v="1"/>
    <s v="20+ hrs"/>
    <x v="0"/>
  </r>
  <r>
    <n v="195"/>
    <d v="2024-03-28T00:00:00"/>
    <s v="Standard"/>
    <n v="399"/>
    <n v="21.7"/>
    <n v="5"/>
    <n v="1"/>
    <n v="21"/>
    <n v="28"/>
    <s v="Yes"/>
    <s v="No"/>
    <s v="Yes"/>
    <s v="Yes"/>
    <s v="Yes"/>
    <s v="No"/>
    <m/>
    <s v="1+ Failures"/>
    <n v="1"/>
    <s v="20+ hrs"/>
    <x v="1"/>
  </r>
  <r>
    <n v="196"/>
    <d v="2024-04-17T00:00:00"/>
    <s v="Premium"/>
    <n v="699"/>
    <n v="20"/>
    <n v="0"/>
    <n v="2"/>
    <n v="20"/>
    <n v="32"/>
    <s v="Yes"/>
    <s v="No"/>
    <s v="Yes"/>
    <s v="No"/>
    <s v="Yes"/>
    <s v="No"/>
    <m/>
    <s v="1+ Failures"/>
    <n v="1"/>
    <s v="10-20hrs"/>
    <x v="1"/>
  </r>
  <r>
    <n v="197"/>
    <d v="2023-04-03T00:00:00"/>
    <s v="Standard"/>
    <n v="399"/>
    <n v="1.9"/>
    <n v="4"/>
    <n v="0"/>
    <n v="3"/>
    <n v="41"/>
    <s v="No"/>
    <s v="Yes"/>
    <s v="No"/>
    <s v="No"/>
    <s v="Yes"/>
    <s v="Yes"/>
    <m/>
    <s v="0 Failures"/>
    <n v="0"/>
    <s v="0-5 hrs"/>
    <x v="2"/>
  </r>
  <r>
    <n v="198"/>
    <d v="2024-08-08T00:00:00"/>
    <s v="Premium"/>
    <n v="699"/>
    <n v="9.9"/>
    <n v="8"/>
    <n v="5"/>
    <n v="33"/>
    <n v="57"/>
    <s v="Yes"/>
    <s v="No"/>
    <s v="Yes"/>
    <s v="Yes"/>
    <s v="Yes"/>
    <s v="No"/>
    <m/>
    <s v="1+ Failures"/>
    <n v="1"/>
    <s v="5-10 hrs"/>
    <x v="1"/>
  </r>
  <r>
    <n v="199"/>
    <d v="2024-04-06T00:00:00"/>
    <s v="Premium"/>
    <n v="699"/>
    <n v="8.4"/>
    <n v="7"/>
    <n v="4"/>
    <n v="13"/>
    <n v="9"/>
    <s v="No"/>
    <s v="No"/>
    <s v="Yes"/>
    <s v="Yes"/>
    <s v="No"/>
    <s v="No"/>
    <m/>
    <s v="1+ Failures"/>
    <n v="0"/>
    <s v="5-10 hrs"/>
    <x v="1"/>
  </r>
  <r>
    <n v="200"/>
    <d v="2023-09-11T00:00:00"/>
    <s v="Basic"/>
    <n v="199"/>
    <n v="24.6"/>
    <n v="1"/>
    <n v="4"/>
    <n v="22"/>
    <n v="41"/>
    <s v="Yes"/>
    <s v="No"/>
    <s v="Yes"/>
    <s v="No"/>
    <s v="Yes"/>
    <s v="No"/>
    <m/>
    <s v="1+ Failures"/>
    <n v="1"/>
    <s v="20+ hrs"/>
    <x v="1"/>
  </r>
  <r>
    <n v="201"/>
    <d v="2024-01-17T00:00:00"/>
    <s v="Premium"/>
    <n v="699"/>
    <n v="24.8"/>
    <n v="8"/>
    <n v="4"/>
    <n v="29"/>
    <n v="39"/>
    <s v="Yes"/>
    <s v="No"/>
    <s v="Yes"/>
    <s v="Yes"/>
    <s v="Yes"/>
    <s v="No"/>
    <m/>
    <s v="1+ Failures"/>
    <n v="1"/>
    <s v="20+ hrs"/>
    <x v="1"/>
  </r>
  <r>
    <n v="202"/>
    <d v="2024-10-08T00:00:00"/>
    <s v="Standard"/>
    <n v="399"/>
    <n v="10.5"/>
    <n v="5"/>
    <n v="5"/>
    <n v="25"/>
    <n v="38"/>
    <s v="Yes"/>
    <s v="No"/>
    <s v="Yes"/>
    <s v="Yes"/>
    <s v="Yes"/>
    <s v="No"/>
    <m/>
    <s v="1+ Failures"/>
    <n v="1"/>
    <s v="10-20hrs"/>
    <x v="1"/>
  </r>
  <r>
    <n v="203"/>
    <d v="2023-09-16T00:00:00"/>
    <s v="Premium"/>
    <n v="699"/>
    <n v="2.1"/>
    <n v="1"/>
    <n v="4"/>
    <n v="22"/>
    <n v="43"/>
    <s v="Yes"/>
    <s v="Yes"/>
    <s v="Yes"/>
    <s v="No"/>
    <s v="Yes"/>
    <s v="No"/>
    <m/>
    <s v="1+ Failures"/>
    <n v="1"/>
    <s v="0-5 hrs"/>
    <x v="1"/>
  </r>
  <r>
    <n v="204"/>
    <d v="2024-12-16T00:00:00"/>
    <s v="Premium"/>
    <n v="699"/>
    <n v="8.6999999999999993"/>
    <n v="2"/>
    <n v="2"/>
    <n v="10"/>
    <n v="19"/>
    <s v="No"/>
    <s v="No"/>
    <s v="Yes"/>
    <s v="No"/>
    <s v="Yes"/>
    <s v="No"/>
    <m/>
    <s v="1+ Failures"/>
    <n v="0"/>
    <s v="5-10 hrs"/>
    <x v="0"/>
  </r>
  <r>
    <n v="205"/>
    <d v="2023-12-03T00:00:00"/>
    <s v="Premium"/>
    <n v="699"/>
    <n v="3.7"/>
    <n v="1"/>
    <n v="2"/>
    <n v="26"/>
    <n v="35"/>
    <s v="Yes"/>
    <s v="Yes"/>
    <s v="Yes"/>
    <s v="No"/>
    <s v="Yes"/>
    <s v="No"/>
    <m/>
    <s v="1+ Failures"/>
    <n v="1"/>
    <s v="0-5 hrs"/>
    <x v="1"/>
  </r>
  <r>
    <n v="206"/>
    <d v="2023-11-13T00:00:00"/>
    <s v="Basic"/>
    <n v="199"/>
    <n v="2.8"/>
    <n v="6"/>
    <n v="4"/>
    <n v="34"/>
    <n v="23"/>
    <s v="Yes"/>
    <s v="Yes"/>
    <s v="Yes"/>
    <s v="Yes"/>
    <s v="Yes"/>
    <s v="No"/>
    <m/>
    <s v="1+ Failures"/>
    <n v="1"/>
    <s v="0-5 hrs"/>
    <x v="1"/>
  </r>
  <r>
    <n v="207"/>
    <d v="2023-06-08T00:00:00"/>
    <s v="Basic"/>
    <n v="199"/>
    <n v="8.9"/>
    <n v="7"/>
    <n v="1"/>
    <n v="14"/>
    <n v="14"/>
    <s v="No"/>
    <s v="No"/>
    <s v="Yes"/>
    <s v="Yes"/>
    <s v="No"/>
    <s v="No"/>
    <m/>
    <s v="1+ Failures"/>
    <n v="0"/>
    <s v="5-10 hrs"/>
    <x v="1"/>
  </r>
  <r>
    <n v="208"/>
    <d v="2024-06-23T00:00:00"/>
    <s v="Basic"/>
    <n v="199"/>
    <n v="21.2"/>
    <n v="1"/>
    <n v="4"/>
    <n v="19"/>
    <n v="49"/>
    <s v="Yes"/>
    <s v="No"/>
    <s v="Yes"/>
    <s v="No"/>
    <s v="Yes"/>
    <s v="No"/>
    <m/>
    <s v="1+ Failures"/>
    <n v="1"/>
    <s v="20+ hrs"/>
    <x v="1"/>
  </r>
  <r>
    <n v="209"/>
    <d v="2023-07-05T00:00:00"/>
    <s v="Basic"/>
    <n v="199"/>
    <n v="22"/>
    <n v="2"/>
    <n v="4"/>
    <n v="22"/>
    <n v="24"/>
    <s v="Yes"/>
    <s v="No"/>
    <s v="Yes"/>
    <s v="No"/>
    <s v="Yes"/>
    <s v="No"/>
    <m/>
    <s v="1+ Failures"/>
    <n v="1"/>
    <s v="20+ hrs"/>
    <x v="1"/>
  </r>
  <r>
    <n v="210"/>
    <d v="2023-09-01T00:00:00"/>
    <s v="Premium"/>
    <n v="699"/>
    <n v="18.2"/>
    <n v="0"/>
    <n v="3"/>
    <n v="11"/>
    <n v="23"/>
    <s v="No"/>
    <s v="No"/>
    <s v="Yes"/>
    <s v="No"/>
    <s v="Yes"/>
    <s v="No"/>
    <m/>
    <s v="1+ Failures"/>
    <n v="0"/>
    <s v="10-20hrs"/>
    <x v="0"/>
  </r>
  <r>
    <n v="211"/>
    <d v="2024-04-25T00:00:00"/>
    <s v="Standard"/>
    <n v="399"/>
    <n v="18.899999999999999"/>
    <n v="7"/>
    <n v="1"/>
    <n v="19"/>
    <n v="34"/>
    <s v="Yes"/>
    <s v="No"/>
    <s v="Yes"/>
    <s v="Yes"/>
    <s v="Yes"/>
    <s v="No"/>
    <m/>
    <s v="1+ Failures"/>
    <n v="1"/>
    <s v="10-20hrs"/>
    <x v="1"/>
  </r>
  <r>
    <n v="212"/>
    <d v="2024-01-27T00:00:00"/>
    <s v="Basic"/>
    <n v="199"/>
    <n v="17.100000000000001"/>
    <n v="7"/>
    <n v="3"/>
    <n v="24"/>
    <n v="49"/>
    <s v="Yes"/>
    <s v="No"/>
    <s v="Yes"/>
    <s v="Yes"/>
    <s v="Yes"/>
    <s v="No"/>
    <m/>
    <s v="1+ Failures"/>
    <n v="1"/>
    <s v="10-20hrs"/>
    <x v="1"/>
  </r>
  <r>
    <n v="213"/>
    <d v="2023-09-14T00:00:00"/>
    <s v="Premium"/>
    <n v="699"/>
    <n v="10.8"/>
    <n v="2"/>
    <n v="1"/>
    <n v="34"/>
    <n v="51"/>
    <s v="No"/>
    <s v="No"/>
    <s v="Yes"/>
    <s v="No"/>
    <s v="Yes"/>
    <s v="No"/>
    <m/>
    <s v="1+ Failures"/>
    <n v="0"/>
    <s v="10-20hrs"/>
    <x v="1"/>
  </r>
  <r>
    <n v="214"/>
    <d v="2023-05-08T00:00:00"/>
    <s v="Basic"/>
    <n v="199"/>
    <n v="21.9"/>
    <n v="8"/>
    <n v="0"/>
    <n v="31"/>
    <n v="45"/>
    <s v="No"/>
    <s v="No"/>
    <s v="No"/>
    <s v="Yes"/>
    <s v="Yes"/>
    <s v="No"/>
    <m/>
    <s v="0 Failures"/>
    <n v="0"/>
    <s v="20+ hrs"/>
    <x v="1"/>
  </r>
  <r>
    <n v="215"/>
    <d v="2024-03-23T00:00:00"/>
    <s v="Standard"/>
    <n v="399"/>
    <n v="19.2"/>
    <n v="4"/>
    <n v="3"/>
    <n v="6"/>
    <n v="57"/>
    <s v="Yes"/>
    <s v="No"/>
    <s v="Yes"/>
    <s v="No"/>
    <s v="Yes"/>
    <s v="No"/>
    <m/>
    <s v="1+ Failures"/>
    <n v="1"/>
    <s v="10-20hrs"/>
    <x v="3"/>
  </r>
  <r>
    <n v="216"/>
    <d v="2024-05-29T00:00:00"/>
    <s v="Basic"/>
    <n v="199"/>
    <n v="20.5"/>
    <n v="5"/>
    <n v="0"/>
    <n v="15"/>
    <n v="26"/>
    <s v="Yes"/>
    <s v="No"/>
    <s v="No"/>
    <s v="Yes"/>
    <s v="Yes"/>
    <s v="No"/>
    <m/>
    <s v="0 Failures"/>
    <n v="1"/>
    <s v="20+ hrs"/>
    <x v="1"/>
  </r>
  <r>
    <n v="217"/>
    <d v="2023-04-12T00:00:00"/>
    <s v="Standard"/>
    <n v="399"/>
    <n v="10"/>
    <n v="1"/>
    <n v="2"/>
    <n v="16"/>
    <n v="14"/>
    <s v="Yes"/>
    <s v="No"/>
    <s v="Yes"/>
    <s v="No"/>
    <s v="No"/>
    <s v="No"/>
    <m/>
    <s v="1+ Failures"/>
    <n v="1"/>
    <s v="5-10 hrs"/>
    <x v="1"/>
  </r>
  <r>
    <n v="218"/>
    <d v="2024-04-28T00:00:00"/>
    <s v="Premium"/>
    <n v="699"/>
    <n v="19.899999999999999"/>
    <n v="2"/>
    <n v="0"/>
    <n v="22"/>
    <n v="18"/>
    <s v="No"/>
    <s v="No"/>
    <s v="No"/>
    <s v="No"/>
    <s v="Yes"/>
    <s v="No"/>
    <m/>
    <s v="0 Failures"/>
    <n v="0"/>
    <s v="10-20hrs"/>
    <x v="1"/>
  </r>
  <r>
    <n v="219"/>
    <d v="2023-03-23T00:00:00"/>
    <s v="Premium"/>
    <n v="699"/>
    <n v="19.100000000000001"/>
    <n v="7"/>
    <n v="3"/>
    <n v="9"/>
    <n v="39"/>
    <s v="Yes"/>
    <s v="No"/>
    <s v="Yes"/>
    <s v="Yes"/>
    <s v="Yes"/>
    <s v="No"/>
    <m/>
    <s v="1+ Failures"/>
    <n v="1"/>
    <s v="10-20hrs"/>
    <x v="0"/>
  </r>
  <r>
    <n v="220"/>
    <d v="2024-06-24T00:00:00"/>
    <s v="Basic"/>
    <n v="199"/>
    <n v="5.8"/>
    <n v="2"/>
    <n v="4"/>
    <n v="17"/>
    <n v="60"/>
    <s v="No"/>
    <s v="No"/>
    <s v="Yes"/>
    <s v="No"/>
    <s v="Yes"/>
    <s v="No"/>
    <m/>
    <s v="1+ Failures"/>
    <n v="0"/>
    <s v="5-10 hrs"/>
    <x v="1"/>
  </r>
  <r>
    <n v="221"/>
    <d v="2024-03-05T00:00:00"/>
    <s v="Standard"/>
    <n v="399"/>
    <n v="19.5"/>
    <n v="3"/>
    <n v="2"/>
    <n v="8"/>
    <n v="7"/>
    <s v="Yes"/>
    <s v="No"/>
    <s v="Yes"/>
    <s v="No"/>
    <s v="No"/>
    <s v="No"/>
    <m/>
    <s v="1+ Failures"/>
    <n v="1"/>
    <s v="10-20hrs"/>
    <x v="0"/>
  </r>
  <r>
    <n v="222"/>
    <d v="2024-06-11T00:00:00"/>
    <s v="Premium"/>
    <n v="699"/>
    <n v="2"/>
    <n v="7"/>
    <n v="4"/>
    <n v="30"/>
    <n v="34"/>
    <s v="Yes"/>
    <s v="Yes"/>
    <s v="Yes"/>
    <s v="Yes"/>
    <s v="Yes"/>
    <s v="No"/>
    <m/>
    <s v="1+ Failures"/>
    <n v="1"/>
    <s v="0-5 hrs"/>
    <x v="1"/>
  </r>
  <r>
    <n v="223"/>
    <d v="2023-09-04T00:00:00"/>
    <s v="Premium"/>
    <n v="699"/>
    <n v="18.100000000000001"/>
    <n v="4"/>
    <n v="3"/>
    <n v="16"/>
    <n v="0"/>
    <s v="No"/>
    <s v="No"/>
    <s v="Yes"/>
    <s v="No"/>
    <s v="No"/>
    <s v="No"/>
    <m/>
    <s v="1+ Failures"/>
    <n v="0"/>
    <s v="10-20hrs"/>
    <x v="1"/>
  </r>
  <r>
    <n v="224"/>
    <d v="2024-06-22T00:00:00"/>
    <s v="Premium"/>
    <n v="699"/>
    <n v="5.0999999999999996"/>
    <n v="1"/>
    <n v="4"/>
    <n v="27"/>
    <n v="23"/>
    <s v="Yes"/>
    <s v="No"/>
    <s v="Yes"/>
    <s v="No"/>
    <s v="Yes"/>
    <s v="No"/>
    <m/>
    <s v="1+ Failures"/>
    <n v="1"/>
    <s v="5-10 hrs"/>
    <x v="1"/>
  </r>
  <r>
    <n v="225"/>
    <d v="2024-04-26T00:00:00"/>
    <s v="Premium"/>
    <n v="699"/>
    <n v="19.8"/>
    <n v="8"/>
    <n v="4"/>
    <n v="33"/>
    <n v="1"/>
    <s v="Yes"/>
    <s v="No"/>
    <s v="Yes"/>
    <s v="Yes"/>
    <s v="No"/>
    <s v="No"/>
    <m/>
    <s v="1+ Failures"/>
    <n v="1"/>
    <s v="10-20hrs"/>
    <x v="1"/>
  </r>
  <r>
    <n v="226"/>
    <d v="2023-03-11T00:00:00"/>
    <s v="Basic"/>
    <n v="199"/>
    <n v="24.5"/>
    <n v="4"/>
    <n v="5"/>
    <n v="25"/>
    <n v="1"/>
    <s v="Yes"/>
    <s v="No"/>
    <s v="Yes"/>
    <s v="No"/>
    <s v="No"/>
    <s v="No"/>
    <m/>
    <s v="1+ Failures"/>
    <n v="1"/>
    <s v="20+ hrs"/>
    <x v="1"/>
  </r>
  <r>
    <n v="227"/>
    <d v="2023-05-17T00:00:00"/>
    <s v="Standard"/>
    <n v="399"/>
    <n v="18.5"/>
    <n v="1"/>
    <n v="4"/>
    <n v="16"/>
    <n v="47"/>
    <s v="No"/>
    <s v="No"/>
    <s v="Yes"/>
    <s v="No"/>
    <s v="Yes"/>
    <s v="No"/>
    <m/>
    <s v="1+ Failures"/>
    <n v="0"/>
    <s v="10-20hrs"/>
    <x v="1"/>
  </r>
  <r>
    <n v="228"/>
    <d v="2024-05-05T00:00:00"/>
    <s v="Basic"/>
    <n v="199"/>
    <n v="13.9"/>
    <n v="2"/>
    <n v="5"/>
    <n v="23"/>
    <n v="29"/>
    <s v="No"/>
    <s v="No"/>
    <s v="Yes"/>
    <s v="No"/>
    <s v="Yes"/>
    <s v="No"/>
    <m/>
    <s v="1+ Failures"/>
    <n v="0"/>
    <s v="10-20hrs"/>
    <x v="1"/>
  </r>
  <r>
    <n v="229"/>
    <d v="2023-02-07T00:00:00"/>
    <s v="Premium"/>
    <n v="699"/>
    <n v="20.399999999999999"/>
    <n v="1"/>
    <n v="5"/>
    <n v="12"/>
    <n v="49"/>
    <s v="No"/>
    <s v="No"/>
    <s v="Yes"/>
    <s v="No"/>
    <s v="Yes"/>
    <s v="No"/>
    <m/>
    <s v="1+ Failures"/>
    <n v="0"/>
    <s v="20+ hrs"/>
    <x v="0"/>
  </r>
  <r>
    <n v="230"/>
    <d v="2024-06-11T00:00:00"/>
    <s v="Standard"/>
    <n v="399"/>
    <n v="1.6"/>
    <n v="3"/>
    <n v="0"/>
    <n v="13"/>
    <n v="20"/>
    <s v="No"/>
    <s v="Yes"/>
    <s v="No"/>
    <s v="No"/>
    <s v="Yes"/>
    <s v="No"/>
    <m/>
    <s v="0 Failures"/>
    <n v="0"/>
    <s v="0-5 hrs"/>
    <x v="1"/>
  </r>
  <r>
    <n v="231"/>
    <d v="2023-02-18T00:00:00"/>
    <s v="Standard"/>
    <n v="399"/>
    <n v="12.1"/>
    <n v="0"/>
    <n v="5"/>
    <n v="35"/>
    <n v="12"/>
    <s v="Yes"/>
    <s v="No"/>
    <s v="Yes"/>
    <s v="No"/>
    <s v="No"/>
    <s v="No"/>
    <m/>
    <s v="1+ Failures"/>
    <n v="1"/>
    <s v="10-20hrs"/>
    <x v="1"/>
  </r>
  <r>
    <n v="232"/>
    <d v="2024-03-26T00:00:00"/>
    <s v="Premium"/>
    <n v="699"/>
    <n v="7.2"/>
    <n v="5"/>
    <n v="3"/>
    <n v="22"/>
    <n v="56"/>
    <s v="Yes"/>
    <s v="No"/>
    <s v="Yes"/>
    <s v="Yes"/>
    <s v="Yes"/>
    <s v="No"/>
    <m/>
    <s v="1+ Failures"/>
    <n v="1"/>
    <s v="5-10 hrs"/>
    <x v="1"/>
  </r>
  <r>
    <n v="233"/>
    <d v="2024-06-15T00:00:00"/>
    <s v="Standard"/>
    <n v="399"/>
    <n v="24.4"/>
    <n v="7"/>
    <n v="5"/>
    <n v="22"/>
    <n v="31"/>
    <s v="Yes"/>
    <s v="No"/>
    <s v="Yes"/>
    <s v="Yes"/>
    <s v="Yes"/>
    <s v="No"/>
    <m/>
    <s v="1+ Failures"/>
    <n v="1"/>
    <s v="20+ hrs"/>
    <x v="1"/>
  </r>
  <r>
    <n v="234"/>
    <d v="2023-07-04T00:00:00"/>
    <s v="Standard"/>
    <n v="399"/>
    <n v="18.3"/>
    <n v="1"/>
    <n v="3"/>
    <n v="6"/>
    <n v="38"/>
    <s v="No"/>
    <s v="No"/>
    <s v="Yes"/>
    <s v="No"/>
    <s v="Yes"/>
    <s v="No"/>
    <m/>
    <s v="1+ Failures"/>
    <n v="0"/>
    <s v="10-20hrs"/>
    <x v="3"/>
  </r>
  <r>
    <n v="235"/>
    <d v="2024-04-01T00:00:00"/>
    <s v="Premium"/>
    <n v="699"/>
    <n v="8.4"/>
    <n v="1"/>
    <n v="2"/>
    <n v="19"/>
    <n v="42"/>
    <s v="Yes"/>
    <s v="No"/>
    <s v="Yes"/>
    <s v="No"/>
    <s v="Yes"/>
    <s v="No"/>
    <m/>
    <s v="1+ Failures"/>
    <n v="1"/>
    <s v="5-10 hrs"/>
    <x v="1"/>
  </r>
  <r>
    <n v="236"/>
    <d v="2023-12-28T00:00:00"/>
    <s v="Premium"/>
    <n v="699"/>
    <n v="4.5999999999999996"/>
    <n v="7"/>
    <n v="2"/>
    <n v="28"/>
    <n v="28"/>
    <s v="Yes"/>
    <s v="Yes"/>
    <s v="Yes"/>
    <s v="Yes"/>
    <s v="Yes"/>
    <s v="No"/>
    <m/>
    <s v="1+ Failures"/>
    <n v="1"/>
    <s v="0-5 hrs"/>
    <x v="1"/>
  </r>
  <r>
    <n v="237"/>
    <d v="2024-01-08T00:00:00"/>
    <s v="Premium"/>
    <n v="699"/>
    <n v="7.2"/>
    <n v="0"/>
    <n v="0"/>
    <n v="28"/>
    <n v="42"/>
    <s v="No"/>
    <s v="No"/>
    <s v="No"/>
    <s v="No"/>
    <s v="Yes"/>
    <s v="No"/>
    <m/>
    <s v="0 Failures"/>
    <n v="0"/>
    <s v="5-10 hrs"/>
    <x v="1"/>
  </r>
  <r>
    <n v="238"/>
    <d v="2023-02-05T00:00:00"/>
    <s v="Premium"/>
    <n v="699"/>
    <n v="23.8"/>
    <n v="2"/>
    <n v="4"/>
    <n v="11"/>
    <n v="43"/>
    <s v="No"/>
    <s v="No"/>
    <s v="Yes"/>
    <s v="No"/>
    <s v="Yes"/>
    <s v="No"/>
    <m/>
    <s v="1+ Failures"/>
    <n v="0"/>
    <s v="20+ hrs"/>
    <x v="0"/>
  </r>
  <r>
    <n v="239"/>
    <d v="2023-02-03T00:00:00"/>
    <s v="Basic"/>
    <n v="199"/>
    <n v="6.3"/>
    <n v="5"/>
    <n v="2"/>
    <n v="5"/>
    <n v="24"/>
    <s v="No"/>
    <s v="No"/>
    <s v="Yes"/>
    <s v="Yes"/>
    <s v="Yes"/>
    <s v="Yes"/>
    <m/>
    <s v="1+ Failures"/>
    <n v="0"/>
    <s v="5-10 hrs"/>
    <x v="3"/>
  </r>
  <r>
    <n v="240"/>
    <d v="2024-08-10T00:00:00"/>
    <s v="Premium"/>
    <n v="699"/>
    <n v="17.100000000000001"/>
    <n v="5"/>
    <n v="2"/>
    <n v="10"/>
    <n v="28"/>
    <s v="No"/>
    <s v="No"/>
    <s v="Yes"/>
    <s v="Yes"/>
    <s v="Yes"/>
    <s v="No"/>
    <m/>
    <s v="1+ Failures"/>
    <n v="0"/>
    <s v="10-20hrs"/>
    <x v="0"/>
  </r>
  <r>
    <n v="241"/>
    <d v="2023-04-27T00:00:00"/>
    <s v="Basic"/>
    <n v="199"/>
    <n v="9.5"/>
    <n v="5"/>
    <n v="5"/>
    <n v="34"/>
    <n v="17"/>
    <s v="Yes"/>
    <s v="No"/>
    <s v="Yes"/>
    <s v="Yes"/>
    <s v="Yes"/>
    <s v="No"/>
    <m/>
    <s v="1+ Failures"/>
    <n v="1"/>
    <s v="5-10 hrs"/>
    <x v="1"/>
  </r>
  <r>
    <n v="242"/>
    <d v="2023-09-24T00:00:00"/>
    <s v="Basic"/>
    <n v="199"/>
    <n v="12.7"/>
    <n v="6"/>
    <n v="4"/>
    <n v="12"/>
    <n v="7"/>
    <s v="Yes"/>
    <s v="No"/>
    <s v="Yes"/>
    <s v="Yes"/>
    <s v="No"/>
    <s v="No"/>
    <m/>
    <s v="1+ Failures"/>
    <n v="1"/>
    <s v="10-20hrs"/>
    <x v="0"/>
  </r>
  <r>
    <n v="243"/>
    <d v="2023-07-24T00:00:00"/>
    <s v="Premium"/>
    <n v="699"/>
    <n v="5.8"/>
    <n v="4"/>
    <n v="5"/>
    <n v="29"/>
    <n v="58"/>
    <s v="No"/>
    <s v="No"/>
    <s v="Yes"/>
    <s v="No"/>
    <s v="Yes"/>
    <s v="No"/>
    <m/>
    <s v="1+ Failures"/>
    <n v="0"/>
    <s v="5-10 hrs"/>
    <x v="1"/>
  </r>
  <r>
    <n v="244"/>
    <d v="2023-03-31T00:00:00"/>
    <s v="Basic"/>
    <n v="199"/>
    <n v="21.4"/>
    <n v="7"/>
    <n v="1"/>
    <n v="9"/>
    <n v="57"/>
    <s v="No"/>
    <s v="No"/>
    <s v="Yes"/>
    <s v="Yes"/>
    <s v="Yes"/>
    <s v="No"/>
    <m/>
    <s v="1+ Failures"/>
    <n v="0"/>
    <s v="20+ hrs"/>
    <x v="0"/>
  </r>
  <r>
    <n v="245"/>
    <d v="2023-11-04T00:00:00"/>
    <s v="Premium"/>
    <n v="699"/>
    <n v="16.899999999999999"/>
    <n v="1"/>
    <n v="4"/>
    <n v="21"/>
    <n v="34"/>
    <s v="Yes"/>
    <s v="No"/>
    <s v="Yes"/>
    <s v="No"/>
    <s v="Yes"/>
    <s v="No"/>
    <m/>
    <s v="1+ Failures"/>
    <n v="1"/>
    <s v="10-20hrs"/>
    <x v="1"/>
  </r>
  <r>
    <n v="246"/>
    <d v="2023-05-23T00:00:00"/>
    <s v="Basic"/>
    <n v="199"/>
    <n v="19.899999999999999"/>
    <n v="8"/>
    <n v="1"/>
    <n v="12"/>
    <n v="7"/>
    <s v="No"/>
    <s v="No"/>
    <s v="Yes"/>
    <s v="Yes"/>
    <s v="No"/>
    <s v="No"/>
    <m/>
    <s v="1+ Failures"/>
    <n v="0"/>
    <s v="10-20hrs"/>
    <x v="0"/>
  </r>
  <r>
    <n v="247"/>
    <d v="2024-07-18T00:00:00"/>
    <s v="Basic"/>
    <n v="199"/>
    <n v="1.1000000000000001"/>
    <n v="8"/>
    <n v="4"/>
    <n v="32"/>
    <n v="23"/>
    <s v="Yes"/>
    <s v="Yes"/>
    <s v="Yes"/>
    <s v="Yes"/>
    <s v="Yes"/>
    <s v="No"/>
    <m/>
    <s v="1+ Failures"/>
    <n v="1"/>
    <s v="0-5 hrs"/>
    <x v="1"/>
  </r>
  <r>
    <n v="248"/>
    <d v="2024-02-25T00:00:00"/>
    <s v="Basic"/>
    <n v="199"/>
    <n v="2.1"/>
    <n v="6"/>
    <n v="5"/>
    <n v="6"/>
    <n v="46"/>
    <s v="Yes"/>
    <s v="Yes"/>
    <s v="Yes"/>
    <s v="Yes"/>
    <s v="Yes"/>
    <s v="No"/>
    <m/>
    <s v="1+ Failures"/>
    <n v="1"/>
    <s v="0-5 hrs"/>
    <x v="3"/>
  </r>
  <r>
    <n v="249"/>
    <d v="2024-11-27T00:00:00"/>
    <s v="Standard"/>
    <n v="399"/>
    <n v="3.6"/>
    <n v="5"/>
    <n v="5"/>
    <n v="5"/>
    <n v="4"/>
    <s v="Yes"/>
    <s v="Yes"/>
    <s v="Yes"/>
    <s v="Yes"/>
    <s v="No"/>
    <s v="Yes"/>
    <m/>
    <s v="1+ Failures"/>
    <n v="1"/>
    <s v="0-5 hrs"/>
    <x v="3"/>
  </r>
  <r>
    <n v="250"/>
    <d v="2023-05-13T00:00:00"/>
    <s v="Premium"/>
    <n v="699"/>
    <n v="3.6"/>
    <n v="8"/>
    <n v="5"/>
    <n v="23"/>
    <n v="37"/>
    <s v="Yes"/>
    <s v="Yes"/>
    <s v="Yes"/>
    <s v="Yes"/>
    <s v="Yes"/>
    <s v="No"/>
    <m/>
    <s v="1+ Failures"/>
    <n v="1"/>
    <s v="0-5 hrs"/>
    <x v="1"/>
  </r>
  <r>
    <n v="251"/>
    <d v="2023-06-18T00:00:00"/>
    <s v="Standard"/>
    <n v="399"/>
    <n v="22.8"/>
    <n v="0"/>
    <n v="0"/>
    <n v="33"/>
    <n v="33"/>
    <s v="Yes"/>
    <s v="No"/>
    <s v="No"/>
    <s v="No"/>
    <s v="Yes"/>
    <s v="No"/>
    <m/>
    <s v="0 Failures"/>
    <n v="1"/>
    <s v="20+ hrs"/>
    <x v="1"/>
  </r>
  <r>
    <n v="252"/>
    <d v="2023-10-18T00:00:00"/>
    <s v="Basic"/>
    <n v="199"/>
    <n v="23.4"/>
    <n v="3"/>
    <n v="2"/>
    <n v="21"/>
    <n v="60"/>
    <s v="No"/>
    <s v="No"/>
    <s v="Yes"/>
    <s v="No"/>
    <s v="Yes"/>
    <s v="No"/>
    <m/>
    <s v="1+ Failures"/>
    <n v="0"/>
    <s v="20+ hrs"/>
    <x v="1"/>
  </r>
  <r>
    <n v="253"/>
    <d v="2024-09-21T00:00:00"/>
    <s v="Basic"/>
    <n v="199"/>
    <n v="5.3"/>
    <n v="8"/>
    <n v="2"/>
    <n v="17"/>
    <n v="8"/>
    <s v="No"/>
    <s v="No"/>
    <s v="Yes"/>
    <s v="Yes"/>
    <s v="No"/>
    <s v="No"/>
    <m/>
    <s v="1+ Failures"/>
    <n v="0"/>
    <s v="5-10 hrs"/>
    <x v="1"/>
  </r>
  <r>
    <n v="254"/>
    <d v="2023-06-25T00:00:00"/>
    <s v="Premium"/>
    <n v="699"/>
    <n v="12.8"/>
    <n v="2"/>
    <n v="4"/>
    <n v="6"/>
    <n v="60"/>
    <s v="Yes"/>
    <s v="No"/>
    <s v="Yes"/>
    <s v="No"/>
    <s v="Yes"/>
    <s v="No"/>
    <m/>
    <s v="1+ Failures"/>
    <n v="1"/>
    <s v="10-20hrs"/>
    <x v="3"/>
  </r>
  <r>
    <n v="255"/>
    <d v="2024-10-18T00:00:00"/>
    <s v="Premium"/>
    <n v="699"/>
    <n v="21.1"/>
    <n v="0"/>
    <n v="0"/>
    <n v="22"/>
    <n v="5"/>
    <s v="Yes"/>
    <s v="No"/>
    <s v="No"/>
    <s v="No"/>
    <s v="No"/>
    <s v="No"/>
    <m/>
    <s v="0 Failures"/>
    <n v="1"/>
    <s v="20+ hrs"/>
    <x v="1"/>
  </r>
  <r>
    <n v="256"/>
    <d v="2024-10-04T00:00:00"/>
    <s v="Premium"/>
    <n v="699"/>
    <n v="16.5"/>
    <n v="6"/>
    <n v="4"/>
    <n v="17"/>
    <n v="40"/>
    <s v="Yes"/>
    <s v="No"/>
    <s v="Yes"/>
    <s v="Yes"/>
    <s v="Yes"/>
    <s v="No"/>
    <m/>
    <s v="1+ Failures"/>
    <n v="1"/>
    <s v="10-20hrs"/>
    <x v="1"/>
  </r>
  <r>
    <n v="257"/>
    <d v="2024-12-02T00:00:00"/>
    <s v="Premium"/>
    <n v="699"/>
    <n v="16.2"/>
    <n v="4"/>
    <n v="3"/>
    <n v="19"/>
    <n v="15"/>
    <s v="No"/>
    <s v="No"/>
    <s v="Yes"/>
    <s v="No"/>
    <s v="Yes"/>
    <s v="No"/>
    <m/>
    <s v="1+ Failures"/>
    <n v="0"/>
    <s v="10-20hrs"/>
    <x v="1"/>
  </r>
  <r>
    <n v="258"/>
    <d v="2024-04-20T00:00:00"/>
    <s v="Standard"/>
    <n v="399"/>
    <n v="11.6"/>
    <n v="0"/>
    <n v="1"/>
    <n v="20"/>
    <n v="28"/>
    <s v="No"/>
    <s v="No"/>
    <s v="Yes"/>
    <s v="No"/>
    <s v="Yes"/>
    <s v="No"/>
    <m/>
    <s v="1+ Failures"/>
    <n v="0"/>
    <s v="10-20hrs"/>
    <x v="1"/>
  </r>
  <r>
    <n v="259"/>
    <d v="2023-12-20T00:00:00"/>
    <s v="Basic"/>
    <n v="199"/>
    <n v="15.4"/>
    <n v="5"/>
    <n v="5"/>
    <n v="22"/>
    <n v="20"/>
    <s v="No"/>
    <s v="No"/>
    <s v="Yes"/>
    <s v="Yes"/>
    <s v="Yes"/>
    <s v="No"/>
    <m/>
    <s v="1+ Failures"/>
    <n v="0"/>
    <s v="10-20hrs"/>
    <x v="1"/>
  </r>
  <r>
    <n v="260"/>
    <d v="2024-04-22T00:00:00"/>
    <s v="Standard"/>
    <n v="399"/>
    <n v="19.100000000000001"/>
    <n v="8"/>
    <n v="4"/>
    <n v="9"/>
    <n v="6"/>
    <s v="Yes"/>
    <s v="No"/>
    <s v="Yes"/>
    <s v="Yes"/>
    <s v="No"/>
    <s v="No"/>
    <m/>
    <s v="1+ Failures"/>
    <n v="1"/>
    <s v="10-20hrs"/>
    <x v="0"/>
  </r>
  <r>
    <n v="261"/>
    <d v="2024-01-29T00:00:00"/>
    <s v="Basic"/>
    <n v="199"/>
    <n v="11.5"/>
    <n v="2"/>
    <n v="0"/>
    <n v="18"/>
    <n v="3"/>
    <s v="No"/>
    <s v="No"/>
    <s v="No"/>
    <s v="No"/>
    <s v="No"/>
    <s v="No"/>
    <m/>
    <s v="0 Failures"/>
    <n v="0"/>
    <s v="10-20hrs"/>
    <x v="1"/>
  </r>
  <r>
    <n v="262"/>
    <d v="2023-11-17T00:00:00"/>
    <s v="Premium"/>
    <n v="699"/>
    <n v="6.6"/>
    <n v="2"/>
    <n v="2"/>
    <n v="27"/>
    <n v="59"/>
    <s v="Yes"/>
    <s v="No"/>
    <s v="Yes"/>
    <s v="No"/>
    <s v="Yes"/>
    <s v="No"/>
    <m/>
    <s v="1+ Failures"/>
    <n v="1"/>
    <s v="5-10 hrs"/>
    <x v="1"/>
  </r>
  <r>
    <n v="263"/>
    <d v="2024-05-24T00:00:00"/>
    <s v="Basic"/>
    <n v="199"/>
    <n v="12.7"/>
    <n v="8"/>
    <n v="3"/>
    <n v="11"/>
    <n v="31"/>
    <s v="No"/>
    <s v="No"/>
    <s v="Yes"/>
    <s v="Yes"/>
    <s v="Yes"/>
    <s v="No"/>
    <m/>
    <s v="1+ Failures"/>
    <n v="0"/>
    <s v="10-20hrs"/>
    <x v="0"/>
  </r>
  <r>
    <n v="264"/>
    <d v="2023-12-28T00:00:00"/>
    <s v="Basic"/>
    <n v="199"/>
    <n v="23.7"/>
    <n v="8"/>
    <n v="3"/>
    <n v="6"/>
    <n v="15"/>
    <s v="Yes"/>
    <s v="No"/>
    <s v="Yes"/>
    <s v="Yes"/>
    <s v="Yes"/>
    <s v="No"/>
    <m/>
    <s v="1+ Failures"/>
    <n v="1"/>
    <s v="20+ hrs"/>
    <x v="3"/>
  </r>
  <r>
    <n v="265"/>
    <d v="2023-04-21T00:00:00"/>
    <s v="Basic"/>
    <n v="199"/>
    <n v="7.4"/>
    <n v="7"/>
    <n v="2"/>
    <n v="4"/>
    <n v="34"/>
    <s v="Yes"/>
    <s v="No"/>
    <s v="Yes"/>
    <s v="Yes"/>
    <s v="Yes"/>
    <s v="Yes"/>
    <m/>
    <s v="1+ Failures"/>
    <n v="1"/>
    <s v="5-10 hrs"/>
    <x v="3"/>
  </r>
  <r>
    <n v="266"/>
    <d v="2023-02-22T00:00:00"/>
    <s v="Standard"/>
    <n v="399"/>
    <n v="22.1"/>
    <n v="5"/>
    <n v="3"/>
    <n v="9"/>
    <n v="23"/>
    <s v="Yes"/>
    <s v="No"/>
    <s v="Yes"/>
    <s v="Yes"/>
    <s v="Yes"/>
    <s v="No"/>
    <m/>
    <s v="1+ Failures"/>
    <n v="1"/>
    <s v="20+ hrs"/>
    <x v="0"/>
  </r>
  <r>
    <n v="267"/>
    <d v="2024-04-06T00:00:00"/>
    <s v="Premium"/>
    <n v="699"/>
    <n v="5.3"/>
    <n v="8"/>
    <n v="2"/>
    <n v="36"/>
    <n v="4"/>
    <s v="Yes"/>
    <s v="No"/>
    <s v="Yes"/>
    <s v="Yes"/>
    <s v="No"/>
    <s v="No"/>
    <m/>
    <s v="1+ Failures"/>
    <n v="1"/>
    <s v="5-10 hrs"/>
    <x v="1"/>
  </r>
  <r>
    <n v="268"/>
    <d v="2023-12-14T00:00:00"/>
    <s v="Premium"/>
    <n v="699"/>
    <n v="20.7"/>
    <n v="1"/>
    <n v="1"/>
    <n v="18"/>
    <n v="6"/>
    <s v="No"/>
    <s v="No"/>
    <s v="Yes"/>
    <s v="No"/>
    <s v="No"/>
    <s v="No"/>
    <m/>
    <s v="1+ Failures"/>
    <n v="0"/>
    <s v="20+ hrs"/>
    <x v="1"/>
  </r>
  <r>
    <n v="269"/>
    <d v="2023-02-11T00:00:00"/>
    <s v="Premium"/>
    <n v="699"/>
    <n v="19"/>
    <n v="3"/>
    <n v="4"/>
    <n v="24"/>
    <n v="32"/>
    <s v="Yes"/>
    <s v="No"/>
    <s v="Yes"/>
    <s v="No"/>
    <s v="Yes"/>
    <s v="No"/>
    <m/>
    <s v="1+ Failures"/>
    <n v="1"/>
    <s v="10-20hrs"/>
    <x v="1"/>
  </r>
  <r>
    <n v="270"/>
    <d v="2024-09-12T00:00:00"/>
    <s v="Basic"/>
    <n v="199"/>
    <n v="3.9"/>
    <n v="5"/>
    <n v="3"/>
    <n v="3"/>
    <n v="33"/>
    <s v="Yes"/>
    <s v="Yes"/>
    <s v="Yes"/>
    <s v="Yes"/>
    <s v="Yes"/>
    <s v="Yes"/>
    <m/>
    <s v="1+ Failures"/>
    <n v="1"/>
    <s v="0-5 hrs"/>
    <x v="2"/>
  </r>
  <r>
    <n v="271"/>
    <d v="2023-11-03T00:00:00"/>
    <s v="Premium"/>
    <n v="699"/>
    <n v="8.5"/>
    <n v="5"/>
    <n v="1"/>
    <n v="9"/>
    <n v="25"/>
    <s v="No"/>
    <s v="No"/>
    <s v="Yes"/>
    <s v="Yes"/>
    <s v="Yes"/>
    <s v="No"/>
    <m/>
    <s v="1+ Failures"/>
    <n v="0"/>
    <s v="5-10 hrs"/>
    <x v="0"/>
  </r>
  <r>
    <n v="272"/>
    <d v="2023-11-03T00:00:00"/>
    <s v="Premium"/>
    <n v="699"/>
    <n v="12.9"/>
    <n v="8"/>
    <n v="4"/>
    <n v="22"/>
    <n v="31"/>
    <s v="Yes"/>
    <s v="No"/>
    <s v="Yes"/>
    <s v="Yes"/>
    <s v="Yes"/>
    <s v="No"/>
    <m/>
    <s v="1+ Failures"/>
    <n v="1"/>
    <s v="10-20hrs"/>
    <x v="1"/>
  </r>
  <r>
    <n v="273"/>
    <d v="2024-12-05T00:00:00"/>
    <s v="Standard"/>
    <n v="399"/>
    <n v="9.5"/>
    <n v="1"/>
    <n v="3"/>
    <n v="2"/>
    <n v="37"/>
    <s v="Yes"/>
    <s v="No"/>
    <s v="Yes"/>
    <s v="No"/>
    <s v="Yes"/>
    <s v="Yes"/>
    <m/>
    <s v="1+ Failures"/>
    <n v="1"/>
    <s v="5-10 hrs"/>
    <x v="2"/>
  </r>
  <r>
    <n v="274"/>
    <d v="2024-08-15T00:00:00"/>
    <s v="Premium"/>
    <n v="699"/>
    <n v="15.1"/>
    <n v="4"/>
    <n v="5"/>
    <n v="2"/>
    <n v="50"/>
    <s v="No"/>
    <s v="No"/>
    <s v="Yes"/>
    <s v="No"/>
    <s v="Yes"/>
    <s v="Yes"/>
    <m/>
    <s v="1+ Failures"/>
    <n v="0"/>
    <s v="10-20hrs"/>
    <x v="2"/>
  </r>
  <r>
    <n v="275"/>
    <d v="2024-09-26T00:00:00"/>
    <s v="Premium"/>
    <n v="699"/>
    <n v="18.2"/>
    <n v="7"/>
    <n v="1"/>
    <n v="15"/>
    <n v="33"/>
    <s v="No"/>
    <s v="No"/>
    <s v="Yes"/>
    <s v="Yes"/>
    <s v="Yes"/>
    <s v="No"/>
    <m/>
    <s v="1+ Failures"/>
    <n v="0"/>
    <s v="10-20hrs"/>
    <x v="1"/>
  </r>
  <r>
    <n v="276"/>
    <d v="2023-04-23T00:00:00"/>
    <s v="Standard"/>
    <n v="399"/>
    <n v="20.6"/>
    <n v="3"/>
    <n v="0"/>
    <n v="10"/>
    <n v="36"/>
    <s v="No"/>
    <s v="No"/>
    <s v="No"/>
    <s v="No"/>
    <s v="Yes"/>
    <s v="No"/>
    <m/>
    <s v="0 Failures"/>
    <n v="0"/>
    <s v="20+ hrs"/>
    <x v="0"/>
  </r>
  <r>
    <n v="277"/>
    <d v="2024-02-25T00:00:00"/>
    <s v="Basic"/>
    <n v="199"/>
    <n v="11.3"/>
    <n v="6"/>
    <n v="1"/>
    <n v="2"/>
    <n v="26"/>
    <s v="No"/>
    <s v="No"/>
    <s v="Yes"/>
    <s v="Yes"/>
    <s v="Yes"/>
    <s v="Yes"/>
    <m/>
    <s v="1+ Failures"/>
    <n v="0"/>
    <s v="10-20hrs"/>
    <x v="2"/>
  </r>
  <r>
    <n v="278"/>
    <d v="2024-07-28T00:00:00"/>
    <s v="Premium"/>
    <n v="699"/>
    <n v="21.9"/>
    <n v="0"/>
    <n v="5"/>
    <n v="31"/>
    <n v="8"/>
    <s v="No"/>
    <s v="No"/>
    <s v="Yes"/>
    <s v="No"/>
    <s v="No"/>
    <s v="No"/>
    <m/>
    <s v="1+ Failures"/>
    <n v="0"/>
    <s v="20+ hrs"/>
    <x v="1"/>
  </r>
  <r>
    <n v="279"/>
    <d v="2023-12-17T00:00:00"/>
    <s v="Standard"/>
    <n v="399"/>
    <n v="13.4"/>
    <n v="5"/>
    <n v="1"/>
    <n v="31"/>
    <n v="29"/>
    <s v="No"/>
    <s v="No"/>
    <s v="Yes"/>
    <s v="Yes"/>
    <s v="Yes"/>
    <s v="No"/>
    <m/>
    <s v="1+ Failures"/>
    <n v="0"/>
    <s v="10-20hrs"/>
    <x v="1"/>
  </r>
  <r>
    <n v="280"/>
    <d v="2023-09-10T00:00:00"/>
    <s v="Premium"/>
    <n v="699"/>
    <n v="17.100000000000001"/>
    <n v="4"/>
    <n v="4"/>
    <n v="23"/>
    <n v="30"/>
    <s v="Yes"/>
    <s v="No"/>
    <s v="Yes"/>
    <s v="No"/>
    <s v="Yes"/>
    <s v="No"/>
    <m/>
    <s v="1+ Failures"/>
    <n v="1"/>
    <s v="10-20hrs"/>
    <x v="1"/>
  </r>
  <r>
    <n v="281"/>
    <d v="2024-12-22T00:00:00"/>
    <s v="Standard"/>
    <n v="399"/>
    <n v="7.8"/>
    <n v="4"/>
    <n v="2"/>
    <n v="36"/>
    <n v="45"/>
    <s v="Yes"/>
    <s v="No"/>
    <s v="Yes"/>
    <s v="No"/>
    <s v="Yes"/>
    <s v="No"/>
    <m/>
    <s v="1+ Failures"/>
    <n v="1"/>
    <s v="5-10 hrs"/>
    <x v="1"/>
  </r>
  <r>
    <n v="282"/>
    <d v="2024-08-10T00:00:00"/>
    <s v="Standard"/>
    <n v="399"/>
    <n v="12.3"/>
    <n v="8"/>
    <n v="5"/>
    <n v="21"/>
    <n v="17"/>
    <s v="Yes"/>
    <s v="No"/>
    <s v="Yes"/>
    <s v="Yes"/>
    <s v="Yes"/>
    <s v="No"/>
    <m/>
    <s v="1+ Failures"/>
    <n v="1"/>
    <s v="10-20hrs"/>
    <x v="1"/>
  </r>
  <r>
    <n v="283"/>
    <d v="2023-10-25T00:00:00"/>
    <s v="Premium"/>
    <n v="699"/>
    <n v="9.8000000000000007"/>
    <n v="6"/>
    <n v="2"/>
    <n v="35"/>
    <n v="49"/>
    <s v="No"/>
    <s v="No"/>
    <s v="Yes"/>
    <s v="Yes"/>
    <s v="Yes"/>
    <s v="No"/>
    <m/>
    <s v="1+ Failures"/>
    <n v="0"/>
    <s v="5-10 hrs"/>
    <x v="1"/>
  </r>
  <r>
    <n v="284"/>
    <d v="2023-09-20T00:00:00"/>
    <s v="Basic"/>
    <n v="199"/>
    <n v="23.9"/>
    <n v="1"/>
    <n v="2"/>
    <n v="19"/>
    <n v="59"/>
    <s v="Yes"/>
    <s v="No"/>
    <s v="Yes"/>
    <s v="No"/>
    <s v="Yes"/>
    <s v="No"/>
    <m/>
    <s v="1+ Failures"/>
    <n v="1"/>
    <s v="20+ hrs"/>
    <x v="1"/>
  </r>
  <r>
    <n v="285"/>
    <d v="2023-10-06T00:00:00"/>
    <s v="Premium"/>
    <n v="699"/>
    <n v="5.7"/>
    <n v="8"/>
    <n v="2"/>
    <n v="31"/>
    <n v="59"/>
    <s v="Yes"/>
    <s v="No"/>
    <s v="Yes"/>
    <s v="Yes"/>
    <s v="Yes"/>
    <s v="No"/>
    <m/>
    <s v="1+ Failures"/>
    <n v="1"/>
    <s v="5-10 hrs"/>
    <x v="1"/>
  </r>
  <r>
    <n v="286"/>
    <d v="2024-06-27T00:00:00"/>
    <s v="Basic"/>
    <n v="199"/>
    <n v="15.6"/>
    <n v="3"/>
    <n v="1"/>
    <n v="7"/>
    <n v="3"/>
    <s v="No"/>
    <s v="No"/>
    <s v="Yes"/>
    <s v="No"/>
    <s v="No"/>
    <s v="No"/>
    <m/>
    <s v="1+ Failures"/>
    <n v="0"/>
    <s v="10-20hrs"/>
    <x v="0"/>
  </r>
  <r>
    <n v="287"/>
    <d v="2024-11-28T00:00:00"/>
    <s v="Basic"/>
    <n v="199"/>
    <n v="1.8"/>
    <n v="6"/>
    <n v="2"/>
    <n v="15"/>
    <n v="45"/>
    <s v="Yes"/>
    <s v="Yes"/>
    <s v="Yes"/>
    <s v="Yes"/>
    <s v="Yes"/>
    <s v="No"/>
    <m/>
    <s v="1+ Failures"/>
    <n v="1"/>
    <s v="0-5 hrs"/>
    <x v="1"/>
  </r>
  <r>
    <n v="288"/>
    <d v="2024-05-02T00:00:00"/>
    <s v="Basic"/>
    <n v="199"/>
    <n v="24.1"/>
    <n v="2"/>
    <n v="3"/>
    <n v="1"/>
    <n v="41"/>
    <s v="No"/>
    <s v="No"/>
    <s v="Yes"/>
    <s v="No"/>
    <s v="Yes"/>
    <s v="Yes"/>
    <m/>
    <s v="1+ Failures"/>
    <n v="0"/>
    <s v="20+ hrs"/>
    <x v="2"/>
  </r>
  <r>
    <n v="289"/>
    <d v="2023-04-02T00:00:00"/>
    <s v="Standard"/>
    <n v="399"/>
    <n v="19"/>
    <n v="4"/>
    <n v="2"/>
    <n v="13"/>
    <n v="18"/>
    <s v="No"/>
    <s v="No"/>
    <s v="Yes"/>
    <s v="No"/>
    <s v="Yes"/>
    <s v="No"/>
    <m/>
    <s v="1+ Failures"/>
    <n v="0"/>
    <s v="10-20hrs"/>
    <x v="1"/>
  </r>
  <r>
    <n v="290"/>
    <d v="2023-06-30T00:00:00"/>
    <s v="Premium"/>
    <n v="699"/>
    <n v="13.6"/>
    <n v="0"/>
    <n v="1"/>
    <n v="15"/>
    <n v="26"/>
    <s v="No"/>
    <s v="No"/>
    <s v="Yes"/>
    <s v="No"/>
    <s v="Yes"/>
    <s v="No"/>
    <m/>
    <s v="1+ Failures"/>
    <n v="0"/>
    <s v="10-20hrs"/>
    <x v="1"/>
  </r>
  <r>
    <n v="291"/>
    <d v="2023-02-08T00:00:00"/>
    <s v="Basic"/>
    <n v="199"/>
    <n v="19.8"/>
    <n v="2"/>
    <n v="5"/>
    <n v="26"/>
    <n v="55"/>
    <s v="No"/>
    <s v="No"/>
    <s v="Yes"/>
    <s v="No"/>
    <s v="Yes"/>
    <s v="No"/>
    <m/>
    <s v="1+ Failures"/>
    <n v="0"/>
    <s v="10-20hrs"/>
    <x v="1"/>
  </r>
  <r>
    <n v="292"/>
    <d v="2024-10-18T00:00:00"/>
    <s v="Basic"/>
    <n v="199"/>
    <n v="14.4"/>
    <n v="1"/>
    <n v="2"/>
    <n v="20"/>
    <n v="18"/>
    <s v="No"/>
    <s v="No"/>
    <s v="Yes"/>
    <s v="No"/>
    <s v="Yes"/>
    <s v="No"/>
    <m/>
    <s v="1+ Failures"/>
    <n v="0"/>
    <s v="10-20hrs"/>
    <x v="1"/>
  </r>
  <r>
    <n v="293"/>
    <d v="2023-04-26T00:00:00"/>
    <s v="Premium"/>
    <n v="699"/>
    <n v="12.6"/>
    <n v="2"/>
    <n v="4"/>
    <n v="34"/>
    <n v="29"/>
    <s v="Yes"/>
    <s v="No"/>
    <s v="Yes"/>
    <s v="No"/>
    <s v="Yes"/>
    <s v="No"/>
    <m/>
    <s v="1+ Failures"/>
    <n v="1"/>
    <s v="10-20hrs"/>
    <x v="1"/>
  </r>
  <r>
    <n v="294"/>
    <d v="2023-12-12T00:00:00"/>
    <s v="Standard"/>
    <n v="399"/>
    <n v="18.399999999999999"/>
    <n v="4"/>
    <n v="5"/>
    <n v="11"/>
    <n v="11"/>
    <s v="Yes"/>
    <s v="No"/>
    <s v="Yes"/>
    <s v="No"/>
    <s v="No"/>
    <s v="No"/>
    <m/>
    <s v="1+ Failures"/>
    <n v="1"/>
    <s v="10-20hrs"/>
    <x v="0"/>
  </r>
  <r>
    <n v="295"/>
    <d v="2024-02-15T00:00:00"/>
    <s v="Standard"/>
    <n v="399"/>
    <n v="4.8"/>
    <n v="6"/>
    <n v="3"/>
    <n v="13"/>
    <n v="32"/>
    <s v="Yes"/>
    <s v="Yes"/>
    <s v="Yes"/>
    <s v="Yes"/>
    <s v="Yes"/>
    <s v="No"/>
    <m/>
    <s v="1+ Failures"/>
    <n v="1"/>
    <s v="0-5 hrs"/>
    <x v="1"/>
  </r>
  <r>
    <n v="296"/>
    <d v="2023-01-07T00:00:00"/>
    <s v="Premium"/>
    <n v="699"/>
    <n v="5"/>
    <n v="2"/>
    <n v="3"/>
    <n v="7"/>
    <n v="20"/>
    <s v="No"/>
    <s v="No"/>
    <s v="Yes"/>
    <s v="No"/>
    <s v="Yes"/>
    <s v="No"/>
    <m/>
    <s v="1+ Failures"/>
    <n v="0"/>
    <s v="0-5 hrs"/>
    <x v="0"/>
  </r>
  <r>
    <n v="297"/>
    <d v="2024-08-09T00:00:00"/>
    <s v="Standard"/>
    <n v="399"/>
    <n v="6.3"/>
    <n v="4"/>
    <n v="2"/>
    <n v="25"/>
    <n v="19"/>
    <s v="No"/>
    <s v="No"/>
    <s v="Yes"/>
    <s v="No"/>
    <s v="Yes"/>
    <s v="No"/>
    <m/>
    <s v="1+ Failures"/>
    <n v="0"/>
    <s v="5-10 hrs"/>
    <x v="1"/>
  </r>
  <r>
    <n v="298"/>
    <d v="2023-11-11T00:00:00"/>
    <s v="Basic"/>
    <n v="199"/>
    <n v="16.5"/>
    <n v="3"/>
    <n v="0"/>
    <n v="17"/>
    <n v="42"/>
    <s v="Yes"/>
    <s v="No"/>
    <s v="No"/>
    <s v="No"/>
    <s v="Yes"/>
    <s v="No"/>
    <m/>
    <s v="0 Failures"/>
    <n v="1"/>
    <s v="10-20hrs"/>
    <x v="1"/>
  </r>
  <r>
    <n v="299"/>
    <d v="2023-10-30T00:00:00"/>
    <s v="Basic"/>
    <n v="199"/>
    <n v="17.3"/>
    <n v="4"/>
    <n v="5"/>
    <n v="26"/>
    <n v="7"/>
    <s v="No"/>
    <s v="No"/>
    <s v="Yes"/>
    <s v="No"/>
    <s v="No"/>
    <s v="No"/>
    <m/>
    <s v="1+ Failures"/>
    <n v="0"/>
    <s v="10-20hrs"/>
    <x v="1"/>
  </r>
  <r>
    <n v="300"/>
    <d v="2024-09-12T00:00:00"/>
    <s v="Standard"/>
    <n v="399"/>
    <n v="5.9"/>
    <n v="2"/>
    <n v="3"/>
    <n v="15"/>
    <n v="9"/>
    <s v="No"/>
    <s v="No"/>
    <s v="Yes"/>
    <s v="No"/>
    <s v="No"/>
    <s v="No"/>
    <m/>
    <s v="1+ Failures"/>
    <n v="0"/>
    <s v="5-10 hrs"/>
    <x v="1"/>
  </r>
  <r>
    <n v="301"/>
    <d v="2023-08-12T00:00:00"/>
    <s v="Standard"/>
    <n v="399"/>
    <n v="17.7"/>
    <n v="7"/>
    <n v="4"/>
    <n v="27"/>
    <n v="51"/>
    <s v="Yes"/>
    <s v="No"/>
    <s v="Yes"/>
    <s v="Yes"/>
    <s v="Yes"/>
    <s v="No"/>
    <m/>
    <s v="1+ Failures"/>
    <n v="1"/>
    <s v="10-20hrs"/>
    <x v="1"/>
  </r>
  <r>
    <n v="302"/>
    <d v="2024-07-31T00:00:00"/>
    <s v="Basic"/>
    <n v="199"/>
    <n v="13.4"/>
    <n v="8"/>
    <n v="5"/>
    <n v="6"/>
    <n v="23"/>
    <s v="Yes"/>
    <s v="No"/>
    <s v="Yes"/>
    <s v="Yes"/>
    <s v="Yes"/>
    <s v="No"/>
    <m/>
    <s v="1+ Failures"/>
    <n v="1"/>
    <s v="10-20hrs"/>
    <x v="3"/>
  </r>
  <r>
    <n v="303"/>
    <d v="2023-06-18T00:00:00"/>
    <s v="Basic"/>
    <n v="199"/>
    <n v="20.8"/>
    <n v="8"/>
    <n v="1"/>
    <n v="4"/>
    <n v="36"/>
    <s v="No"/>
    <s v="No"/>
    <s v="Yes"/>
    <s v="Yes"/>
    <s v="Yes"/>
    <s v="Yes"/>
    <m/>
    <s v="1+ Failures"/>
    <n v="0"/>
    <s v="20+ hrs"/>
    <x v="3"/>
  </r>
  <r>
    <n v="304"/>
    <d v="2024-06-06T00:00:00"/>
    <s v="Standard"/>
    <n v="399"/>
    <n v="11.3"/>
    <n v="3"/>
    <n v="5"/>
    <n v="34"/>
    <n v="37"/>
    <s v="Yes"/>
    <s v="No"/>
    <s v="Yes"/>
    <s v="No"/>
    <s v="Yes"/>
    <s v="No"/>
    <m/>
    <s v="1+ Failures"/>
    <n v="1"/>
    <s v="10-20hrs"/>
    <x v="1"/>
  </r>
  <r>
    <n v="305"/>
    <d v="2024-07-26T00:00:00"/>
    <s v="Standard"/>
    <n v="399"/>
    <n v="11.6"/>
    <n v="8"/>
    <n v="3"/>
    <n v="4"/>
    <n v="29"/>
    <s v="Yes"/>
    <s v="No"/>
    <s v="Yes"/>
    <s v="Yes"/>
    <s v="Yes"/>
    <s v="Yes"/>
    <m/>
    <s v="1+ Failures"/>
    <n v="1"/>
    <s v="10-20hrs"/>
    <x v="3"/>
  </r>
  <r>
    <n v="306"/>
    <d v="2023-08-12T00:00:00"/>
    <s v="Standard"/>
    <n v="399"/>
    <n v="18.2"/>
    <n v="6"/>
    <n v="2"/>
    <n v="20"/>
    <n v="52"/>
    <s v="Yes"/>
    <s v="No"/>
    <s v="Yes"/>
    <s v="Yes"/>
    <s v="Yes"/>
    <s v="No"/>
    <m/>
    <s v="1+ Failures"/>
    <n v="1"/>
    <s v="10-20hrs"/>
    <x v="1"/>
  </r>
  <r>
    <n v="307"/>
    <d v="2023-03-03T00:00:00"/>
    <s v="Premium"/>
    <n v="699"/>
    <n v="1.6"/>
    <n v="5"/>
    <n v="5"/>
    <n v="5"/>
    <n v="4"/>
    <s v="Yes"/>
    <s v="Yes"/>
    <s v="Yes"/>
    <s v="Yes"/>
    <s v="No"/>
    <s v="Yes"/>
    <m/>
    <s v="1+ Failures"/>
    <n v="1"/>
    <s v="0-5 hrs"/>
    <x v="3"/>
  </r>
  <r>
    <n v="308"/>
    <d v="2024-10-18T00:00:00"/>
    <s v="Basic"/>
    <n v="199"/>
    <n v="1.3"/>
    <n v="6"/>
    <n v="1"/>
    <n v="31"/>
    <n v="49"/>
    <s v="Yes"/>
    <s v="Yes"/>
    <s v="Yes"/>
    <s v="Yes"/>
    <s v="Yes"/>
    <s v="No"/>
    <m/>
    <s v="1+ Failures"/>
    <n v="1"/>
    <s v="0-5 hrs"/>
    <x v="1"/>
  </r>
  <r>
    <n v="309"/>
    <d v="2024-01-22T00:00:00"/>
    <s v="Premium"/>
    <n v="699"/>
    <n v="9.6999999999999993"/>
    <n v="6"/>
    <n v="3"/>
    <n v="27"/>
    <n v="55"/>
    <s v="No"/>
    <s v="No"/>
    <s v="Yes"/>
    <s v="Yes"/>
    <s v="Yes"/>
    <s v="No"/>
    <m/>
    <s v="1+ Failures"/>
    <n v="0"/>
    <s v="5-10 hrs"/>
    <x v="1"/>
  </r>
  <r>
    <n v="310"/>
    <d v="2023-05-02T00:00:00"/>
    <s v="Standard"/>
    <n v="399"/>
    <n v="17.2"/>
    <n v="8"/>
    <n v="1"/>
    <n v="6"/>
    <n v="41"/>
    <s v="No"/>
    <s v="No"/>
    <s v="Yes"/>
    <s v="Yes"/>
    <s v="Yes"/>
    <s v="No"/>
    <m/>
    <s v="1+ Failures"/>
    <n v="0"/>
    <s v="10-20hrs"/>
    <x v="3"/>
  </r>
  <r>
    <n v="311"/>
    <d v="2023-01-24T00:00:00"/>
    <s v="Basic"/>
    <n v="199"/>
    <n v="10.1"/>
    <n v="2"/>
    <n v="5"/>
    <n v="35"/>
    <n v="14"/>
    <s v="No"/>
    <s v="No"/>
    <s v="Yes"/>
    <s v="No"/>
    <s v="No"/>
    <s v="No"/>
    <m/>
    <s v="1+ Failures"/>
    <n v="0"/>
    <s v="10-20hrs"/>
    <x v="1"/>
  </r>
  <r>
    <n v="312"/>
    <d v="2023-08-24T00:00:00"/>
    <s v="Standard"/>
    <n v="399"/>
    <n v="17"/>
    <n v="8"/>
    <n v="3"/>
    <n v="30"/>
    <n v="34"/>
    <s v="Yes"/>
    <s v="No"/>
    <s v="Yes"/>
    <s v="Yes"/>
    <s v="Yes"/>
    <s v="No"/>
    <m/>
    <s v="1+ Failures"/>
    <n v="1"/>
    <s v="10-20hrs"/>
    <x v="1"/>
  </r>
  <r>
    <n v="313"/>
    <d v="2023-04-26T00:00:00"/>
    <s v="Basic"/>
    <n v="199"/>
    <n v="9"/>
    <n v="4"/>
    <n v="1"/>
    <n v="30"/>
    <n v="59"/>
    <s v="No"/>
    <s v="No"/>
    <s v="Yes"/>
    <s v="No"/>
    <s v="Yes"/>
    <s v="No"/>
    <m/>
    <s v="1+ Failures"/>
    <n v="0"/>
    <s v="5-10 hrs"/>
    <x v="1"/>
  </r>
  <r>
    <n v="314"/>
    <d v="2024-08-31T00:00:00"/>
    <s v="Basic"/>
    <n v="199"/>
    <n v="15.6"/>
    <n v="0"/>
    <n v="1"/>
    <n v="27"/>
    <n v="13"/>
    <s v="Yes"/>
    <s v="No"/>
    <s v="Yes"/>
    <s v="No"/>
    <s v="No"/>
    <s v="No"/>
    <m/>
    <s v="1+ Failures"/>
    <n v="1"/>
    <s v="10-20hrs"/>
    <x v="1"/>
  </r>
  <r>
    <n v="315"/>
    <d v="2024-03-25T00:00:00"/>
    <s v="Basic"/>
    <n v="199"/>
    <n v="15.1"/>
    <n v="0"/>
    <n v="1"/>
    <n v="29"/>
    <n v="47"/>
    <s v="Yes"/>
    <s v="No"/>
    <s v="Yes"/>
    <s v="No"/>
    <s v="Yes"/>
    <s v="No"/>
    <m/>
    <s v="1+ Failures"/>
    <n v="1"/>
    <s v="10-20hrs"/>
    <x v="1"/>
  </r>
  <r>
    <n v="316"/>
    <d v="2023-08-28T00:00:00"/>
    <s v="Basic"/>
    <n v="199"/>
    <n v="5.8"/>
    <n v="0"/>
    <n v="1"/>
    <n v="35"/>
    <n v="32"/>
    <s v="No"/>
    <s v="No"/>
    <s v="Yes"/>
    <s v="No"/>
    <s v="Yes"/>
    <s v="No"/>
    <m/>
    <s v="1+ Failures"/>
    <n v="0"/>
    <s v="5-10 hrs"/>
    <x v="1"/>
  </r>
  <r>
    <n v="317"/>
    <d v="2024-11-07T00:00:00"/>
    <s v="Premium"/>
    <n v="699"/>
    <n v="14.6"/>
    <n v="5"/>
    <n v="1"/>
    <n v="21"/>
    <n v="19"/>
    <s v="No"/>
    <s v="No"/>
    <s v="Yes"/>
    <s v="Yes"/>
    <s v="Yes"/>
    <s v="No"/>
    <m/>
    <s v="1+ Failures"/>
    <n v="0"/>
    <s v="10-20hrs"/>
    <x v="1"/>
  </r>
  <r>
    <n v="318"/>
    <d v="2023-06-29T00:00:00"/>
    <s v="Premium"/>
    <n v="699"/>
    <n v="10.6"/>
    <n v="4"/>
    <n v="0"/>
    <n v="15"/>
    <n v="35"/>
    <s v="No"/>
    <s v="No"/>
    <s v="No"/>
    <s v="No"/>
    <s v="Yes"/>
    <s v="No"/>
    <m/>
    <s v="0 Failures"/>
    <n v="0"/>
    <s v="10-20hrs"/>
    <x v="1"/>
  </r>
  <r>
    <n v="319"/>
    <d v="2024-01-26T00:00:00"/>
    <s v="Premium"/>
    <n v="699"/>
    <n v="14.1"/>
    <n v="0"/>
    <n v="2"/>
    <n v="28"/>
    <n v="60"/>
    <s v="No"/>
    <s v="No"/>
    <s v="Yes"/>
    <s v="No"/>
    <s v="Yes"/>
    <s v="No"/>
    <m/>
    <s v="1+ Failures"/>
    <n v="0"/>
    <s v="10-20hrs"/>
    <x v="1"/>
  </r>
  <r>
    <n v="320"/>
    <d v="2024-07-04T00:00:00"/>
    <s v="Premium"/>
    <n v="699"/>
    <n v="17.600000000000001"/>
    <n v="6"/>
    <n v="1"/>
    <n v="21"/>
    <n v="19"/>
    <s v="No"/>
    <s v="No"/>
    <s v="Yes"/>
    <s v="Yes"/>
    <s v="Yes"/>
    <s v="No"/>
    <m/>
    <s v="1+ Failures"/>
    <n v="0"/>
    <s v="10-20hrs"/>
    <x v="1"/>
  </r>
  <r>
    <n v="321"/>
    <d v="2023-03-01T00:00:00"/>
    <s v="Standard"/>
    <n v="399"/>
    <n v="21.3"/>
    <n v="4"/>
    <n v="5"/>
    <n v="16"/>
    <n v="9"/>
    <s v="No"/>
    <s v="No"/>
    <s v="Yes"/>
    <s v="No"/>
    <s v="No"/>
    <s v="No"/>
    <m/>
    <s v="1+ Failures"/>
    <n v="0"/>
    <s v="20+ hrs"/>
    <x v="1"/>
  </r>
  <r>
    <n v="322"/>
    <d v="2023-09-19T00:00:00"/>
    <s v="Premium"/>
    <n v="699"/>
    <n v="24.2"/>
    <n v="8"/>
    <n v="4"/>
    <n v="27"/>
    <n v="8"/>
    <s v="Yes"/>
    <s v="No"/>
    <s v="Yes"/>
    <s v="Yes"/>
    <s v="No"/>
    <s v="No"/>
    <m/>
    <s v="1+ Failures"/>
    <n v="1"/>
    <s v="20+ hrs"/>
    <x v="1"/>
  </r>
  <r>
    <n v="323"/>
    <d v="2023-07-15T00:00:00"/>
    <s v="Basic"/>
    <n v="199"/>
    <n v="16.3"/>
    <n v="7"/>
    <n v="2"/>
    <n v="22"/>
    <n v="5"/>
    <s v="No"/>
    <s v="No"/>
    <s v="Yes"/>
    <s v="Yes"/>
    <s v="No"/>
    <s v="No"/>
    <m/>
    <s v="1+ Failures"/>
    <n v="0"/>
    <s v="10-20hrs"/>
    <x v="1"/>
  </r>
  <r>
    <n v="324"/>
    <d v="2024-08-24T00:00:00"/>
    <s v="Basic"/>
    <n v="199"/>
    <n v="9.6999999999999993"/>
    <n v="0"/>
    <n v="0"/>
    <n v="18"/>
    <n v="12"/>
    <s v="No"/>
    <s v="No"/>
    <s v="No"/>
    <s v="No"/>
    <s v="No"/>
    <s v="No"/>
    <m/>
    <s v="0 Failures"/>
    <n v="0"/>
    <s v="5-10 hrs"/>
    <x v="1"/>
  </r>
  <r>
    <n v="325"/>
    <d v="2023-01-16T00:00:00"/>
    <s v="Premium"/>
    <n v="699"/>
    <n v="5.8"/>
    <n v="3"/>
    <n v="2"/>
    <n v="36"/>
    <n v="19"/>
    <s v="No"/>
    <s v="No"/>
    <s v="Yes"/>
    <s v="No"/>
    <s v="Yes"/>
    <s v="No"/>
    <m/>
    <s v="1+ Failures"/>
    <n v="0"/>
    <s v="5-10 hrs"/>
    <x v="1"/>
  </r>
  <r>
    <n v="326"/>
    <d v="2023-09-06T00:00:00"/>
    <s v="Basic"/>
    <n v="199"/>
    <n v="24.1"/>
    <n v="1"/>
    <n v="5"/>
    <n v="13"/>
    <n v="48"/>
    <s v="Yes"/>
    <s v="No"/>
    <s v="Yes"/>
    <s v="No"/>
    <s v="Yes"/>
    <s v="No"/>
    <m/>
    <s v="1+ Failures"/>
    <n v="1"/>
    <s v="20+ hrs"/>
    <x v="1"/>
  </r>
  <r>
    <n v="327"/>
    <d v="2024-01-25T00:00:00"/>
    <s v="Premium"/>
    <n v="699"/>
    <n v="10.199999999999999"/>
    <n v="3"/>
    <n v="4"/>
    <n v="14"/>
    <n v="20"/>
    <s v="No"/>
    <s v="No"/>
    <s v="Yes"/>
    <s v="No"/>
    <s v="Yes"/>
    <s v="No"/>
    <m/>
    <s v="1+ Failures"/>
    <n v="0"/>
    <s v="10-20hrs"/>
    <x v="1"/>
  </r>
  <r>
    <n v="328"/>
    <d v="2024-05-24T00:00:00"/>
    <s v="Standard"/>
    <n v="399"/>
    <n v="16.399999999999999"/>
    <n v="4"/>
    <n v="2"/>
    <n v="35"/>
    <n v="23"/>
    <s v="Yes"/>
    <s v="No"/>
    <s v="Yes"/>
    <s v="No"/>
    <s v="Yes"/>
    <s v="No"/>
    <m/>
    <s v="1+ Failures"/>
    <n v="1"/>
    <s v="10-20hrs"/>
    <x v="1"/>
  </r>
  <r>
    <n v="329"/>
    <d v="2023-11-17T00:00:00"/>
    <s v="Standard"/>
    <n v="399"/>
    <n v="20.2"/>
    <n v="7"/>
    <n v="2"/>
    <n v="7"/>
    <n v="58"/>
    <s v="Yes"/>
    <s v="No"/>
    <s v="Yes"/>
    <s v="Yes"/>
    <s v="Yes"/>
    <s v="No"/>
    <m/>
    <s v="1+ Failures"/>
    <n v="1"/>
    <s v="20+ hrs"/>
    <x v="0"/>
  </r>
  <r>
    <n v="330"/>
    <d v="2024-07-20T00:00:00"/>
    <s v="Standard"/>
    <n v="399"/>
    <n v="14.3"/>
    <n v="3"/>
    <n v="5"/>
    <n v="3"/>
    <n v="9"/>
    <s v="Yes"/>
    <s v="No"/>
    <s v="Yes"/>
    <s v="No"/>
    <s v="No"/>
    <s v="Yes"/>
    <m/>
    <s v="1+ Failures"/>
    <n v="1"/>
    <s v="10-20hrs"/>
    <x v="2"/>
  </r>
  <r>
    <n v="331"/>
    <d v="2023-09-09T00:00:00"/>
    <s v="Premium"/>
    <n v="699"/>
    <n v="7.7"/>
    <n v="3"/>
    <n v="2"/>
    <n v="27"/>
    <n v="14"/>
    <s v="No"/>
    <s v="No"/>
    <s v="Yes"/>
    <s v="No"/>
    <s v="No"/>
    <s v="No"/>
    <m/>
    <s v="1+ Failures"/>
    <n v="0"/>
    <s v="5-10 hrs"/>
    <x v="1"/>
  </r>
  <r>
    <n v="332"/>
    <d v="2024-10-19T00:00:00"/>
    <s v="Standard"/>
    <n v="399"/>
    <n v="16.5"/>
    <n v="5"/>
    <n v="2"/>
    <n v="36"/>
    <n v="48"/>
    <s v="No"/>
    <s v="No"/>
    <s v="Yes"/>
    <s v="Yes"/>
    <s v="Yes"/>
    <s v="No"/>
    <m/>
    <s v="1+ Failures"/>
    <n v="0"/>
    <s v="10-20hrs"/>
    <x v="1"/>
  </r>
  <r>
    <n v="333"/>
    <d v="2024-05-15T00:00:00"/>
    <s v="Premium"/>
    <n v="699"/>
    <n v="11.8"/>
    <n v="5"/>
    <n v="1"/>
    <n v="32"/>
    <n v="8"/>
    <s v="No"/>
    <s v="No"/>
    <s v="Yes"/>
    <s v="Yes"/>
    <s v="No"/>
    <s v="No"/>
    <m/>
    <s v="1+ Failures"/>
    <n v="0"/>
    <s v="10-20hrs"/>
    <x v="1"/>
  </r>
  <r>
    <n v="334"/>
    <d v="2023-03-18T00:00:00"/>
    <s v="Basic"/>
    <n v="199"/>
    <n v="24.8"/>
    <n v="0"/>
    <n v="4"/>
    <n v="35"/>
    <n v="2"/>
    <s v="No"/>
    <s v="No"/>
    <s v="Yes"/>
    <s v="No"/>
    <s v="No"/>
    <s v="No"/>
    <m/>
    <s v="1+ Failures"/>
    <n v="0"/>
    <s v="20+ hrs"/>
    <x v="1"/>
  </r>
  <r>
    <n v="335"/>
    <d v="2023-03-11T00:00:00"/>
    <s v="Premium"/>
    <n v="699"/>
    <n v="19.2"/>
    <n v="6"/>
    <n v="1"/>
    <n v="4"/>
    <n v="53"/>
    <s v="No"/>
    <s v="No"/>
    <s v="Yes"/>
    <s v="Yes"/>
    <s v="Yes"/>
    <s v="Yes"/>
    <m/>
    <s v="1+ Failures"/>
    <n v="0"/>
    <s v="10-20hrs"/>
    <x v="3"/>
  </r>
  <r>
    <n v="336"/>
    <d v="2024-10-15T00:00:00"/>
    <s v="Premium"/>
    <n v="699"/>
    <n v="0.7"/>
    <n v="8"/>
    <n v="3"/>
    <n v="10"/>
    <n v="23"/>
    <s v="Yes"/>
    <s v="Yes"/>
    <s v="Yes"/>
    <s v="Yes"/>
    <s v="Yes"/>
    <s v="No"/>
    <m/>
    <s v="1+ Failures"/>
    <n v="1"/>
    <s v="0-5 hrs"/>
    <x v="0"/>
  </r>
  <r>
    <n v="337"/>
    <d v="2023-01-13T00:00:00"/>
    <s v="Premium"/>
    <n v="699"/>
    <n v="16.7"/>
    <n v="0"/>
    <n v="0"/>
    <n v="31"/>
    <n v="34"/>
    <s v="No"/>
    <s v="No"/>
    <s v="No"/>
    <s v="No"/>
    <s v="Yes"/>
    <s v="No"/>
    <m/>
    <s v="0 Failures"/>
    <n v="0"/>
    <s v="10-20hrs"/>
    <x v="1"/>
  </r>
  <r>
    <n v="338"/>
    <d v="2024-12-15T00:00:00"/>
    <s v="Basic"/>
    <n v="199"/>
    <n v="18.2"/>
    <n v="8"/>
    <n v="2"/>
    <n v="34"/>
    <n v="1"/>
    <s v="No"/>
    <s v="No"/>
    <s v="Yes"/>
    <s v="Yes"/>
    <s v="No"/>
    <s v="No"/>
    <m/>
    <s v="1+ Failures"/>
    <n v="0"/>
    <s v="10-20hrs"/>
    <x v="1"/>
  </r>
  <r>
    <n v="339"/>
    <d v="2023-06-02T00:00:00"/>
    <s v="Premium"/>
    <n v="699"/>
    <n v="20.3"/>
    <n v="2"/>
    <n v="0"/>
    <n v="28"/>
    <n v="58"/>
    <s v="Yes"/>
    <s v="No"/>
    <s v="No"/>
    <s v="No"/>
    <s v="Yes"/>
    <s v="No"/>
    <m/>
    <s v="0 Failures"/>
    <n v="1"/>
    <s v="20+ hrs"/>
    <x v="1"/>
  </r>
  <r>
    <n v="340"/>
    <d v="2023-03-22T00:00:00"/>
    <s v="Basic"/>
    <n v="199"/>
    <n v="15.7"/>
    <n v="4"/>
    <n v="2"/>
    <n v="13"/>
    <n v="17"/>
    <s v="No"/>
    <s v="No"/>
    <s v="Yes"/>
    <s v="No"/>
    <s v="Yes"/>
    <s v="No"/>
    <m/>
    <s v="1+ Failures"/>
    <n v="0"/>
    <s v="10-20hrs"/>
    <x v="1"/>
  </r>
  <r>
    <n v="341"/>
    <d v="2023-03-24T00:00:00"/>
    <s v="Standard"/>
    <n v="399"/>
    <n v="11.7"/>
    <n v="3"/>
    <n v="5"/>
    <n v="26"/>
    <n v="14"/>
    <s v="Yes"/>
    <s v="No"/>
    <s v="Yes"/>
    <s v="No"/>
    <s v="No"/>
    <s v="No"/>
    <m/>
    <s v="1+ Failures"/>
    <n v="1"/>
    <s v="10-20hrs"/>
    <x v="1"/>
  </r>
  <r>
    <n v="342"/>
    <d v="2024-10-14T00:00:00"/>
    <s v="Premium"/>
    <n v="699"/>
    <n v="2.8"/>
    <n v="6"/>
    <n v="3"/>
    <n v="3"/>
    <n v="35"/>
    <s v="Yes"/>
    <s v="Yes"/>
    <s v="Yes"/>
    <s v="Yes"/>
    <s v="Yes"/>
    <s v="Yes"/>
    <m/>
    <s v="1+ Failures"/>
    <n v="1"/>
    <s v="0-5 hrs"/>
    <x v="2"/>
  </r>
  <r>
    <n v="343"/>
    <d v="2023-04-08T00:00:00"/>
    <s v="Basic"/>
    <n v="199"/>
    <n v="2.5"/>
    <n v="6"/>
    <n v="5"/>
    <n v="11"/>
    <n v="50"/>
    <s v="Yes"/>
    <s v="Yes"/>
    <s v="Yes"/>
    <s v="Yes"/>
    <s v="Yes"/>
    <s v="No"/>
    <m/>
    <s v="1+ Failures"/>
    <n v="1"/>
    <s v="0-5 hrs"/>
    <x v="0"/>
  </r>
  <r>
    <n v="344"/>
    <d v="2024-12-01T00:00:00"/>
    <s v="Premium"/>
    <n v="699"/>
    <n v="6.1"/>
    <n v="7"/>
    <n v="2"/>
    <n v="3"/>
    <n v="2"/>
    <s v="No"/>
    <s v="No"/>
    <s v="Yes"/>
    <s v="Yes"/>
    <s v="No"/>
    <s v="Yes"/>
    <m/>
    <s v="1+ Failures"/>
    <n v="0"/>
    <s v="5-10 hrs"/>
    <x v="2"/>
  </r>
  <r>
    <n v="345"/>
    <d v="2023-01-17T00:00:00"/>
    <s v="Standard"/>
    <n v="399"/>
    <n v="14.3"/>
    <n v="0"/>
    <n v="1"/>
    <n v="35"/>
    <n v="59"/>
    <s v="No"/>
    <s v="No"/>
    <s v="Yes"/>
    <s v="No"/>
    <s v="Yes"/>
    <s v="No"/>
    <m/>
    <s v="1+ Failures"/>
    <n v="0"/>
    <s v="10-20hrs"/>
    <x v="1"/>
  </r>
  <r>
    <n v="346"/>
    <d v="2023-09-04T00:00:00"/>
    <s v="Basic"/>
    <n v="199"/>
    <n v="18.899999999999999"/>
    <n v="6"/>
    <n v="0"/>
    <n v="10"/>
    <n v="19"/>
    <s v="Yes"/>
    <s v="No"/>
    <s v="No"/>
    <s v="Yes"/>
    <s v="Yes"/>
    <s v="No"/>
    <m/>
    <s v="0 Failures"/>
    <n v="1"/>
    <s v="10-20hrs"/>
    <x v="0"/>
  </r>
  <r>
    <n v="347"/>
    <d v="2023-05-24T00:00:00"/>
    <s v="Premium"/>
    <n v="699"/>
    <n v="17.100000000000001"/>
    <n v="8"/>
    <n v="2"/>
    <n v="25"/>
    <n v="24"/>
    <s v="No"/>
    <s v="No"/>
    <s v="Yes"/>
    <s v="Yes"/>
    <s v="Yes"/>
    <s v="No"/>
    <m/>
    <s v="1+ Failures"/>
    <n v="0"/>
    <s v="10-20hrs"/>
    <x v="1"/>
  </r>
  <r>
    <n v="348"/>
    <d v="2023-03-19T00:00:00"/>
    <s v="Premium"/>
    <n v="699"/>
    <n v="12.8"/>
    <n v="5"/>
    <n v="0"/>
    <n v="6"/>
    <n v="6"/>
    <s v="No"/>
    <s v="No"/>
    <s v="No"/>
    <s v="Yes"/>
    <s v="No"/>
    <s v="No"/>
    <m/>
    <s v="0 Failures"/>
    <n v="0"/>
    <s v="10-20hrs"/>
    <x v="3"/>
  </r>
  <r>
    <n v="349"/>
    <d v="2024-04-06T00:00:00"/>
    <s v="Standard"/>
    <n v="399"/>
    <n v="24.2"/>
    <n v="5"/>
    <n v="0"/>
    <n v="26"/>
    <n v="40"/>
    <s v="Yes"/>
    <s v="No"/>
    <s v="No"/>
    <s v="Yes"/>
    <s v="Yes"/>
    <s v="No"/>
    <m/>
    <s v="0 Failures"/>
    <n v="1"/>
    <s v="20+ hrs"/>
    <x v="1"/>
  </r>
  <r>
    <n v="350"/>
    <d v="2024-11-07T00:00:00"/>
    <s v="Standard"/>
    <n v="399"/>
    <n v="9.1999999999999993"/>
    <n v="6"/>
    <n v="3"/>
    <n v="15"/>
    <n v="11"/>
    <s v="No"/>
    <s v="No"/>
    <s v="Yes"/>
    <s v="Yes"/>
    <s v="No"/>
    <s v="No"/>
    <m/>
    <s v="1+ Failures"/>
    <n v="0"/>
    <s v="5-10 hrs"/>
    <x v="1"/>
  </r>
  <r>
    <n v="351"/>
    <d v="2023-10-02T00:00:00"/>
    <s v="Standard"/>
    <n v="399"/>
    <n v="19.399999999999999"/>
    <n v="4"/>
    <n v="1"/>
    <n v="6"/>
    <n v="45"/>
    <s v="Yes"/>
    <s v="No"/>
    <s v="Yes"/>
    <s v="No"/>
    <s v="Yes"/>
    <s v="No"/>
    <m/>
    <s v="1+ Failures"/>
    <n v="1"/>
    <s v="10-20hrs"/>
    <x v="3"/>
  </r>
  <r>
    <n v="352"/>
    <d v="2023-04-20T00:00:00"/>
    <s v="Basic"/>
    <n v="199"/>
    <n v="17.899999999999999"/>
    <n v="2"/>
    <n v="5"/>
    <n v="25"/>
    <n v="24"/>
    <s v="Yes"/>
    <s v="No"/>
    <s v="Yes"/>
    <s v="No"/>
    <s v="Yes"/>
    <s v="No"/>
    <m/>
    <s v="1+ Failures"/>
    <n v="1"/>
    <s v="10-20hrs"/>
    <x v="1"/>
  </r>
  <r>
    <n v="353"/>
    <d v="2023-05-16T00:00:00"/>
    <s v="Basic"/>
    <n v="199"/>
    <n v="23.6"/>
    <n v="7"/>
    <n v="2"/>
    <n v="1"/>
    <n v="48"/>
    <s v="Yes"/>
    <s v="No"/>
    <s v="Yes"/>
    <s v="Yes"/>
    <s v="Yes"/>
    <s v="Yes"/>
    <m/>
    <s v="1+ Failures"/>
    <n v="1"/>
    <s v="20+ hrs"/>
    <x v="2"/>
  </r>
  <r>
    <n v="354"/>
    <d v="2023-01-27T00:00:00"/>
    <s v="Basic"/>
    <n v="199"/>
    <n v="11.1"/>
    <n v="8"/>
    <n v="4"/>
    <n v="12"/>
    <n v="32"/>
    <s v="Yes"/>
    <s v="No"/>
    <s v="Yes"/>
    <s v="Yes"/>
    <s v="Yes"/>
    <s v="No"/>
    <m/>
    <s v="1+ Failures"/>
    <n v="1"/>
    <s v="10-20hrs"/>
    <x v="0"/>
  </r>
  <r>
    <n v="355"/>
    <d v="2024-02-02T00:00:00"/>
    <s v="Basic"/>
    <n v="199"/>
    <n v="14.1"/>
    <n v="5"/>
    <n v="3"/>
    <n v="23"/>
    <n v="0"/>
    <s v="Yes"/>
    <s v="No"/>
    <s v="Yes"/>
    <s v="Yes"/>
    <s v="No"/>
    <s v="No"/>
    <m/>
    <s v="1+ Failures"/>
    <n v="1"/>
    <s v="10-20hrs"/>
    <x v="1"/>
  </r>
  <r>
    <n v="356"/>
    <d v="2024-01-25T00:00:00"/>
    <s v="Basic"/>
    <n v="199"/>
    <n v="22.7"/>
    <n v="3"/>
    <n v="4"/>
    <n v="36"/>
    <n v="33"/>
    <s v="Yes"/>
    <s v="No"/>
    <s v="Yes"/>
    <s v="No"/>
    <s v="Yes"/>
    <s v="No"/>
    <m/>
    <s v="1+ Failures"/>
    <n v="1"/>
    <s v="20+ hrs"/>
    <x v="1"/>
  </r>
  <r>
    <n v="357"/>
    <d v="2024-03-21T00:00:00"/>
    <s v="Basic"/>
    <n v="199"/>
    <n v="7.1"/>
    <n v="4"/>
    <n v="3"/>
    <n v="9"/>
    <n v="9"/>
    <s v="Yes"/>
    <s v="No"/>
    <s v="Yes"/>
    <s v="No"/>
    <s v="No"/>
    <s v="No"/>
    <m/>
    <s v="1+ Failures"/>
    <n v="1"/>
    <s v="5-10 hrs"/>
    <x v="0"/>
  </r>
  <r>
    <n v="358"/>
    <d v="2024-10-02T00:00:00"/>
    <s v="Standard"/>
    <n v="399"/>
    <n v="7.8"/>
    <n v="1"/>
    <n v="2"/>
    <n v="27"/>
    <n v="16"/>
    <s v="No"/>
    <s v="No"/>
    <s v="Yes"/>
    <s v="No"/>
    <s v="Yes"/>
    <s v="No"/>
    <m/>
    <s v="1+ Failures"/>
    <n v="0"/>
    <s v="5-10 hrs"/>
    <x v="1"/>
  </r>
  <r>
    <n v="359"/>
    <d v="2023-12-07T00:00:00"/>
    <s v="Standard"/>
    <n v="399"/>
    <n v="11.7"/>
    <n v="2"/>
    <n v="2"/>
    <n v="13"/>
    <n v="0"/>
    <s v="No"/>
    <s v="No"/>
    <s v="Yes"/>
    <s v="No"/>
    <s v="No"/>
    <s v="No"/>
    <m/>
    <s v="1+ Failures"/>
    <n v="0"/>
    <s v="10-20hrs"/>
    <x v="1"/>
  </r>
  <r>
    <n v="360"/>
    <d v="2024-10-28T00:00:00"/>
    <s v="Premium"/>
    <n v="699"/>
    <n v="20.2"/>
    <n v="5"/>
    <n v="3"/>
    <n v="25"/>
    <n v="21"/>
    <s v="Yes"/>
    <s v="No"/>
    <s v="Yes"/>
    <s v="Yes"/>
    <s v="Yes"/>
    <s v="No"/>
    <m/>
    <s v="1+ Failures"/>
    <n v="1"/>
    <s v="20+ hrs"/>
    <x v="1"/>
  </r>
  <r>
    <n v="361"/>
    <d v="2024-02-12T00:00:00"/>
    <s v="Premium"/>
    <n v="699"/>
    <n v="7.9"/>
    <n v="3"/>
    <n v="3"/>
    <n v="9"/>
    <n v="20"/>
    <s v="Yes"/>
    <s v="No"/>
    <s v="Yes"/>
    <s v="No"/>
    <s v="Yes"/>
    <s v="No"/>
    <m/>
    <s v="1+ Failures"/>
    <n v="1"/>
    <s v="5-10 hrs"/>
    <x v="0"/>
  </r>
  <r>
    <n v="362"/>
    <d v="2024-01-21T00:00:00"/>
    <s v="Standard"/>
    <n v="399"/>
    <n v="18.5"/>
    <n v="7"/>
    <n v="4"/>
    <n v="19"/>
    <n v="50"/>
    <s v="Yes"/>
    <s v="No"/>
    <s v="Yes"/>
    <s v="Yes"/>
    <s v="Yes"/>
    <s v="No"/>
    <m/>
    <s v="1+ Failures"/>
    <n v="1"/>
    <s v="10-20hrs"/>
    <x v="1"/>
  </r>
  <r>
    <n v="363"/>
    <d v="2024-07-17T00:00:00"/>
    <s v="Standard"/>
    <n v="399"/>
    <n v="9.4"/>
    <n v="3"/>
    <n v="4"/>
    <n v="26"/>
    <n v="34"/>
    <s v="Yes"/>
    <s v="No"/>
    <s v="Yes"/>
    <s v="No"/>
    <s v="Yes"/>
    <s v="No"/>
    <m/>
    <s v="1+ Failures"/>
    <n v="1"/>
    <s v="5-10 hrs"/>
    <x v="1"/>
  </r>
  <r>
    <n v="364"/>
    <d v="2024-12-10T00:00:00"/>
    <s v="Basic"/>
    <n v="199"/>
    <n v="23.6"/>
    <n v="3"/>
    <n v="3"/>
    <n v="30"/>
    <n v="51"/>
    <s v="Yes"/>
    <s v="No"/>
    <s v="Yes"/>
    <s v="No"/>
    <s v="Yes"/>
    <s v="No"/>
    <m/>
    <s v="1+ Failures"/>
    <n v="1"/>
    <s v="20+ hrs"/>
    <x v="1"/>
  </r>
  <r>
    <n v="365"/>
    <d v="2024-11-05T00:00:00"/>
    <s v="Basic"/>
    <n v="199"/>
    <n v="17"/>
    <n v="2"/>
    <n v="5"/>
    <n v="27"/>
    <n v="19"/>
    <s v="Yes"/>
    <s v="No"/>
    <s v="Yes"/>
    <s v="No"/>
    <s v="Yes"/>
    <s v="No"/>
    <m/>
    <s v="1+ Failures"/>
    <n v="1"/>
    <s v="10-20hrs"/>
    <x v="1"/>
  </r>
  <r>
    <n v="366"/>
    <d v="2024-02-15T00:00:00"/>
    <s v="Basic"/>
    <n v="199"/>
    <n v="19.8"/>
    <n v="1"/>
    <n v="3"/>
    <n v="28"/>
    <n v="38"/>
    <s v="Yes"/>
    <s v="No"/>
    <s v="Yes"/>
    <s v="No"/>
    <s v="Yes"/>
    <s v="No"/>
    <m/>
    <s v="1+ Failures"/>
    <n v="1"/>
    <s v="10-20hrs"/>
    <x v="1"/>
  </r>
  <r>
    <n v="367"/>
    <d v="2024-01-04T00:00:00"/>
    <s v="Premium"/>
    <n v="699"/>
    <n v="23.1"/>
    <n v="6"/>
    <n v="4"/>
    <n v="33"/>
    <n v="2"/>
    <s v="No"/>
    <s v="No"/>
    <s v="Yes"/>
    <s v="Yes"/>
    <s v="No"/>
    <s v="No"/>
    <m/>
    <s v="1+ Failures"/>
    <n v="0"/>
    <s v="20+ hrs"/>
    <x v="1"/>
  </r>
  <r>
    <n v="368"/>
    <d v="2024-11-11T00:00:00"/>
    <s v="Premium"/>
    <n v="699"/>
    <n v="15"/>
    <n v="1"/>
    <n v="0"/>
    <n v="35"/>
    <n v="49"/>
    <s v="Yes"/>
    <s v="No"/>
    <s v="No"/>
    <s v="No"/>
    <s v="Yes"/>
    <s v="No"/>
    <m/>
    <s v="0 Failures"/>
    <n v="1"/>
    <s v="10-20hrs"/>
    <x v="1"/>
  </r>
  <r>
    <n v="369"/>
    <d v="2024-02-14T00:00:00"/>
    <s v="Standard"/>
    <n v="399"/>
    <n v="16.399999999999999"/>
    <n v="0"/>
    <n v="4"/>
    <n v="11"/>
    <n v="41"/>
    <s v="No"/>
    <s v="No"/>
    <s v="Yes"/>
    <s v="No"/>
    <s v="Yes"/>
    <s v="No"/>
    <m/>
    <s v="1+ Failures"/>
    <n v="0"/>
    <s v="10-20hrs"/>
    <x v="0"/>
  </r>
  <r>
    <n v="370"/>
    <d v="2024-06-15T00:00:00"/>
    <s v="Standard"/>
    <n v="399"/>
    <n v="3.1"/>
    <n v="1"/>
    <n v="2"/>
    <n v="28"/>
    <n v="14"/>
    <s v="Yes"/>
    <s v="Yes"/>
    <s v="Yes"/>
    <s v="No"/>
    <s v="No"/>
    <s v="No"/>
    <m/>
    <s v="1+ Failures"/>
    <n v="1"/>
    <s v="0-5 hrs"/>
    <x v="1"/>
  </r>
  <r>
    <n v="371"/>
    <d v="2024-12-08T00:00:00"/>
    <s v="Premium"/>
    <n v="699"/>
    <n v="11.4"/>
    <n v="6"/>
    <n v="3"/>
    <n v="15"/>
    <n v="49"/>
    <s v="Yes"/>
    <s v="No"/>
    <s v="Yes"/>
    <s v="Yes"/>
    <s v="Yes"/>
    <s v="No"/>
    <m/>
    <s v="1+ Failures"/>
    <n v="1"/>
    <s v="10-20hrs"/>
    <x v="1"/>
  </r>
  <r>
    <n v="372"/>
    <d v="2023-03-29T00:00:00"/>
    <s v="Premium"/>
    <n v="699"/>
    <n v="9"/>
    <n v="0"/>
    <n v="3"/>
    <n v="10"/>
    <n v="6"/>
    <s v="Yes"/>
    <s v="No"/>
    <s v="Yes"/>
    <s v="No"/>
    <s v="No"/>
    <s v="No"/>
    <m/>
    <s v="1+ Failures"/>
    <n v="1"/>
    <s v="5-10 hrs"/>
    <x v="0"/>
  </r>
  <r>
    <n v="373"/>
    <d v="2024-05-09T00:00:00"/>
    <s v="Basic"/>
    <n v="199"/>
    <n v="9"/>
    <n v="5"/>
    <n v="3"/>
    <n v="10"/>
    <n v="50"/>
    <s v="Yes"/>
    <s v="No"/>
    <s v="Yes"/>
    <s v="Yes"/>
    <s v="Yes"/>
    <s v="No"/>
    <m/>
    <s v="1+ Failures"/>
    <n v="1"/>
    <s v="5-10 hrs"/>
    <x v="0"/>
  </r>
  <r>
    <n v="374"/>
    <d v="2024-12-28T00:00:00"/>
    <s v="Standard"/>
    <n v="399"/>
    <n v="2.9"/>
    <n v="7"/>
    <n v="2"/>
    <n v="31"/>
    <n v="4"/>
    <s v="Yes"/>
    <s v="Yes"/>
    <s v="Yes"/>
    <s v="Yes"/>
    <s v="No"/>
    <s v="No"/>
    <m/>
    <s v="1+ Failures"/>
    <n v="1"/>
    <s v="0-5 hrs"/>
    <x v="1"/>
  </r>
  <r>
    <n v="375"/>
    <d v="2023-09-07T00:00:00"/>
    <s v="Basic"/>
    <n v="199"/>
    <n v="21.3"/>
    <n v="1"/>
    <n v="5"/>
    <n v="2"/>
    <n v="51"/>
    <s v="Yes"/>
    <s v="No"/>
    <s v="Yes"/>
    <s v="No"/>
    <s v="Yes"/>
    <s v="Yes"/>
    <m/>
    <s v="1+ Failures"/>
    <n v="1"/>
    <s v="20+ hrs"/>
    <x v="2"/>
  </r>
  <r>
    <n v="376"/>
    <d v="2023-08-26T00:00:00"/>
    <s v="Premium"/>
    <n v="699"/>
    <n v="14"/>
    <n v="5"/>
    <n v="4"/>
    <n v="12"/>
    <n v="27"/>
    <s v="No"/>
    <s v="No"/>
    <s v="Yes"/>
    <s v="Yes"/>
    <s v="Yes"/>
    <s v="No"/>
    <m/>
    <s v="1+ Failures"/>
    <n v="0"/>
    <s v="10-20hrs"/>
    <x v="0"/>
  </r>
  <r>
    <n v="377"/>
    <d v="2023-07-22T00:00:00"/>
    <s v="Standard"/>
    <n v="399"/>
    <n v="5.0999999999999996"/>
    <n v="6"/>
    <n v="3"/>
    <n v="12"/>
    <n v="1"/>
    <s v="No"/>
    <s v="No"/>
    <s v="Yes"/>
    <s v="Yes"/>
    <s v="No"/>
    <s v="No"/>
    <m/>
    <s v="1+ Failures"/>
    <n v="0"/>
    <s v="5-10 hrs"/>
    <x v="0"/>
  </r>
  <r>
    <n v="378"/>
    <d v="2023-03-06T00:00:00"/>
    <s v="Standard"/>
    <n v="399"/>
    <n v="10"/>
    <n v="3"/>
    <n v="1"/>
    <n v="28"/>
    <n v="17"/>
    <s v="No"/>
    <s v="No"/>
    <s v="Yes"/>
    <s v="No"/>
    <s v="Yes"/>
    <s v="No"/>
    <m/>
    <s v="1+ Failures"/>
    <n v="0"/>
    <s v="5-10 hrs"/>
    <x v="1"/>
  </r>
  <r>
    <n v="379"/>
    <d v="2024-04-13T00:00:00"/>
    <s v="Premium"/>
    <n v="699"/>
    <n v="20.100000000000001"/>
    <n v="8"/>
    <n v="1"/>
    <n v="7"/>
    <n v="23"/>
    <s v="Yes"/>
    <s v="No"/>
    <s v="Yes"/>
    <s v="Yes"/>
    <s v="Yes"/>
    <s v="No"/>
    <m/>
    <s v="1+ Failures"/>
    <n v="1"/>
    <s v="20+ hrs"/>
    <x v="0"/>
  </r>
  <r>
    <n v="380"/>
    <d v="2024-02-02T00:00:00"/>
    <s v="Basic"/>
    <n v="199"/>
    <n v="16.899999999999999"/>
    <n v="7"/>
    <n v="4"/>
    <n v="17"/>
    <n v="40"/>
    <s v="Yes"/>
    <s v="No"/>
    <s v="Yes"/>
    <s v="Yes"/>
    <s v="Yes"/>
    <s v="No"/>
    <m/>
    <s v="1+ Failures"/>
    <n v="1"/>
    <s v="10-20hrs"/>
    <x v="1"/>
  </r>
  <r>
    <n v="381"/>
    <d v="2023-06-26T00:00:00"/>
    <s v="Premium"/>
    <n v="699"/>
    <n v="14.9"/>
    <n v="5"/>
    <n v="2"/>
    <n v="26"/>
    <n v="54"/>
    <s v="Yes"/>
    <s v="No"/>
    <s v="Yes"/>
    <s v="Yes"/>
    <s v="Yes"/>
    <s v="No"/>
    <m/>
    <s v="1+ Failures"/>
    <n v="1"/>
    <s v="10-20hrs"/>
    <x v="1"/>
  </r>
  <r>
    <n v="382"/>
    <d v="2023-09-02T00:00:00"/>
    <s v="Premium"/>
    <n v="699"/>
    <n v="23"/>
    <n v="1"/>
    <n v="5"/>
    <n v="20"/>
    <n v="8"/>
    <s v="Yes"/>
    <s v="No"/>
    <s v="Yes"/>
    <s v="No"/>
    <s v="No"/>
    <s v="No"/>
    <m/>
    <s v="1+ Failures"/>
    <n v="1"/>
    <s v="20+ hrs"/>
    <x v="1"/>
  </r>
  <r>
    <n v="383"/>
    <d v="2023-05-22T00:00:00"/>
    <s v="Standard"/>
    <n v="399"/>
    <n v="5"/>
    <n v="2"/>
    <n v="4"/>
    <n v="8"/>
    <n v="24"/>
    <s v="Yes"/>
    <s v="No"/>
    <s v="Yes"/>
    <s v="No"/>
    <s v="Yes"/>
    <s v="No"/>
    <m/>
    <s v="1+ Failures"/>
    <n v="1"/>
    <s v="0-5 hrs"/>
    <x v="0"/>
  </r>
  <r>
    <n v="384"/>
    <d v="2024-10-22T00:00:00"/>
    <s v="Premium"/>
    <n v="699"/>
    <n v="10.9"/>
    <n v="7"/>
    <n v="5"/>
    <n v="25"/>
    <n v="34"/>
    <s v="Yes"/>
    <s v="No"/>
    <s v="Yes"/>
    <s v="Yes"/>
    <s v="Yes"/>
    <s v="No"/>
    <m/>
    <s v="1+ Failures"/>
    <n v="1"/>
    <s v="10-20hrs"/>
    <x v="1"/>
  </r>
  <r>
    <n v="385"/>
    <d v="2024-04-06T00:00:00"/>
    <s v="Basic"/>
    <n v="199"/>
    <n v="4.5999999999999996"/>
    <n v="4"/>
    <n v="1"/>
    <n v="36"/>
    <n v="11"/>
    <s v="Yes"/>
    <s v="Yes"/>
    <s v="Yes"/>
    <s v="No"/>
    <s v="No"/>
    <s v="No"/>
    <m/>
    <s v="1+ Failures"/>
    <n v="1"/>
    <s v="0-5 hrs"/>
    <x v="1"/>
  </r>
  <r>
    <n v="386"/>
    <d v="2024-01-29T00:00:00"/>
    <s v="Premium"/>
    <n v="699"/>
    <n v="21.7"/>
    <n v="0"/>
    <n v="3"/>
    <n v="4"/>
    <n v="8"/>
    <s v="Yes"/>
    <s v="No"/>
    <s v="Yes"/>
    <s v="No"/>
    <s v="No"/>
    <s v="Yes"/>
    <m/>
    <s v="1+ Failures"/>
    <n v="1"/>
    <s v="20+ hrs"/>
    <x v="3"/>
  </r>
  <r>
    <n v="387"/>
    <d v="2024-03-30T00:00:00"/>
    <s v="Premium"/>
    <n v="699"/>
    <n v="16.5"/>
    <n v="6"/>
    <n v="5"/>
    <n v="33"/>
    <n v="31"/>
    <s v="Yes"/>
    <s v="No"/>
    <s v="Yes"/>
    <s v="Yes"/>
    <s v="Yes"/>
    <s v="No"/>
    <m/>
    <s v="1+ Failures"/>
    <n v="1"/>
    <s v="10-20hrs"/>
    <x v="1"/>
  </r>
  <r>
    <n v="388"/>
    <d v="2023-08-19T00:00:00"/>
    <s v="Standard"/>
    <n v="399"/>
    <n v="2.5"/>
    <n v="0"/>
    <n v="1"/>
    <n v="11"/>
    <n v="18"/>
    <s v="Yes"/>
    <s v="Yes"/>
    <s v="Yes"/>
    <s v="No"/>
    <s v="Yes"/>
    <s v="No"/>
    <m/>
    <s v="1+ Failures"/>
    <n v="1"/>
    <s v="0-5 hrs"/>
    <x v="0"/>
  </r>
  <r>
    <n v="389"/>
    <d v="2024-05-22T00:00:00"/>
    <s v="Premium"/>
    <n v="699"/>
    <n v="4.5999999999999996"/>
    <n v="7"/>
    <n v="4"/>
    <n v="19"/>
    <n v="47"/>
    <s v="Yes"/>
    <s v="Yes"/>
    <s v="Yes"/>
    <s v="Yes"/>
    <s v="Yes"/>
    <s v="No"/>
    <m/>
    <s v="1+ Failures"/>
    <n v="1"/>
    <s v="0-5 hrs"/>
    <x v="1"/>
  </r>
  <r>
    <n v="390"/>
    <d v="2024-01-11T00:00:00"/>
    <s v="Premium"/>
    <n v="699"/>
    <n v="3.3"/>
    <n v="1"/>
    <n v="2"/>
    <n v="33"/>
    <n v="49"/>
    <s v="Yes"/>
    <s v="Yes"/>
    <s v="Yes"/>
    <s v="No"/>
    <s v="Yes"/>
    <s v="No"/>
    <m/>
    <s v="1+ Failures"/>
    <n v="1"/>
    <s v="0-5 hrs"/>
    <x v="1"/>
  </r>
  <r>
    <n v="391"/>
    <d v="2023-04-15T00:00:00"/>
    <s v="Premium"/>
    <n v="699"/>
    <n v="19.100000000000001"/>
    <n v="7"/>
    <n v="4"/>
    <n v="3"/>
    <n v="13"/>
    <s v="No"/>
    <s v="No"/>
    <s v="Yes"/>
    <s v="Yes"/>
    <s v="No"/>
    <s v="Yes"/>
    <m/>
    <s v="1+ Failures"/>
    <n v="0"/>
    <s v="10-20hrs"/>
    <x v="2"/>
  </r>
  <r>
    <n v="392"/>
    <d v="2023-03-31T00:00:00"/>
    <s v="Premium"/>
    <n v="699"/>
    <n v="7.8"/>
    <n v="0"/>
    <n v="3"/>
    <n v="16"/>
    <n v="16"/>
    <s v="Yes"/>
    <s v="No"/>
    <s v="Yes"/>
    <s v="No"/>
    <s v="Yes"/>
    <s v="No"/>
    <m/>
    <s v="1+ Failures"/>
    <n v="1"/>
    <s v="5-10 hrs"/>
    <x v="1"/>
  </r>
  <r>
    <n v="393"/>
    <d v="2024-12-06T00:00:00"/>
    <s v="Standard"/>
    <n v="399"/>
    <n v="19.5"/>
    <n v="3"/>
    <n v="1"/>
    <n v="8"/>
    <n v="51"/>
    <s v="No"/>
    <s v="No"/>
    <s v="Yes"/>
    <s v="No"/>
    <s v="Yes"/>
    <s v="No"/>
    <m/>
    <s v="1+ Failures"/>
    <n v="0"/>
    <s v="10-20hrs"/>
    <x v="0"/>
  </r>
  <r>
    <n v="394"/>
    <d v="2023-03-02T00:00:00"/>
    <s v="Standard"/>
    <n v="399"/>
    <n v="4.5999999999999996"/>
    <n v="2"/>
    <n v="1"/>
    <n v="28"/>
    <n v="52"/>
    <s v="Yes"/>
    <s v="Yes"/>
    <s v="Yes"/>
    <s v="No"/>
    <s v="Yes"/>
    <s v="No"/>
    <m/>
    <s v="1+ Failures"/>
    <n v="1"/>
    <s v="0-5 hrs"/>
    <x v="1"/>
  </r>
  <r>
    <n v="395"/>
    <d v="2023-10-27T00:00:00"/>
    <s v="Premium"/>
    <n v="699"/>
    <n v="13.5"/>
    <n v="8"/>
    <n v="1"/>
    <n v="23"/>
    <n v="20"/>
    <s v="No"/>
    <s v="No"/>
    <s v="Yes"/>
    <s v="Yes"/>
    <s v="Yes"/>
    <s v="No"/>
    <m/>
    <s v="1+ Failures"/>
    <n v="0"/>
    <s v="10-20hrs"/>
    <x v="1"/>
  </r>
  <r>
    <n v="396"/>
    <d v="2024-02-26T00:00:00"/>
    <s v="Standard"/>
    <n v="399"/>
    <n v="23.8"/>
    <n v="8"/>
    <n v="5"/>
    <n v="18"/>
    <n v="52"/>
    <s v="Yes"/>
    <s v="No"/>
    <s v="Yes"/>
    <s v="Yes"/>
    <s v="Yes"/>
    <s v="No"/>
    <m/>
    <s v="1+ Failures"/>
    <n v="1"/>
    <s v="20+ hrs"/>
    <x v="1"/>
  </r>
  <r>
    <n v="397"/>
    <d v="2023-05-30T00:00:00"/>
    <s v="Basic"/>
    <n v="199"/>
    <n v="21.7"/>
    <n v="2"/>
    <n v="5"/>
    <n v="18"/>
    <n v="55"/>
    <s v="Yes"/>
    <s v="No"/>
    <s v="Yes"/>
    <s v="No"/>
    <s v="Yes"/>
    <s v="No"/>
    <m/>
    <s v="1+ Failures"/>
    <n v="1"/>
    <s v="20+ hrs"/>
    <x v="1"/>
  </r>
  <r>
    <n v="398"/>
    <d v="2023-10-03T00:00:00"/>
    <s v="Premium"/>
    <n v="699"/>
    <n v="20.8"/>
    <n v="6"/>
    <n v="3"/>
    <n v="21"/>
    <n v="9"/>
    <s v="No"/>
    <s v="No"/>
    <s v="Yes"/>
    <s v="Yes"/>
    <s v="No"/>
    <s v="No"/>
    <m/>
    <s v="1+ Failures"/>
    <n v="0"/>
    <s v="20+ hrs"/>
    <x v="1"/>
  </r>
  <r>
    <n v="399"/>
    <d v="2023-04-06T00:00:00"/>
    <s v="Premium"/>
    <n v="699"/>
    <n v="9.6999999999999993"/>
    <n v="1"/>
    <n v="5"/>
    <n v="27"/>
    <n v="50"/>
    <s v="No"/>
    <s v="No"/>
    <s v="Yes"/>
    <s v="No"/>
    <s v="Yes"/>
    <s v="No"/>
    <m/>
    <s v="1+ Failures"/>
    <n v="0"/>
    <s v="5-10 hrs"/>
    <x v="1"/>
  </r>
  <r>
    <n v="400"/>
    <d v="2024-08-18T00:00:00"/>
    <s v="Standard"/>
    <n v="399"/>
    <n v="18.899999999999999"/>
    <n v="5"/>
    <n v="3"/>
    <n v="33"/>
    <n v="60"/>
    <s v="Yes"/>
    <s v="No"/>
    <s v="Yes"/>
    <s v="Yes"/>
    <s v="Yes"/>
    <s v="No"/>
    <m/>
    <s v="1+ Failures"/>
    <n v="1"/>
    <s v="10-20hrs"/>
    <x v="1"/>
  </r>
  <r>
    <n v="401"/>
    <d v="2023-03-06T00:00:00"/>
    <s v="Basic"/>
    <n v="199"/>
    <n v="18.399999999999999"/>
    <n v="7"/>
    <n v="5"/>
    <n v="6"/>
    <n v="42"/>
    <s v="Yes"/>
    <s v="No"/>
    <s v="Yes"/>
    <s v="Yes"/>
    <s v="Yes"/>
    <s v="No"/>
    <m/>
    <s v="1+ Failures"/>
    <n v="1"/>
    <s v="10-20hrs"/>
    <x v="3"/>
  </r>
  <r>
    <n v="402"/>
    <d v="2023-10-18T00:00:00"/>
    <s v="Premium"/>
    <n v="699"/>
    <n v="5.8"/>
    <n v="6"/>
    <n v="1"/>
    <n v="26"/>
    <n v="31"/>
    <s v="Yes"/>
    <s v="No"/>
    <s v="Yes"/>
    <s v="Yes"/>
    <s v="Yes"/>
    <s v="No"/>
    <m/>
    <s v="1+ Failures"/>
    <n v="1"/>
    <s v="5-10 hrs"/>
    <x v="1"/>
  </r>
  <r>
    <n v="403"/>
    <d v="2023-02-19T00:00:00"/>
    <s v="Standard"/>
    <n v="399"/>
    <n v="14.7"/>
    <n v="7"/>
    <n v="2"/>
    <n v="36"/>
    <n v="57"/>
    <s v="Yes"/>
    <s v="No"/>
    <s v="Yes"/>
    <s v="Yes"/>
    <s v="Yes"/>
    <s v="No"/>
    <m/>
    <s v="1+ Failures"/>
    <n v="1"/>
    <s v="10-20hrs"/>
    <x v="1"/>
  </r>
  <r>
    <n v="404"/>
    <d v="2023-06-11T00:00:00"/>
    <s v="Basic"/>
    <n v="199"/>
    <n v="15.8"/>
    <n v="7"/>
    <n v="0"/>
    <n v="7"/>
    <n v="7"/>
    <s v="No"/>
    <s v="No"/>
    <s v="No"/>
    <s v="Yes"/>
    <s v="No"/>
    <s v="No"/>
    <m/>
    <s v="0 Failures"/>
    <n v="0"/>
    <s v="10-20hrs"/>
    <x v="0"/>
  </r>
  <r>
    <n v="405"/>
    <d v="2024-10-27T00:00:00"/>
    <s v="Standard"/>
    <n v="399"/>
    <n v="0.5"/>
    <n v="6"/>
    <n v="1"/>
    <n v="30"/>
    <n v="44"/>
    <s v="No"/>
    <s v="Yes"/>
    <s v="Yes"/>
    <s v="Yes"/>
    <s v="Yes"/>
    <s v="No"/>
    <m/>
    <s v="1+ Failures"/>
    <n v="0"/>
    <s v="0-5 hrs"/>
    <x v="1"/>
  </r>
  <r>
    <n v="406"/>
    <d v="2023-03-26T00:00:00"/>
    <s v="Standard"/>
    <n v="399"/>
    <n v="21.9"/>
    <n v="4"/>
    <n v="0"/>
    <n v="11"/>
    <n v="41"/>
    <s v="Yes"/>
    <s v="No"/>
    <s v="No"/>
    <s v="No"/>
    <s v="Yes"/>
    <s v="No"/>
    <m/>
    <s v="0 Failures"/>
    <n v="1"/>
    <s v="20+ hrs"/>
    <x v="0"/>
  </r>
  <r>
    <n v="407"/>
    <d v="2024-03-15T00:00:00"/>
    <s v="Standard"/>
    <n v="399"/>
    <n v="1.8"/>
    <n v="4"/>
    <n v="5"/>
    <n v="11"/>
    <n v="44"/>
    <s v="Yes"/>
    <s v="Yes"/>
    <s v="Yes"/>
    <s v="No"/>
    <s v="Yes"/>
    <s v="No"/>
    <m/>
    <s v="1+ Failures"/>
    <n v="1"/>
    <s v="0-5 hrs"/>
    <x v="0"/>
  </r>
  <r>
    <n v="408"/>
    <d v="2024-08-30T00:00:00"/>
    <s v="Premium"/>
    <n v="699"/>
    <n v="17.7"/>
    <n v="0"/>
    <n v="1"/>
    <n v="6"/>
    <n v="30"/>
    <s v="Yes"/>
    <s v="No"/>
    <s v="Yes"/>
    <s v="No"/>
    <s v="Yes"/>
    <s v="No"/>
    <m/>
    <s v="1+ Failures"/>
    <n v="1"/>
    <s v="10-20hrs"/>
    <x v="3"/>
  </r>
  <r>
    <n v="409"/>
    <d v="2023-05-04T00:00:00"/>
    <s v="Basic"/>
    <n v="199"/>
    <n v="17.2"/>
    <n v="0"/>
    <n v="0"/>
    <n v="34"/>
    <n v="44"/>
    <s v="Yes"/>
    <s v="No"/>
    <s v="No"/>
    <s v="No"/>
    <s v="Yes"/>
    <s v="No"/>
    <m/>
    <s v="0 Failures"/>
    <n v="1"/>
    <s v="10-20hrs"/>
    <x v="1"/>
  </r>
  <r>
    <n v="410"/>
    <d v="2023-04-15T00:00:00"/>
    <s v="Standard"/>
    <n v="399"/>
    <n v="12.2"/>
    <n v="3"/>
    <n v="3"/>
    <n v="9"/>
    <n v="5"/>
    <s v="No"/>
    <s v="No"/>
    <s v="Yes"/>
    <s v="No"/>
    <s v="No"/>
    <s v="No"/>
    <m/>
    <s v="1+ Failures"/>
    <n v="0"/>
    <s v="10-20hrs"/>
    <x v="0"/>
  </r>
  <r>
    <n v="411"/>
    <d v="2023-05-17T00:00:00"/>
    <s v="Basic"/>
    <n v="199"/>
    <n v="9.5"/>
    <n v="4"/>
    <n v="1"/>
    <n v="21"/>
    <n v="24"/>
    <s v="No"/>
    <s v="No"/>
    <s v="Yes"/>
    <s v="No"/>
    <s v="Yes"/>
    <s v="No"/>
    <m/>
    <s v="1+ Failures"/>
    <n v="0"/>
    <s v="5-10 hrs"/>
    <x v="1"/>
  </r>
  <r>
    <n v="412"/>
    <d v="2023-12-26T00:00:00"/>
    <s v="Premium"/>
    <n v="699"/>
    <n v="2.2000000000000002"/>
    <n v="0"/>
    <n v="4"/>
    <n v="10"/>
    <n v="41"/>
    <s v="Yes"/>
    <s v="Yes"/>
    <s v="Yes"/>
    <s v="No"/>
    <s v="Yes"/>
    <s v="No"/>
    <m/>
    <s v="1+ Failures"/>
    <n v="1"/>
    <s v="0-5 hrs"/>
    <x v="0"/>
  </r>
  <r>
    <n v="413"/>
    <d v="2023-08-11T00:00:00"/>
    <s v="Premium"/>
    <n v="699"/>
    <n v="15.9"/>
    <n v="2"/>
    <n v="3"/>
    <n v="14"/>
    <n v="39"/>
    <s v="No"/>
    <s v="No"/>
    <s v="Yes"/>
    <s v="No"/>
    <s v="Yes"/>
    <s v="No"/>
    <m/>
    <s v="1+ Failures"/>
    <n v="0"/>
    <s v="10-20hrs"/>
    <x v="1"/>
  </r>
  <r>
    <n v="414"/>
    <d v="2024-03-15T00:00:00"/>
    <s v="Basic"/>
    <n v="199"/>
    <n v="3.9"/>
    <n v="1"/>
    <n v="4"/>
    <n v="7"/>
    <n v="46"/>
    <s v="Yes"/>
    <s v="Yes"/>
    <s v="Yes"/>
    <s v="No"/>
    <s v="Yes"/>
    <s v="No"/>
    <m/>
    <s v="1+ Failures"/>
    <n v="1"/>
    <s v="0-5 hrs"/>
    <x v="0"/>
  </r>
  <r>
    <n v="415"/>
    <d v="2024-09-14T00:00:00"/>
    <s v="Standard"/>
    <n v="399"/>
    <n v="6.6"/>
    <n v="1"/>
    <n v="1"/>
    <n v="9"/>
    <n v="35"/>
    <s v="No"/>
    <s v="No"/>
    <s v="Yes"/>
    <s v="No"/>
    <s v="Yes"/>
    <s v="No"/>
    <m/>
    <s v="1+ Failures"/>
    <n v="0"/>
    <s v="5-10 hrs"/>
    <x v="0"/>
  </r>
  <r>
    <n v="416"/>
    <d v="2023-07-13T00:00:00"/>
    <s v="Standard"/>
    <n v="399"/>
    <n v="21.3"/>
    <n v="4"/>
    <n v="1"/>
    <n v="2"/>
    <n v="33"/>
    <s v="No"/>
    <s v="No"/>
    <s v="Yes"/>
    <s v="No"/>
    <s v="Yes"/>
    <s v="Yes"/>
    <m/>
    <s v="1+ Failures"/>
    <n v="0"/>
    <s v="20+ hrs"/>
    <x v="2"/>
  </r>
  <r>
    <n v="417"/>
    <d v="2023-09-04T00:00:00"/>
    <s v="Premium"/>
    <n v="699"/>
    <n v="7.7"/>
    <n v="0"/>
    <n v="1"/>
    <n v="26"/>
    <n v="31"/>
    <s v="No"/>
    <s v="No"/>
    <s v="Yes"/>
    <s v="No"/>
    <s v="Yes"/>
    <s v="No"/>
    <m/>
    <s v="1+ Failures"/>
    <n v="0"/>
    <s v="5-10 hrs"/>
    <x v="1"/>
  </r>
  <r>
    <n v="418"/>
    <d v="2024-02-01T00:00:00"/>
    <s v="Standard"/>
    <n v="399"/>
    <n v="13.4"/>
    <n v="0"/>
    <n v="2"/>
    <n v="5"/>
    <n v="59"/>
    <s v="Yes"/>
    <s v="No"/>
    <s v="Yes"/>
    <s v="No"/>
    <s v="Yes"/>
    <s v="Yes"/>
    <m/>
    <s v="1+ Failures"/>
    <n v="1"/>
    <s v="10-20hrs"/>
    <x v="3"/>
  </r>
  <r>
    <n v="419"/>
    <d v="2024-08-24T00:00:00"/>
    <s v="Premium"/>
    <n v="699"/>
    <n v="9.5"/>
    <n v="2"/>
    <n v="3"/>
    <n v="27"/>
    <n v="49"/>
    <s v="Yes"/>
    <s v="No"/>
    <s v="Yes"/>
    <s v="No"/>
    <s v="Yes"/>
    <s v="No"/>
    <m/>
    <s v="1+ Failures"/>
    <n v="1"/>
    <s v="5-10 hrs"/>
    <x v="1"/>
  </r>
  <r>
    <n v="420"/>
    <d v="2024-06-02T00:00:00"/>
    <s v="Basic"/>
    <n v="199"/>
    <n v="6.9"/>
    <n v="0"/>
    <n v="0"/>
    <n v="1"/>
    <n v="60"/>
    <s v="No"/>
    <s v="No"/>
    <s v="No"/>
    <s v="No"/>
    <s v="Yes"/>
    <s v="Yes"/>
    <m/>
    <s v="0 Failures"/>
    <n v="0"/>
    <s v="5-10 hrs"/>
    <x v="2"/>
  </r>
  <r>
    <n v="421"/>
    <d v="2024-07-03T00:00:00"/>
    <s v="Standard"/>
    <n v="399"/>
    <n v="19.3"/>
    <n v="6"/>
    <n v="5"/>
    <n v="33"/>
    <n v="25"/>
    <s v="Yes"/>
    <s v="No"/>
    <s v="Yes"/>
    <s v="Yes"/>
    <s v="Yes"/>
    <s v="No"/>
    <m/>
    <s v="1+ Failures"/>
    <n v="1"/>
    <s v="10-20hrs"/>
    <x v="1"/>
  </r>
  <r>
    <n v="422"/>
    <d v="2023-06-09T00:00:00"/>
    <s v="Premium"/>
    <n v="699"/>
    <n v="7.3"/>
    <n v="4"/>
    <n v="0"/>
    <n v="10"/>
    <n v="32"/>
    <s v="No"/>
    <s v="No"/>
    <s v="No"/>
    <s v="No"/>
    <s v="Yes"/>
    <s v="No"/>
    <m/>
    <s v="0 Failures"/>
    <n v="0"/>
    <s v="5-10 hrs"/>
    <x v="0"/>
  </r>
  <r>
    <n v="423"/>
    <d v="2023-09-02T00:00:00"/>
    <s v="Premium"/>
    <n v="699"/>
    <n v="10.1"/>
    <n v="1"/>
    <n v="2"/>
    <n v="21"/>
    <n v="44"/>
    <s v="Yes"/>
    <s v="No"/>
    <s v="Yes"/>
    <s v="No"/>
    <s v="Yes"/>
    <s v="No"/>
    <m/>
    <s v="1+ Failures"/>
    <n v="1"/>
    <s v="10-20hrs"/>
    <x v="1"/>
  </r>
  <r>
    <n v="424"/>
    <d v="2023-02-26T00:00:00"/>
    <s v="Basic"/>
    <n v="199"/>
    <n v="2.6"/>
    <n v="6"/>
    <n v="0"/>
    <n v="16"/>
    <n v="29"/>
    <s v="Yes"/>
    <s v="Yes"/>
    <s v="No"/>
    <s v="Yes"/>
    <s v="Yes"/>
    <s v="No"/>
    <m/>
    <s v="0 Failures"/>
    <n v="1"/>
    <s v="0-5 hrs"/>
    <x v="1"/>
  </r>
  <r>
    <n v="425"/>
    <d v="2023-12-22T00:00:00"/>
    <s v="Standard"/>
    <n v="399"/>
    <n v="3.4"/>
    <n v="2"/>
    <n v="5"/>
    <n v="12"/>
    <n v="0"/>
    <s v="Yes"/>
    <s v="Yes"/>
    <s v="Yes"/>
    <s v="No"/>
    <s v="No"/>
    <s v="No"/>
    <m/>
    <s v="1+ Failures"/>
    <n v="1"/>
    <s v="0-5 hrs"/>
    <x v="0"/>
  </r>
  <r>
    <n v="426"/>
    <d v="2023-10-03T00:00:00"/>
    <s v="Premium"/>
    <n v="699"/>
    <n v="19.7"/>
    <n v="4"/>
    <n v="1"/>
    <n v="34"/>
    <n v="23"/>
    <s v="Yes"/>
    <s v="No"/>
    <s v="Yes"/>
    <s v="No"/>
    <s v="Yes"/>
    <s v="No"/>
    <m/>
    <s v="1+ Failures"/>
    <n v="1"/>
    <s v="10-20hrs"/>
    <x v="1"/>
  </r>
  <r>
    <n v="427"/>
    <d v="2024-06-20T00:00:00"/>
    <s v="Premium"/>
    <n v="699"/>
    <n v="19.399999999999999"/>
    <n v="0"/>
    <n v="2"/>
    <n v="8"/>
    <n v="51"/>
    <s v="Yes"/>
    <s v="No"/>
    <s v="Yes"/>
    <s v="No"/>
    <s v="Yes"/>
    <s v="No"/>
    <m/>
    <s v="1+ Failures"/>
    <n v="1"/>
    <s v="10-20hrs"/>
    <x v="0"/>
  </r>
  <r>
    <n v="428"/>
    <d v="2023-02-26T00:00:00"/>
    <s v="Basic"/>
    <n v="199"/>
    <n v="18"/>
    <n v="1"/>
    <n v="3"/>
    <n v="17"/>
    <n v="29"/>
    <s v="Yes"/>
    <s v="No"/>
    <s v="Yes"/>
    <s v="No"/>
    <s v="Yes"/>
    <s v="No"/>
    <m/>
    <s v="1+ Failures"/>
    <n v="1"/>
    <s v="10-20hrs"/>
    <x v="1"/>
  </r>
  <r>
    <n v="429"/>
    <d v="2023-04-29T00:00:00"/>
    <s v="Standard"/>
    <n v="399"/>
    <n v="9.5"/>
    <n v="4"/>
    <n v="0"/>
    <n v="11"/>
    <n v="57"/>
    <s v="No"/>
    <s v="No"/>
    <s v="No"/>
    <s v="No"/>
    <s v="Yes"/>
    <s v="No"/>
    <m/>
    <s v="0 Failures"/>
    <n v="0"/>
    <s v="5-10 hrs"/>
    <x v="0"/>
  </r>
  <r>
    <n v="430"/>
    <d v="2024-01-28T00:00:00"/>
    <s v="Basic"/>
    <n v="199"/>
    <n v="0.6"/>
    <n v="0"/>
    <n v="1"/>
    <n v="33"/>
    <n v="2"/>
    <s v="No"/>
    <s v="Yes"/>
    <s v="Yes"/>
    <s v="No"/>
    <s v="No"/>
    <s v="No"/>
    <m/>
    <s v="1+ Failures"/>
    <n v="0"/>
    <s v="0-5 hrs"/>
    <x v="1"/>
  </r>
  <r>
    <n v="431"/>
    <d v="2024-11-02T00:00:00"/>
    <s v="Basic"/>
    <n v="199"/>
    <n v="23.3"/>
    <n v="0"/>
    <n v="4"/>
    <n v="12"/>
    <n v="51"/>
    <s v="No"/>
    <s v="No"/>
    <s v="Yes"/>
    <s v="No"/>
    <s v="Yes"/>
    <s v="No"/>
    <m/>
    <s v="1+ Failures"/>
    <n v="0"/>
    <s v="20+ hrs"/>
    <x v="0"/>
  </r>
  <r>
    <n v="432"/>
    <d v="2023-03-21T00:00:00"/>
    <s v="Standard"/>
    <n v="399"/>
    <n v="8.4"/>
    <n v="6"/>
    <n v="5"/>
    <n v="15"/>
    <n v="20"/>
    <s v="Yes"/>
    <s v="No"/>
    <s v="Yes"/>
    <s v="Yes"/>
    <s v="Yes"/>
    <s v="No"/>
    <m/>
    <s v="1+ Failures"/>
    <n v="1"/>
    <s v="5-10 hrs"/>
    <x v="1"/>
  </r>
  <r>
    <n v="433"/>
    <d v="2023-02-17T00:00:00"/>
    <s v="Premium"/>
    <n v="699"/>
    <n v="3.4"/>
    <n v="0"/>
    <n v="1"/>
    <n v="24"/>
    <n v="14"/>
    <s v="No"/>
    <s v="Yes"/>
    <s v="Yes"/>
    <s v="No"/>
    <s v="No"/>
    <s v="No"/>
    <m/>
    <s v="1+ Failures"/>
    <n v="0"/>
    <s v="0-5 hrs"/>
    <x v="1"/>
  </r>
  <r>
    <n v="434"/>
    <d v="2024-04-12T00:00:00"/>
    <s v="Standard"/>
    <n v="399"/>
    <n v="22"/>
    <n v="4"/>
    <n v="2"/>
    <n v="5"/>
    <n v="20"/>
    <s v="Yes"/>
    <s v="No"/>
    <s v="Yes"/>
    <s v="No"/>
    <s v="Yes"/>
    <s v="Yes"/>
    <m/>
    <s v="1+ Failures"/>
    <n v="1"/>
    <s v="20+ hrs"/>
    <x v="3"/>
  </r>
  <r>
    <n v="435"/>
    <d v="2024-01-13T00:00:00"/>
    <s v="Basic"/>
    <n v="199"/>
    <n v="5.4"/>
    <n v="4"/>
    <n v="5"/>
    <n v="24"/>
    <n v="39"/>
    <s v="Yes"/>
    <s v="No"/>
    <s v="Yes"/>
    <s v="No"/>
    <s v="Yes"/>
    <s v="No"/>
    <m/>
    <s v="1+ Failures"/>
    <n v="1"/>
    <s v="5-10 hrs"/>
    <x v="1"/>
  </r>
  <r>
    <n v="436"/>
    <d v="2023-09-09T00:00:00"/>
    <s v="Premium"/>
    <n v="699"/>
    <n v="24.9"/>
    <n v="3"/>
    <n v="5"/>
    <n v="32"/>
    <n v="57"/>
    <s v="Yes"/>
    <s v="No"/>
    <s v="Yes"/>
    <s v="No"/>
    <s v="Yes"/>
    <s v="No"/>
    <m/>
    <s v="1+ Failures"/>
    <n v="1"/>
    <s v="20+ hrs"/>
    <x v="1"/>
  </r>
  <r>
    <n v="437"/>
    <d v="2024-12-11T00:00:00"/>
    <s v="Basic"/>
    <n v="199"/>
    <n v="23.3"/>
    <n v="0"/>
    <n v="1"/>
    <n v="1"/>
    <n v="34"/>
    <s v="Yes"/>
    <s v="No"/>
    <s v="Yes"/>
    <s v="No"/>
    <s v="Yes"/>
    <s v="Yes"/>
    <m/>
    <s v="1+ Failures"/>
    <n v="1"/>
    <s v="20+ hrs"/>
    <x v="2"/>
  </r>
  <r>
    <n v="438"/>
    <d v="2023-07-30T00:00:00"/>
    <s v="Basic"/>
    <n v="199"/>
    <n v="0.5"/>
    <n v="6"/>
    <n v="5"/>
    <n v="22"/>
    <n v="46"/>
    <s v="Yes"/>
    <s v="Yes"/>
    <s v="Yes"/>
    <s v="Yes"/>
    <s v="Yes"/>
    <s v="No"/>
    <m/>
    <s v="1+ Failures"/>
    <n v="1"/>
    <s v="0-5 hrs"/>
    <x v="1"/>
  </r>
  <r>
    <n v="439"/>
    <d v="2023-02-14T00:00:00"/>
    <s v="Premium"/>
    <n v="699"/>
    <n v="10.8"/>
    <n v="0"/>
    <n v="1"/>
    <n v="16"/>
    <n v="45"/>
    <s v="Yes"/>
    <s v="No"/>
    <s v="Yes"/>
    <s v="No"/>
    <s v="Yes"/>
    <s v="No"/>
    <m/>
    <s v="1+ Failures"/>
    <n v="1"/>
    <s v="10-20hrs"/>
    <x v="1"/>
  </r>
  <r>
    <n v="440"/>
    <d v="2023-04-08T00:00:00"/>
    <s v="Basic"/>
    <n v="199"/>
    <n v="10.6"/>
    <n v="5"/>
    <n v="3"/>
    <n v="34"/>
    <n v="47"/>
    <s v="Yes"/>
    <s v="No"/>
    <s v="Yes"/>
    <s v="Yes"/>
    <s v="Yes"/>
    <s v="No"/>
    <m/>
    <s v="1+ Failures"/>
    <n v="1"/>
    <s v="10-20hrs"/>
    <x v="1"/>
  </r>
  <r>
    <n v="441"/>
    <d v="2024-03-21T00:00:00"/>
    <s v="Premium"/>
    <n v="699"/>
    <n v="16.100000000000001"/>
    <n v="6"/>
    <n v="0"/>
    <n v="9"/>
    <n v="37"/>
    <s v="No"/>
    <s v="No"/>
    <s v="No"/>
    <s v="Yes"/>
    <s v="Yes"/>
    <s v="No"/>
    <m/>
    <s v="0 Failures"/>
    <n v="0"/>
    <s v="10-20hrs"/>
    <x v="0"/>
  </r>
  <r>
    <n v="442"/>
    <d v="2024-12-18T00:00:00"/>
    <s v="Premium"/>
    <n v="699"/>
    <n v="6.3"/>
    <n v="4"/>
    <n v="2"/>
    <n v="9"/>
    <n v="59"/>
    <s v="No"/>
    <s v="No"/>
    <s v="Yes"/>
    <s v="No"/>
    <s v="Yes"/>
    <s v="No"/>
    <m/>
    <s v="1+ Failures"/>
    <n v="0"/>
    <s v="5-10 hrs"/>
    <x v="0"/>
  </r>
  <r>
    <n v="443"/>
    <d v="2023-05-20T00:00:00"/>
    <s v="Premium"/>
    <n v="699"/>
    <n v="8.3000000000000007"/>
    <n v="4"/>
    <n v="1"/>
    <n v="21"/>
    <n v="4"/>
    <s v="No"/>
    <s v="No"/>
    <s v="Yes"/>
    <s v="No"/>
    <s v="No"/>
    <s v="No"/>
    <m/>
    <s v="1+ Failures"/>
    <n v="0"/>
    <s v="5-10 hrs"/>
    <x v="1"/>
  </r>
  <r>
    <n v="444"/>
    <d v="2023-05-04T00:00:00"/>
    <s v="Premium"/>
    <n v="699"/>
    <n v="4.3"/>
    <n v="2"/>
    <n v="3"/>
    <n v="7"/>
    <n v="29"/>
    <s v="Yes"/>
    <s v="Yes"/>
    <s v="Yes"/>
    <s v="No"/>
    <s v="Yes"/>
    <s v="No"/>
    <m/>
    <s v="1+ Failures"/>
    <n v="1"/>
    <s v="0-5 hrs"/>
    <x v="0"/>
  </r>
  <r>
    <n v="445"/>
    <d v="2023-05-03T00:00:00"/>
    <s v="Premium"/>
    <n v="699"/>
    <n v="24.1"/>
    <n v="3"/>
    <n v="3"/>
    <n v="23"/>
    <n v="19"/>
    <s v="No"/>
    <s v="No"/>
    <s v="Yes"/>
    <s v="No"/>
    <s v="Yes"/>
    <s v="No"/>
    <m/>
    <s v="1+ Failures"/>
    <n v="0"/>
    <s v="20+ hrs"/>
    <x v="1"/>
  </r>
  <r>
    <n v="446"/>
    <d v="2023-08-09T00:00:00"/>
    <s v="Basic"/>
    <n v="199"/>
    <n v="20.3"/>
    <n v="4"/>
    <n v="5"/>
    <n v="11"/>
    <n v="44"/>
    <s v="Yes"/>
    <s v="No"/>
    <s v="Yes"/>
    <s v="No"/>
    <s v="Yes"/>
    <s v="No"/>
    <m/>
    <s v="1+ Failures"/>
    <n v="1"/>
    <s v="20+ hrs"/>
    <x v="0"/>
  </r>
  <r>
    <n v="447"/>
    <d v="2024-11-24T00:00:00"/>
    <s v="Standard"/>
    <n v="399"/>
    <n v="2.7"/>
    <n v="3"/>
    <n v="2"/>
    <n v="10"/>
    <n v="25"/>
    <s v="Yes"/>
    <s v="Yes"/>
    <s v="Yes"/>
    <s v="No"/>
    <s v="Yes"/>
    <s v="No"/>
    <m/>
    <s v="1+ Failures"/>
    <n v="1"/>
    <s v="0-5 hrs"/>
    <x v="0"/>
  </r>
  <r>
    <n v="448"/>
    <d v="2024-04-08T00:00:00"/>
    <s v="Standard"/>
    <n v="399"/>
    <n v="20.6"/>
    <n v="2"/>
    <n v="0"/>
    <n v="17"/>
    <n v="60"/>
    <s v="No"/>
    <s v="No"/>
    <s v="No"/>
    <s v="No"/>
    <s v="Yes"/>
    <s v="No"/>
    <m/>
    <s v="0 Failures"/>
    <n v="0"/>
    <s v="20+ hrs"/>
    <x v="1"/>
  </r>
  <r>
    <n v="449"/>
    <d v="2023-05-05T00:00:00"/>
    <s v="Premium"/>
    <n v="699"/>
    <n v="6.6"/>
    <n v="7"/>
    <n v="0"/>
    <n v="36"/>
    <n v="51"/>
    <s v="No"/>
    <s v="No"/>
    <s v="No"/>
    <s v="Yes"/>
    <s v="Yes"/>
    <s v="No"/>
    <m/>
    <s v="0 Failures"/>
    <n v="0"/>
    <s v="5-10 hrs"/>
    <x v="1"/>
  </r>
  <r>
    <n v="450"/>
    <d v="2024-01-17T00:00:00"/>
    <s v="Basic"/>
    <n v="199"/>
    <n v="20.8"/>
    <n v="3"/>
    <n v="1"/>
    <n v="4"/>
    <n v="12"/>
    <s v="No"/>
    <s v="No"/>
    <s v="Yes"/>
    <s v="No"/>
    <s v="No"/>
    <s v="Yes"/>
    <m/>
    <s v="1+ Failures"/>
    <n v="0"/>
    <s v="20+ hrs"/>
    <x v="3"/>
  </r>
  <r>
    <n v="451"/>
    <d v="2023-07-22T00:00:00"/>
    <s v="Premium"/>
    <n v="699"/>
    <n v="14.8"/>
    <n v="4"/>
    <n v="0"/>
    <n v="6"/>
    <n v="1"/>
    <s v="No"/>
    <s v="No"/>
    <s v="No"/>
    <s v="No"/>
    <s v="No"/>
    <s v="No"/>
    <m/>
    <s v="0 Failures"/>
    <n v="0"/>
    <s v="10-20hrs"/>
    <x v="3"/>
  </r>
  <r>
    <n v="452"/>
    <d v="2024-04-17T00:00:00"/>
    <s v="Premium"/>
    <n v="699"/>
    <n v="20.3"/>
    <n v="1"/>
    <n v="2"/>
    <n v="29"/>
    <n v="7"/>
    <s v="Yes"/>
    <s v="No"/>
    <s v="Yes"/>
    <s v="No"/>
    <s v="No"/>
    <s v="No"/>
    <m/>
    <s v="1+ Failures"/>
    <n v="1"/>
    <s v="20+ hrs"/>
    <x v="1"/>
  </r>
  <r>
    <n v="453"/>
    <d v="2024-01-27T00:00:00"/>
    <s v="Basic"/>
    <n v="199"/>
    <n v="23.1"/>
    <n v="6"/>
    <n v="5"/>
    <n v="11"/>
    <n v="25"/>
    <s v="Yes"/>
    <s v="No"/>
    <s v="Yes"/>
    <s v="Yes"/>
    <s v="Yes"/>
    <s v="No"/>
    <m/>
    <s v="1+ Failures"/>
    <n v="1"/>
    <s v="20+ hrs"/>
    <x v="0"/>
  </r>
  <r>
    <n v="454"/>
    <d v="2023-06-02T00:00:00"/>
    <s v="Premium"/>
    <n v="699"/>
    <n v="4.7"/>
    <n v="3"/>
    <n v="1"/>
    <n v="28"/>
    <n v="17"/>
    <s v="Yes"/>
    <s v="Yes"/>
    <s v="Yes"/>
    <s v="No"/>
    <s v="Yes"/>
    <s v="No"/>
    <m/>
    <s v="1+ Failures"/>
    <n v="1"/>
    <s v="0-5 hrs"/>
    <x v="1"/>
  </r>
  <r>
    <n v="455"/>
    <d v="2023-03-04T00:00:00"/>
    <s v="Basic"/>
    <n v="199"/>
    <n v="16.399999999999999"/>
    <n v="7"/>
    <n v="3"/>
    <n v="16"/>
    <n v="56"/>
    <s v="Yes"/>
    <s v="No"/>
    <s v="Yes"/>
    <s v="Yes"/>
    <s v="Yes"/>
    <s v="No"/>
    <m/>
    <s v="1+ Failures"/>
    <n v="1"/>
    <s v="10-20hrs"/>
    <x v="1"/>
  </r>
  <r>
    <n v="456"/>
    <d v="2024-06-22T00:00:00"/>
    <s v="Basic"/>
    <n v="199"/>
    <n v="9.9"/>
    <n v="6"/>
    <n v="1"/>
    <n v="18"/>
    <n v="41"/>
    <s v="No"/>
    <s v="No"/>
    <s v="Yes"/>
    <s v="Yes"/>
    <s v="Yes"/>
    <s v="No"/>
    <m/>
    <s v="1+ Failures"/>
    <n v="0"/>
    <s v="5-10 hrs"/>
    <x v="1"/>
  </r>
  <r>
    <n v="457"/>
    <d v="2024-05-11T00:00:00"/>
    <s v="Basic"/>
    <n v="199"/>
    <n v="20"/>
    <n v="6"/>
    <n v="5"/>
    <n v="35"/>
    <n v="22"/>
    <s v="Yes"/>
    <s v="No"/>
    <s v="Yes"/>
    <s v="Yes"/>
    <s v="Yes"/>
    <s v="No"/>
    <m/>
    <s v="1+ Failures"/>
    <n v="1"/>
    <s v="10-20hrs"/>
    <x v="1"/>
  </r>
  <r>
    <n v="458"/>
    <d v="2023-08-13T00:00:00"/>
    <s v="Standard"/>
    <n v="399"/>
    <n v="8.4"/>
    <n v="4"/>
    <n v="1"/>
    <n v="33"/>
    <n v="1"/>
    <s v="No"/>
    <s v="No"/>
    <s v="Yes"/>
    <s v="No"/>
    <s v="No"/>
    <s v="No"/>
    <m/>
    <s v="1+ Failures"/>
    <n v="0"/>
    <s v="5-10 hrs"/>
    <x v="1"/>
  </r>
  <r>
    <n v="459"/>
    <d v="2023-08-27T00:00:00"/>
    <s v="Basic"/>
    <n v="199"/>
    <n v="1.9"/>
    <n v="7"/>
    <n v="4"/>
    <n v="18"/>
    <n v="22"/>
    <s v="Yes"/>
    <s v="Yes"/>
    <s v="Yes"/>
    <s v="Yes"/>
    <s v="Yes"/>
    <s v="No"/>
    <m/>
    <s v="1+ Failures"/>
    <n v="1"/>
    <s v="0-5 hrs"/>
    <x v="1"/>
  </r>
  <r>
    <n v="460"/>
    <d v="2023-02-27T00:00:00"/>
    <s v="Basic"/>
    <n v="199"/>
    <n v="6.6"/>
    <n v="3"/>
    <n v="2"/>
    <n v="7"/>
    <n v="34"/>
    <s v="No"/>
    <s v="No"/>
    <s v="Yes"/>
    <s v="No"/>
    <s v="Yes"/>
    <s v="No"/>
    <m/>
    <s v="1+ Failures"/>
    <n v="0"/>
    <s v="5-10 hrs"/>
    <x v="0"/>
  </r>
  <r>
    <n v="461"/>
    <d v="2024-12-15T00:00:00"/>
    <s v="Basic"/>
    <n v="199"/>
    <n v="9.1999999999999993"/>
    <n v="2"/>
    <n v="1"/>
    <n v="25"/>
    <n v="15"/>
    <s v="No"/>
    <s v="No"/>
    <s v="Yes"/>
    <s v="No"/>
    <s v="Yes"/>
    <s v="No"/>
    <m/>
    <s v="1+ Failures"/>
    <n v="0"/>
    <s v="5-10 hrs"/>
    <x v="1"/>
  </r>
  <r>
    <n v="462"/>
    <d v="2023-07-12T00:00:00"/>
    <s v="Standard"/>
    <n v="399"/>
    <n v="17.7"/>
    <n v="5"/>
    <n v="4"/>
    <n v="2"/>
    <n v="36"/>
    <s v="Yes"/>
    <s v="No"/>
    <s v="Yes"/>
    <s v="Yes"/>
    <s v="Yes"/>
    <s v="Yes"/>
    <m/>
    <s v="1+ Failures"/>
    <n v="1"/>
    <s v="10-20hrs"/>
    <x v="2"/>
  </r>
  <r>
    <n v="463"/>
    <d v="2024-09-08T00:00:00"/>
    <s v="Standard"/>
    <n v="399"/>
    <n v="8.1"/>
    <n v="7"/>
    <n v="0"/>
    <n v="35"/>
    <n v="5"/>
    <s v="Yes"/>
    <s v="No"/>
    <s v="No"/>
    <s v="Yes"/>
    <s v="No"/>
    <s v="No"/>
    <m/>
    <s v="0 Failures"/>
    <n v="1"/>
    <s v="5-10 hrs"/>
    <x v="1"/>
  </r>
  <r>
    <n v="464"/>
    <d v="2023-05-14T00:00:00"/>
    <s v="Basic"/>
    <n v="199"/>
    <n v="13.4"/>
    <n v="0"/>
    <n v="2"/>
    <n v="2"/>
    <n v="58"/>
    <s v="No"/>
    <s v="No"/>
    <s v="Yes"/>
    <s v="No"/>
    <s v="Yes"/>
    <s v="Yes"/>
    <m/>
    <s v="1+ Failures"/>
    <n v="0"/>
    <s v="10-20hrs"/>
    <x v="2"/>
  </r>
  <r>
    <n v="465"/>
    <d v="2024-12-22T00:00:00"/>
    <s v="Standard"/>
    <n v="399"/>
    <n v="23"/>
    <n v="5"/>
    <n v="0"/>
    <n v="12"/>
    <n v="1"/>
    <s v="Yes"/>
    <s v="No"/>
    <s v="No"/>
    <s v="Yes"/>
    <s v="No"/>
    <s v="No"/>
    <m/>
    <s v="0 Failures"/>
    <n v="1"/>
    <s v="20+ hrs"/>
    <x v="0"/>
  </r>
  <r>
    <n v="466"/>
    <d v="2024-11-09T00:00:00"/>
    <s v="Basic"/>
    <n v="199"/>
    <n v="21.2"/>
    <n v="5"/>
    <n v="0"/>
    <n v="8"/>
    <n v="23"/>
    <s v="No"/>
    <s v="No"/>
    <s v="No"/>
    <s v="Yes"/>
    <s v="Yes"/>
    <s v="No"/>
    <m/>
    <s v="0 Failures"/>
    <n v="0"/>
    <s v="20+ hrs"/>
    <x v="0"/>
  </r>
  <r>
    <n v="467"/>
    <d v="2024-03-23T00:00:00"/>
    <s v="Standard"/>
    <n v="399"/>
    <n v="8.6999999999999993"/>
    <n v="5"/>
    <n v="1"/>
    <n v="7"/>
    <n v="10"/>
    <s v="No"/>
    <s v="No"/>
    <s v="Yes"/>
    <s v="Yes"/>
    <s v="No"/>
    <s v="No"/>
    <m/>
    <s v="1+ Failures"/>
    <n v="0"/>
    <s v="5-10 hrs"/>
    <x v="0"/>
  </r>
  <r>
    <n v="468"/>
    <d v="2024-09-20T00:00:00"/>
    <s v="Premium"/>
    <n v="699"/>
    <n v="16.399999999999999"/>
    <n v="2"/>
    <n v="5"/>
    <n v="32"/>
    <n v="35"/>
    <s v="No"/>
    <s v="No"/>
    <s v="Yes"/>
    <s v="No"/>
    <s v="Yes"/>
    <s v="No"/>
    <m/>
    <s v="1+ Failures"/>
    <n v="0"/>
    <s v="10-20hrs"/>
    <x v="1"/>
  </r>
  <r>
    <n v="469"/>
    <d v="2023-10-29T00:00:00"/>
    <s v="Standard"/>
    <n v="399"/>
    <n v="16.8"/>
    <n v="2"/>
    <n v="3"/>
    <n v="15"/>
    <n v="19"/>
    <s v="No"/>
    <s v="No"/>
    <s v="Yes"/>
    <s v="No"/>
    <s v="Yes"/>
    <s v="No"/>
    <m/>
    <s v="1+ Failures"/>
    <n v="0"/>
    <s v="10-20hrs"/>
    <x v="1"/>
  </r>
  <r>
    <n v="470"/>
    <d v="2023-11-22T00:00:00"/>
    <s v="Basic"/>
    <n v="199"/>
    <n v="18.399999999999999"/>
    <n v="6"/>
    <n v="4"/>
    <n v="12"/>
    <n v="2"/>
    <s v="Yes"/>
    <s v="No"/>
    <s v="Yes"/>
    <s v="Yes"/>
    <s v="No"/>
    <s v="No"/>
    <m/>
    <s v="1+ Failures"/>
    <n v="1"/>
    <s v="10-20hrs"/>
    <x v="0"/>
  </r>
  <r>
    <n v="471"/>
    <d v="2023-03-21T00:00:00"/>
    <s v="Premium"/>
    <n v="699"/>
    <n v="16.2"/>
    <n v="1"/>
    <n v="3"/>
    <n v="15"/>
    <n v="9"/>
    <s v="Yes"/>
    <s v="No"/>
    <s v="Yes"/>
    <s v="No"/>
    <s v="No"/>
    <s v="No"/>
    <m/>
    <s v="1+ Failures"/>
    <n v="1"/>
    <s v="10-20hrs"/>
    <x v="1"/>
  </r>
  <r>
    <n v="472"/>
    <d v="2024-12-26T00:00:00"/>
    <s v="Basic"/>
    <n v="199"/>
    <n v="24.6"/>
    <n v="2"/>
    <n v="5"/>
    <n v="23"/>
    <n v="56"/>
    <s v="No"/>
    <s v="No"/>
    <s v="Yes"/>
    <s v="No"/>
    <s v="Yes"/>
    <s v="No"/>
    <m/>
    <s v="1+ Failures"/>
    <n v="0"/>
    <s v="20+ hrs"/>
    <x v="1"/>
  </r>
  <r>
    <n v="473"/>
    <d v="2023-12-25T00:00:00"/>
    <s v="Premium"/>
    <n v="699"/>
    <n v="11.4"/>
    <n v="4"/>
    <n v="1"/>
    <n v="22"/>
    <n v="15"/>
    <s v="No"/>
    <s v="No"/>
    <s v="Yes"/>
    <s v="No"/>
    <s v="Yes"/>
    <s v="No"/>
    <m/>
    <s v="1+ Failures"/>
    <n v="0"/>
    <s v="10-20hrs"/>
    <x v="1"/>
  </r>
  <r>
    <n v="474"/>
    <d v="2023-06-20T00:00:00"/>
    <s v="Standard"/>
    <n v="399"/>
    <n v="18.2"/>
    <n v="0"/>
    <n v="3"/>
    <n v="7"/>
    <n v="28"/>
    <s v="No"/>
    <s v="No"/>
    <s v="Yes"/>
    <s v="No"/>
    <s v="Yes"/>
    <s v="No"/>
    <m/>
    <s v="1+ Failures"/>
    <n v="0"/>
    <s v="10-20hrs"/>
    <x v="0"/>
  </r>
  <r>
    <n v="475"/>
    <d v="2024-05-05T00:00:00"/>
    <s v="Standard"/>
    <n v="399"/>
    <n v="22.1"/>
    <n v="5"/>
    <n v="4"/>
    <n v="32"/>
    <n v="24"/>
    <s v="Yes"/>
    <s v="No"/>
    <s v="Yes"/>
    <s v="Yes"/>
    <s v="Yes"/>
    <s v="No"/>
    <m/>
    <s v="1+ Failures"/>
    <n v="1"/>
    <s v="20+ hrs"/>
    <x v="1"/>
  </r>
  <r>
    <n v="476"/>
    <d v="2023-09-25T00:00:00"/>
    <s v="Premium"/>
    <n v="699"/>
    <n v="4.5"/>
    <n v="1"/>
    <n v="0"/>
    <n v="15"/>
    <n v="18"/>
    <s v="Yes"/>
    <s v="Yes"/>
    <s v="No"/>
    <s v="No"/>
    <s v="Yes"/>
    <s v="No"/>
    <m/>
    <s v="0 Failures"/>
    <n v="1"/>
    <s v="0-5 hrs"/>
    <x v="1"/>
  </r>
  <r>
    <n v="477"/>
    <d v="2023-04-06T00:00:00"/>
    <s v="Basic"/>
    <n v="199"/>
    <n v="8.9"/>
    <n v="6"/>
    <n v="1"/>
    <n v="5"/>
    <n v="46"/>
    <s v="Yes"/>
    <s v="No"/>
    <s v="Yes"/>
    <s v="Yes"/>
    <s v="Yes"/>
    <s v="Yes"/>
    <m/>
    <s v="1+ Failures"/>
    <n v="1"/>
    <s v="5-10 hrs"/>
    <x v="3"/>
  </r>
  <r>
    <n v="478"/>
    <d v="2024-03-20T00:00:00"/>
    <s v="Standard"/>
    <n v="399"/>
    <n v="17.8"/>
    <n v="6"/>
    <n v="5"/>
    <n v="31"/>
    <n v="10"/>
    <s v="No"/>
    <s v="No"/>
    <s v="Yes"/>
    <s v="Yes"/>
    <s v="No"/>
    <s v="No"/>
    <m/>
    <s v="1+ Failures"/>
    <n v="0"/>
    <s v="10-20hrs"/>
    <x v="1"/>
  </r>
  <r>
    <n v="479"/>
    <d v="2024-07-07T00:00:00"/>
    <s v="Basic"/>
    <n v="199"/>
    <n v="3"/>
    <n v="3"/>
    <n v="1"/>
    <n v="4"/>
    <n v="26"/>
    <s v="No"/>
    <s v="Yes"/>
    <s v="Yes"/>
    <s v="No"/>
    <s v="Yes"/>
    <s v="Yes"/>
    <m/>
    <s v="1+ Failures"/>
    <n v="0"/>
    <s v="0-5 hrs"/>
    <x v="3"/>
  </r>
  <r>
    <n v="480"/>
    <d v="2024-05-17T00:00:00"/>
    <s v="Standard"/>
    <n v="399"/>
    <n v="7.8"/>
    <n v="1"/>
    <n v="0"/>
    <n v="19"/>
    <n v="25"/>
    <s v="No"/>
    <s v="No"/>
    <s v="No"/>
    <s v="No"/>
    <s v="Yes"/>
    <s v="No"/>
    <m/>
    <s v="0 Failures"/>
    <n v="0"/>
    <s v="5-10 hrs"/>
    <x v="1"/>
  </r>
  <r>
    <n v="481"/>
    <d v="2024-10-02T00:00:00"/>
    <s v="Basic"/>
    <n v="199"/>
    <n v="9.3000000000000007"/>
    <n v="6"/>
    <n v="0"/>
    <n v="4"/>
    <n v="18"/>
    <s v="No"/>
    <s v="No"/>
    <s v="No"/>
    <s v="Yes"/>
    <s v="Yes"/>
    <s v="Yes"/>
    <m/>
    <s v="0 Failures"/>
    <n v="0"/>
    <s v="5-10 hrs"/>
    <x v="3"/>
  </r>
  <r>
    <n v="482"/>
    <d v="2023-03-25T00:00:00"/>
    <s v="Premium"/>
    <n v="699"/>
    <n v="5.4"/>
    <n v="0"/>
    <n v="1"/>
    <n v="31"/>
    <n v="10"/>
    <s v="No"/>
    <s v="No"/>
    <s v="Yes"/>
    <s v="No"/>
    <s v="No"/>
    <s v="No"/>
    <m/>
    <s v="1+ Failures"/>
    <n v="0"/>
    <s v="5-10 hrs"/>
    <x v="1"/>
  </r>
  <r>
    <n v="483"/>
    <d v="2023-09-29T00:00:00"/>
    <s v="Standard"/>
    <n v="399"/>
    <n v="8.1"/>
    <n v="6"/>
    <n v="3"/>
    <n v="8"/>
    <n v="31"/>
    <s v="No"/>
    <s v="No"/>
    <s v="Yes"/>
    <s v="Yes"/>
    <s v="Yes"/>
    <s v="No"/>
    <m/>
    <s v="1+ Failures"/>
    <n v="0"/>
    <s v="5-10 hrs"/>
    <x v="0"/>
  </r>
  <r>
    <n v="484"/>
    <d v="2023-02-15T00:00:00"/>
    <s v="Basic"/>
    <n v="199"/>
    <n v="10"/>
    <n v="5"/>
    <n v="3"/>
    <n v="35"/>
    <n v="23"/>
    <s v="Yes"/>
    <s v="No"/>
    <s v="Yes"/>
    <s v="Yes"/>
    <s v="Yes"/>
    <s v="No"/>
    <m/>
    <s v="1+ Failures"/>
    <n v="1"/>
    <s v="5-10 hrs"/>
    <x v="1"/>
  </r>
  <r>
    <n v="485"/>
    <d v="2024-12-14T00:00:00"/>
    <s v="Standard"/>
    <n v="399"/>
    <n v="11.9"/>
    <n v="3"/>
    <n v="2"/>
    <n v="29"/>
    <n v="36"/>
    <s v="Yes"/>
    <s v="No"/>
    <s v="Yes"/>
    <s v="No"/>
    <s v="Yes"/>
    <s v="No"/>
    <m/>
    <s v="1+ Failures"/>
    <n v="1"/>
    <s v="10-20hrs"/>
    <x v="1"/>
  </r>
  <r>
    <n v="486"/>
    <d v="2024-08-26T00:00:00"/>
    <s v="Premium"/>
    <n v="699"/>
    <n v="2.6"/>
    <n v="5"/>
    <n v="4"/>
    <n v="7"/>
    <n v="26"/>
    <s v="Yes"/>
    <s v="Yes"/>
    <s v="Yes"/>
    <s v="Yes"/>
    <s v="Yes"/>
    <s v="No"/>
    <m/>
    <s v="1+ Failures"/>
    <n v="1"/>
    <s v="0-5 hrs"/>
    <x v="0"/>
  </r>
  <r>
    <n v="487"/>
    <d v="2024-12-04T00:00:00"/>
    <s v="Basic"/>
    <n v="199"/>
    <n v="2"/>
    <n v="6"/>
    <n v="4"/>
    <n v="36"/>
    <n v="26"/>
    <s v="Yes"/>
    <s v="Yes"/>
    <s v="Yes"/>
    <s v="Yes"/>
    <s v="Yes"/>
    <s v="No"/>
    <m/>
    <s v="1+ Failures"/>
    <n v="1"/>
    <s v="0-5 hrs"/>
    <x v="1"/>
  </r>
  <r>
    <n v="488"/>
    <d v="2023-02-05T00:00:00"/>
    <s v="Standard"/>
    <n v="399"/>
    <n v="12.2"/>
    <n v="1"/>
    <n v="3"/>
    <n v="16"/>
    <n v="57"/>
    <s v="No"/>
    <s v="No"/>
    <s v="Yes"/>
    <s v="No"/>
    <s v="Yes"/>
    <s v="No"/>
    <m/>
    <s v="1+ Failures"/>
    <n v="0"/>
    <s v="10-20hrs"/>
    <x v="1"/>
  </r>
  <r>
    <n v="489"/>
    <d v="2023-06-27T00:00:00"/>
    <s v="Premium"/>
    <n v="699"/>
    <n v="20.100000000000001"/>
    <n v="2"/>
    <n v="0"/>
    <n v="34"/>
    <n v="60"/>
    <s v="No"/>
    <s v="No"/>
    <s v="No"/>
    <s v="No"/>
    <s v="Yes"/>
    <s v="No"/>
    <m/>
    <s v="0 Failures"/>
    <n v="0"/>
    <s v="20+ hrs"/>
    <x v="1"/>
  </r>
  <r>
    <n v="490"/>
    <d v="2024-11-30T00:00:00"/>
    <s v="Basic"/>
    <n v="199"/>
    <n v="20.3"/>
    <n v="2"/>
    <n v="0"/>
    <n v="14"/>
    <n v="27"/>
    <s v="Yes"/>
    <s v="No"/>
    <s v="No"/>
    <s v="No"/>
    <s v="Yes"/>
    <s v="No"/>
    <m/>
    <s v="0 Failures"/>
    <n v="1"/>
    <s v="20+ hrs"/>
    <x v="1"/>
  </r>
  <r>
    <n v="491"/>
    <d v="2023-03-10T00:00:00"/>
    <s v="Standard"/>
    <n v="399"/>
    <n v="24.9"/>
    <n v="2"/>
    <n v="4"/>
    <n v="13"/>
    <n v="16"/>
    <s v="Yes"/>
    <s v="No"/>
    <s v="Yes"/>
    <s v="No"/>
    <s v="Yes"/>
    <s v="No"/>
    <m/>
    <s v="1+ Failures"/>
    <n v="1"/>
    <s v="20+ hrs"/>
    <x v="1"/>
  </r>
  <r>
    <n v="492"/>
    <d v="2024-04-14T00:00:00"/>
    <s v="Basic"/>
    <n v="199"/>
    <n v="14.1"/>
    <n v="8"/>
    <n v="2"/>
    <n v="25"/>
    <n v="54"/>
    <s v="Yes"/>
    <s v="No"/>
    <s v="Yes"/>
    <s v="Yes"/>
    <s v="Yes"/>
    <s v="No"/>
    <m/>
    <s v="1+ Failures"/>
    <n v="1"/>
    <s v="10-20hrs"/>
    <x v="1"/>
  </r>
  <r>
    <n v="493"/>
    <d v="2024-08-25T00:00:00"/>
    <s v="Basic"/>
    <n v="199"/>
    <n v="19.7"/>
    <n v="1"/>
    <n v="3"/>
    <n v="34"/>
    <n v="9"/>
    <s v="Yes"/>
    <s v="No"/>
    <s v="Yes"/>
    <s v="No"/>
    <s v="No"/>
    <s v="No"/>
    <m/>
    <s v="1+ Failures"/>
    <n v="1"/>
    <s v="10-20hrs"/>
    <x v="1"/>
  </r>
  <r>
    <n v="494"/>
    <d v="2023-12-19T00:00:00"/>
    <s v="Premium"/>
    <n v="699"/>
    <n v="23.2"/>
    <n v="1"/>
    <n v="2"/>
    <n v="7"/>
    <n v="55"/>
    <s v="Yes"/>
    <s v="No"/>
    <s v="Yes"/>
    <s v="No"/>
    <s v="Yes"/>
    <s v="No"/>
    <m/>
    <s v="1+ Failures"/>
    <n v="1"/>
    <s v="20+ hrs"/>
    <x v="0"/>
  </r>
  <r>
    <n v="495"/>
    <d v="2023-06-26T00:00:00"/>
    <s v="Standard"/>
    <n v="399"/>
    <n v="9.9"/>
    <n v="7"/>
    <n v="4"/>
    <n v="17"/>
    <n v="38"/>
    <s v="Yes"/>
    <s v="No"/>
    <s v="Yes"/>
    <s v="Yes"/>
    <s v="Yes"/>
    <s v="No"/>
    <m/>
    <s v="1+ Failures"/>
    <n v="1"/>
    <s v="5-10 hrs"/>
    <x v="1"/>
  </r>
  <r>
    <n v="496"/>
    <d v="2023-12-06T00:00:00"/>
    <s v="Standard"/>
    <n v="399"/>
    <n v="4"/>
    <n v="6"/>
    <n v="0"/>
    <n v="26"/>
    <n v="25"/>
    <s v="No"/>
    <s v="Yes"/>
    <s v="No"/>
    <s v="Yes"/>
    <s v="Yes"/>
    <s v="No"/>
    <m/>
    <s v="0 Failures"/>
    <n v="0"/>
    <s v="0-5 hrs"/>
    <x v="1"/>
  </r>
  <r>
    <n v="497"/>
    <d v="2023-12-12T00:00:00"/>
    <s v="Premium"/>
    <n v="699"/>
    <n v="1.7"/>
    <n v="7"/>
    <n v="2"/>
    <n v="16"/>
    <n v="57"/>
    <s v="Yes"/>
    <s v="Yes"/>
    <s v="Yes"/>
    <s v="Yes"/>
    <s v="Yes"/>
    <s v="No"/>
    <m/>
    <s v="1+ Failures"/>
    <n v="1"/>
    <s v="0-5 hrs"/>
    <x v="1"/>
  </r>
  <r>
    <n v="498"/>
    <d v="2023-08-22T00:00:00"/>
    <s v="Standard"/>
    <n v="399"/>
    <n v="7.4"/>
    <n v="7"/>
    <n v="5"/>
    <n v="20"/>
    <n v="43"/>
    <s v="Yes"/>
    <s v="No"/>
    <s v="Yes"/>
    <s v="Yes"/>
    <s v="Yes"/>
    <s v="No"/>
    <m/>
    <s v="1+ Failures"/>
    <n v="1"/>
    <s v="5-10 hrs"/>
    <x v="1"/>
  </r>
  <r>
    <n v="499"/>
    <d v="2024-09-11T00:00:00"/>
    <s v="Basic"/>
    <n v="199"/>
    <n v="24.4"/>
    <n v="7"/>
    <n v="2"/>
    <n v="20"/>
    <n v="17"/>
    <s v="No"/>
    <s v="No"/>
    <s v="Yes"/>
    <s v="Yes"/>
    <s v="Yes"/>
    <s v="No"/>
    <m/>
    <s v="1+ Failures"/>
    <n v="0"/>
    <s v="20+ hrs"/>
    <x v="1"/>
  </r>
  <r>
    <n v="500"/>
    <d v="2024-06-12T00:00:00"/>
    <s v="Premium"/>
    <n v="699"/>
    <n v="5.0999999999999996"/>
    <n v="3"/>
    <n v="3"/>
    <n v="6"/>
    <n v="47"/>
    <s v="Yes"/>
    <s v="No"/>
    <s v="Yes"/>
    <s v="No"/>
    <s v="Yes"/>
    <s v="No"/>
    <m/>
    <s v="1+ Failures"/>
    <n v="1"/>
    <s v="5-10 hrs"/>
    <x v="3"/>
  </r>
  <r>
    <n v="501"/>
    <d v="2024-02-18T00:00:00"/>
    <s v="Standard"/>
    <n v="399"/>
    <n v="13.1"/>
    <n v="2"/>
    <n v="0"/>
    <n v="4"/>
    <n v="19"/>
    <s v="No"/>
    <s v="No"/>
    <s v="No"/>
    <s v="No"/>
    <s v="Yes"/>
    <s v="Yes"/>
    <m/>
    <s v="0 Failures"/>
    <n v="0"/>
    <s v="10-20hrs"/>
    <x v="3"/>
  </r>
  <r>
    <n v="502"/>
    <d v="2023-07-25T00:00:00"/>
    <s v="Basic"/>
    <n v="199"/>
    <n v="22"/>
    <n v="0"/>
    <n v="1"/>
    <n v="34"/>
    <n v="12"/>
    <s v="No"/>
    <s v="No"/>
    <s v="Yes"/>
    <s v="No"/>
    <s v="No"/>
    <s v="No"/>
    <m/>
    <s v="1+ Failures"/>
    <n v="0"/>
    <s v="20+ hrs"/>
    <x v="1"/>
  </r>
  <r>
    <n v="503"/>
    <d v="2024-01-13T00:00:00"/>
    <s v="Basic"/>
    <n v="199"/>
    <n v="1.3"/>
    <n v="0"/>
    <n v="2"/>
    <n v="16"/>
    <n v="45"/>
    <s v="Yes"/>
    <s v="Yes"/>
    <s v="Yes"/>
    <s v="No"/>
    <s v="Yes"/>
    <s v="No"/>
    <m/>
    <s v="1+ Failures"/>
    <n v="1"/>
    <s v="0-5 hrs"/>
    <x v="1"/>
  </r>
  <r>
    <n v="504"/>
    <d v="2024-05-15T00:00:00"/>
    <s v="Standard"/>
    <n v="399"/>
    <n v="10.199999999999999"/>
    <n v="1"/>
    <n v="5"/>
    <n v="33"/>
    <n v="1"/>
    <s v="Yes"/>
    <s v="No"/>
    <s v="Yes"/>
    <s v="No"/>
    <s v="No"/>
    <s v="No"/>
    <m/>
    <s v="1+ Failures"/>
    <n v="1"/>
    <s v="10-20hrs"/>
    <x v="1"/>
  </r>
  <r>
    <n v="505"/>
    <d v="2023-06-17T00:00:00"/>
    <s v="Premium"/>
    <n v="699"/>
    <n v="4.9000000000000004"/>
    <n v="7"/>
    <n v="4"/>
    <n v="29"/>
    <n v="35"/>
    <s v="Yes"/>
    <s v="Yes"/>
    <s v="Yes"/>
    <s v="Yes"/>
    <s v="Yes"/>
    <s v="No"/>
    <m/>
    <s v="1+ Failures"/>
    <n v="1"/>
    <s v="0-5 hrs"/>
    <x v="1"/>
  </r>
  <r>
    <n v="506"/>
    <d v="2023-08-08T00:00:00"/>
    <s v="Standard"/>
    <n v="399"/>
    <n v="7.5"/>
    <n v="6"/>
    <n v="0"/>
    <n v="6"/>
    <n v="10"/>
    <s v="No"/>
    <s v="No"/>
    <s v="No"/>
    <s v="Yes"/>
    <s v="No"/>
    <s v="No"/>
    <m/>
    <s v="0 Failures"/>
    <n v="0"/>
    <s v="5-10 hrs"/>
    <x v="3"/>
  </r>
  <r>
    <n v="507"/>
    <d v="2024-11-29T00:00:00"/>
    <s v="Basic"/>
    <n v="199"/>
    <n v="17.100000000000001"/>
    <n v="4"/>
    <n v="5"/>
    <n v="15"/>
    <n v="26"/>
    <s v="Yes"/>
    <s v="No"/>
    <s v="Yes"/>
    <s v="No"/>
    <s v="Yes"/>
    <s v="No"/>
    <m/>
    <s v="1+ Failures"/>
    <n v="1"/>
    <s v="10-20hrs"/>
    <x v="1"/>
  </r>
  <r>
    <n v="508"/>
    <d v="2023-09-16T00:00:00"/>
    <s v="Basic"/>
    <n v="199"/>
    <n v="22.8"/>
    <n v="2"/>
    <n v="4"/>
    <n v="31"/>
    <n v="51"/>
    <s v="Yes"/>
    <s v="No"/>
    <s v="Yes"/>
    <s v="No"/>
    <s v="Yes"/>
    <s v="No"/>
    <m/>
    <s v="1+ Failures"/>
    <n v="1"/>
    <s v="20+ hrs"/>
    <x v="1"/>
  </r>
  <r>
    <n v="509"/>
    <d v="2023-12-24T00:00:00"/>
    <s v="Premium"/>
    <n v="699"/>
    <n v="18"/>
    <n v="4"/>
    <n v="3"/>
    <n v="20"/>
    <n v="57"/>
    <s v="Yes"/>
    <s v="No"/>
    <s v="Yes"/>
    <s v="No"/>
    <s v="Yes"/>
    <s v="No"/>
    <m/>
    <s v="1+ Failures"/>
    <n v="1"/>
    <s v="10-20hrs"/>
    <x v="1"/>
  </r>
  <r>
    <n v="510"/>
    <d v="2024-02-11T00:00:00"/>
    <s v="Standard"/>
    <n v="399"/>
    <n v="5.8"/>
    <n v="4"/>
    <n v="5"/>
    <n v="17"/>
    <n v="33"/>
    <s v="No"/>
    <s v="No"/>
    <s v="Yes"/>
    <s v="No"/>
    <s v="Yes"/>
    <s v="No"/>
    <m/>
    <s v="1+ Failures"/>
    <n v="0"/>
    <s v="5-10 hrs"/>
    <x v="1"/>
  </r>
  <r>
    <n v="511"/>
    <d v="2023-10-17T00:00:00"/>
    <s v="Premium"/>
    <n v="699"/>
    <n v="0.7"/>
    <n v="5"/>
    <n v="4"/>
    <n v="7"/>
    <n v="41"/>
    <s v="Yes"/>
    <s v="Yes"/>
    <s v="Yes"/>
    <s v="Yes"/>
    <s v="Yes"/>
    <s v="No"/>
    <m/>
    <s v="1+ Failures"/>
    <n v="1"/>
    <s v="0-5 hrs"/>
    <x v="0"/>
  </r>
  <r>
    <n v="512"/>
    <d v="2023-10-11T00:00:00"/>
    <s v="Standard"/>
    <n v="399"/>
    <n v="12.3"/>
    <n v="5"/>
    <n v="2"/>
    <n v="7"/>
    <n v="40"/>
    <s v="Yes"/>
    <s v="No"/>
    <s v="Yes"/>
    <s v="Yes"/>
    <s v="Yes"/>
    <s v="No"/>
    <m/>
    <s v="1+ Failures"/>
    <n v="1"/>
    <s v="10-20hrs"/>
    <x v="0"/>
  </r>
  <r>
    <n v="513"/>
    <d v="2024-09-06T00:00:00"/>
    <s v="Standard"/>
    <n v="399"/>
    <n v="5.0999999999999996"/>
    <n v="8"/>
    <n v="1"/>
    <n v="20"/>
    <n v="57"/>
    <s v="Yes"/>
    <s v="No"/>
    <s v="Yes"/>
    <s v="Yes"/>
    <s v="Yes"/>
    <s v="No"/>
    <m/>
    <s v="1+ Failures"/>
    <n v="1"/>
    <s v="5-10 hrs"/>
    <x v="1"/>
  </r>
  <r>
    <n v="514"/>
    <d v="2023-09-23T00:00:00"/>
    <s v="Standard"/>
    <n v="399"/>
    <n v="17.2"/>
    <n v="0"/>
    <n v="5"/>
    <n v="21"/>
    <n v="31"/>
    <s v="No"/>
    <s v="No"/>
    <s v="Yes"/>
    <s v="No"/>
    <s v="Yes"/>
    <s v="No"/>
    <m/>
    <s v="1+ Failures"/>
    <n v="0"/>
    <s v="10-20hrs"/>
    <x v="1"/>
  </r>
  <r>
    <n v="515"/>
    <d v="2023-07-14T00:00:00"/>
    <s v="Standard"/>
    <n v="399"/>
    <n v="10"/>
    <n v="0"/>
    <n v="4"/>
    <n v="26"/>
    <n v="45"/>
    <s v="No"/>
    <s v="No"/>
    <s v="Yes"/>
    <s v="No"/>
    <s v="Yes"/>
    <s v="No"/>
    <m/>
    <s v="1+ Failures"/>
    <n v="0"/>
    <s v="5-10 hrs"/>
    <x v="1"/>
  </r>
  <r>
    <n v="516"/>
    <d v="2023-06-24T00:00:00"/>
    <s v="Standard"/>
    <n v="399"/>
    <n v="17.3"/>
    <n v="7"/>
    <n v="5"/>
    <n v="15"/>
    <n v="22"/>
    <s v="Yes"/>
    <s v="No"/>
    <s v="Yes"/>
    <s v="Yes"/>
    <s v="Yes"/>
    <s v="No"/>
    <m/>
    <s v="1+ Failures"/>
    <n v="1"/>
    <s v="10-20hrs"/>
    <x v="1"/>
  </r>
  <r>
    <n v="517"/>
    <d v="2024-07-26T00:00:00"/>
    <s v="Premium"/>
    <n v="699"/>
    <n v="4.9000000000000004"/>
    <n v="1"/>
    <n v="3"/>
    <n v="36"/>
    <n v="8"/>
    <s v="No"/>
    <s v="Yes"/>
    <s v="Yes"/>
    <s v="No"/>
    <s v="No"/>
    <s v="No"/>
    <m/>
    <s v="1+ Failures"/>
    <n v="0"/>
    <s v="0-5 hrs"/>
    <x v="1"/>
  </r>
  <r>
    <n v="518"/>
    <d v="2023-11-11T00:00:00"/>
    <s v="Basic"/>
    <n v="199"/>
    <n v="16.5"/>
    <n v="3"/>
    <n v="2"/>
    <n v="22"/>
    <n v="14"/>
    <s v="No"/>
    <s v="No"/>
    <s v="Yes"/>
    <s v="No"/>
    <s v="No"/>
    <s v="No"/>
    <m/>
    <s v="1+ Failures"/>
    <n v="0"/>
    <s v="10-20hrs"/>
    <x v="1"/>
  </r>
  <r>
    <n v="519"/>
    <d v="2023-02-24T00:00:00"/>
    <s v="Standard"/>
    <n v="399"/>
    <n v="9.6"/>
    <n v="4"/>
    <n v="3"/>
    <n v="22"/>
    <n v="54"/>
    <s v="Yes"/>
    <s v="No"/>
    <s v="Yes"/>
    <s v="No"/>
    <s v="Yes"/>
    <s v="No"/>
    <m/>
    <s v="1+ Failures"/>
    <n v="1"/>
    <s v="5-10 hrs"/>
    <x v="1"/>
  </r>
  <r>
    <n v="520"/>
    <d v="2024-01-26T00:00:00"/>
    <s v="Premium"/>
    <n v="699"/>
    <n v="12.1"/>
    <n v="3"/>
    <n v="4"/>
    <n v="5"/>
    <n v="7"/>
    <s v="No"/>
    <s v="No"/>
    <s v="Yes"/>
    <s v="No"/>
    <s v="No"/>
    <s v="Yes"/>
    <m/>
    <s v="1+ Failures"/>
    <n v="0"/>
    <s v="10-20hrs"/>
    <x v="3"/>
  </r>
  <r>
    <n v="521"/>
    <d v="2024-08-06T00:00:00"/>
    <s v="Premium"/>
    <n v="699"/>
    <n v="10.6"/>
    <n v="2"/>
    <n v="1"/>
    <n v="20"/>
    <n v="12"/>
    <s v="No"/>
    <s v="No"/>
    <s v="Yes"/>
    <s v="No"/>
    <s v="No"/>
    <s v="No"/>
    <m/>
    <s v="1+ Failures"/>
    <n v="0"/>
    <s v="10-20hrs"/>
    <x v="1"/>
  </r>
  <r>
    <n v="522"/>
    <d v="2023-07-01T00:00:00"/>
    <s v="Standard"/>
    <n v="399"/>
    <n v="8.3000000000000007"/>
    <n v="2"/>
    <n v="0"/>
    <n v="10"/>
    <n v="31"/>
    <s v="Yes"/>
    <s v="No"/>
    <s v="No"/>
    <s v="No"/>
    <s v="Yes"/>
    <s v="No"/>
    <m/>
    <s v="0 Failures"/>
    <n v="1"/>
    <s v="5-10 hrs"/>
    <x v="0"/>
  </r>
  <r>
    <n v="523"/>
    <d v="2024-08-13T00:00:00"/>
    <s v="Standard"/>
    <n v="399"/>
    <n v="0.6"/>
    <n v="4"/>
    <n v="1"/>
    <n v="4"/>
    <n v="48"/>
    <s v="No"/>
    <s v="Yes"/>
    <s v="Yes"/>
    <s v="No"/>
    <s v="Yes"/>
    <s v="Yes"/>
    <m/>
    <s v="1+ Failures"/>
    <n v="0"/>
    <s v="0-5 hrs"/>
    <x v="3"/>
  </r>
  <r>
    <n v="524"/>
    <d v="2024-03-15T00:00:00"/>
    <s v="Basic"/>
    <n v="199"/>
    <n v="19.7"/>
    <n v="1"/>
    <n v="1"/>
    <n v="32"/>
    <n v="39"/>
    <s v="No"/>
    <s v="No"/>
    <s v="Yes"/>
    <s v="No"/>
    <s v="Yes"/>
    <s v="No"/>
    <m/>
    <s v="1+ Failures"/>
    <n v="0"/>
    <s v="10-20hrs"/>
    <x v="1"/>
  </r>
  <r>
    <n v="525"/>
    <d v="2024-01-18T00:00:00"/>
    <s v="Standard"/>
    <n v="399"/>
    <n v="24.2"/>
    <n v="6"/>
    <n v="0"/>
    <n v="28"/>
    <n v="2"/>
    <s v="No"/>
    <s v="No"/>
    <s v="No"/>
    <s v="Yes"/>
    <s v="No"/>
    <s v="No"/>
    <m/>
    <s v="0 Failures"/>
    <n v="0"/>
    <s v="20+ hrs"/>
    <x v="1"/>
  </r>
  <r>
    <n v="526"/>
    <d v="2024-10-03T00:00:00"/>
    <s v="Basic"/>
    <n v="199"/>
    <n v="19"/>
    <n v="8"/>
    <n v="1"/>
    <n v="21"/>
    <n v="1"/>
    <s v="No"/>
    <s v="No"/>
    <s v="Yes"/>
    <s v="Yes"/>
    <s v="No"/>
    <s v="No"/>
    <m/>
    <s v="1+ Failures"/>
    <n v="0"/>
    <s v="10-20hrs"/>
    <x v="1"/>
  </r>
  <r>
    <n v="527"/>
    <d v="2024-05-30T00:00:00"/>
    <s v="Premium"/>
    <n v="699"/>
    <n v="6"/>
    <n v="5"/>
    <n v="2"/>
    <n v="16"/>
    <n v="8"/>
    <s v="Yes"/>
    <s v="No"/>
    <s v="Yes"/>
    <s v="Yes"/>
    <s v="No"/>
    <s v="No"/>
    <m/>
    <s v="1+ Failures"/>
    <n v="1"/>
    <s v="5-10 hrs"/>
    <x v="1"/>
  </r>
  <r>
    <n v="528"/>
    <d v="2024-06-16T00:00:00"/>
    <s v="Premium"/>
    <n v="699"/>
    <n v="4.5999999999999996"/>
    <n v="0"/>
    <n v="2"/>
    <n v="20"/>
    <n v="60"/>
    <s v="Yes"/>
    <s v="Yes"/>
    <s v="Yes"/>
    <s v="No"/>
    <s v="Yes"/>
    <s v="No"/>
    <m/>
    <s v="1+ Failures"/>
    <n v="1"/>
    <s v="0-5 hrs"/>
    <x v="1"/>
  </r>
  <r>
    <n v="529"/>
    <d v="2023-07-12T00:00:00"/>
    <s v="Premium"/>
    <n v="699"/>
    <n v="8.8000000000000007"/>
    <n v="2"/>
    <n v="2"/>
    <n v="34"/>
    <n v="57"/>
    <s v="Yes"/>
    <s v="No"/>
    <s v="Yes"/>
    <s v="No"/>
    <s v="Yes"/>
    <s v="No"/>
    <m/>
    <s v="1+ Failures"/>
    <n v="1"/>
    <s v="5-10 hrs"/>
    <x v="1"/>
  </r>
  <r>
    <n v="530"/>
    <d v="2023-01-23T00:00:00"/>
    <s v="Basic"/>
    <n v="199"/>
    <n v="1"/>
    <n v="3"/>
    <n v="5"/>
    <n v="26"/>
    <n v="8"/>
    <s v="Yes"/>
    <s v="Yes"/>
    <s v="Yes"/>
    <s v="No"/>
    <s v="No"/>
    <s v="No"/>
    <m/>
    <s v="1+ Failures"/>
    <n v="1"/>
    <s v="0-5 hrs"/>
    <x v="1"/>
  </r>
  <r>
    <n v="531"/>
    <d v="2024-01-20T00:00:00"/>
    <s v="Premium"/>
    <n v="699"/>
    <n v="4.5999999999999996"/>
    <n v="5"/>
    <n v="5"/>
    <n v="33"/>
    <n v="41"/>
    <s v="Yes"/>
    <s v="Yes"/>
    <s v="Yes"/>
    <s v="Yes"/>
    <s v="Yes"/>
    <s v="No"/>
    <m/>
    <s v="1+ Failures"/>
    <n v="1"/>
    <s v="0-5 hrs"/>
    <x v="1"/>
  </r>
  <r>
    <n v="532"/>
    <d v="2024-10-31T00:00:00"/>
    <s v="Premium"/>
    <n v="699"/>
    <n v="19.399999999999999"/>
    <n v="0"/>
    <n v="4"/>
    <n v="17"/>
    <n v="3"/>
    <s v="No"/>
    <s v="No"/>
    <s v="Yes"/>
    <s v="No"/>
    <s v="No"/>
    <s v="No"/>
    <m/>
    <s v="1+ Failures"/>
    <n v="0"/>
    <s v="10-20hrs"/>
    <x v="1"/>
  </r>
  <r>
    <n v="533"/>
    <d v="2023-09-16T00:00:00"/>
    <s v="Basic"/>
    <n v="199"/>
    <n v="17.399999999999999"/>
    <n v="6"/>
    <n v="3"/>
    <n v="4"/>
    <n v="24"/>
    <s v="Yes"/>
    <s v="No"/>
    <s v="Yes"/>
    <s v="Yes"/>
    <s v="Yes"/>
    <s v="Yes"/>
    <m/>
    <s v="1+ Failures"/>
    <n v="1"/>
    <s v="10-20hrs"/>
    <x v="3"/>
  </r>
  <r>
    <n v="534"/>
    <d v="2024-11-09T00:00:00"/>
    <s v="Standard"/>
    <n v="399"/>
    <n v="5.5"/>
    <n v="0"/>
    <n v="2"/>
    <n v="10"/>
    <n v="26"/>
    <s v="No"/>
    <s v="No"/>
    <s v="Yes"/>
    <s v="No"/>
    <s v="Yes"/>
    <s v="No"/>
    <m/>
    <s v="1+ Failures"/>
    <n v="0"/>
    <s v="5-10 hrs"/>
    <x v="0"/>
  </r>
  <r>
    <n v="535"/>
    <d v="2024-06-07T00:00:00"/>
    <s v="Premium"/>
    <n v="699"/>
    <n v="15.8"/>
    <n v="2"/>
    <n v="3"/>
    <n v="18"/>
    <n v="53"/>
    <s v="No"/>
    <s v="No"/>
    <s v="Yes"/>
    <s v="No"/>
    <s v="Yes"/>
    <s v="No"/>
    <m/>
    <s v="1+ Failures"/>
    <n v="0"/>
    <s v="10-20hrs"/>
    <x v="1"/>
  </r>
  <r>
    <n v="536"/>
    <d v="2023-09-27T00:00:00"/>
    <s v="Premium"/>
    <n v="699"/>
    <n v="7.4"/>
    <n v="1"/>
    <n v="3"/>
    <n v="8"/>
    <n v="12"/>
    <s v="No"/>
    <s v="No"/>
    <s v="Yes"/>
    <s v="No"/>
    <s v="No"/>
    <s v="No"/>
    <m/>
    <s v="1+ Failures"/>
    <n v="0"/>
    <s v="5-10 hrs"/>
    <x v="0"/>
  </r>
  <r>
    <n v="537"/>
    <d v="2024-05-23T00:00:00"/>
    <s v="Premium"/>
    <n v="699"/>
    <n v="9.3000000000000007"/>
    <n v="6"/>
    <n v="2"/>
    <n v="13"/>
    <n v="10"/>
    <s v="Yes"/>
    <s v="No"/>
    <s v="Yes"/>
    <s v="Yes"/>
    <s v="No"/>
    <s v="No"/>
    <m/>
    <s v="1+ Failures"/>
    <n v="1"/>
    <s v="5-10 hrs"/>
    <x v="1"/>
  </r>
  <r>
    <n v="538"/>
    <d v="2023-04-24T00:00:00"/>
    <s v="Basic"/>
    <n v="199"/>
    <n v="8.6"/>
    <n v="0"/>
    <n v="0"/>
    <n v="31"/>
    <n v="42"/>
    <s v="Yes"/>
    <s v="No"/>
    <s v="No"/>
    <s v="No"/>
    <s v="Yes"/>
    <s v="No"/>
    <m/>
    <s v="0 Failures"/>
    <n v="1"/>
    <s v="5-10 hrs"/>
    <x v="1"/>
  </r>
  <r>
    <n v="539"/>
    <d v="2023-04-14T00:00:00"/>
    <s v="Premium"/>
    <n v="699"/>
    <n v="4.2"/>
    <n v="1"/>
    <n v="4"/>
    <n v="32"/>
    <n v="4"/>
    <s v="No"/>
    <s v="Yes"/>
    <s v="Yes"/>
    <s v="No"/>
    <s v="No"/>
    <s v="No"/>
    <m/>
    <s v="1+ Failures"/>
    <n v="0"/>
    <s v="0-5 hrs"/>
    <x v="1"/>
  </r>
  <r>
    <n v="540"/>
    <d v="2023-06-28T00:00:00"/>
    <s v="Standard"/>
    <n v="399"/>
    <n v="11.7"/>
    <n v="4"/>
    <n v="2"/>
    <n v="15"/>
    <n v="29"/>
    <s v="Yes"/>
    <s v="No"/>
    <s v="Yes"/>
    <s v="No"/>
    <s v="Yes"/>
    <s v="No"/>
    <m/>
    <s v="1+ Failures"/>
    <n v="1"/>
    <s v="10-20hrs"/>
    <x v="1"/>
  </r>
  <r>
    <n v="541"/>
    <d v="2023-02-16T00:00:00"/>
    <s v="Basic"/>
    <n v="199"/>
    <n v="9.3000000000000007"/>
    <n v="5"/>
    <n v="3"/>
    <n v="19"/>
    <n v="47"/>
    <s v="Yes"/>
    <s v="No"/>
    <s v="Yes"/>
    <s v="Yes"/>
    <s v="Yes"/>
    <s v="No"/>
    <m/>
    <s v="1+ Failures"/>
    <n v="1"/>
    <s v="5-10 hrs"/>
    <x v="1"/>
  </r>
  <r>
    <n v="542"/>
    <d v="2024-09-28T00:00:00"/>
    <s v="Basic"/>
    <n v="199"/>
    <n v="16.8"/>
    <n v="2"/>
    <n v="2"/>
    <n v="9"/>
    <n v="22"/>
    <s v="No"/>
    <s v="No"/>
    <s v="Yes"/>
    <s v="No"/>
    <s v="Yes"/>
    <s v="No"/>
    <m/>
    <s v="1+ Failures"/>
    <n v="0"/>
    <s v="10-20hrs"/>
    <x v="0"/>
  </r>
  <r>
    <n v="543"/>
    <d v="2024-04-12T00:00:00"/>
    <s v="Standard"/>
    <n v="399"/>
    <n v="9.6"/>
    <n v="5"/>
    <n v="1"/>
    <n v="6"/>
    <n v="7"/>
    <s v="No"/>
    <s v="No"/>
    <s v="Yes"/>
    <s v="Yes"/>
    <s v="No"/>
    <s v="No"/>
    <m/>
    <s v="1+ Failures"/>
    <n v="0"/>
    <s v="5-10 hrs"/>
    <x v="3"/>
  </r>
  <r>
    <n v="544"/>
    <d v="2023-06-20T00:00:00"/>
    <s v="Standard"/>
    <n v="399"/>
    <n v="17.399999999999999"/>
    <n v="7"/>
    <n v="3"/>
    <n v="25"/>
    <n v="41"/>
    <s v="No"/>
    <s v="No"/>
    <s v="Yes"/>
    <s v="Yes"/>
    <s v="Yes"/>
    <s v="No"/>
    <m/>
    <s v="1+ Failures"/>
    <n v="0"/>
    <s v="10-20hrs"/>
    <x v="1"/>
  </r>
  <r>
    <n v="545"/>
    <d v="2024-08-27T00:00:00"/>
    <s v="Basic"/>
    <n v="199"/>
    <n v="17.600000000000001"/>
    <n v="0"/>
    <n v="1"/>
    <n v="9"/>
    <n v="6"/>
    <s v="No"/>
    <s v="No"/>
    <s v="Yes"/>
    <s v="No"/>
    <s v="No"/>
    <s v="No"/>
    <m/>
    <s v="1+ Failures"/>
    <n v="0"/>
    <s v="10-20hrs"/>
    <x v="0"/>
  </r>
  <r>
    <n v="546"/>
    <d v="2024-12-01T00:00:00"/>
    <s v="Standard"/>
    <n v="399"/>
    <n v="4.9000000000000004"/>
    <n v="6"/>
    <n v="2"/>
    <n v="29"/>
    <n v="39"/>
    <s v="Yes"/>
    <s v="Yes"/>
    <s v="Yes"/>
    <s v="Yes"/>
    <s v="Yes"/>
    <s v="No"/>
    <m/>
    <s v="1+ Failures"/>
    <n v="1"/>
    <s v="0-5 hrs"/>
    <x v="1"/>
  </r>
  <r>
    <n v="547"/>
    <d v="2023-02-17T00:00:00"/>
    <s v="Premium"/>
    <n v="699"/>
    <n v="12.3"/>
    <n v="7"/>
    <n v="0"/>
    <n v="9"/>
    <n v="56"/>
    <s v="Yes"/>
    <s v="No"/>
    <s v="No"/>
    <s v="Yes"/>
    <s v="Yes"/>
    <s v="No"/>
    <m/>
    <s v="0 Failures"/>
    <n v="1"/>
    <s v="10-20hrs"/>
    <x v="0"/>
  </r>
  <r>
    <n v="548"/>
    <d v="2024-08-13T00:00:00"/>
    <s v="Basic"/>
    <n v="199"/>
    <n v="16.5"/>
    <n v="0"/>
    <n v="5"/>
    <n v="17"/>
    <n v="55"/>
    <s v="No"/>
    <s v="No"/>
    <s v="Yes"/>
    <s v="No"/>
    <s v="Yes"/>
    <s v="No"/>
    <m/>
    <s v="1+ Failures"/>
    <n v="0"/>
    <s v="10-20hrs"/>
    <x v="1"/>
  </r>
  <r>
    <n v="549"/>
    <d v="2024-09-25T00:00:00"/>
    <s v="Premium"/>
    <n v="699"/>
    <n v="24.5"/>
    <n v="5"/>
    <n v="4"/>
    <n v="15"/>
    <n v="33"/>
    <s v="Yes"/>
    <s v="No"/>
    <s v="Yes"/>
    <s v="Yes"/>
    <s v="Yes"/>
    <s v="No"/>
    <m/>
    <s v="1+ Failures"/>
    <n v="1"/>
    <s v="20+ hrs"/>
    <x v="1"/>
  </r>
  <r>
    <n v="550"/>
    <d v="2024-10-18T00:00:00"/>
    <s v="Basic"/>
    <n v="199"/>
    <n v="16.7"/>
    <n v="3"/>
    <n v="3"/>
    <n v="28"/>
    <n v="22"/>
    <s v="No"/>
    <s v="No"/>
    <s v="Yes"/>
    <s v="No"/>
    <s v="Yes"/>
    <s v="No"/>
    <m/>
    <s v="1+ Failures"/>
    <n v="0"/>
    <s v="10-20hrs"/>
    <x v="1"/>
  </r>
  <r>
    <n v="551"/>
    <d v="2023-06-10T00:00:00"/>
    <s v="Standard"/>
    <n v="399"/>
    <n v="21.1"/>
    <n v="8"/>
    <n v="4"/>
    <n v="10"/>
    <n v="3"/>
    <s v="Yes"/>
    <s v="No"/>
    <s v="Yes"/>
    <s v="Yes"/>
    <s v="No"/>
    <s v="No"/>
    <m/>
    <s v="1+ Failures"/>
    <n v="1"/>
    <s v="20+ hrs"/>
    <x v="0"/>
  </r>
  <r>
    <n v="552"/>
    <d v="2023-09-04T00:00:00"/>
    <s v="Premium"/>
    <n v="699"/>
    <n v="21.4"/>
    <n v="2"/>
    <n v="0"/>
    <n v="31"/>
    <n v="48"/>
    <s v="No"/>
    <s v="No"/>
    <s v="No"/>
    <s v="No"/>
    <s v="Yes"/>
    <s v="No"/>
    <m/>
    <s v="0 Failures"/>
    <n v="0"/>
    <s v="20+ hrs"/>
    <x v="1"/>
  </r>
  <r>
    <n v="553"/>
    <d v="2023-08-29T00:00:00"/>
    <s v="Standard"/>
    <n v="399"/>
    <n v="1.7"/>
    <n v="3"/>
    <n v="4"/>
    <n v="18"/>
    <n v="41"/>
    <s v="Yes"/>
    <s v="Yes"/>
    <s v="Yes"/>
    <s v="No"/>
    <s v="Yes"/>
    <s v="No"/>
    <m/>
    <s v="1+ Failures"/>
    <n v="1"/>
    <s v="0-5 hrs"/>
    <x v="1"/>
  </r>
  <r>
    <n v="554"/>
    <d v="2023-11-20T00:00:00"/>
    <s v="Basic"/>
    <n v="199"/>
    <n v="11.4"/>
    <n v="7"/>
    <n v="0"/>
    <n v="30"/>
    <n v="54"/>
    <s v="Yes"/>
    <s v="No"/>
    <s v="No"/>
    <s v="Yes"/>
    <s v="Yes"/>
    <s v="No"/>
    <m/>
    <s v="0 Failures"/>
    <n v="1"/>
    <s v="10-20hrs"/>
    <x v="1"/>
  </r>
  <r>
    <n v="555"/>
    <d v="2024-07-24T00:00:00"/>
    <s v="Basic"/>
    <n v="199"/>
    <n v="18.8"/>
    <n v="0"/>
    <n v="0"/>
    <n v="32"/>
    <n v="25"/>
    <s v="No"/>
    <s v="No"/>
    <s v="No"/>
    <s v="No"/>
    <s v="Yes"/>
    <s v="No"/>
    <m/>
    <s v="0 Failures"/>
    <n v="0"/>
    <s v="10-20hrs"/>
    <x v="1"/>
  </r>
  <r>
    <n v="556"/>
    <d v="2024-11-18T00:00:00"/>
    <s v="Premium"/>
    <n v="699"/>
    <n v="20.7"/>
    <n v="4"/>
    <n v="4"/>
    <n v="1"/>
    <n v="35"/>
    <s v="Yes"/>
    <s v="No"/>
    <s v="Yes"/>
    <s v="No"/>
    <s v="Yes"/>
    <s v="Yes"/>
    <m/>
    <s v="1+ Failures"/>
    <n v="1"/>
    <s v="20+ hrs"/>
    <x v="2"/>
  </r>
  <r>
    <n v="557"/>
    <d v="2024-07-27T00:00:00"/>
    <s v="Standard"/>
    <n v="399"/>
    <n v="9.4"/>
    <n v="0"/>
    <n v="1"/>
    <n v="22"/>
    <n v="54"/>
    <s v="No"/>
    <s v="No"/>
    <s v="Yes"/>
    <s v="No"/>
    <s v="Yes"/>
    <s v="No"/>
    <m/>
    <s v="1+ Failures"/>
    <n v="0"/>
    <s v="5-10 hrs"/>
    <x v="1"/>
  </r>
  <r>
    <n v="558"/>
    <d v="2024-11-05T00:00:00"/>
    <s v="Premium"/>
    <n v="699"/>
    <n v="18.100000000000001"/>
    <n v="5"/>
    <n v="5"/>
    <n v="31"/>
    <n v="28"/>
    <s v="Yes"/>
    <s v="No"/>
    <s v="Yes"/>
    <s v="Yes"/>
    <s v="Yes"/>
    <s v="No"/>
    <m/>
    <s v="1+ Failures"/>
    <n v="1"/>
    <s v="10-20hrs"/>
    <x v="1"/>
  </r>
  <r>
    <n v="559"/>
    <d v="2023-04-19T00:00:00"/>
    <s v="Basic"/>
    <n v="199"/>
    <n v="8.9"/>
    <n v="4"/>
    <n v="4"/>
    <n v="1"/>
    <n v="33"/>
    <s v="Yes"/>
    <s v="No"/>
    <s v="Yes"/>
    <s v="No"/>
    <s v="Yes"/>
    <s v="Yes"/>
    <m/>
    <s v="1+ Failures"/>
    <n v="1"/>
    <s v="5-10 hrs"/>
    <x v="2"/>
  </r>
  <r>
    <n v="560"/>
    <d v="2023-07-12T00:00:00"/>
    <s v="Basic"/>
    <n v="199"/>
    <n v="12.6"/>
    <n v="6"/>
    <n v="0"/>
    <n v="11"/>
    <n v="16"/>
    <s v="No"/>
    <s v="No"/>
    <s v="No"/>
    <s v="Yes"/>
    <s v="Yes"/>
    <s v="No"/>
    <m/>
    <s v="0 Failures"/>
    <n v="0"/>
    <s v="10-20hrs"/>
    <x v="0"/>
  </r>
  <r>
    <n v="561"/>
    <d v="2024-02-29T00:00:00"/>
    <s v="Basic"/>
    <n v="199"/>
    <n v="5.8"/>
    <n v="3"/>
    <n v="5"/>
    <n v="26"/>
    <n v="21"/>
    <s v="Yes"/>
    <s v="No"/>
    <s v="Yes"/>
    <s v="No"/>
    <s v="Yes"/>
    <s v="No"/>
    <m/>
    <s v="1+ Failures"/>
    <n v="1"/>
    <s v="5-10 hrs"/>
    <x v="1"/>
  </r>
  <r>
    <n v="562"/>
    <d v="2024-05-31T00:00:00"/>
    <s v="Basic"/>
    <n v="199"/>
    <n v="19.399999999999999"/>
    <n v="7"/>
    <n v="3"/>
    <n v="8"/>
    <n v="42"/>
    <s v="Yes"/>
    <s v="No"/>
    <s v="Yes"/>
    <s v="Yes"/>
    <s v="Yes"/>
    <s v="No"/>
    <m/>
    <s v="1+ Failures"/>
    <n v="1"/>
    <s v="10-20hrs"/>
    <x v="0"/>
  </r>
  <r>
    <n v="563"/>
    <d v="2024-08-22T00:00:00"/>
    <s v="Basic"/>
    <n v="199"/>
    <n v="0.6"/>
    <n v="0"/>
    <n v="4"/>
    <n v="32"/>
    <n v="59"/>
    <s v="Yes"/>
    <s v="Yes"/>
    <s v="Yes"/>
    <s v="No"/>
    <s v="Yes"/>
    <s v="No"/>
    <m/>
    <s v="1+ Failures"/>
    <n v="1"/>
    <s v="0-5 hrs"/>
    <x v="1"/>
  </r>
  <r>
    <n v="564"/>
    <d v="2023-05-12T00:00:00"/>
    <s v="Standard"/>
    <n v="399"/>
    <n v="19.600000000000001"/>
    <n v="2"/>
    <n v="5"/>
    <n v="33"/>
    <n v="37"/>
    <s v="Yes"/>
    <s v="No"/>
    <s v="Yes"/>
    <s v="No"/>
    <s v="Yes"/>
    <s v="No"/>
    <m/>
    <s v="1+ Failures"/>
    <n v="1"/>
    <s v="10-20hrs"/>
    <x v="1"/>
  </r>
  <r>
    <n v="565"/>
    <d v="2024-09-15T00:00:00"/>
    <s v="Basic"/>
    <n v="199"/>
    <n v="16.600000000000001"/>
    <n v="5"/>
    <n v="4"/>
    <n v="25"/>
    <n v="56"/>
    <s v="Yes"/>
    <s v="No"/>
    <s v="Yes"/>
    <s v="Yes"/>
    <s v="Yes"/>
    <s v="No"/>
    <m/>
    <s v="1+ Failures"/>
    <n v="1"/>
    <s v="10-20hrs"/>
    <x v="1"/>
  </r>
  <r>
    <n v="566"/>
    <d v="2023-05-22T00:00:00"/>
    <s v="Premium"/>
    <n v="699"/>
    <n v="7.2"/>
    <n v="5"/>
    <n v="2"/>
    <n v="16"/>
    <n v="28"/>
    <s v="No"/>
    <s v="No"/>
    <s v="Yes"/>
    <s v="Yes"/>
    <s v="Yes"/>
    <s v="No"/>
    <m/>
    <s v="1+ Failures"/>
    <n v="0"/>
    <s v="5-10 hrs"/>
    <x v="1"/>
  </r>
  <r>
    <n v="567"/>
    <d v="2024-07-20T00:00:00"/>
    <s v="Standard"/>
    <n v="399"/>
    <n v="7.8"/>
    <n v="8"/>
    <n v="2"/>
    <n v="33"/>
    <n v="45"/>
    <s v="Yes"/>
    <s v="No"/>
    <s v="Yes"/>
    <s v="Yes"/>
    <s v="Yes"/>
    <s v="No"/>
    <m/>
    <s v="1+ Failures"/>
    <n v="1"/>
    <s v="5-10 hrs"/>
    <x v="1"/>
  </r>
  <r>
    <n v="568"/>
    <d v="2023-05-16T00:00:00"/>
    <s v="Premium"/>
    <n v="699"/>
    <n v="5.4"/>
    <n v="4"/>
    <n v="5"/>
    <n v="14"/>
    <n v="22"/>
    <s v="No"/>
    <s v="No"/>
    <s v="Yes"/>
    <s v="No"/>
    <s v="Yes"/>
    <s v="No"/>
    <m/>
    <s v="1+ Failures"/>
    <n v="0"/>
    <s v="5-10 hrs"/>
    <x v="1"/>
  </r>
  <r>
    <n v="569"/>
    <d v="2024-07-29T00:00:00"/>
    <s v="Premium"/>
    <n v="699"/>
    <n v="12.8"/>
    <n v="5"/>
    <n v="5"/>
    <n v="12"/>
    <n v="7"/>
    <s v="No"/>
    <s v="No"/>
    <s v="Yes"/>
    <s v="Yes"/>
    <s v="No"/>
    <s v="No"/>
    <m/>
    <s v="1+ Failures"/>
    <n v="0"/>
    <s v="10-20hrs"/>
    <x v="0"/>
  </r>
  <r>
    <n v="570"/>
    <d v="2023-01-14T00:00:00"/>
    <s v="Standard"/>
    <n v="399"/>
    <n v="17"/>
    <n v="8"/>
    <n v="2"/>
    <n v="27"/>
    <n v="56"/>
    <s v="No"/>
    <s v="No"/>
    <s v="Yes"/>
    <s v="Yes"/>
    <s v="Yes"/>
    <s v="No"/>
    <m/>
    <s v="1+ Failures"/>
    <n v="0"/>
    <s v="10-20hrs"/>
    <x v="1"/>
  </r>
  <r>
    <n v="571"/>
    <d v="2023-10-01T00:00:00"/>
    <s v="Premium"/>
    <n v="699"/>
    <n v="1.1000000000000001"/>
    <n v="2"/>
    <n v="0"/>
    <n v="7"/>
    <n v="42"/>
    <s v="Yes"/>
    <s v="Yes"/>
    <s v="No"/>
    <s v="No"/>
    <s v="Yes"/>
    <s v="No"/>
    <m/>
    <s v="0 Failures"/>
    <n v="1"/>
    <s v="0-5 hrs"/>
    <x v="0"/>
  </r>
  <r>
    <n v="572"/>
    <d v="2023-07-28T00:00:00"/>
    <s v="Basic"/>
    <n v="199"/>
    <n v="17.2"/>
    <n v="2"/>
    <n v="0"/>
    <n v="19"/>
    <n v="44"/>
    <s v="No"/>
    <s v="No"/>
    <s v="No"/>
    <s v="No"/>
    <s v="Yes"/>
    <s v="No"/>
    <m/>
    <s v="0 Failures"/>
    <n v="0"/>
    <s v="10-20hrs"/>
    <x v="1"/>
  </r>
  <r>
    <n v="573"/>
    <d v="2024-07-29T00:00:00"/>
    <s v="Premium"/>
    <n v="699"/>
    <n v="9.3000000000000007"/>
    <n v="7"/>
    <n v="0"/>
    <n v="3"/>
    <n v="39"/>
    <s v="No"/>
    <s v="No"/>
    <s v="No"/>
    <s v="Yes"/>
    <s v="Yes"/>
    <s v="Yes"/>
    <m/>
    <s v="0 Failures"/>
    <n v="0"/>
    <s v="5-10 hrs"/>
    <x v="2"/>
  </r>
  <r>
    <n v="574"/>
    <d v="2023-02-18T00:00:00"/>
    <s v="Basic"/>
    <n v="199"/>
    <n v="10"/>
    <n v="8"/>
    <n v="5"/>
    <n v="36"/>
    <n v="18"/>
    <s v="No"/>
    <s v="No"/>
    <s v="Yes"/>
    <s v="Yes"/>
    <s v="Yes"/>
    <s v="No"/>
    <m/>
    <s v="1+ Failures"/>
    <n v="0"/>
    <s v="5-10 hrs"/>
    <x v="1"/>
  </r>
  <r>
    <n v="575"/>
    <d v="2023-09-15T00:00:00"/>
    <s v="Standard"/>
    <n v="399"/>
    <n v="10.7"/>
    <n v="5"/>
    <n v="4"/>
    <n v="25"/>
    <n v="3"/>
    <s v="Yes"/>
    <s v="No"/>
    <s v="Yes"/>
    <s v="Yes"/>
    <s v="No"/>
    <s v="No"/>
    <m/>
    <s v="1+ Failures"/>
    <n v="1"/>
    <s v="10-20hrs"/>
    <x v="1"/>
  </r>
  <r>
    <n v="576"/>
    <d v="2023-07-21T00:00:00"/>
    <s v="Basic"/>
    <n v="199"/>
    <n v="20.8"/>
    <n v="5"/>
    <n v="4"/>
    <n v="29"/>
    <n v="34"/>
    <s v="Yes"/>
    <s v="No"/>
    <s v="Yes"/>
    <s v="Yes"/>
    <s v="Yes"/>
    <s v="No"/>
    <m/>
    <s v="1+ Failures"/>
    <n v="1"/>
    <s v="20+ hrs"/>
    <x v="1"/>
  </r>
  <r>
    <n v="577"/>
    <d v="2023-06-27T00:00:00"/>
    <s v="Premium"/>
    <n v="699"/>
    <n v="7.7"/>
    <n v="2"/>
    <n v="5"/>
    <n v="13"/>
    <n v="4"/>
    <s v="Yes"/>
    <s v="No"/>
    <s v="Yes"/>
    <s v="No"/>
    <s v="No"/>
    <s v="No"/>
    <m/>
    <s v="1+ Failures"/>
    <n v="1"/>
    <s v="5-10 hrs"/>
    <x v="1"/>
  </r>
  <r>
    <n v="578"/>
    <d v="2023-05-14T00:00:00"/>
    <s v="Premium"/>
    <n v="699"/>
    <n v="3.4"/>
    <n v="0"/>
    <n v="3"/>
    <n v="33"/>
    <n v="17"/>
    <s v="Yes"/>
    <s v="Yes"/>
    <s v="Yes"/>
    <s v="No"/>
    <s v="Yes"/>
    <s v="No"/>
    <m/>
    <s v="1+ Failures"/>
    <n v="1"/>
    <s v="0-5 hrs"/>
    <x v="1"/>
  </r>
  <r>
    <n v="579"/>
    <d v="2023-06-07T00:00:00"/>
    <s v="Basic"/>
    <n v="199"/>
    <n v="0.6"/>
    <n v="7"/>
    <n v="5"/>
    <n v="17"/>
    <n v="59"/>
    <s v="Yes"/>
    <s v="Yes"/>
    <s v="Yes"/>
    <s v="Yes"/>
    <s v="Yes"/>
    <s v="No"/>
    <m/>
    <s v="1+ Failures"/>
    <n v="1"/>
    <s v="0-5 hrs"/>
    <x v="1"/>
  </r>
  <r>
    <n v="580"/>
    <d v="2024-01-02T00:00:00"/>
    <s v="Standard"/>
    <n v="399"/>
    <n v="19.5"/>
    <n v="4"/>
    <n v="3"/>
    <n v="4"/>
    <n v="50"/>
    <s v="Yes"/>
    <s v="No"/>
    <s v="Yes"/>
    <s v="No"/>
    <s v="Yes"/>
    <s v="Yes"/>
    <m/>
    <s v="1+ Failures"/>
    <n v="1"/>
    <s v="10-20hrs"/>
    <x v="3"/>
  </r>
  <r>
    <n v="581"/>
    <d v="2023-06-13T00:00:00"/>
    <s v="Basic"/>
    <n v="199"/>
    <n v="13.4"/>
    <n v="2"/>
    <n v="4"/>
    <n v="21"/>
    <n v="4"/>
    <s v="No"/>
    <s v="No"/>
    <s v="Yes"/>
    <s v="No"/>
    <s v="No"/>
    <s v="No"/>
    <m/>
    <s v="1+ Failures"/>
    <n v="0"/>
    <s v="10-20hrs"/>
    <x v="1"/>
  </r>
  <r>
    <n v="582"/>
    <d v="2024-11-10T00:00:00"/>
    <s v="Standard"/>
    <n v="399"/>
    <n v="13.7"/>
    <n v="1"/>
    <n v="2"/>
    <n v="35"/>
    <n v="14"/>
    <s v="No"/>
    <s v="No"/>
    <s v="Yes"/>
    <s v="No"/>
    <s v="No"/>
    <s v="No"/>
    <m/>
    <s v="1+ Failures"/>
    <n v="0"/>
    <s v="10-20hrs"/>
    <x v="1"/>
  </r>
  <r>
    <n v="583"/>
    <d v="2024-07-28T00:00:00"/>
    <s v="Standard"/>
    <n v="399"/>
    <n v="9.3000000000000007"/>
    <n v="3"/>
    <n v="4"/>
    <n v="22"/>
    <n v="33"/>
    <s v="Yes"/>
    <s v="No"/>
    <s v="Yes"/>
    <s v="No"/>
    <s v="Yes"/>
    <s v="No"/>
    <m/>
    <s v="1+ Failures"/>
    <n v="1"/>
    <s v="5-10 hrs"/>
    <x v="1"/>
  </r>
  <r>
    <n v="584"/>
    <d v="2024-09-20T00:00:00"/>
    <s v="Premium"/>
    <n v="699"/>
    <n v="3.3"/>
    <n v="5"/>
    <n v="3"/>
    <n v="1"/>
    <n v="15"/>
    <s v="No"/>
    <s v="Yes"/>
    <s v="Yes"/>
    <s v="Yes"/>
    <s v="Yes"/>
    <s v="Yes"/>
    <m/>
    <s v="1+ Failures"/>
    <n v="0"/>
    <s v="0-5 hrs"/>
    <x v="2"/>
  </r>
  <r>
    <n v="585"/>
    <d v="2023-04-27T00:00:00"/>
    <s v="Premium"/>
    <n v="699"/>
    <n v="24"/>
    <n v="5"/>
    <n v="3"/>
    <n v="16"/>
    <n v="58"/>
    <s v="No"/>
    <s v="No"/>
    <s v="Yes"/>
    <s v="Yes"/>
    <s v="Yes"/>
    <s v="No"/>
    <m/>
    <s v="1+ Failures"/>
    <n v="0"/>
    <s v="20+ hrs"/>
    <x v="1"/>
  </r>
  <r>
    <n v="586"/>
    <d v="2024-01-19T00:00:00"/>
    <s v="Standard"/>
    <n v="399"/>
    <n v="13.7"/>
    <n v="4"/>
    <n v="0"/>
    <n v="17"/>
    <n v="58"/>
    <s v="No"/>
    <s v="No"/>
    <s v="No"/>
    <s v="No"/>
    <s v="Yes"/>
    <s v="No"/>
    <m/>
    <s v="0 Failures"/>
    <n v="0"/>
    <s v="10-20hrs"/>
    <x v="1"/>
  </r>
  <r>
    <n v="587"/>
    <d v="2023-11-25T00:00:00"/>
    <s v="Premium"/>
    <n v="699"/>
    <n v="11.4"/>
    <n v="0"/>
    <n v="2"/>
    <n v="33"/>
    <n v="57"/>
    <s v="No"/>
    <s v="No"/>
    <s v="Yes"/>
    <s v="No"/>
    <s v="Yes"/>
    <s v="No"/>
    <m/>
    <s v="1+ Failures"/>
    <n v="0"/>
    <s v="10-20hrs"/>
    <x v="1"/>
  </r>
  <r>
    <n v="588"/>
    <d v="2023-03-09T00:00:00"/>
    <s v="Premium"/>
    <n v="699"/>
    <n v="23.7"/>
    <n v="2"/>
    <n v="4"/>
    <n v="6"/>
    <n v="34"/>
    <s v="Yes"/>
    <s v="No"/>
    <s v="Yes"/>
    <s v="No"/>
    <s v="Yes"/>
    <s v="No"/>
    <m/>
    <s v="1+ Failures"/>
    <n v="1"/>
    <s v="20+ hrs"/>
    <x v="3"/>
  </r>
  <r>
    <n v="589"/>
    <d v="2024-12-20T00:00:00"/>
    <s v="Basic"/>
    <n v="199"/>
    <n v="21.7"/>
    <n v="6"/>
    <n v="0"/>
    <n v="14"/>
    <n v="13"/>
    <s v="No"/>
    <s v="No"/>
    <s v="No"/>
    <s v="Yes"/>
    <s v="No"/>
    <s v="No"/>
    <m/>
    <s v="0 Failures"/>
    <n v="0"/>
    <s v="20+ hrs"/>
    <x v="1"/>
  </r>
  <r>
    <n v="590"/>
    <d v="2024-04-15T00:00:00"/>
    <s v="Premium"/>
    <n v="699"/>
    <n v="16.3"/>
    <n v="1"/>
    <n v="5"/>
    <n v="28"/>
    <n v="43"/>
    <s v="Yes"/>
    <s v="No"/>
    <s v="Yes"/>
    <s v="No"/>
    <s v="Yes"/>
    <s v="No"/>
    <m/>
    <s v="1+ Failures"/>
    <n v="1"/>
    <s v="10-20hrs"/>
    <x v="1"/>
  </r>
  <r>
    <n v="591"/>
    <d v="2024-07-25T00:00:00"/>
    <s v="Premium"/>
    <n v="699"/>
    <n v="1.4"/>
    <n v="1"/>
    <n v="0"/>
    <n v="22"/>
    <n v="11"/>
    <s v="No"/>
    <s v="Yes"/>
    <s v="No"/>
    <s v="No"/>
    <s v="No"/>
    <s v="No"/>
    <m/>
    <s v="0 Failures"/>
    <n v="0"/>
    <s v="0-5 hrs"/>
    <x v="1"/>
  </r>
  <r>
    <n v="592"/>
    <d v="2024-03-19T00:00:00"/>
    <s v="Basic"/>
    <n v="199"/>
    <n v="22.8"/>
    <n v="6"/>
    <n v="3"/>
    <n v="15"/>
    <n v="28"/>
    <s v="Yes"/>
    <s v="No"/>
    <s v="Yes"/>
    <s v="Yes"/>
    <s v="Yes"/>
    <s v="No"/>
    <m/>
    <s v="1+ Failures"/>
    <n v="1"/>
    <s v="20+ hrs"/>
    <x v="1"/>
  </r>
  <r>
    <n v="593"/>
    <d v="2024-09-25T00:00:00"/>
    <s v="Standard"/>
    <n v="399"/>
    <n v="10"/>
    <n v="1"/>
    <n v="4"/>
    <n v="2"/>
    <n v="0"/>
    <s v="No"/>
    <s v="No"/>
    <s v="Yes"/>
    <s v="No"/>
    <s v="No"/>
    <s v="Yes"/>
    <m/>
    <s v="1+ Failures"/>
    <n v="0"/>
    <s v="5-10 hrs"/>
    <x v="2"/>
  </r>
  <r>
    <n v="594"/>
    <d v="2023-10-24T00:00:00"/>
    <s v="Basic"/>
    <n v="199"/>
    <n v="17.7"/>
    <n v="1"/>
    <n v="2"/>
    <n v="3"/>
    <n v="59"/>
    <s v="Yes"/>
    <s v="No"/>
    <s v="Yes"/>
    <s v="No"/>
    <s v="Yes"/>
    <s v="Yes"/>
    <m/>
    <s v="1+ Failures"/>
    <n v="1"/>
    <s v="10-20hrs"/>
    <x v="2"/>
  </r>
  <r>
    <n v="595"/>
    <d v="2024-11-07T00:00:00"/>
    <s v="Premium"/>
    <n v="699"/>
    <n v="15.4"/>
    <n v="4"/>
    <n v="3"/>
    <n v="20"/>
    <n v="24"/>
    <s v="Yes"/>
    <s v="No"/>
    <s v="Yes"/>
    <s v="No"/>
    <s v="Yes"/>
    <s v="No"/>
    <m/>
    <s v="1+ Failures"/>
    <n v="1"/>
    <s v="10-20hrs"/>
    <x v="1"/>
  </r>
  <r>
    <n v="596"/>
    <d v="2024-07-12T00:00:00"/>
    <s v="Basic"/>
    <n v="199"/>
    <n v="4.3"/>
    <n v="3"/>
    <n v="1"/>
    <n v="31"/>
    <n v="47"/>
    <s v="Yes"/>
    <s v="Yes"/>
    <s v="Yes"/>
    <s v="No"/>
    <s v="Yes"/>
    <s v="No"/>
    <m/>
    <s v="1+ Failures"/>
    <n v="1"/>
    <s v="0-5 hrs"/>
    <x v="1"/>
  </r>
  <r>
    <n v="597"/>
    <d v="2023-05-25T00:00:00"/>
    <s v="Standard"/>
    <n v="399"/>
    <n v="7.8"/>
    <n v="5"/>
    <n v="0"/>
    <n v="10"/>
    <n v="35"/>
    <s v="No"/>
    <s v="No"/>
    <s v="No"/>
    <s v="Yes"/>
    <s v="Yes"/>
    <s v="No"/>
    <m/>
    <s v="0 Failures"/>
    <n v="0"/>
    <s v="5-10 hrs"/>
    <x v="0"/>
  </r>
  <r>
    <n v="598"/>
    <d v="2023-11-09T00:00:00"/>
    <s v="Basic"/>
    <n v="199"/>
    <n v="0.6"/>
    <n v="6"/>
    <n v="4"/>
    <n v="3"/>
    <n v="35"/>
    <s v="Yes"/>
    <s v="Yes"/>
    <s v="Yes"/>
    <s v="Yes"/>
    <s v="Yes"/>
    <s v="Yes"/>
    <m/>
    <s v="1+ Failures"/>
    <n v="1"/>
    <s v="0-5 hrs"/>
    <x v="2"/>
  </r>
  <r>
    <n v="599"/>
    <d v="2024-09-23T00:00:00"/>
    <s v="Basic"/>
    <n v="199"/>
    <n v="5.7"/>
    <n v="8"/>
    <n v="1"/>
    <n v="23"/>
    <n v="10"/>
    <s v="Yes"/>
    <s v="No"/>
    <s v="Yes"/>
    <s v="Yes"/>
    <s v="No"/>
    <s v="No"/>
    <m/>
    <s v="1+ Failures"/>
    <n v="1"/>
    <s v="5-10 hrs"/>
    <x v="1"/>
  </r>
  <r>
    <n v="600"/>
    <d v="2023-03-16T00:00:00"/>
    <s v="Standard"/>
    <n v="399"/>
    <n v="3.3"/>
    <n v="0"/>
    <n v="4"/>
    <n v="13"/>
    <n v="29"/>
    <s v="Yes"/>
    <s v="Yes"/>
    <s v="Yes"/>
    <s v="No"/>
    <s v="Yes"/>
    <s v="No"/>
    <m/>
    <s v="1+ Failures"/>
    <n v="1"/>
    <s v="0-5 hrs"/>
    <x v="1"/>
  </r>
  <r>
    <n v="601"/>
    <d v="2023-12-05T00:00:00"/>
    <s v="Standard"/>
    <n v="399"/>
    <n v="6.6"/>
    <n v="3"/>
    <n v="5"/>
    <n v="5"/>
    <n v="37"/>
    <s v="Yes"/>
    <s v="No"/>
    <s v="Yes"/>
    <s v="No"/>
    <s v="Yes"/>
    <s v="Yes"/>
    <m/>
    <s v="1+ Failures"/>
    <n v="1"/>
    <s v="5-10 hrs"/>
    <x v="3"/>
  </r>
  <r>
    <n v="602"/>
    <d v="2023-07-18T00:00:00"/>
    <s v="Standard"/>
    <n v="399"/>
    <n v="16.899999999999999"/>
    <n v="3"/>
    <n v="0"/>
    <n v="9"/>
    <n v="18"/>
    <s v="No"/>
    <s v="No"/>
    <s v="No"/>
    <s v="No"/>
    <s v="Yes"/>
    <s v="No"/>
    <m/>
    <s v="0 Failures"/>
    <n v="0"/>
    <s v="10-20hrs"/>
    <x v="0"/>
  </r>
  <r>
    <n v="603"/>
    <d v="2024-08-03T00:00:00"/>
    <s v="Standard"/>
    <n v="399"/>
    <n v="11.5"/>
    <n v="4"/>
    <n v="5"/>
    <n v="32"/>
    <n v="37"/>
    <s v="Yes"/>
    <s v="No"/>
    <s v="Yes"/>
    <s v="No"/>
    <s v="Yes"/>
    <s v="No"/>
    <m/>
    <s v="1+ Failures"/>
    <n v="1"/>
    <s v="10-20hrs"/>
    <x v="1"/>
  </r>
  <r>
    <n v="604"/>
    <d v="2023-08-15T00:00:00"/>
    <s v="Standard"/>
    <n v="399"/>
    <n v="24"/>
    <n v="2"/>
    <n v="0"/>
    <n v="21"/>
    <n v="20"/>
    <s v="No"/>
    <s v="No"/>
    <s v="No"/>
    <s v="No"/>
    <s v="Yes"/>
    <s v="No"/>
    <m/>
    <s v="0 Failures"/>
    <n v="0"/>
    <s v="20+ hrs"/>
    <x v="1"/>
  </r>
  <r>
    <n v="605"/>
    <d v="2024-05-06T00:00:00"/>
    <s v="Premium"/>
    <n v="699"/>
    <n v="7.3"/>
    <n v="5"/>
    <n v="1"/>
    <n v="28"/>
    <n v="43"/>
    <s v="No"/>
    <s v="No"/>
    <s v="Yes"/>
    <s v="Yes"/>
    <s v="Yes"/>
    <s v="No"/>
    <m/>
    <s v="1+ Failures"/>
    <n v="0"/>
    <s v="5-10 hrs"/>
    <x v="1"/>
  </r>
  <r>
    <n v="606"/>
    <d v="2024-10-23T00:00:00"/>
    <s v="Standard"/>
    <n v="399"/>
    <n v="9.3000000000000007"/>
    <n v="4"/>
    <n v="3"/>
    <n v="29"/>
    <n v="35"/>
    <s v="Yes"/>
    <s v="No"/>
    <s v="Yes"/>
    <s v="No"/>
    <s v="Yes"/>
    <s v="No"/>
    <m/>
    <s v="1+ Failures"/>
    <n v="1"/>
    <s v="5-10 hrs"/>
    <x v="1"/>
  </r>
  <r>
    <n v="607"/>
    <d v="2024-10-03T00:00:00"/>
    <s v="Premium"/>
    <n v="699"/>
    <n v="21.1"/>
    <n v="2"/>
    <n v="4"/>
    <n v="6"/>
    <n v="12"/>
    <s v="Yes"/>
    <s v="No"/>
    <s v="Yes"/>
    <s v="No"/>
    <s v="No"/>
    <s v="No"/>
    <m/>
    <s v="1+ Failures"/>
    <n v="1"/>
    <s v="20+ hrs"/>
    <x v="3"/>
  </r>
  <r>
    <n v="608"/>
    <d v="2024-08-15T00:00:00"/>
    <s v="Basic"/>
    <n v="199"/>
    <n v="22.4"/>
    <n v="8"/>
    <n v="5"/>
    <n v="5"/>
    <n v="1"/>
    <s v="No"/>
    <s v="No"/>
    <s v="Yes"/>
    <s v="Yes"/>
    <s v="No"/>
    <s v="Yes"/>
    <m/>
    <s v="1+ Failures"/>
    <n v="0"/>
    <s v="20+ hrs"/>
    <x v="3"/>
  </r>
  <r>
    <n v="609"/>
    <d v="2024-07-06T00:00:00"/>
    <s v="Standard"/>
    <n v="399"/>
    <n v="22.7"/>
    <n v="8"/>
    <n v="2"/>
    <n v="14"/>
    <n v="34"/>
    <s v="No"/>
    <s v="No"/>
    <s v="Yes"/>
    <s v="Yes"/>
    <s v="Yes"/>
    <s v="No"/>
    <m/>
    <s v="1+ Failures"/>
    <n v="0"/>
    <s v="20+ hrs"/>
    <x v="1"/>
  </r>
  <r>
    <n v="610"/>
    <d v="2023-05-18T00:00:00"/>
    <s v="Standard"/>
    <n v="399"/>
    <n v="9.5"/>
    <n v="3"/>
    <n v="4"/>
    <n v="10"/>
    <n v="46"/>
    <s v="No"/>
    <s v="No"/>
    <s v="Yes"/>
    <s v="No"/>
    <s v="Yes"/>
    <s v="No"/>
    <m/>
    <s v="1+ Failures"/>
    <n v="0"/>
    <s v="5-10 hrs"/>
    <x v="0"/>
  </r>
  <r>
    <n v="611"/>
    <d v="2023-09-02T00:00:00"/>
    <s v="Standard"/>
    <n v="399"/>
    <n v="13"/>
    <n v="6"/>
    <n v="2"/>
    <n v="33"/>
    <n v="32"/>
    <s v="Yes"/>
    <s v="No"/>
    <s v="Yes"/>
    <s v="Yes"/>
    <s v="Yes"/>
    <s v="No"/>
    <m/>
    <s v="1+ Failures"/>
    <n v="1"/>
    <s v="10-20hrs"/>
    <x v="1"/>
  </r>
  <r>
    <n v="612"/>
    <d v="2024-08-02T00:00:00"/>
    <s v="Premium"/>
    <n v="699"/>
    <n v="19.100000000000001"/>
    <n v="2"/>
    <n v="3"/>
    <n v="11"/>
    <n v="10"/>
    <s v="Yes"/>
    <s v="No"/>
    <s v="Yes"/>
    <s v="No"/>
    <s v="No"/>
    <s v="No"/>
    <m/>
    <s v="1+ Failures"/>
    <n v="1"/>
    <s v="10-20hrs"/>
    <x v="0"/>
  </r>
  <r>
    <n v="613"/>
    <d v="2024-05-14T00:00:00"/>
    <s v="Premium"/>
    <n v="699"/>
    <n v="18.5"/>
    <n v="7"/>
    <n v="2"/>
    <n v="10"/>
    <n v="2"/>
    <s v="Yes"/>
    <s v="No"/>
    <s v="Yes"/>
    <s v="Yes"/>
    <s v="No"/>
    <s v="No"/>
    <m/>
    <s v="1+ Failures"/>
    <n v="1"/>
    <s v="10-20hrs"/>
    <x v="0"/>
  </r>
  <r>
    <n v="614"/>
    <d v="2024-01-05T00:00:00"/>
    <s v="Basic"/>
    <n v="199"/>
    <n v="7"/>
    <n v="3"/>
    <n v="0"/>
    <n v="5"/>
    <n v="42"/>
    <s v="Yes"/>
    <s v="No"/>
    <s v="No"/>
    <s v="No"/>
    <s v="Yes"/>
    <s v="Yes"/>
    <m/>
    <s v="0 Failures"/>
    <n v="1"/>
    <s v="5-10 hrs"/>
    <x v="3"/>
  </r>
  <r>
    <n v="615"/>
    <d v="2024-12-21T00:00:00"/>
    <s v="Standard"/>
    <n v="399"/>
    <n v="23"/>
    <n v="0"/>
    <n v="0"/>
    <n v="31"/>
    <n v="41"/>
    <s v="Yes"/>
    <s v="No"/>
    <s v="No"/>
    <s v="No"/>
    <s v="Yes"/>
    <s v="No"/>
    <m/>
    <s v="0 Failures"/>
    <n v="1"/>
    <s v="20+ hrs"/>
    <x v="1"/>
  </r>
  <r>
    <n v="616"/>
    <d v="2024-01-21T00:00:00"/>
    <s v="Premium"/>
    <n v="699"/>
    <n v="21"/>
    <n v="4"/>
    <n v="4"/>
    <n v="18"/>
    <n v="34"/>
    <s v="Yes"/>
    <s v="No"/>
    <s v="Yes"/>
    <s v="No"/>
    <s v="Yes"/>
    <s v="No"/>
    <m/>
    <s v="1+ Failures"/>
    <n v="1"/>
    <s v="20+ hrs"/>
    <x v="1"/>
  </r>
  <r>
    <n v="617"/>
    <d v="2023-08-17T00:00:00"/>
    <s v="Premium"/>
    <n v="699"/>
    <n v="9.4"/>
    <n v="1"/>
    <n v="4"/>
    <n v="25"/>
    <n v="16"/>
    <s v="No"/>
    <s v="No"/>
    <s v="Yes"/>
    <s v="No"/>
    <s v="Yes"/>
    <s v="No"/>
    <m/>
    <s v="1+ Failures"/>
    <n v="0"/>
    <s v="5-10 hrs"/>
    <x v="1"/>
  </r>
  <r>
    <n v="618"/>
    <d v="2024-09-10T00:00:00"/>
    <s v="Premium"/>
    <n v="699"/>
    <n v="9.1"/>
    <n v="5"/>
    <n v="3"/>
    <n v="26"/>
    <n v="50"/>
    <s v="Yes"/>
    <s v="No"/>
    <s v="Yes"/>
    <s v="Yes"/>
    <s v="Yes"/>
    <s v="No"/>
    <m/>
    <s v="1+ Failures"/>
    <n v="1"/>
    <s v="5-10 hrs"/>
    <x v="1"/>
  </r>
  <r>
    <n v="619"/>
    <d v="2024-10-20T00:00:00"/>
    <s v="Basic"/>
    <n v="199"/>
    <n v="22.1"/>
    <n v="7"/>
    <n v="1"/>
    <n v="33"/>
    <n v="14"/>
    <s v="Yes"/>
    <s v="No"/>
    <s v="Yes"/>
    <s v="Yes"/>
    <s v="No"/>
    <s v="No"/>
    <m/>
    <s v="1+ Failures"/>
    <n v="1"/>
    <s v="20+ hrs"/>
    <x v="1"/>
  </r>
  <r>
    <n v="620"/>
    <d v="2023-05-02T00:00:00"/>
    <s v="Standard"/>
    <n v="399"/>
    <n v="4.2"/>
    <n v="2"/>
    <n v="2"/>
    <n v="14"/>
    <n v="38"/>
    <s v="Yes"/>
    <s v="Yes"/>
    <s v="Yes"/>
    <s v="No"/>
    <s v="Yes"/>
    <s v="No"/>
    <m/>
    <s v="1+ Failures"/>
    <n v="1"/>
    <s v="0-5 hrs"/>
    <x v="1"/>
  </r>
  <r>
    <n v="621"/>
    <d v="2024-05-05T00:00:00"/>
    <s v="Premium"/>
    <n v="699"/>
    <n v="10.7"/>
    <n v="5"/>
    <n v="5"/>
    <n v="15"/>
    <n v="7"/>
    <s v="Yes"/>
    <s v="No"/>
    <s v="Yes"/>
    <s v="Yes"/>
    <s v="No"/>
    <s v="No"/>
    <m/>
    <s v="1+ Failures"/>
    <n v="1"/>
    <s v="10-20hrs"/>
    <x v="1"/>
  </r>
  <r>
    <n v="622"/>
    <d v="2024-08-10T00:00:00"/>
    <s v="Standard"/>
    <n v="399"/>
    <n v="15"/>
    <n v="6"/>
    <n v="0"/>
    <n v="14"/>
    <n v="15"/>
    <s v="Yes"/>
    <s v="No"/>
    <s v="No"/>
    <s v="Yes"/>
    <s v="Yes"/>
    <s v="No"/>
    <m/>
    <s v="0 Failures"/>
    <n v="1"/>
    <s v="10-20hrs"/>
    <x v="1"/>
  </r>
  <r>
    <n v="623"/>
    <d v="2023-02-27T00:00:00"/>
    <s v="Premium"/>
    <n v="699"/>
    <n v="3.8"/>
    <n v="8"/>
    <n v="0"/>
    <n v="11"/>
    <n v="57"/>
    <s v="Yes"/>
    <s v="Yes"/>
    <s v="No"/>
    <s v="Yes"/>
    <s v="Yes"/>
    <s v="No"/>
    <m/>
    <s v="0 Failures"/>
    <n v="1"/>
    <s v="0-5 hrs"/>
    <x v="0"/>
  </r>
  <r>
    <n v="624"/>
    <d v="2024-10-14T00:00:00"/>
    <s v="Basic"/>
    <n v="199"/>
    <n v="23.1"/>
    <n v="8"/>
    <n v="3"/>
    <n v="17"/>
    <n v="38"/>
    <s v="No"/>
    <s v="No"/>
    <s v="Yes"/>
    <s v="Yes"/>
    <s v="Yes"/>
    <s v="No"/>
    <m/>
    <s v="1+ Failures"/>
    <n v="0"/>
    <s v="20+ hrs"/>
    <x v="1"/>
  </r>
  <r>
    <n v="625"/>
    <d v="2024-05-08T00:00:00"/>
    <s v="Basic"/>
    <n v="199"/>
    <n v="23.7"/>
    <n v="3"/>
    <n v="3"/>
    <n v="19"/>
    <n v="38"/>
    <s v="No"/>
    <s v="No"/>
    <s v="Yes"/>
    <s v="No"/>
    <s v="Yes"/>
    <s v="No"/>
    <m/>
    <s v="1+ Failures"/>
    <n v="0"/>
    <s v="20+ hrs"/>
    <x v="1"/>
  </r>
  <r>
    <n v="626"/>
    <d v="2024-09-30T00:00:00"/>
    <s v="Basic"/>
    <n v="199"/>
    <n v="20.8"/>
    <n v="2"/>
    <n v="4"/>
    <n v="15"/>
    <n v="52"/>
    <s v="No"/>
    <s v="No"/>
    <s v="Yes"/>
    <s v="No"/>
    <s v="Yes"/>
    <s v="No"/>
    <m/>
    <s v="1+ Failures"/>
    <n v="0"/>
    <s v="20+ hrs"/>
    <x v="1"/>
  </r>
  <r>
    <n v="627"/>
    <d v="2023-08-24T00:00:00"/>
    <s v="Premium"/>
    <n v="699"/>
    <n v="7"/>
    <n v="5"/>
    <n v="3"/>
    <n v="33"/>
    <n v="38"/>
    <s v="Yes"/>
    <s v="No"/>
    <s v="Yes"/>
    <s v="Yes"/>
    <s v="Yes"/>
    <s v="No"/>
    <m/>
    <s v="1+ Failures"/>
    <n v="1"/>
    <s v="5-10 hrs"/>
    <x v="1"/>
  </r>
  <r>
    <n v="628"/>
    <d v="2024-05-31T00:00:00"/>
    <s v="Standard"/>
    <n v="399"/>
    <n v="3.7"/>
    <n v="0"/>
    <n v="1"/>
    <n v="25"/>
    <n v="33"/>
    <s v="No"/>
    <s v="Yes"/>
    <s v="Yes"/>
    <s v="No"/>
    <s v="Yes"/>
    <s v="No"/>
    <m/>
    <s v="1+ Failures"/>
    <n v="0"/>
    <s v="0-5 hrs"/>
    <x v="1"/>
  </r>
  <r>
    <n v="629"/>
    <d v="2024-09-06T00:00:00"/>
    <s v="Premium"/>
    <n v="699"/>
    <n v="20.7"/>
    <n v="1"/>
    <n v="1"/>
    <n v="27"/>
    <n v="30"/>
    <s v="No"/>
    <s v="No"/>
    <s v="Yes"/>
    <s v="No"/>
    <s v="Yes"/>
    <s v="No"/>
    <m/>
    <s v="1+ Failures"/>
    <n v="0"/>
    <s v="20+ hrs"/>
    <x v="1"/>
  </r>
  <r>
    <n v="630"/>
    <d v="2024-09-09T00:00:00"/>
    <s v="Basic"/>
    <n v="199"/>
    <n v="12.8"/>
    <n v="1"/>
    <n v="0"/>
    <n v="35"/>
    <n v="30"/>
    <s v="No"/>
    <s v="No"/>
    <s v="No"/>
    <s v="No"/>
    <s v="Yes"/>
    <s v="No"/>
    <m/>
    <s v="0 Failures"/>
    <n v="0"/>
    <s v="10-20hrs"/>
    <x v="1"/>
  </r>
  <r>
    <n v="631"/>
    <d v="2023-02-14T00:00:00"/>
    <s v="Premium"/>
    <n v="699"/>
    <n v="22.5"/>
    <n v="6"/>
    <n v="4"/>
    <n v="1"/>
    <n v="26"/>
    <s v="Yes"/>
    <s v="No"/>
    <s v="Yes"/>
    <s v="Yes"/>
    <s v="Yes"/>
    <s v="Yes"/>
    <m/>
    <s v="1+ Failures"/>
    <n v="1"/>
    <s v="20+ hrs"/>
    <x v="2"/>
  </r>
  <r>
    <n v="632"/>
    <d v="2024-12-14T00:00:00"/>
    <s v="Premium"/>
    <n v="699"/>
    <n v="11"/>
    <n v="7"/>
    <n v="3"/>
    <n v="34"/>
    <n v="22"/>
    <s v="Yes"/>
    <s v="No"/>
    <s v="Yes"/>
    <s v="Yes"/>
    <s v="Yes"/>
    <s v="No"/>
    <m/>
    <s v="1+ Failures"/>
    <n v="1"/>
    <s v="10-20hrs"/>
    <x v="1"/>
  </r>
  <r>
    <n v="633"/>
    <d v="2023-03-27T00:00:00"/>
    <s v="Premium"/>
    <n v="699"/>
    <n v="10.9"/>
    <n v="4"/>
    <n v="3"/>
    <n v="7"/>
    <n v="49"/>
    <s v="Yes"/>
    <s v="No"/>
    <s v="Yes"/>
    <s v="No"/>
    <s v="Yes"/>
    <s v="No"/>
    <m/>
    <s v="1+ Failures"/>
    <n v="1"/>
    <s v="10-20hrs"/>
    <x v="0"/>
  </r>
  <r>
    <n v="634"/>
    <d v="2023-01-08T00:00:00"/>
    <s v="Standard"/>
    <n v="399"/>
    <n v="10.5"/>
    <n v="3"/>
    <n v="0"/>
    <n v="35"/>
    <n v="45"/>
    <s v="No"/>
    <s v="No"/>
    <s v="No"/>
    <s v="No"/>
    <s v="Yes"/>
    <s v="No"/>
    <m/>
    <s v="0 Failures"/>
    <n v="0"/>
    <s v="10-20hrs"/>
    <x v="1"/>
  </r>
  <r>
    <n v="635"/>
    <d v="2023-11-20T00:00:00"/>
    <s v="Premium"/>
    <n v="699"/>
    <n v="3.4"/>
    <n v="0"/>
    <n v="3"/>
    <n v="34"/>
    <n v="41"/>
    <s v="Yes"/>
    <s v="Yes"/>
    <s v="Yes"/>
    <s v="No"/>
    <s v="Yes"/>
    <s v="No"/>
    <m/>
    <s v="1+ Failures"/>
    <n v="1"/>
    <s v="0-5 hrs"/>
    <x v="1"/>
  </r>
  <r>
    <n v="636"/>
    <d v="2024-07-02T00:00:00"/>
    <s v="Standard"/>
    <n v="399"/>
    <n v="3.1"/>
    <n v="6"/>
    <n v="5"/>
    <n v="24"/>
    <n v="37"/>
    <s v="Yes"/>
    <s v="Yes"/>
    <s v="Yes"/>
    <s v="Yes"/>
    <s v="Yes"/>
    <s v="No"/>
    <m/>
    <s v="1+ Failures"/>
    <n v="1"/>
    <s v="0-5 hrs"/>
    <x v="1"/>
  </r>
  <r>
    <n v="637"/>
    <d v="2024-07-24T00:00:00"/>
    <s v="Standard"/>
    <n v="399"/>
    <n v="15.5"/>
    <n v="6"/>
    <n v="1"/>
    <n v="24"/>
    <n v="26"/>
    <s v="No"/>
    <s v="No"/>
    <s v="Yes"/>
    <s v="Yes"/>
    <s v="Yes"/>
    <s v="No"/>
    <m/>
    <s v="1+ Failures"/>
    <n v="0"/>
    <s v="10-20hrs"/>
    <x v="1"/>
  </r>
  <r>
    <n v="638"/>
    <d v="2024-08-14T00:00:00"/>
    <s v="Standard"/>
    <n v="399"/>
    <n v="9.6"/>
    <n v="8"/>
    <n v="3"/>
    <n v="12"/>
    <n v="16"/>
    <s v="No"/>
    <s v="No"/>
    <s v="Yes"/>
    <s v="Yes"/>
    <s v="Yes"/>
    <s v="No"/>
    <m/>
    <s v="1+ Failures"/>
    <n v="0"/>
    <s v="5-10 hrs"/>
    <x v="0"/>
  </r>
  <r>
    <n v="639"/>
    <d v="2024-12-17T00:00:00"/>
    <s v="Standard"/>
    <n v="399"/>
    <n v="18.5"/>
    <n v="1"/>
    <n v="5"/>
    <n v="26"/>
    <n v="14"/>
    <s v="No"/>
    <s v="No"/>
    <s v="Yes"/>
    <s v="No"/>
    <s v="No"/>
    <s v="No"/>
    <m/>
    <s v="1+ Failures"/>
    <n v="0"/>
    <s v="10-20hrs"/>
    <x v="1"/>
  </r>
  <r>
    <n v="640"/>
    <d v="2024-12-14T00:00:00"/>
    <s v="Basic"/>
    <n v="199"/>
    <n v="5.8"/>
    <n v="6"/>
    <n v="2"/>
    <n v="7"/>
    <n v="51"/>
    <s v="Yes"/>
    <s v="No"/>
    <s v="Yes"/>
    <s v="Yes"/>
    <s v="Yes"/>
    <s v="No"/>
    <m/>
    <s v="1+ Failures"/>
    <n v="1"/>
    <s v="5-10 hrs"/>
    <x v="0"/>
  </r>
  <r>
    <n v="641"/>
    <d v="2024-09-06T00:00:00"/>
    <s v="Premium"/>
    <n v="699"/>
    <n v="4.4000000000000004"/>
    <n v="0"/>
    <n v="0"/>
    <n v="4"/>
    <n v="52"/>
    <s v="Yes"/>
    <s v="Yes"/>
    <s v="No"/>
    <s v="No"/>
    <s v="Yes"/>
    <s v="Yes"/>
    <m/>
    <s v="0 Failures"/>
    <n v="1"/>
    <s v="0-5 hrs"/>
    <x v="3"/>
  </r>
  <r>
    <n v="642"/>
    <d v="2024-01-29T00:00:00"/>
    <s v="Standard"/>
    <n v="399"/>
    <n v="2.1"/>
    <n v="3"/>
    <n v="2"/>
    <n v="6"/>
    <n v="5"/>
    <s v="No"/>
    <s v="Yes"/>
    <s v="Yes"/>
    <s v="No"/>
    <s v="No"/>
    <s v="No"/>
    <m/>
    <s v="1+ Failures"/>
    <n v="0"/>
    <s v="0-5 hrs"/>
    <x v="3"/>
  </r>
  <r>
    <n v="643"/>
    <d v="2023-01-11T00:00:00"/>
    <s v="Standard"/>
    <n v="399"/>
    <n v="7.5"/>
    <n v="0"/>
    <n v="1"/>
    <n v="34"/>
    <n v="40"/>
    <s v="No"/>
    <s v="No"/>
    <s v="Yes"/>
    <s v="No"/>
    <s v="Yes"/>
    <s v="No"/>
    <m/>
    <s v="1+ Failures"/>
    <n v="0"/>
    <s v="5-10 hrs"/>
    <x v="1"/>
  </r>
  <r>
    <n v="644"/>
    <d v="2023-08-26T00:00:00"/>
    <s v="Basic"/>
    <n v="199"/>
    <n v="7.5"/>
    <n v="0"/>
    <n v="4"/>
    <n v="34"/>
    <n v="32"/>
    <s v="Yes"/>
    <s v="No"/>
    <s v="Yes"/>
    <s v="No"/>
    <s v="Yes"/>
    <s v="No"/>
    <m/>
    <s v="1+ Failures"/>
    <n v="1"/>
    <s v="5-10 hrs"/>
    <x v="1"/>
  </r>
  <r>
    <n v="645"/>
    <d v="2023-06-11T00:00:00"/>
    <s v="Premium"/>
    <n v="699"/>
    <n v="17"/>
    <n v="5"/>
    <n v="1"/>
    <n v="11"/>
    <n v="41"/>
    <s v="Yes"/>
    <s v="No"/>
    <s v="Yes"/>
    <s v="Yes"/>
    <s v="Yes"/>
    <s v="No"/>
    <m/>
    <s v="1+ Failures"/>
    <n v="1"/>
    <s v="10-20hrs"/>
    <x v="0"/>
  </r>
  <r>
    <n v="646"/>
    <d v="2023-07-25T00:00:00"/>
    <s v="Basic"/>
    <n v="199"/>
    <n v="19.600000000000001"/>
    <n v="5"/>
    <n v="5"/>
    <n v="18"/>
    <n v="25"/>
    <s v="Yes"/>
    <s v="No"/>
    <s v="Yes"/>
    <s v="Yes"/>
    <s v="Yes"/>
    <s v="No"/>
    <m/>
    <s v="1+ Failures"/>
    <n v="1"/>
    <s v="10-20hrs"/>
    <x v="1"/>
  </r>
  <r>
    <n v="647"/>
    <d v="2024-07-26T00:00:00"/>
    <s v="Premium"/>
    <n v="699"/>
    <n v="18.600000000000001"/>
    <n v="1"/>
    <n v="0"/>
    <n v="1"/>
    <n v="35"/>
    <s v="Yes"/>
    <s v="No"/>
    <s v="No"/>
    <s v="No"/>
    <s v="Yes"/>
    <s v="Yes"/>
    <m/>
    <s v="0 Failures"/>
    <n v="1"/>
    <s v="10-20hrs"/>
    <x v="2"/>
  </r>
  <r>
    <n v="648"/>
    <d v="2024-04-10T00:00:00"/>
    <s v="Premium"/>
    <n v="699"/>
    <n v="9"/>
    <n v="4"/>
    <n v="1"/>
    <n v="23"/>
    <n v="38"/>
    <s v="No"/>
    <s v="No"/>
    <s v="Yes"/>
    <s v="No"/>
    <s v="Yes"/>
    <s v="No"/>
    <m/>
    <s v="1+ Failures"/>
    <n v="0"/>
    <s v="5-10 hrs"/>
    <x v="1"/>
  </r>
  <r>
    <n v="649"/>
    <d v="2024-05-30T00:00:00"/>
    <s v="Standard"/>
    <n v="399"/>
    <n v="6.9"/>
    <n v="6"/>
    <n v="4"/>
    <n v="1"/>
    <n v="6"/>
    <s v="No"/>
    <s v="No"/>
    <s v="Yes"/>
    <s v="Yes"/>
    <s v="No"/>
    <s v="Yes"/>
    <m/>
    <s v="1+ Failures"/>
    <n v="0"/>
    <s v="5-10 hrs"/>
    <x v="2"/>
  </r>
  <r>
    <n v="650"/>
    <d v="2024-08-11T00:00:00"/>
    <s v="Standard"/>
    <n v="399"/>
    <n v="23.7"/>
    <n v="8"/>
    <n v="2"/>
    <n v="22"/>
    <n v="56"/>
    <s v="Yes"/>
    <s v="No"/>
    <s v="Yes"/>
    <s v="Yes"/>
    <s v="Yes"/>
    <s v="No"/>
    <m/>
    <s v="1+ Failures"/>
    <n v="1"/>
    <s v="20+ hrs"/>
    <x v="1"/>
  </r>
  <r>
    <n v="651"/>
    <d v="2024-04-14T00:00:00"/>
    <s v="Standard"/>
    <n v="399"/>
    <n v="24.2"/>
    <n v="7"/>
    <n v="1"/>
    <n v="29"/>
    <n v="48"/>
    <s v="Yes"/>
    <s v="No"/>
    <s v="Yes"/>
    <s v="Yes"/>
    <s v="Yes"/>
    <s v="No"/>
    <m/>
    <s v="1+ Failures"/>
    <n v="1"/>
    <s v="20+ hrs"/>
    <x v="1"/>
  </r>
  <r>
    <n v="652"/>
    <d v="2024-01-27T00:00:00"/>
    <s v="Premium"/>
    <n v="699"/>
    <n v="22.5"/>
    <n v="0"/>
    <n v="3"/>
    <n v="30"/>
    <n v="7"/>
    <s v="Yes"/>
    <s v="No"/>
    <s v="Yes"/>
    <s v="No"/>
    <s v="No"/>
    <s v="No"/>
    <m/>
    <s v="1+ Failures"/>
    <n v="1"/>
    <s v="20+ hrs"/>
    <x v="1"/>
  </r>
  <r>
    <n v="653"/>
    <d v="2024-06-12T00:00:00"/>
    <s v="Premium"/>
    <n v="699"/>
    <n v="17.100000000000001"/>
    <n v="3"/>
    <n v="2"/>
    <n v="15"/>
    <n v="26"/>
    <s v="No"/>
    <s v="No"/>
    <s v="Yes"/>
    <s v="No"/>
    <s v="Yes"/>
    <s v="No"/>
    <m/>
    <s v="1+ Failures"/>
    <n v="0"/>
    <s v="10-20hrs"/>
    <x v="1"/>
  </r>
  <r>
    <n v="654"/>
    <d v="2024-11-20T00:00:00"/>
    <s v="Premium"/>
    <n v="699"/>
    <n v="17.7"/>
    <n v="4"/>
    <n v="1"/>
    <n v="1"/>
    <n v="18"/>
    <s v="Yes"/>
    <s v="No"/>
    <s v="Yes"/>
    <s v="No"/>
    <s v="Yes"/>
    <s v="Yes"/>
    <m/>
    <s v="1+ Failures"/>
    <n v="1"/>
    <s v="10-20hrs"/>
    <x v="2"/>
  </r>
  <r>
    <n v="655"/>
    <d v="2024-08-10T00:00:00"/>
    <s v="Premium"/>
    <n v="699"/>
    <n v="2.4"/>
    <n v="2"/>
    <n v="3"/>
    <n v="22"/>
    <n v="20"/>
    <s v="Yes"/>
    <s v="Yes"/>
    <s v="Yes"/>
    <s v="No"/>
    <s v="Yes"/>
    <s v="No"/>
    <m/>
    <s v="1+ Failures"/>
    <n v="1"/>
    <s v="0-5 hrs"/>
    <x v="1"/>
  </r>
  <r>
    <n v="656"/>
    <d v="2023-09-05T00:00:00"/>
    <s v="Standard"/>
    <n v="399"/>
    <n v="23.7"/>
    <n v="3"/>
    <n v="3"/>
    <n v="12"/>
    <n v="47"/>
    <s v="Yes"/>
    <s v="No"/>
    <s v="Yes"/>
    <s v="No"/>
    <s v="Yes"/>
    <s v="No"/>
    <m/>
    <s v="1+ Failures"/>
    <n v="1"/>
    <s v="20+ hrs"/>
    <x v="0"/>
  </r>
  <r>
    <n v="657"/>
    <d v="2023-04-20T00:00:00"/>
    <s v="Standard"/>
    <n v="399"/>
    <n v="6.1"/>
    <n v="3"/>
    <n v="4"/>
    <n v="14"/>
    <n v="22"/>
    <s v="Yes"/>
    <s v="No"/>
    <s v="Yes"/>
    <s v="No"/>
    <s v="Yes"/>
    <s v="No"/>
    <m/>
    <s v="1+ Failures"/>
    <n v="1"/>
    <s v="5-10 hrs"/>
    <x v="1"/>
  </r>
  <r>
    <n v="658"/>
    <d v="2024-07-08T00:00:00"/>
    <s v="Basic"/>
    <n v="199"/>
    <n v="17.100000000000001"/>
    <n v="7"/>
    <n v="4"/>
    <n v="6"/>
    <n v="0"/>
    <s v="No"/>
    <s v="No"/>
    <s v="Yes"/>
    <s v="Yes"/>
    <s v="No"/>
    <s v="No"/>
    <m/>
    <s v="1+ Failures"/>
    <n v="0"/>
    <s v="10-20hrs"/>
    <x v="3"/>
  </r>
  <r>
    <n v="659"/>
    <d v="2024-08-11T00:00:00"/>
    <s v="Basic"/>
    <n v="199"/>
    <n v="9.6"/>
    <n v="5"/>
    <n v="3"/>
    <n v="31"/>
    <n v="57"/>
    <s v="No"/>
    <s v="No"/>
    <s v="Yes"/>
    <s v="Yes"/>
    <s v="Yes"/>
    <s v="No"/>
    <m/>
    <s v="1+ Failures"/>
    <n v="0"/>
    <s v="5-10 hrs"/>
    <x v="1"/>
  </r>
  <r>
    <n v="660"/>
    <d v="2024-08-13T00:00:00"/>
    <s v="Standard"/>
    <n v="399"/>
    <n v="5"/>
    <n v="8"/>
    <n v="2"/>
    <n v="32"/>
    <n v="25"/>
    <s v="Yes"/>
    <s v="No"/>
    <s v="Yes"/>
    <s v="Yes"/>
    <s v="Yes"/>
    <s v="No"/>
    <m/>
    <s v="1+ Failures"/>
    <n v="1"/>
    <s v="0-5 hrs"/>
    <x v="1"/>
  </r>
  <r>
    <n v="661"/>
    <d v="2024-05-29T00:00:00"/>
    <s v="Basic"/>
    <n v="199"/>
    <n v="13.4"/>
    <n v="6"/>
    <n v="3"/>
    <n v="4"/>
    <n v="60"/>
    <s v="Yes"/>
    <s v="No"/>
    <s v="Yes"/>
    <s v="Yes"/>
    <s v="Yes"/>
    <s v="Yes"/>
    <m/>
    <s v="1+ Failures"/>
    <n v="1"/>
    <s v="10-20hrs"/>
    <x v="3"/>
  </r>
  <r>
    <n v="662"/>
    <d v="2024-04-16T00:00:00"/>
    <s v="Standard"/>
    <n v="399"/>
    <n v="21.6"/>
    <n v="2"/>
    <n v="3"/>
    <n v="26"/>
    <n v="7"/>
    <s v="No"/>
    <s v="No"/>
    <s v="Yes"/>
    <s v="No"/>
    <s v="No"/>
    <s v="No"/>
    <m/>
    <s v="1+ Failures"/>
    <n v="0"/>
    <s v="20+ hrs"/>
    <x v="1"/>
  </r>
  <r>
    <n v="663"/>
    <d v="2024-01-06T00:00:00"/>
    <s v="Standard"/>
    <n v="399"/>
    <n v="0.8"/>
    <n v="3"/>
    <n v="3"/>
    <n v="1"/>
    <n v="37"/>
    <s v="Yes"/>
    <s v="Yes"/>
    <s v="Yes"/>
    <s v="No"/>
    <s v="Yes"/>
    <s v="Yes"/>
    <m/>
    <s v="1+ Failures"/>
    <n v="1"/>
    <s v="0-5 hrs"/>
    <x v="2"/>
  </r>
  <r>
    <n v="664"/>
    <d v="2024-09-19T00:00:00"/>
    <s v="Premium"/>
    <n v="699"/>
    <n v="5.0999999999999996"/>
    <n v="4"/>
    <n v="1"/>
    <n v="17"/>
    <n v="17"/>
    <s v="No"/>
    <s v="No"/>
    <s v="Yes"/>
    <s v="No"/>
    <s v="Yes"/>
    <s v="No"/>
    <m/>
    <s v="1+ Failures"/>
    <n v="0"/>
    <s v="5-10 hrs"/>
    <x v="1"/>
  </r>
  <r>
    <n v="665"/>
    <d v="2024-01-17T00:00:00"/>
    <s v="Standard"/>
    <n v="399"/>
    <n v="5"/>
    <n v="6"/>
    <n v="1"/>
    <n v="24"/>
    <n v="26"/>
    <s v="No"/>
    <s v="No"/>
    <s v="Yes"/>
    <s v="Yes"/>
    <s v="Yes"/>
    <s v="No"/>
    <m/>
    <s v="1+ Failures"/>
    <n v="0"/>
    <s v="0-5 hrs"/>
    <x v="1"/>
  </r>
  <r>
    <n v="666"/>
    <d v="2024-12-03T00:00:00"/>
    <s v="Standard"/>
    <n v="399"/>
    <n v="7.4"/>
    <n v="2"/>
    <n v="4"/>
    <n v="26"/>
    <n v="8"/>
    <s v="No"/>
    <s v="No"/>
    <s v="Yes"/>
    <s v="No"/>
    <s v="No"/>
    <s v="No"/>
    <m/>
    <s v="1+ Failures"/>
    <n v="0"/>
    <s v="5-10 hrs"/>
    <x v="1"/>
  </r>
  <r>
    <n v="667"/>
    <d v="2023-07-20T00:00:00"/>
    <s v="Basic"/>
    <n v="199"/>
    <n v="18.2"/>
    <n v="3"/>
    <n v="4"/>
    <n v="7"/>
    <n v="27"/>
    <s v="No"/>
    <s v="No"/>
    <s v="Yes"/>
    <s v="No"/>
    <s v="Yes"/>
    <s v="No"/>
    <m/>
    <s v="1+ Failures"/>
    <n v="0"/>
    <s v="10-20hrs"/>
    <x v="0"/>
  </r>
  <r>
    <n v="668"/>
    <d v="2024-10-07T00:00:00"/>
    <s v="Basic"/>
    <n v="199"/>
    <n v="12.1"/>
    <n v="0"/>
    <n v="1"/>
    <n v="10"/>
    <n v="26"/>
    <s v="No"/>
    <s v="No"/>
    <s v="Yes"/>
    <s v="No"/>
    <s v="Yes"/>
    <s v="No"/>
    <m/>
    <s v="1+ Failures"/>
    <n v="0"/>
    <s v="10-20hrs"/>
    <x v="0"/>
  </r>
  <r>
    <n v="669"/>
    <d v="2024-08-04T00:00:00"/>
    <s v="Premium"/>
    <n v="699"/>
    <n v="18.2"/>
    <n v="7"/>
    <n v="2"/>
    <n v="35"/>
    <n v="16"/>
    <s v="No"/>
    <s v="No"/>
    <s v="Yes"/>
    <s v="Yes"/>
    <s v="Yes"/>
    <s v="No"/>
    <m/>
    <s v="1+ Failures"/>
    <n v="0"/>
    <s v="10-20hrs"/>
    <x v="1"/>
  </r>
  <r>
    <n v="670"/>
    <d v="2024-05-02T00:00:00"/>
    <s v="Basic"/>
    <n v="199"/>
    <n v="2.9"/>
    <n v="2"/>
    <n v="0"/>
    <n v="26"/>
    <n v="13"/>
    <s v="No"/>
    <s v="Yes"/>
    <s v="No"/>
    <s v="No"/>
    <s v="No"/>
    <s v="No"/>
    <m/>
    <s v="0 Failures"/>
    <n v="0"/>
    <s v="0-5 hrs"/>
    <x v="1"/>
  </r>
  <r>
    <n v="671"/>
    <d v="2024-07-24T00:00:00"/>
    <s v="Premium"/>
    <n v="699"/>
    <n v="11.5"/>
    <n v="5"/>
    <n v="2"/>
    <n v="7"/>
    <n v="23"/>
    <s v="Yes"/>
    <s v="No"/>
    <s v="Yes"/>
    <s v="Yes"/>
    <s v="Yes"/>
    <s v="No"/>
    <m/>
    <s v="1+ Failures"/>
    <n v="1"/>
    <s v="10-20hrs"/>
    <x v="0"/>
  </r>
  <r>
    <n v="672"/>
    <d v="2024-09-12T00:00:00"/>
    <s v="Standard"/>
    <n v="399"/>
    <n v="1"/>
    <n v="1"/>
    <n v="2"/>
    <n v="23"/>
    <n v="55"/>
    <s v="Yes"/>
    <s v="Yes"/>
    <s v="Yes"/>
    <s v="No"/>
    <s v="Yes"/>
    <s v="No"/>
    <m/>
    <s v="1+ Failures"/>
    <n v="1"/>
    <s v="0-5 hrs"/>
    <x v="1"/>
  </r>
  <r>
    <n v="673"/>
    <d v="2024-05-14T00:00:00"/>
    <s v="Basic"/>
    <n v="199"/>
    <n v="4.8"/>
    <n v="4"/>
    <n v="2"/>
    <n v="35"/>
    <n v="20"/>
    <s v="Yes"/>
    <s v="Yes"/>
    <s v="Yes"/>
    <s v="No"/>
    <s v="Yes"/>
    <s v="No"/>
    <m/>
    <s v="1+ Failures"/>
    <n v="1"/>
    <s v="0-5 hrs"/>
    <x v="1"/>
  </r>
  <r>
    <n v="674"/>
    <d v="2023-05-29T00:00:00"/>
    <s v="Premium"/>
    <n v="699"/>
    <n v="22.3"/>
    <n v="6"/>
    <n v="4"/>
    <n v="29"/>
    <n v="18"/>
    <s v="Yes"/>
    <s v="No"/>
    <s v="Yes"/>
    <s v="Yes"/>
    <s v="Yes"/>
    <s v="No"/>
    <m/>
    <s v="1+ Failures"/>
    <n v="1"/>
    <s v="20+ hrs"/>
    <x v="1"/>
  </r>
  <r>
    <n v="675"/>
    <d v="2023-08-22T00:00:00"/>
    <s v="Basic"/>
    <n v="199"/>
    <n v="10.8"/>
    <n v="6"/>
    <n v="0"/>
    <n v="22"/>
    <n v="5"/>
    <s v="Yes"/>
    <s v="No"/>
    <s v="No"/>
    <s v="Yes"/>
    <s v="No"/>
    <s v="No"/>
    <m/>
    <s v="0 Failures"/>
    <n v="1"/>
    <s v="10-20hrs"/>
    <x v="1"/>
  </r>
  <r>
    <n v="676"/>
    <d v="2024-03-31T00:00:00"/>
    <s v="Standard"/>
    <n v="399"/>
    <n v="16.5"/>
    <n v="4"/>
    <n v="4"/>
    <n v="21"/>
    <n v="41"/>
    <s v="Yes"/>
    <s v="No"/>
    <s v="Yes"/>
    <s v="No"/>
    <s v="Yes"/>
    <s v="No"/>
    <m/>
    <s v="1+ Failures"/>
    <n v="1"/>
    <s v="10-20hrs"/>
    <x v="1"/>
  </r>
  <r>
    <n v="677"/>
    <d v="2023-05-09T00:00:00"/>
    <s v="Standard"/>
    <n v="399"/>
    <n v="24.2"/>
    <n v="6"/>
    <n v="1"/>
    <n v="34"/>
    <n v="11"/>
    <s v="No"/>
    <s v="No"/>
    <s v="Yes"/>
    <s v="Yes"/>
    <s v="No"/>
    <s v="No"/>
    <m/>
    <s v="1+ Failures"/>
    <n v="0"/>
    <s v="20+ hrs"/>
    <x v="1"/>
  </r>
  <r>
    <n v="678"/>
    <d v="2023-04-08T00:00:00"/>
    <s v="Premium"/>
    <n v="699"/>
    <n v="16.7"/>
    <n v="1"/>
    <n v="1"/>
    <n v="16"/>
    <n v="10"/>
    <s v="No"/>
    <s v="No"/>
    <s v="Yes"/>
    <s v="No"/>
    <s v="No"/>
    <s v="No"/>
    <m/>
    <s v="1+ Failures"/>
    <n v="0"/>
    <s v="10-20hrs"/>
    <x v="1"/>
  </r>
  <r>
    <n v="679"/>
    <d v="2023-03-27T00:00:00"/>
    <s v="Basic"/>
    <n v="199"/>
    <n v="13.9"/>
    <n v="0"/>
    <n v="3"/>
    <n v="31"/>
    <n v="33"/>
    <s v="No"/>
    <s v="No"/>
    <s v="Yes"/>
    <s v="No"/>
    <s v="Yes"/>
    <s v="No"/>
    <m/>
    <s v="1+ Failures"/>
    <n v="0"/>
    <s v="10-20hrs"/>
    <x v="1"/>
  </r>
  <r>
    <n v="680"/>
    <d v="2023-11-13T00:00:00"/>
    <s v="Basic"/>
    <n v="199"/>
    <n v="15.6"/>
    <n v="1"/>
    <n v="5"/>
    <n v="17"/>
    <n v="59"/>
    <s v="No"/>
    <s v="No"/>
    <s v="Yes"/>
    <s v="No"/>
    <s v="Yes"/>
    <s v="No"/>
    <m/>
    <s v="1+ Failures"/>
    <n v="0"/>
    <s v="10-20hrs"/>
    <x v="1"/>
  </r>
  <r>
    <n v="681"/>
    <d v="2023-06-24T00:00:00"/>
    <s v="Basic"/>
    <n v="199"/>
    <n v="18.600000000000001"/>
    <n v="7"/>
    <n v="5"/>
    <n v="16"/>
    <n v="8"/>
    <s v="Yes"/>
    <s v="No"/>
    <s v="Yes"/>
    <s v="Yes"/>
    <s v="No"/>
    <s v="No"/>
    <m/>
    <s v="1+ Failures"/>
    <n v="1"/>
    <s v="10-20hrs"/>
    <x v="1"/>
  </r>
  <r>
    <n v="682"/>
    <d v="2024-07-07T00:00:00"/>
    <s v="Basic"/>
    <n v="199"/>
    <n v="16.8"/>
    <n v="5"/>
    <n v="3"/>
    <n v="3"/>
    <n v="29"/>
    <s v="No"/>
    <s v="No"/>
    <s v="Yes"/>
    <s v="Yes"/>
    <s v="Yes"/>
    <s v="Yes"/>
    <m/>
    <s v="1+ Failures"/>
    <n v="0"/>
    <s v="10-20hrs"/>
    <x v="2"/>
  </r>
  <r>
    <n v="683"/>
    <d v="2024-10-08T00:00:00"/>
    <s v="Standard"/>
    <n v="399"/>
    <n v="11.4"/>
    <n v="8"/>
    <n v="1"/>
    <n v="36"/>
    <n v="37"/>
    <s v="No"/>
    <s v="No"/>
    <s v="Yes"/>
    <s v="Yes"/>
    <s v="Yes"/>
    <s v="No"/>
    <m/>
    <s v="1+ Failures"/>
    <n v="0"/>
    <s v="10-20hrs"/>
    <x v="1"/>
  </r>
  <r>
    <n v="684"/>
    <d v="2024-07-06T00:00:00"/>
    <s v="Premium"/>
    <n v="699"/>
    <n v="13.3"/>
    <n v="8"/>
    <n v="2"/>
    <n v="28"/>
    <n v="58"/>
    <s v="Yes"/>
    <s v="No"/>
    <s v="Yes"/>
    <s v="Yes"/>
    <s v="Yes"/>
    <s v="No"/>
    <m/>
    <s v="1+ Failures"/>
    <n v="1"/>
    <s v="10-20hrs"/>
    <x v="1"/>
  </r>
  <r>
    <n v="685"/>
    <d v="2023-01-11T00:00:00"/>
    <s v="Basic"/>
    <n v="199"/>
    <n v="11.3"/>
    <n v="5"/>
    <n v="3"/>
    <n v="6"/>
    <n v="16"/>
    <s v="Yes"/>
    <s v="No"/>
    <s v="Yes"/>
    <s v="Yes"/>
    <s v="Yes"/>
    <s v="No"/>
    <m/>
    <s v="1+ Failures"/>
    <n v="1"/>
    <s v="10-20hrs"/>
    <x v="3"/>
  </r>
  <r>
    <n v="686"/>
    <d v="2023-01-09T00:00:00"/>
    <s v="Basic"/>
    <n v="199"/>
    <n v="20.5"/>
    <n v="2"/>
    <n v="2"/>
    <n v="34"/>
    <n v="18"/>
    <s v="No"/>
    <s v="No"/>
    <s v="Yes"/>
    <s v="No"/>
    <s v="Yes"/>
    <s v="No"/>
    <m/>
    <s v="1+ Failures"/>
    <n v="0"/>
    <s v="20+ hrs"/>
    <x v="1"/>
  </r>
  <r>
    <n v="687"/>
    <d v="2023-10-27T00:00:00"/>
    <s v="Premium"/>
    <n v="699"/>
    <n v="23.7"/>
    <n v="7"/>
    <n v="2"/>
    <n v="32"/>
    <n v="0"/>
    <s v="No"/>
    <s v="No"/>
    <s v="Yes"/>
    <s v="Yes"/>
    <s v="No"/>
    <s v="No"/>
    <m/>
    <s v="1+ Failures"/>
    <n v="0"/>
    <s v="20+ hrs"/>
    <x v="1"/>
  </r>
  <r>
    <n v="688"/>
    <d v="2024-07-28T00:00:00"/>
    <s v="Premium"/>
    <n v="699"/>
    <n v="20"/>
    <n v="8"/>
    <n v="2"/>
    <n v="15"/>
    <n v="12"/>
    <s v="Yes"/>
    <s v="No"/>
    <s v="Yes"/>
    <s v="Yes"/>
    <s v="No"/>
    <s v="No"/>
    <m/>
    <s v="1+ Failures"/>
    <n v="1"/>
    <s v="10-20hrs"/>
    <x v="1"/>
  </r>
  <r>
    <n v="689"/>
    <d v="2024-03-08T00:00:00"/>
    <s v="Standard"/>
    <n v="399"/>
    <n v="6.6"/>
    <n v="6"/>
    <n v="3"/>
    <n v="26"/>
    <n v="14"/>
    <s v="Yes"/>
    <s v="No"/>
    <s v="Yes"/>
    <s v="Yes"/>
    <s v="No"/>
    <s v="No"/>
    <m/>
    <s v="1+ Failures"/>
    <n v="1"/>
    <s v="5-10 hrs"/>
    <x v="1"/>
  </r>
  <r>
    <n v="690"/>
    <d v="2023-10-03T00:00:00"/>
    <s v="Premium"/>
    <n v="699"/>
    <n v="13.2"/>
    <n v="4"/>
    <n v="2"/>
    <n v="16"/>
    <n v="41"/>
    <s v="Yes"/>
    <s v="No"/>
    <s v="Yes"/>
    <s v="No"/>
    <s v="Yes"/>
    <s v="No"/>
    <m/>
    <s v="1+ Failures"/>
    <n v="1"/>
    <s v="10-20hrs"/>
    <x v="1"/>
  </r>
  <r>
    <n v="691"/>
    <d v="2024-04-11T00:00:00"/>
    <s v="Standard"/>
    <n v="399"/>
    <n v="21.4"/>
    <n v="2"/>
    <n v="1"/>
    <n v="13"/>
    <n v="18"/>
    <s v="No"/>
    <s v="No"/>
    <s v="Yes"/>
    <s v="No"/>
    <s v="Yes"/>
    <s v="No"/>
    <m/>
    <s v="1+ Failures"/>
    <n v="0"/>
    <s v="20+ hrs"/>
    <x v="1"/>
  </r>
  <r>
    <n v="692"/>
    <d v="2023-02-20T00:00:00"/>
    <s v="Premium"/>
    <n v="699"/>
    <n v="7.2"/>
    <n v="7"/>
    <n v="1"/>
    <n v="29"/>
    <n v="20"/>
    <s v="Yes"/>
    <s v="No"/>
    <s v="Yes"/>
    <s v="Yes"/>
    <s v="Yes"/>
    <s v="No"/>
    <m/>
    <s v="1+ Failures"/>
    <n v="1"/>
    <s v="5-10 hrs"/>
    <x v="1"/>
  </r>
  <r>
    <n v="693"/>
    <d v="2024-03-24T00:00:00"/>
    <s v="Premium"/>
    <n v="699"/>
    <n v="5.0999999999999996"/>
    <n v="1"/>
    <n v="2"/>
    <n v="2"/>
    <n v="17"/>
    <s v="Yes"/>
    <s v="No"/>
    <s v="Yes"/>
    <s v="No"/>
    <s v="Yes"/>
    <s v="Yes"/>
    <m/>
    <s v="1+ Failures"/>
    <n v="1"/>
    <s v="5-10 hrs"/>
    <x v="2"/>
  </r>
  <r>
    <n v="694"/>
    <d v="2024-03-06T00:00:00"/>
    <s v="Premium"/>
    <n v="699"/>
    <n v="6.2"/>
    <n v="2"/>
    <n v="0"/>
    <n v="1"/>
    <n v="31"/>
    <s v="Yes"/>
    <s v="No"/>
    <s v="No"/>
    <s v="No"/>
    <s v="Yes"/>
    <s v="Yes"/>
    <m/>
    <s v="0 Failures"/>
    <n v="1"/>
    <s v="5-10 hrs"/>
    <x v="2"/>
  </r>
  <r>
    <n v="695"/>
    <d v="2023-03-24T00:00:00"/>
    <s v="Standard"/>
    <n v="399"/>
    <n v="25"/>
    <n v="7"/>
    <n v="5"/>
    <n v="32"/>
    <n v="50"/>
    <s v="Yes"/>
    <s v="No"/>
    <s v="Yes"/>
    <s v="Yes"/>
    <s v="Yes"/>
    <s v="No"/>
    <m/>
    <s v="1+ Failures"/>
    <n v="1"/>
    <s v="20+ hrs"/>
    <x v="1"/>
  </r>
  <r>
    <n v="696"/>
    <d v="2023-07-16T00:00:00"/>
    <s v="Basic"/>
    <n v="199"/>
    <n v="7"/>
    <n v="6"/>
    <n v="0"/>
    <n v="4"/>
    <n v="34"/>
    <s v="Yes"/>
    <s v="No"/>
    <s v="No"/>
    <s v="Yes"/>
    <s v="Yes"/>
    <s v="Yes"/>
    <m/>
    <s v="0 Failures"/>
    <n v="1"/>
    <s v="5-10 hrs"/>
    <x v="3"/>
  </r>
  <r>
    <n v="697"/>
    <d v="2024-03-29T00:00:00"/>
    <s v="Standard"/>
    <n v="399"/>
    <n v="20.8"/>
    <n v="1"/>
    <n v="5"/>
    <n v="25"/>
    <n v="15"/>
    <s v="No"/>
    <s v="No"/>
    <s v="Yes"/>
    <s v="No"/>
    <s v="Yes"/>
    <s v="No"/>
    <m/>
    <s v="1+ Failures"/>
    <n v="0"/>
    <s v="20+ hrs"/>
    <x v="1"/>
  </r>
  <r>
    <n v="698"/>
    <d v="2024-04-29T00:00:00"/>
    <s v="Basic"/>
    <n v="199"/>
    <n v="5.4"/>
    <n v="1"/>
    <n v="4"/>
    <n v="3"/>
    <n v="42"/>
    <s v="No"/>
    <s v="No"/>
    <s v="Yes"/>
    <s v="No"/>
    <s v="Yes"/>
    <s v="Yes"/>
    <m/>
    <s v="1+ Failures"/>
    <n v="0"/>
    <s v="5-10 hrs"/>
    <x v="2"/>
  </r>
  <r>
    <n v="699"/>
    <d v="2024-07-16T00:00:00"/>
    <s v="Standard"/>
    <n v="399"/>
    <n v="23.4"/>
    <n v="2"/>
    <n v="5"/>
    <n v="20"/>
    <n v="46"/>
    <s v="Yes"/>
    <s v="No"/>
    <s v="Yes"/>
    <s v="No"/>
    <s v="Yes"/>
    <s v="No"/>
    <m/>
    <s v="1+ Failures"/>
    <n v="1"/>
    <s v="20+ hrs"/>
    <x v="1"/>
  </r>
  <r>
    <n v="700"/>
    <d v="2024-11-13T00:00:00"/>
    <s v="Premium"/>
    <n v="699"/>
    <n v="6.7"/>
    <n v="4"/>
    <n v="1"/>
    <n v="8"/>
    <n v="23"/>
    <s v="No"/>
    <s v="No"/>
    <s v="Yes"/>
    <s v="No"/>
    <s v="Yes"/>
    <s v="No"/>
    <m/>
    <s v="1+ Failures"/>
    <n v="0"/>
    <s v="5-10 hrs"/>
    <x v="0"/>
  </r>
  <r>
    <n v="701"/>
    <d v="2023-10-10T00:00:00"/>
    <s v="Basic"/>
    <n v="199"/>
    <n v="6.3"/>
    <n v="6"/>
    <n v="2"/>
    <n v="8"/>
    <n v="0"/>
    <s v="Yes"/>
    <s v="No"/>
    <s v="Yes"/>
    <s v="Yes"/>
    <s v="No"/>
    <s v="No"/>
    <m/>
    <s v="1+ Failures"/>
    <n v="1"/>
    <s v="5-10 hrs"/>
    <x v="0"/>
  </r>
  <r>
    <n v="702"/>
    <d v="2024-12-08T00:00:00"/>
    <s v="Premium"/>
    <n v="699"/>
    <n v="10.199999999999999"/>
    <n v="3"/>
    <n v="0"/>
    <n v="8"/>
    <n v="2"/>
    <s v="No"/>
    <s v="No"/>
    <s v="No"/>
    <s v="No"/>
    <s v="No"/>
    <s v="No"/>
    <m/>
    <s v="0 Failures"/>
    <n v="0"/>
    <s v="10-20hrs"/>
    <x v="0"/>
  </r>
  <r>
    <n v="703"/>
    <d v="2024-12-03T00:00:00"/>
    <s v="Standard"/>
    <n v="399"/>
    <n v="9.6"/>
    <n v="1"/>
    <n v="1"/>
    <n v="10"/>
    <n v="10"/>
    <s v="No"/>
    <s v="No"/>
    <s v="Yes"/>
    <s v="No"/>
    <s v="No"/>
    <s v="No"/>
    <m/>
    <s v="1+ Failures"/>
    <n v="0"/>
    <s v="5-10 hrs"/>
    <x v="0"/>
  </r>
  <r>
    <n v="704"/>
    <d v="2024-12-19T00:00:00"/>
    <s v="Premium"/>
    <n v="699"/>
    <n v="23.3"/>
    <n v="0"/>
    <n v="0"/>
    <n v="22"/>
    <n v="22"/>
    <s v="No"/>
    <s v="No"/>
    <s v="No"/>
    <s v="No"/>
    <s v="Yes"/>
    <s v="No"/>
    <m/>
    <s v="0 Failures"/>
    <n v="0"/>
    <s v="20+ hrs"/>
    <x v="1"/>
  </r>
  <r>
    <n v="705"/>
    <d v="2023-12-22T00:00:00"/>
    <s v="Premium"/>
    <n v="699"/>
    <n v="3.6"/>
    <n v="3"/>
    <n v="2"/>
    <n v="7"/>
    <n v="35"/>
    <s v="Yes"/>
    <s v="Yes"/>
    <s v="Yes"/>
    <s v="No"/>
    <s v="Yes"/>
    <s v="No"/>
    <m/>
    <s v="1+ Failures"/>
    <n v="1"/>
    <s v="0-5 hrs"/>
    <x v="0"/>
  </r>
  <r>
    <n v="706"/>
    <d v="2023-02-10T00:00:00"/>
    <s v="Standard"/>
    <n v="399"/>
    <n v="1"/>
    <n v="6"/>
    <n v="2"/>
    <n v="13"/>
    <n v="46"/>
    <s v="Yes"/>
    <s v="Yes"/>
    <s v="Yes"/>
    <s v="Yes"/>
    <s v="Yes"/>
    <s v="No"/>
    <m/>
    <s v="1+ Failures"/>
    <n v="1"/>
    <s v="0-5 hrs"/>
    <x v="1"/>
  </r>
  <r>
    <n v="707"/>
    <d v="2023-07-11T00:00:00"/>
    <s v="Standard"/>
    <n v="399"/>
    <n v="14.2"/>
    <n v="8"/>
    <n v="5"/>
    <n v="29"/>
    <n v="31"/>
    <s v="Yes"/>
    <s v="No"/>
    <s v="Yes"/>
    <s v="Yes"/>
    <s v="Yes"/>
    <s v="No"/>
    <m/>
    <s v="1+ Failures"/>
    <n v="1"/>
    <s v="10-20hrs"/>
    <x v="1"/>
  </r>
  <r>
    <n v="708"/>
    <d v="2024-07-21T00:00:00"/>
    <s v="Premium"/>
    <n v="699"/>
    <n v="8.4"/>
    <n v="7"/>
    <n v="2"/>
    <n v="23"/>
    <n v="55"/>
    <s v="No"/>
    <s v="No"/>
    <s v="Yes"/>
    <s v="Yes"/>
    <s v="Yes"/>
    <s v="No"/>
    <m/>
    <s v="1+ Failures"/>
    <n v="0"/>
    <s v="5-10 hrs"/>
    <x v="1"/>
  </r>
  <r>
    <n v="709"/>
    <d v="2024-01-11T00:00:00"/>
    <s v="Basic"/>
    <n v="199"/>
    <n v="13.5"/>
    <n v="7"/>
    <n v="2"/>
    <n v="5"/>
    <n v="52"/>
    <s v="Yes"/>
    <s v="No"/>
    <s v="Yes"/>
    <s v="Yes"/>
    <s v="Yes"/>
    <s v="Yes"/>
    <m/>
    <s v="1+ Failures"/>
    <n v="1"/>
    <s v="10-20hrs"/>
    <x v="3"/>
  </r>
  <r>
    <n v="710"/>
    <d v="2023-01-20T00:00:00"/>
    <s v="Standard"/>
    <n v="399"/>
    <n v="19.5"/>
    <n v="8"/>
    <n v="3"/>
    <n v="1"/>
    <n v="46"/>
    <s v="Yes"/>
    <s v="No"/>
    <s v="Yes"/>
    <s v="Yes"/>
    <s v="Yes"/>
    <s v="Yes"/>
    <m/>
    <s v="1+ Failures"/>
    <n v="1"/>
    <s v="10-20hrs"/>
    <x v="2"/>
  </r>
  <r>
    <n v="711"/>
    <d v="2024-07-05T00:00:00"/>
    <s v="Premium"/>
    <n v="699"/>
    <n v="19.5"/>
    <n v="3"/>
    <n v="2"/>
    <n v="24"/>
    <n v="46"/>
    <s v="Yes"/>
    <s v="No"/>
    <s v="Yes"/>
    <s v="No"/>
    <s v="Yes"/>
    <s v="No"/>
    <m/>
    <s v="1+ Failures"/>
    <n v="1"/>
    <s v="10-20hrs"/>
    <x v="1"/>
  </r>
  <r>
    <n v="712"/>
    <d v="2023-11-27T00:00:00"/>
    <s v="Standard"/>
    <n v="399"/>
    <n v="13.3"/>
    <n v="7"/>
    <n v="4"/>
    <n v="13"/>
    <n v="9"/>
    <s v="No"/>
    <s v="No"/>
    <s v="Yes"/>
    <s v="Yes"/>
    <s v="No"/>
    <s v="No"/>
    <m/>
    <s v="1+ Failures"/>
    <n v="0"/>
    <s v="10-20hrs"/>
    <x v="1"/>
  </r>
  <r>
    <n v="713"/>
    <d v="2023-05-13T00:00:00"/>
    <s v="Standard"/>
    <n v="399"/>
    <n v="3.2"/>
    <n v="8"/>
    <n v="5"/>
    <n v="21"/>
    <n v="4"/>
    <s v="Yes"/>
    <s v="Yes"/>
    <s v="Yes"/>
    <s v="Yes"/>
    <s v="No"/>
    <s v="No"/>
    <m/>
    <s v="1+ Failures"/>
    <n v="1"/>
    <s v="0-5 hrs"/>
    <x v="1"/>
  </r>
  <r>
    <n v="714"/>
    <d v="2024-10-19T00:00:00"/>
    <s v="Basic"/>
    <n v="199"/>
    <n v="5.5"/>
    <n v="7"/>
    <n v="1"/>
    <n v="3"/>
    <n v="6"/>
    <s v="Yes"/>
    <s v="No"/>
    <s v="Yes"/>
    <s v="Yes"/>
    <s v="No"/>
    <s v="Yes"/>
    <m/>
    <s v="1+ Failures"/>
    <n v="1"/>
    <s v="5-10 hrs"/>
    <x v="2"/>
  </r>
  <r>
    <n v="715"/>
    <d v="2023-03-14T00:00:00"/>
    <s v="Standard"/>
    <n v="399"/>
    <n v="13.4"/>
    <n v="4"/>
    <n v="0"/>
    <n v="32"/>
    <n v="23"/>
    <s v="Yes"/>
    <s v="No"/>
    <s v="No"/>
    <s v="No"/>
    <s v="Yes"/>
    <s v="No"/>
    <m/>
    <s v="0 Failures"/>
    <n v="1"/>
    <s v="10-20hrs"/>
    <x v="1"/>
  </r>
  <r>
    <n v="716"/>
    <d v="2024-01-05T00:00:00"/>
    <s v="Basic"/>
    <n v="199"/>
    <n v="16.600000000000001"/>
    <n v="1"/>
    <n v="3"/>
    <n v="14"/>
    <n v="51"/>
    <s v="No"/>
    <s v="No"/>
    <s v="Yes"/>
    <s v="No"/>
    <s v="Yes"/>
    <s v="No"/>
    <m/>
    <s v="1+ Failures"/>
    <n v="0"/>
    <s v="10-20hrs"/>
    <x v="1"/>
  </r>
  <r>
    <n v="717"/>
    <d v="2023-03-14T00:00:00"/>
    <s v="Premium"/>
    <n v="699"/>
    <n v="20.6"/>
    <n v="0"/>
    <n v="4"/>
    <n v="27"/>
    <n v="17"/>
    <s v="No"/>
    <s v="No"/>
    <s v="Yes"/>
    <s v="No"/>
    <s v="Yes"/>
    <s v="No"/>
    <m/>
    <s v="1+ Failures"/>
    <n v="0"/>
    <s v="20+ hrs"/>
    <x v="1"/>
  </r>
  <r>
    <n v="718"/>
    <d v="2024-06-28T00:00:00"/>
    <s v="Standard"/>
    <n v="399"/>
    <n v="23.6"/>
    <n v="8"/>
    <n v="0"/>
    <n v="5"/>
    <n v="6"/>
    <s v="No"/>
    <s v="No"/>
    <s v="No"/>
    <s v="Yes"/>
    <s v="No"/>
    <s v="Yes"/>
    <m/>
    <s v="0 Failures"/>
    <n v="0"/>
    <s v="20+ hrs"/>
    <x v="3"/>
  </r>
  <r>
    <n v="719"/>
    <d v="2024-07-25T00:00:00"/>
    <s v="Standard"/>
    <n v="399"/>
    <n v="5.2"/>
    <n v="3"/>
    <n v="4"/>
    <n v="13"/>
    <n v="40"/>
    <s v="No"/>
    <s v="No"/>
    <s v="Yes"/>
    <s v="No"/>
    <s v="Yes"/>
    <s v="No"/>
    <m/>
    <s v="1+ Failures"/>
    <n v="0"/>
    <s v="5-10 hrs"/>
    <x v="1"/>
  </r>
  <r>
    <n v="720"/>
    <d v="2024-04-14T00:00:00"/>
    <s v="Premium"/>
    <n v="699"/>
    <n v="10.7"/>
    <n v="1"/>
    <n v="5"/>
    <n v="36"/>
    <n v="36"/>
    <s v="Yes"/>
    <s v="No"/>
    <s v="Yes"/>
    <s v="No"/>
    <s v="Yes"/>
    <s v="No"/>
    <m/>
    <s v="1+ Failures"/>
    <n v="1"/>
    <s v="10-20hrs"/>
    <x v="1"/>
  </r>
  <r>
    <n v="721"/>
    <d v="2023-12-12T00:00:00"/>
    <s v="Premium"/>
    <n v="699"/>
    <n v="22.1"/>
    <n v="2"/>
    <n v="1"/>
    <n v="28"/>
    <n v="35"/>
    <s v="No"/>
    <s v="No"/>
    <s v="Yes"/>
    <s v="No"/>
    <s v="Yes"/>
    <s v="No"/>
    <m/>
    <s v="1+ Failures"/>
    <n v="0"/>
    <s v="20+ hrs"/>
    <x v="1"/>
  </r>
  <r>
    <n v="722"/>
    <d v="2023-11-29T00:00:00"/>
    <s v="Premium"/>
    <n v="699"/>
    <n v="13.6"/>
    <n v="7"/>
    <n v="2"/>
    <n v="11"/>
    <n v="57"/>
    <s v="Yes"/>
    <s v="No"/>
    <s v="Yes"/>
    <s v="Yes"/>
    <s v="Yes"/>
    <s v="No"/>
    <m/>
    <s v="1+ Failures"/>
    <n v="1"/>
    <s v="10-20hrs"/>
    <x v="0"/>
  </r>
  <r>
    <n v="723"/>
    <d v="2024-07-30T00:00:00"/>
    <s v="Standard"/>
    <n v="399"/>
    <n v="19.2"/>
    <n v="6"/>
    <n v="5"/>
    <n v="27"/>
    <n v="20"/>
    <s v="No"/>
    <s v="No"/>
    <s v="Yes"/>
    <s v="Yes"/>
    <s v="Yes"/>
    <s v="No"/>
    <m/>
    <s v="1+ Failures"/>
    <n v="0"/>
    <s v="10-20hrs"/>
    <x v="1"/>
  </r>
  <r>
    <n v="724"/>
    <d v="2024-04-08T00:00:00"/>
    <s v="Premium"/>
    <n v="699"/>
    <n v="9.6999999999999993"/>
    <n v="8"/>
    <n v="5"/>
    <n v="14"/>
    <n v="16"/>
    <s v="Yes"/>
    <s v="No"/>
    <s v="Yes"/>
    <s v="Yes"/>
    <s v="Yes"/>
    <s v="No"/>
    <m/>
    <s v="1+ Failures"/>
    <n v="1"/>
    <s v="5-10 hrs"/>
    <x v="1"/>
  </r>
  <r>
    <n v="725"/>
    <d v="2023-05-19T00:00:00"/>
    <s v="Standard"/>
    <n v="399"/>
    <n v="0.5"/>
    <n v="0"/>
    <n v="2"/>
    <n v="26"/>
    <n v="38"/>
    <s v="Yes"/>
    <s v="Yes"/>
    <s v="Yes"/>
    <s v="No"/>
    <s v="Yes"/>
    <s v="No"/>
    <m/>
    <s v="1+ Failures"/>
    <n v="1"/>
    <s v="0-5 hrs"/>
    <x v="1"/>
  </r>
  <r>
    <n v="726"/>
    <d v="2024-12-07T00:00:00"/>
    <s v="Standard"/>
    <n v="399"/>
    <n v="7.9"/>
    <n v="3"/>
    <n v="1"/>
    <n v="1"/>
    <n v="54"/>
    <s v="Yes"/>
    <s v="No"/>
    <s v="Yes"/>
    <s v="No"/>
    <s v="Yes"/>
    <s v="Yes"/>
    <m/>
    <s v="1+ Failures"/>
    <n v="1"/>
    <s v="5-10 hrs"/>
    <x v="2"/>
  </r>
  <r>
    <n v="727"/>
    <d v="2023-06-09T00:00:00"/>
    <s v="Standard"/>
    <n v="399"/>
    <n v="13"/>
    <n v="2"/>
    <n v="0"/>
    <n v="36"/>
    <n v="2"/>
    <s v="No"/>
    <s v="No"/>
    <s v="No"/>
    <s v="No"/>
    <s v="No"/>
    <s v="No"/>
    <m/>
    <s v="0 Failures"/>
    <n v="0"/>
    <s v="10-20hrs"/>
    <x v="1"/>
  </r>
  <r>
    <n v="728"/>
    <d v="2023-04-05T00:00:00"/>
    <s v="Basic"/>
    <n v="199"/>
    <n v="9.5"/>
    <n v="3"/>
    <n v="1"/>
    <n v="17"/>
    <n v="16"/>
    <s v="No"/>
    <s v="No"/>
    <s v="Yes"/>
    <s v="No"/>
    <s v="Yes"/>
    <s v="No"/>
    <m/>
    <s v="1+ Failures"/>
    <n v="0"/>
    <s v="5-10 hrs"/>
    <x v="1"/>
  </r>
  <r>
    <n v="729"/>
    <d v="2024-05-09T00:00:00"/>
    <s v="Premium"/>
    <n v="699"/>
    <n v="14.4"/>
    <n v="3"/>
    <n v="5"/>
    <n v="26"/>
    <n v="4"/>
    <s v="No"/>
    <s v="No"/>
    <s v="Yes"/>
    <s v="No"/>
    <s v="No"/>
    <s v="No"/>
    <m/>
    <s v="1+ Failures"/>
    <n v="0"/>
    <s v="10-20hrs"/>
    <x v="1"/>
  </r>
  <r>
    <n v="730"/>
    <d v="2024-08-13T00:00:00"/>
    <s v="Basic"/>
    <n v="199"/>
    <n v="20.7"/>
    <n v="1"/>
    <n v="4"/>
    <n v="32"/>
    <n v="41"/>
    <s v="Yes"/>
    <s v="No"/>
    <s v="Yes"/>
    <s v="No"/>
    <s v="Yes"/>
    <s v="No"/>
    <m/>
    <s v="1+ Failures"/>
    <n v="1"/>
    <s v="20+ hrs"/>
    <x v="1"/>
  </r>
  <r>
    <n v="731"/>
    <d v="2024-03-02T00:00:00"/>
    <s v="Standard"/>
    <n v="399"/>
    <n v="19.600000000000001"/>
    <n v="5"/>
    <n v="2"/>
    <n v="6"/>
    <n v="56"/>
    <s v="No"/>
    <s v="No"/>
    <s v="Yes"/>
    <s v="Yes"/>
    <s v="Yes"/>
    <s v="No"/>
    <m/>
    <s v="1+ Failures"/>
    <n v="0"/>
    <s v="10-20hrs"/>
    <x v="3"/>
  </r>
  <r>
    <n v="732"/>
    <d v="2023-02-25T00:00:00"/>
    <s v="Basic"/>
    <n v="199"/>
    <n v="18.8"/>
    <n v="0"/>
    <n v="5"/>
    <n v="15"/>
    <n v="49"/>
    <s v="No"/>
    <s v="No"/>
    <s v="Yes"/>
    <s v="No"/>
    <s v="Yes"/>
    <s v="No"/>
    <m/>
    <s v="1+ Failures"/>
    <n v="0"/>
    <s v="10-20hrs"/>
    <x v="1"/>
  </r>
  <r>
    <n v="733"/>
    <d v="2024-12-15T00:00:00"/>
    <s v="Standard"/>
    <n v="399"/>
    <n v="1.5"/>
    <n v="8"/>
    <n v="4"/>
    <n v="34"/>
    <n v="9"/>
    <s v="Yes"/>
    <s v="Yes"/>
    <s v="Yes"/>
    <s v="Yes"/>
    <s v="No"/>
    <s v="No"/>
    <m/>
    <s v="1+ Failures"/>
    <n v="1"/>
    <s v="0-5 hrs"/>
    <x v="1"/>
  </r>
  <r>
    <n v="734"/>
    <d v="2024-05-31T00:00:00"/>
    <s v="Basic"/>
    <n v="199"/>
    <n v="1.7"/>
    <n v="6"/>
    <n v="3"/>
    <n v="10"/>
    <n v="48"/>
    <s v="Yes"/>
    <s v="Yes"/>
    <s v="Yes"/>
    <s v="Yes"/>
    <s v="Yes"/>
    <s v="No"/>
    <m/>
    <s v="1+ Failures"/>
    <n v="1"/>
    <s v="0-5 hrs"/>
    <x v="0"/>
  </r>
  <r>
    <n v="735"/>
    <d v="2024-05-02T00:00:00"/>
    <s v="Basic"/>
    <n v="199"/>
    <n v="11.1"/>
    <n v="6"/>
    <n v="1"/>
    <n v="15"/>
    <n v="8"/>
    <s v="No"/>
    <s v="No"/>
    <s v="Yes"/>
    <s v="Yes"/>
    <s v="No"/>
    <s v="No"/>
    <m/>
    <s v="1+ Failures"/>
    <n v="0"/>
    <s v="10-20hrs"/>
    <x v="1"/>
  </r>
  <r>
    <n v="736"/>
    <d v="2024-12-15T00:00:00"/>
    <s v="Premium"/>
    <n v="699"/>
    <n v="13.9"/>
    <n v="4"/>
    <n v="0"/>
    <n v="4"/>
    <n v="25"/>
    <s v="No"/>
    <s v="No"/>
    <s v="No"/>
    <s v="No"/>
    <s v="Yes"/>
    <s v="Yes"/>
    <m/>
    <s v="0 Failures"/>
    <n v="0"/>
    <s v="10-20hrs"/>
    <x v="3"/>
  </r>
  <r>
    <n v="737"/>
    <d v="2023-07-20T00:00:00"/>
    <s v="Basic"/>
    <n v="199"/>
    <n v="12.3"/>
    <n v="3"/>
    <n v="3"/>
    <n v="9"/>
    <n v="25"/>
    <s v="No"/>
    <s v="No"/>
    <s v="Yes"/>
    <s v="No"/>
    <s v="Yes"/>
    <s v="No"/>
    <m/>
    <s v="1+ Failures"/>
    <n v="0"/>
    <s v="10-20hrs"/>
    <x v="0"/>
  </r>
  <r>
    <n v="738"/>
    <d v="2024-12-02T00:00:00"/>
    <s v="Premium"/>
    <n v="699"/>
    <n v="6.5"/>
    <n v="1"/>
    <n v="2"/>
    <n v="34"/>
    <n v="49"/>
    <s v="Yes"/>
    <s v="No"/>
    <s v="Yes"/>
    <s v="No"/>
    <s v="Yes"/>
    <s v="No"/>
    <m/>
    <s v="1+ Failures"/>
    <n v="1"/>
    <s v="5-10 hrs"/>
    <x v="1"/>
  </r>
  <r>
    <n v="739"/>
    <d v="2023-11-25T00:00:00"/>
    <s v="Premium"/>
    <n v="699"/>
    <n v="3.3"/>
    <n v="6"/>
    <n v="3"/>
    <n v="6"/>
    <n v="23"/>
    <s v="Yes"/>
    <s v="Yes"/>
    <s v="Yes"/>
    <s v="Yes"/>
    <s v="Yes"/>
    <s v="No"/>
    <m/>
    <s v="1+ Failures"/>
    <n v="1"/>
    <s v="0-5 hrs"/>
    <x v="3"/>
  </r>
  <r>
    <n v="740"/>
    <d v="2024-03-28T00:00:00"/>
    <s v="Standard"/>
    <n v="399"/>
    <n v="19.399999999999999"/>
    <n v="2"/>
    <n v="2"/>
    <n v="2"/>
    <n v="39"/>
    <s v="No"/>
    <s v="No"/>
    <s v="Yes"/>
    <s v="No"/>
    <s v="Yes"/>
    <s v="Yes"/>
    <m/>
    <s v="1+ Failures"/>
    <n v="0"/>
    <s v="10-20hrs"/>
    <x v="2"/>
  </r>
  <r>
    <n v="741"/>
    <d v="2023-03-29T00:00:00"/>
    <s v="Premium"/>
    <n v="699"/>
    <n v="11.3"/>
    <n v="3"/>
    <n v="1"/>
    <n v="10"/>
    <n v="43"/>
    <s v="No"/>
    <s v="No"/>
    <s v="Yes"/>
    <s v="No"/>
    <s v="Yes"/>
    <s v="No"/>
    <m/>
    <s v="1+ Failures"/>
    <n v="0"/>
    <s v="10-20hrs"/>
    <x v="0"/>
  </r>
  <r>
    <n v="742"/>
    <d v="2023-04-24T00:00:00"/>
    <s v="Basic"/>
    <n v="199"/>
    <n v="6.5"/>
    <n v="2"/>
    <n v="2"/>
    <n v="4"/>
    <n v="0"/>
    <s v="Yes"/>
    <s v="No"/>
    <s v="Yes"/>
    <s v="No"/>
    <s v="No"/>
    <s v="Yes"/>
    <m/>
    <s v="1+ Failures"/>
    <n v="1"/>
    <s v="5-10 hrs"/>
    <x v="3"/>
  </r>
  <r>
    <n v="743"/>
    <d v="2023-07-28T00:00:00"/>
    <s v="Standard"/>
    <n v="399"/>
    <n v="12"/>
    <n v="5"/>
    <n v="1"/>
    <n v="29"/>
    <n v="47"/>
    <s v="No"/>
    <s v="No"/>
    <s v="Yes"/>
    <s v="Yes"/>
    <s v="Yes"/>
    <s v="No"/>
    <m/>
    <s v="1+ Failures"/>
    <n v="0"/>
    <s v="10-20hrs"/>
    <x v="1"/>
  </r>
  <r>
    <n v="744"/>
    <d v="2023-05-25T00:00:00"/>
    <s v="Premium"/>
    <n v="699"/>
    <n v="18.899999999999999"/>
    <n v="8"/>
    <n v="3"/>
    <n v="34"/>
    <n v="39"/>
    <s v="Yes"/>
    <s v="No"/>
    <s v="Yes"/>
    <s v="Yes"/>
    <s v="Yes"/>
    <s v="No"/>
    <m/>
    <s v="1+ Failures"/>
    <n v="1"/>
    <s v="10-20hrs"/>
    <x v="1"/>
  </r>
  <r>
    <n v="745"/>
    <d v="2023-10-18T00:00:00"/>
    <s v="Premium"/>
    <n v="699"/>
    <n v="9.6999999999999993"/>
    <n v="8"/>
    <n v="0"/>
    <n v="2"/>
    <n v="16"/>
    <s v="Yes"/>
    <s v="No"/>
    <s v="No"/>
    <s v="Yes"/>
    <s v="Yes"/>
    <s v="Yes"/>
    <m/>
    <s v="0 Failures"/>
    <n v="1"/>
    <s v="5-10 hrs"/>
    <x v="2"/>
  </r>
  <r>
    <n v="746"/>
    <d v="2024-11-09T00:00:00"/>
    <s v="Basic"/>
    <n v="199"/>
    <n v="1.8"/>
    <n v="0"/>
    <n v="0"/>
    <n v="18"/>
    <n v="24"/>
    <s v="No"/>
    <s v="Yes"/>
    <s v="No"/>
    <s v="No"/>
    <s v="Yes"/>
    <s v="No"/>
    <m/>
    <s v="0 Failures"/>
    <n v="0"/>
    <s v="0-5 hrs"/>
    <x v="1"/>
  </r>
  <r>
    <n v="747"/>
    <d v="2024-01-31T00:00:00"/>
    <s v="Premium"/>
    <n v="699"/>
    <n v="21.7"/>
    <n v="0"/>
    <n v="2"/>
    <n v="24"/>
    <n v="55"/>
    <s v="No"/>
    <s v="No"/>
    <s v="Yes"/>
    <s v="No"/>
    <s v="Yes"/>
    <s v="No"/>
    <m/>
    <s v="1+ Failures"/>
    <n v="0"/>
    <s v="20+ hrs"/>
    <x v="1"/>
  </r>
  <r>
    <n v="748"/>
    <d v="2024-06-28T00:00:00"/>
    <s v="Basic"/>
    <n v="199"/>
    <n v="13"/>
    <n v="1"/>
    <n v="2"/>
    <n v="25"/>
    <n v="31"/>
    <s v="No"/>
    <s v="No"/>
    <s v="Yes"/>
    <s v="No"/>
    <s v="Yes"/>
    <s v="No"/>
    <m/>
    <s v="1+ Failures"/>
    <n v="0"/>
    <s v="10-20hrs"/>
    <x v="1"/>
  </r>
  <r>
    <n v="749"/>
    <d v="2023-02-10T00:00:00"/>
    <s v="Basic"/>
    <n v="199"/>
    <n v="5.4"/>
    <n v="7"/>
    <n v="4"/>
    <n v="12"/>
    <n v="59"/>
    <s v="Yes"/>
    <s v="No"/>
    <s v="Yes"/>
    <s v="Yes"/>
    <s v="Yes"/>
    <s v="No"/>
    <m/>
    <s v="1+ Failures"/>
    <n v="1"/>
    <s v="5-10 hrs"/>
    <x v="0"/>
  </r>
  <r>
    <n v="750"/>
    <d v="2023-12-22T00:00:00"/>
    <s v="Basic"/>
    <n v="199"/>
    <n v="8"/>
    <n v="7"/>
    <n v="3"/>
    <n v="34"/>
    <n v="47"/>
    <s v="Yes"/>
    <s v="No"/>
    <s v="Yes"/>
    <s v="Yes"/>
    <s v="Yes"/>
    <s v="No"/>
    <m/>
    <s v="1+ Failures"/>
    <n v="1"/>
    <s v="5-10 hrs"/>
    <x v="1"/>
  </r>
  <r>
    <n v="751"/>
    <d v="2023-03-05T00:00:00"/>
    <s v="Premium"/>
    <n v="699"/>
    <n v="9.1999999999999993"/>
    <n v="4"/>
    <n v="1"/>
    <n v="23"/>
    <n v="32"/>
    <s v="Yes"/>
    <s v="No"/>
    <s v="Yes"/>
    <s v="No"/>
    <s v="Yes"/>
    <s v="No"/>
    <m/>
    <s v="1+ Failures"/>
    <n v="1"/>
    <s v="5-10 hrs"/>
    <x v="1"/>
  </r>
  <r>
    <n v="752"/>
    <d v="2023-06-05T00:00:00"/>
    <s v="Premium"/>
    <n v="699"/>
    <n v="22"/>
    <n v="0"/>
    <n v="4"/>
    <n v="17"/>
    <n v="60"/>
    <s v="Yes"/>
    <s v="No"/>
    <s v="Yes"/>
    <s v="No"/>
    <s v="Yes"/>
    <s v="No"/>
    <m/>
    <s v="1+ Failures"/>
    <n v="1"/>
    <s v="20+ hrs"/>
    <x v="1"/>
  </r>
  <r>
    <n v="753"/>
    <d v="2024-11-25T00:00:00"/>
    <s v="Standard"/>
    <n v="399"/>
    <n v="16.600000000000001"/>
    <n v="1"/>
    <n v="5"/>
    <n v="26"/>
    <n v="24"/>
    <s v="Yes"/>
    <s v="No"/>
    <s v="Yes"/>
    <s v="No"/>
    <s v="Yes"/>
    <s v="No"/>
    <m/>
    <s v="1+ Failures"/>
    <n v="1"/>
    <s v="10-20hrs"/>
    <x v="1"/>
  </r>
  <r>
    <n v="754"/>
    <d v="2023-12-04T00:00:00"/>
    <s v="Premium"/>
    <n v="699"/>
    <n v="10.7"/>
    <n v="2"/>
    <n v="3"/>
    <n v="15"/>
    <n v="19"/>
    <s v="No"/>
    <s v="No"/>
    <s v="Yes"/>
    <s v="No"/>
    <s v="Yes"/>
    <s v="No"/>
    <m/>
    <s v="1+ Failures"/>
    <n v="0"/>
    <s v="10-20hrs"/>
    <x v="1"/>
  </r>
  <r>
    <n v="755"/>
    <d v="2023-07-27T00:00:00"/>
    <s v="Standard"/>
    <n v="399"/>
    <n v="3.7"/>
    <n v="2"/>
    <n v="4"/>
    <n v="35"/>
    <n v="34"/>
    <s v="Yes"/>
    <s v="Yes"/>
    <s v="Yes"/>
    <s v="No"/>
    <s v="Yes"/>
    <s v="No"/>
    <m/>
    <s v="1+ Failures"/>
    <n v="1"/>
    <s v="0-5 hrs"/>
    <x v="1"/>
  </r>
  <r>
    <n v="756"/>
    <d v="2023-05-29T00:00:00"/>
    <s v="Basic"/>
    <n v="199"/>
    <n v="17.399999999999999"/>
    <n v="8"/>
    <n v="1"/>
    <n v="20"/>
    <n v="27"/>
    <s v="No"/>
    <s v="No"/>
    <s v="Yes"/>
    <s v="Yes"/>
    <s v="Yes"/>
    <s v="No"/>
    <m/>
    <s v="1+ Failures"/>
    <n v="0"/>
    <s v="10-20hrs"/>
    <x v="1"/>
  </r>
  <r>
    <n v="757"/>
    <d v="2023-07-08T00:00:00"/>
    <s v="Premium"/>
    <n v="699"/>
    <n v="8.3000000000000007"/>
    <n v="8"/>
    <n v="4"/>
    <n v="11"/>
    <n v="60"/>
    <s v="Yes"/>
    <s v="No"/>
    <s v="Yes"/>
    <s v="Yes"/>
    <s v="Yes"/>
    <s v="No"/>
    <m/>
    <s v="1+ Failures"/>
    <n v="1"/>
    <s v="5-10 hrs"/>
    <x v="0"/>
  </r>
  <r>
    <n v="758"/>
    <d v="2024-10-14T00:00:00"/>
    <s v="Standard"/>
    <n v="399"/>
    <n v="18.3"/>
    <n v="5"/>
    <n v="3"/>
    <n v="10"/>
    <n v="26"/>
    <s v="Yes"/>
    <s v="No"/>
    <s v="Yes"/>
    <s v="Yes"/>
    <s v="Yes"/>
    <s v="No"/>
    <m/>
    <s v="1+ Failures"/>
    <n v="1"/>
    <s v="10-20hrs"/>
    <x v="0"/>
  </r>
  <r>
    <n v="759"/>
    <d v="2024-09-18T00:00:00"/>
    <s v="Premium"/>
    <n v="699"/>
    <n v="4.2"/>
    <n v="3"/>
    <n v="0"/>
    <n v="18"/>
    <n v="8"/>
    <s v="Yes"/>
    <s v="Yes"/>
    <s v="No"/>
    <s v="No"/>
    <s v="No"/>
    <s v="No"/>
    <m/>
    <s v="0 Failures"/>
    <n v="1"/>
    <s v="0-5 hrs"/>
    <x v="1"/>
  </r>
  <r>
    <n v="760"/>
    <d v="2023-01-27T00:00:00"/>
    <s v="Premium"/>
    <n v="699"/>
    <n v="15.3"/>
    <n v="3"/>
    <n v="4"/>
    <n v="18"/>
    <n v="14"/>
    <s v="Yes"/>
    <s v="No"/>
    <s v="Yes"/>
    <s v="No"/>
    <s v="No"/>
    <s v="No"/>
    <m/>
    <s v="1+ Failures"/>
    <n v="1"/>
    <s v="10-20hrs"/>
    <x v="1"/>
  </r>
  <r>
    <n v="761"/>
    <d v="2024-04-25T00:00:00"/>
    <s v="Standard"/>
    <n v="399"/>
    <n v="17.399999999999999"/>
    <n v="7"/>
    <n v="1"/>
    <n v="6"/>
    <n v="32"/>
    <s v="No"/>
    <s v="No"/>
    <s v="Yes"/>
    <s v="Yes"/>
    <s v="Yes"/>
    <s v="No"/>
    <m/>
    <s v="1+ Failures"/>
    <n v="0"/>
    <s v="10-20hrs"/>
    <x v="3"/>
  </r>
  <r>
    <n v="762"/>
    <d v="2023-07-17T00:00:00"/>
    <s v="Premium"/>
    <n v="699"/>
    <n v="5"/>
    <n v="6"/>
    <n v="3"/>
    <n v="24"/>
    <n v="30"/>
    <s v="Yes"/>
    <s v="No"/>
    <s v="Yes"/>
    <s v="Yes"/>
    <s v="Yes"/>
    <s v="No"/>
    <m/>
    <s v="1+ Failures"/>
    <n v="1"/>
    <s v="0-5 hrs"/>
    <x v="1"/>
  </r>
  <r>
    <n v="763"/>
    <d v="2024-11-18T00:00:00"/>
    <s v="Basic"/>
    <n v="199"/>
    <n v="10.5"/>
    <n v="0"/>
    <n v="2"/>
    <n v="3"/>
    <n v="60"/>
    <s v="Yes"/>
    <s v="No"/>
    <s v="Yes"/>
    <s v="No"/>
    <s v="Yes"/>
    <s v="Yes"/>
    <m/>
    <s v="1+ Failures"/>
    <n v="1"/>
    <s v="10-20hrs"/>
    <x v="2"/>
  </r>
  <r>
    <n v="764"/>
    <d v="2024-04-13T00:00:00"/>
    <s v="Basic"/>
    <n v="199"/>
    <n v="2.1"/>
    <n v="7"/>
    <n v="4"/>
    <n v="14"/>
    <n v="31"/>
    <s v="Yes"/>
    <s v="Yes"/>
    <s v="Yes"/>
    <s v="Yes"/>
    <s v="Yes"/>
    <s v="No"/>
    <m/>
    <s v="1+ Failures"/>
    <n v="1"/>
    <s v="0-5 hrs"/>
    <x v="1"/>
  </r>
  <r>
    <n v="765"/>
    <d v="2023-11-17T00:00:00"/>
    <s v="Basic"/>
    <n v="199"/>
    <n v="10.4"/>
    <n v="0"/>
    <n v="4"/>
    <n v="28"/>
    <n v="47"/>
    <s v="No"/>
    <s v="No"/>
    <s v="Yes"/>
    <s v="No"/>
    <s v="Yes"/>
    <s v="No"/>
    <m/>
    <s v="1+ Failures"/>
    <n v="0"/>
    <s v="10-20hrs"/>
    <x v="1"/>
  </r>
  <r>
    <n v="766"/>
    <d v="2023-02-13T00:00:00"/>
    <s v="Standard"/>
    <n v="399"/>
    <n v="13.4"/>
    <n v="0"/>
    <n v="4"/>
    <n v="35"/>
    <n v="6"/>
    <s v="No"/>
    <s v="No"/>
    <s v="Yes"/>
    <s v="No"/>
    <s v="No"/>
    <s v="No"/>
    <m/>
    <s v="1+ Failures"/>
    <n v="0"/>
    <s v="10-20hrs"/>
    <x v="1"/>
  </r>
  <r>
    <n v="767"/>
    <d v="2024-10-07T00:00:00"/>
    <s v="Basic"/>
    <n v="199"/>
    <n v="13.7"/>
    <n v="0"/>
    <n v="4"/>
    <n v="34"/>
    <n v="24"/>
    <s v="Yes"/>
    <s v="No"/>
    <s v="Yes"/>
    <s v="No"/>
    <s v="Yes"/>
    <s v="No"/>
    <m/>
    <s v="1+ Failures"/>
    <n v="1"/>
    <s v="10-20hrs"/>
    <x v="1"/>
  </r>
  <r>
    <n v="768"/>
    <d v="2024-04-17T00:00:00"/>
    <s v="Basic"/>
    <n v="199"/>
    <n v="7.6"/>
    <n v="6"/>
    <n v="2"/>
    <n v="13"/>
    <n v="49"/>
    <s v="No"/>
    <s v="No"/>
    <s v="Yes"/>
    <s v="Yes"/>
    <s v="Yes"/>
    <s v="No"/>
    <m/>
    <s v="1+ Failures"/>
    <n v="0"/>
    <s v="5-10 hrs"/>
    <x v="1"/>
  </r>
  <r>
    <n v="769"/>
    <d v="2024-04-19T00:00:00"/>
    <s v="Basic"/>
    <n v="199"/>
    <n v="7.7"/>
    <n v="0"/>
    <n v="5"/>
    <n v="28"/>
    <n v="33"/>
    <s v="No"/>
    <s v="No"/>
    <s v="Yes"/>
    <s v="No"/>
    <s v="Yes"/>
    <s v="No"/>
    <m/>
    <s v="1+ Failures"/>
    <n v="0"/>
    <s v="5-10 hrs"/>
    <x v="1"/>
  </r>
  <r>
    <n v="770"/>
    <d v="2024-12-13T00:00:00"/>
    <s v="Premium"/>
    <n v="699"/>
    <n v="2.7"/>
    <n v="8"/>
    <n v="0"/>
    <n v="29"/>
    <n v="11"/>
    <s v="No"/>
    <s v="Yes"/>
    <s v="No"/>
    <s v="Yes"/>
    <s v="No"/>
    <s v="No"/>
    <m/>
    <s v="0 Failures"/>
    <n v="0"/>
    <s v="0-5 hrs"/>
    <x v="1"/>
  </r>
  <r>
    <n v="771"/>
    <d v="2024-08-27T00:00:00"/>
    <s v="Premium"/>
    <n v="699"/>
    <n v="10.1"/>
    <n v="5"/>
    <n v="3"/>
    <n v="9"/>
    <n v="1"/>
    <s v="Yes"/>
    <s v="No"/>
    <s v="Yes"/>
    <s v="Yes"/>
    <s v="No"/>
    <s v="No"/>
    <m/>
    <s v="1+ Failures"/>
    <n v="1"/>
    <s v="10-20hrs"/>
    <x v="0"/>
  </r>
  <r>
    <n v="772"/>
    <d v="2024-12-29T00:00:00"/>
    <s v="Premium"/>
    <n v="699"/>
    <n v="22.1"/>
    <n v="1"/>
    <n v="2"/>
    <n v="13"/>
    <n v="20"/>
    <s v="No"/>
    <s v="No"/>
    <s v="Yes"/>
    <s v="No"/>
    <s v="Yes"/>
    <s v="No"/>
    <m/>
    <s v="1+ Failures"/>
    <n v="0"/>
    <s v="20+ hrs"/>
    <x v="1"/>
  </r>
  <r>
    <n v="773"/>
    <d v="2024-12-25T00:00:00"/>
    <s v="Basic"/>
    <n v="199"/>
    <n v="2.7"/>
    <n v="7"/>
    <n v="5"/>
    <n v="8"/>
    <n v="23"/>
    <s v="Yes"/>
    <s v="Yes"/>
    <s v="Yes"/>
    <s v="Yes"/>
    <s v="Yes"/>
    <s v="No"/>
    <m/>
    <s v="1+ Failures"/>
    <n v="1"/>
    <s v="0-5 hrs"/>
    <x v="0"/>
  </r>
  <r>
    <n v="774"/>
    <d v="2023-06-24T00:00:00"/>
    <s v="Standard"/>
    <n v="399"/>
    <n v="15.5"/>
    <n v="2"/>
    <n v="3"/>
    <n v="33"/>
    <n v="35"/>
    <s v="Yes"/>
    <s v="No"/>
    <s v="Yes"/>
    <s v="No"/>
    <s v="Yes"/>
    <s v="No"/>
    <m/>
    <s v="1+ Failures"/>
    <n v="1"/>
    <s v="10-20hrs"/>
    <x v="1"/>
  </r>
  <r>
    <n v="775"/>
    <d v="2024-03-05T00:00:00"/>
    <s v="Standard"/>
    <n v="399"/>
    <n v="4.5"/>
    <n v="2"/>
    <n v="1"/>
    <n v="10"/>
    <n v="49"/>
    <s v="No"/>
    <s v="Yes"/>
    <s v="Yes"/>
    <s v="No"/>
    <s v="Yes"/>
    <s v="No"/>
    <m/>
    <s v="1+ Failures"/>
    <n v="0"/>
    <s v="0-5 hrs"/>
    <x v="0"/>
  </r>
  <r>
    <n v="776"/>
    <d v="2023-05-15T00:00:00"/>
    <s v="Standard"/>
    <n v="399"/>
    <n v="18.399999999999999"/>
    <n v="7"/>
    <n v="2"/>
    <n v="20"/>
    <n v="40"/>
    <s v="Yes"/>
    <s v="No"/>
    <s v="Yes"/>
    <s v="Yes"/>
    <s v="Yes"/>
    <s v="No"/>
    <m/>
    <s v="1+ Failures"/>
    <n v="1"/>
    <s v="10-20hrs"/>
    <x v="1"/>
  </r>
  <r>
    <n v="777"/>
    <d v="2024-05-25T00:00:00"/>
    <s v="Basic"/>
    <n v="199"/>
    <n v="15.8"/>
    <n v="4"/>
    <n v="0"/>
    <n v="1"/>
    <n v="29"/>
    <s v="Yes"/>
    <s v="No"/>
    <s v="No"/>
    <s v="No"/>
    <s v="Yes"/>
    <s v="Yes"/>
    <m/>
    <s v="0 Failures"/>
    <n v="1"/>
    <s v="10-20hrs"/>
    <x v="2"/>
  </r>
  <r>
    <n v="778"/>
    <d v="2024-05-02T00:00:00"/>
    <s v="Premium"/>
    <n v="699"/>
    <n v="15.4"/>
    <n v="7"/>
    <n v="1"/>
    <n v="1"/>
    <n v="13"/>
    <s v="No"/>
    <s v="No"/>
    <s v="Yes"/>
    <s v="Yes"/>
    <s v="No"/>
    <s v="Yes"/>
    <m/>
    <s v="1+ Failures"/>
    <n v="0"/>
    <s v="10-20hrs"/>
    <x v="2"/>
  </r>
  <r>
    <n v="779"/>
    <d v="2024-09-26T00:00:00"/>
    <s v="Standard"/>
    <n v="399"/>
    <n v="11.3"/>
    <n v="0"/>
    <n v="1"/>
    <n v="27"/>
    <n v="56"/>
    <s v="No"/>
    <s v="No"/>
    <s v="Yes"/>
    <s v="No"/>
    <s v="Yes"/>
    <s v="No"/>
    <m/>
    <s v="1+ Failures"/>
    <n v="0"/>
    <s v="10-20hrs"/>
    <x v="1"/>
  </r>
  <r>
    <n v="780"/>
    <d v="2024-10-30T00:00:00"/>
    <s v="Premium"/>
    <n v="699"/>
    <n v="20.6"/>
    <n v="3"/>
    <n v="0"/>
    <n v="36"/>
    <n v="11"/>
    <s v="No"/>
    <s v="No"/>
    <s v="No"/>
    <s v="No"/>
    <s v="No"/>
    <s v="No"/>
    <m/>
    <s v="0 Failures"/>
    <n v="0"/>
    <s v="20+ hrs"/>
    <x v="1"/>
  </r>
  <r>
    <n v="781"/>
    <d v="2023-11-02T00:00:00"/>
    <s v="Standard"/>
    <n v="399"/>
    <n v="4.0999999999999996"/>
    <n v="0"/>
    <n v="5"/>
    <n v="3"/>
    <n v="36"/>
    <s v="Yes"/>
    <s v="Yes"/>
    <s v="Yes"/>
    <s v="No"/>
    <s v="Yes"/>
    <s v="Yes"/>
    <m/>
    <s v="1+ Failures"/>
    <n v="1"/>
    <s v="0-5 hrs"/>
    <x v="2"/>
  </r>
  <r>
    <n v="782"/>
    <d v="2024-09-17T00:00:00"/>
    <s v="Standard"/>
    <n v="399"/>
    <n v="1.7"/>
    <n v="6"/>
    <n v="1"/>
    <n v="6"/>
    <n v="10"/>
    <s v="No"/>
    <s v="Yes"/>
    <s v="Yes"/>
    <s v="Yes"/>
    <s v="No"/>
    <s v="No"/>
    <m/>
    <s v="1+ Failures"/>
    <n v="0"/>
    <s v="0-5 hrs"/>
    <x v="3"/>
  </r>
  <r>
    <n v="783"/>
    <d v="2023-02-06T00:00:00"/>
    <s v="Premium"/>
    <n v="699"/>
    <n v="4.8"/>
    <n v="7"/>
    <n v="5"/>
    <n v="36"/>
    <n v="37"/>
    <s v="Yes"/>
    <s v="Yes"/>
    <s v="Yes"/>
    <s v="Yes"/>
    <s v="Yes"/>
    <s v="No"/>
    <m/>
    <s v="1+ Failures"/>
    <n v="1"/>
    <s v="0-5 hrs"/>
    <x v="1"/>
  </r>
  <r>
    <n v="784"/>
    <d v="2024-07-17T00:00:00"/>
    <s v="Basic"/>
    <n v="199"/>
    <n v="8.4"/>
    <n v="6"/>
    <n v="0"/>
    <n v="20"/>
    <n v="48"/>
    <s v="Yes"/>
    <s v="No"/>
    <s v="No"/>
    <s v="Yes"/>
    <s v="Yes"/>
    <s v="No"/>
    <m/>
    <s v="0 Failures"/>
    <n v="1"/>
    <s v="5-10 hrs"/>
    <x v="1"/>
  </r>
  <r>
    <n v="785"/>
    <d v="2024-06-23T00:00:00"/>
    <s v="Basic"/>
    <n v="199"/>
    <n v="12"/>
    <n v="1"/>
    <n v="5"/>
    <n v="19"/>
    <n v="55"/>
    <s v="Yes"/>
    <s v="No"/>
    <s v="Yes"/>
    <s v="No"/>
    <s v="Yes"/>
    <s v="No"/>
    <m/>
    <s v="1+ Failures"/>
    <n v="1"/>
    <s v="10-20hrs"/>
    <x v="1"/>
  </r>
  <r>
    <n v="786"/>
    <d v="2024-10-06T00:00:00"/>
    <s v="Standard"/>
    <n v="399"/>
    <n v="5.6"/>
    <n v="3"/>
    <n v="4"/>
    <n v="34"/>
    <n v="3"/>
    <s v="Yes"/>
    <s v="No"/>
    <s v="Yes"/>
    <s v="No"/>
    <s v="No"/>
    <s v="No"/>
    <m/>
    <s v="1+ Failures"/>
    <n v="1"/>
    <s v="5-10 hrs"/>
    <x v="1"/>
  </r>
  <r>
    <n v="787"/>
    <d v="2023-09-23T00:00:00"/>
    <s v="Premium"/>
    <n v="699"/>
    <n v="12.3"/>
    <n v="4"/>
    <n v="3"/>
    <n v="6"/>
    <n v="38"/>
    <s v="No"/>
    <s v="No"/>
    <s v="Yes"/>
    <s v="No"/>
    <s v="Yes"/>
    <s v="No"/>
    <m/>
    <s v="1+ Failures"/>
    <n v="0"/>
    <s v="10-20hrs"/>
    <x v="3"/>
  </r>
  <r>
    <n v="788"/>
    <d v="2024-05-19T00:00:00"/>
    <s v="Premium"/>
    <n v="699"/>
    <n v="23.2"/>
    <n v="7"/>
    <n v="4"/>
    <n v="23"/>
    <n v="46"/>
    <s v="Yes"/>
    <s v="No"/>
    <s v="Yes"/>
    <s v="Yes"/>
    <s v="Yes"/>
    <s v="No"/>
    <m/>
    <s v="1+ Failures"/>
    <n v="1"/>
    <s v="20+ hrs"/>
    <x v="1"/>
  </r>
  <r>
    <n v="789"/>
    <d v="2024-10-02T00:00:00"/>
    <s v="Basic"/>
    <n v="199"/>
    <n v="17.899999999999999"/>
    <n v="3"/>
    <n v="0"/>
    <n v="15"/>
    <n v="7"/>
    <s v="Yes"/>
    <s v="No"/>
    <s v="No"/>
    <s v="No"/>
    <s v="No"/>
    <s v="No"/>
    <m/>
    <s v="0 Failures"/>
    <n v="1"/>
    <s v="10-20hrs"/>
    <x v="1"/>
  </r>
  <r>
    <n v="790"/>
    <d v="2024-07-27T00:00:00"/>
    <s v="Basic"/>
    <n v="199"/>
    <n v="20.100000000000001"/>
    <n v="6"/>
    <n v="3"/>
    <n v="14"/>
    <n v="2"/>
    <s v="Yes"/>
    <s v="No"/>
    <s v="Yes"/>
    <s v="Yes"/>
    <s v="No"/>
    <s v="No"/>
    <m/>
    <s v="1+ Failures"/>
    <n v="1"/>
    <s v="20+ hrs"/>
    <x v="1"/>
  </r>
  <r>
    <n v="791"/>
    <d v="2023-03-11T00:00:00"/>
    <s v="Premium"/>
    <n v="699"/>
    <n v="0.8"/>
    <n v="3"/>
    <n v="5"/>
    <n v="14"/>
    <n v="18"/>
    <s v="Yes"/>
    <s v="Yes"/>
    <s v="Yes"/>
    <s v="No"/>
    <s v="Yes"/>
    <s v="No"/>
    <m/>
    <s v="1+ Failures"/>
    <n v="1"/>
    <s v="0-5 hrs"/>
    <x v="1"/>
  </r>
  <r>
    <n v="792"/>
    <d v="2023-12-16T00:00:00"/>
    <s v="Standard"/>
    <n v="399"/>
    <n v="12.9"/>
    <n v="5"/>
    <n v="0"/>
    <n v="20"/>
    <n v="7"/>
    <s v="No"/>
    <s v="No"/>
    <s v="No"/>
    <s v="Yes"/>
    <s v="No"/>
    <s v="No"/>
    <m/>
    <s v="0 Failures"/>
    <n v="0"/>
    <s v="10-20hrs"/>
    <x v="1"/>
  </r>
  <r>
    <n v="793"/>
    <d v="2024-11-19T00:00:00"/>
    <s v="Standard"/>
    <n v="399"/>
    <n v="20.9"/>
    <n v="3"/>
    <n v="2"/>
    <n v="2"/>
    <n v="53"/>
    <s v="Yes"/>
    <s v="No"/>
    <s v="Yes"/>
    <s v="No"/>
    <s v="Yes"/>
    <s v="Yes"/>
    <m/>
    <s v="1+ Failures"/>
    <n v="1"/>
    <s v="20+ hrs"/>
    <x v="2"/>
  </r>
  <r>
    <n v="794"/>
    <d v="2024-07-03T00:00:00"/>
    <s v="Standard"/>
    <n v="399"/>
    <n v="20"/>
    <n v="2"/>
    <n v="3"/>
    <n v="31"/>
    <n v="9"/>
    <s v="No"/>
    <s v="No"/>
    <s v="Yes"/>
    <s v="No"/>
    <s v="No"/>
    <s v="No"/>
    <m/>
    <s v="1+ Failures"/>
    <n v="0"/>
    <s v="10-20hrs"/>
    <x v="1"/>
  </r>
  <r>
    <n v="795"/>
    <d v="2023-11-03T00:00:00"/>
    <s v="Standard"/>
    <n v="399"/>
    <n v="19.7"/>
    <n v="6"/>
    <n v="5"/>
    <n v="30"/>
    <n v="3"/>
    <s v="No"/>
    <s v="No"/>
    <s v="Yes"/>
    <s v="Yes"/>
    <s v="No"/>
    <s v="No"/>
    <m/>
    <s v="1+ Failures"/>
    <n v="0"/>
    <s v="10-20hrs"/>
    <x v="1"/>
  </r>
  <r>
    <n v="796"/>
    <d v="2023-12-29T00:00:00"/>
    <s v="Premium"/>
    <n v="699"/>
    <n v="14.1"/>
    <n v="0"/>
    <n v="1"/>
    <n v="21"/>
    <n v="36"/>
    <s v="No"/>
    <s v="No"/>
    <s v="Yes"/>
    <s v="No"/>
    <s v="Yes"/>
    <s v="No"/>
    <m/>
    <s v="1+ Failures"/>
    <n v="0"/>
    <s v="10-20hrs"/>
    <x v="1"/>
  </r>
  <r>
    <n v="797"/>
    <d v="2023-06-19T00:00:00"/>
    <s v="Basic"/>
    <n v="199"/>
    <n v="7.4"/>
    <n v="0"/>
    <n v="2"/>
    <n v="10"/>
    <n v="24"/>
    <s v="No"/>
    <s v="No"/>
    <s v="Yes"/>
    <s v="No"/>
    <s v="Yes"/>
    <s v="No"/>
    <m/>
    <s v="1+ Failures"/>
    <n v="0"/>
    <s v="5-10 hrs"/>
    <x v="0"/>
  </r>
  <r>
    <n v="798"/>
    <d v="2024-12-27T00:00:00"/>
    <s v="Premium"/>
    <n v="699"/>
    <n v="5.0999999999999996"/>
    <n v="1"/>
    <n v="2"/>
    <n v="25"/>
    <n v="45"/>
    <s v="No"/>
    <s v="No"/>
    <s v="Yes"/>
    <s v="No"/>
    <s v="Yes"/>
    <s v="No"/>
    <m/>
    <s v="1+ Failures"/>
    <n v="0"/>
    <s v="5-10 hrs"/>
    <x v="1"/>
  </r>
  <r>
    <n v="799"/>
    <d v="2023-11-06T00:00:00"/>
    <s v="Basic"/>
    <n v="199"/>
    <n v="10.6"/>
    <n v="7"/>
    <n v="1"/>
    <n v="18"/>
    <n v="23"/>
    <s v="Yes"/>
    <s v="No"/>
    <s v="Yes"/>
    <s v="Yes"/>
    <s v="Yes"/>
    <s v="No"/>
    <m/>
    <s v="1+ Failures"/>
    <n v="1"/>
    <s v="10-20hrs"/>
    <x v="1"/>
  </r>
  <r>
    <n v="800"/>
    <d v="2023-07-26T00:00:00"/>
    <s v="Basic"/>
    <n v="199"/>
    <n v="7.9"/>
    <n v="1"/>
    <n v="2"/>
    <n v="34"/>
    <n v="50"/>
    <s v="Yes"/>
    <s v="No"/>
    <s v="Yes"/>
    <s v="No"/>
    <s v="Yes"/>
    <s v="No"/>
    <m/>
    <s v="1+ Failures"/>
    <n v="1"/>
    <s v="5-10 hrs"/>
    <x v="1"/>
  </r>
  <r>
    <n v="801"/>
    <d v="2024-05-10T00:00:00"/>
    <s v="Basic"/>
    <n v="199"/>
    <n v="12.9"/>
    <n v="7"/>
    <n v="4"/>
    <n v="29"/>
    <n v="9"/>
    <s v="Yes"/>
    <s v="No"/>
    <s v="Yes"/>
    <s v="Yes"/>
    <s v="No"/>
    <s v="No"/>
    <m/>
    <s v="1+ Failures"/>
    <n v="1"/>
    <s v="10-20hrs"/>
    <x v="1"/>
  </r>
  <r>
    <n v="802"/>
    <d v="2024-06-12T00:00:00"/>
    <s v="Premium"/>
    <n v="699"/>
    <n v="8.1"/>
    <n v="5"/>
    <n v="1"/>
    <n v="34"/>
    <n v="49"/>
    <s v="No"/>
    <s v="No"/>
    <s v="Yes"/>
    <s v="Yes"/>
    <s v="Yes"/>
    <s v="No"/>
    <m/>
    <s v="1+ Failures"/>
    <n v="0"/>
    <s v="5-10 hrs"/>
    <x v="1"/>
  </r>
  <r>
    <n v="803"/>
    <d v="2024-06-18T00:00:00"/>
    <s v="Premium"/>
    <n v="699"/>
    <n v="5.5"/>
    <n v="0"/>
    <n v="3"/>
    <n v="9"/>
    <n v="24"/>
    <s v="No"/>
    <s v="No"/>
    <s v="Yes"/>
    <s v="No"/>
    <s v="Yes"/>
    <s v="No"/>
    <m/>
    <s v="1+ Failures"/>
    <n v="0"/>
    <s v="5-10 hrs"/>
    <x v="0"/>
  </r>
  <r>
    <n v="804"/>
    <d v="2023-03-31T00:00:00"/>
    <s v="Basic"/>
    <n v="199"/>
    <n v="8.1"/>
    <n v="0"/>
    <n v="5"/>
    <n v="1"/>
    <n v="54"/>
    <s v="Yes"/>
    <s v="No"/>
    <s v="Yes"/>
    <s v="No"/>
    <s v="Yes"/>
    <s v="Yes"/>
    <m/>
    <s v="1+ Failures"/>
    <n v="1"/>
    <s v="5-10 hrs"/>
    <x v="2"/>
  </r>
  <r>
    <n v="805"/>
    <d v="2023-11-16T00:00:00"/>
    <s v="Standard"/>
    <n v="399"/>
    <n v="22.3"/>
    <n v="1"/>
    <n v="4"/>
    <n v="30"/>
    <n v="49"/>
    <s v="No"/>
    <s v="No"/>
    <s v="Yes"/>
    <s v="No"/>
    <s v="Yes"/>
    <s v="No"/>
    <m/>
    <s v="1+ Failures"/>
    <n v="0"/>
    <s v="20+ hrs"/>
    <x v="1"/>
  </r>
  <r>
    <n v="806"/>
    <d v="2023-10-11T00:00:00"/>
    <s v="Basic"/>
    <n v="199"/>
    <n v="16.2"/>
    <n v="3"/>
    <n v="2"/>
    <n v="20"/>
    <n v="12"/>
    <s v="Yes"/>
    <s v="No"/>
    <s v="Yes"/>
    <s v="No"/>
    <s v="No"/>
    <s v="No"/>
    <m/>
    <s v="1+ Failures"/>
    <n v="1"/>
    <s v="10-20hrs"/>
    <x v="1"/>
  </r>
  <r>
    <n v="807"/>
    <d v="2023-04-28T00:00:00"/>
    <s v="Premium"/>
    <n v="699"/>
    <n v="19.399999999999999"/>
    <n v="1"/>
    <n v="2"/>
    <n v="21"/>
    <n v="9"/>
    <s v="Yes"/>
    <s v="No"/>
    <s v="Yes"/>
    <s v="No"/>
    <s v="No"/>
    <s v="No"/>
    <m/>
    <s v="1+ Failures"/>
    <n v="1"/>
    <s v="10-20hrs"/>
    <x v="1"/>
  </r>
  <r>
    <n v="808"/>
    <d v="2023-10-05T00:00:00"/>
    <s v="Basic"/>
    <n v="199"/>
    <n v="13.1"/>
    <n v="3"/>
    <n v="4"/>
    <n v="36"/>
    <n v="22"/>
    <s v="Yes"/>
    <s v="No"/>
    <s v="Yes"/>
    <s v="No"/>
    <s v="Yes"/>
    <s v="No"/>
    <m/>
    <s v="1+ Failures"/>
    <n v="1"/>
    <s v="10-20hrs"/>
    <x v="1"/>
  </r>
  <r>
    <n v="809"/>
    <d v="2023-12-13T00:00:00"/>
    <s v="Basic"/>
    <n v="199"/>
    <n v="14.6"/>
    <n v="2"/>
    <n v="0"/>
    <n v="19"/>
    <n v="19"/>
    <s v="No"/>
    <s v="No"/>
    <s v="No"/>
    <s v="No"/>
    <s v="Yes"/>
    <s v="No"/>
    <m/>
    <s v="0 Failures"/>
    <n v="0"/>
    <s v="10-20hrs"/>
    <x v="1"/>
  </r>
  <r>
    <n v="810"/>
    <d v="2023-04-19T00:00:00"/>
    <s v="Premium"/>
    <n v="699"/>
    <n v="1.7"/>
    <n v="0"/>
    <n v="3"/>
    <n v="29"/>
    <n v="57"/>
    <s v="Yes"/>
    <s v="Yes"/>
    <s v="Yes"/>
    <s v="No"/>
    <s v="Yes"/>
    <s v="No"/>
    <m/>
    <s v="1+ Failures"/>
    <n v="1"/>
    <s v="0-5 hrs"/>
    <x v="1"/>
  </r>
  <r>
    <n v="811"/>
    <d v="2024-08-29T00:00:00"/>
    <s v="Standard"/>
    <n v="399"/>
    <n v="2.6"/>
    <n v="6"/>
    <n v="1"/>
    <n v="4"/>
    <n v="45"/>
    <s v="Yes"/>
    <s v="Yes"/>
    <s v="Yes"/>
    <s v="Yes"/>
    <s v="Yes"/>
    <s v="Yes"/>
    <m/>
    <s v="1+ Failures"/>
    <n v="1"/>
    <s v="0-5 hrs"/>
    <x v="3"/>
  </r>
  <r>
    <n v="812"/>
    <d v="2024-11-17T00:00:00"/>
    <s v="Premium"/>
    <n v="699"/>
    <n v="15.6"/>
    <n v="4"/>
    <n v="2"/>
    <n v="29"/>
    <n v="52"/>
    <s v="Yes"/>
    <s v="No"/>
    <s v="Yes"/>
    <s v="No"/>
    <s v="Yes"/>
    <s v="No"/>
    <m/>
    <s v="1+ Failures"/>
    <n v="1"/>
    <s v="10-20hrs"/>
    <x v="1"/>
  </r>
  <r>
    <n v="813"/>
    <d v="2024-12-16T00:00:00"/>
    <s v="Premium"/>
    <n v="699"/>
    <n v="24.4"/>
    <n v="7"/>
    <n v="4"/>
    <n v="6"/>
    <n v="8"/>
    <s v="Yes"/>
    <s v="No"/>
    <s v="Yes"/>
    <s v="Yes"/>
    <s v="No"/>
    <s v="No"/>
    <m/>
    <s v="1+ Failures"/>
    <n v="1"/>
    <s v="20+ hrs"/>
    <x v="3"/>
  </r>
  <r>
    <n v="814"/>
    <d v="2023-05-28T00:00:00"/>
    <s v="Standard"/>
    <n v="399"/>
    <n v="11.7"/>
    <n v="7"/>
    <n v="3"/>
    <n v="7"/>
    <n v="14"/>
    <s v="No"/>
    <s v="No"/>
    <s v="Yes"/>
    <s v="Yes"/>
    <s v="No"/>
    <s v="No"/>
    <m/>
    <s v="1+ Failures"/>
    <n v="0"/>
    <s v="10-20hrs"/>
    <x v="0"/>
  </r>
  <r>
    <n v="815"/>
    <d v="2023-12-05T00:00:00"/>
    <s v="Premium"/>
    <n v="699"/>
    <n v="22.9"/>
    <n v="6"/>
    <n v="1"/>
    <n v="17"/>
    <n v="44"/>
    <s v="No"/>
    <s v="No"/>
    <s v="Yes"/>
    <s v="Yes"/>
    <s v="Yes"/>
    <s v="No"/>
    <m/>
    <s v="1+ Failures"/>
    <n v="0"/>
    <s v="20+ hrs"/>
    <x v="1"/>
  </r>
  <r>
    <n v="816"/>
    <d v="2024-04-17T00:00:00"/>
    <s v="Standard"/>
    <n v="399"/>
    <n v="12.4"/>
    <n v="1"/>
    <n v="3"/>
    <n v="30"/>
    <n v="7"/>
    <s v="No"/>
    <s v="No"/>
    <s v="Yes"/>
    <s v="No"/>
    <s v="No"/>
    <s v="No"/>
    <m/>
    <s v="1+ Failures"/>
    <n v="0"/>
    <s v="10-20hrs"/>
    <x v="1"/>
  </r>
  <r>
    <n v="817"/>
    <d v="2023-04-20T00:00:00"/>
    <s v="Basic"/>
    <n v="199"/>
    <n v="19.3"/>
    <n v="2"/>
    <n v="4"/>
    <n v="19"/>
    <n v="6"/>
    <s v="No"/>
    <s v="No"/>
    <s v="Yes"/>
    <s v="No"/>
    <s v="No"/>
    <s v="No"/>
    <m/>
    <s v="1+ Failures"/>
    <n v="0"/>
    <s v="10-20hrs"/>
    <x v="1"/>
  </r>
  <r>
    <n v="818"/>
    <d v="2024-02-28T00:00:00"/>
    <s v="Standard"/>
    <n v="399"/>
    <n v="16.399999999999999"/>
    <n v="4"/>
    <n v="4"/>
    <n v="36"/>
    <n v="29"/>
    <s v="Yes"/>
    <s v="No"/>
    <s v="Yes"/>
    <s v="No"/>
    <s v="Yes"/>
    <s v="No"/>
    <m/>
    <s v="1+ Failures"/>
    <n v="1"/>
    <s v="10-20hrs"/>
    <x v="1"/>
  </r>
  <r>
    <n v="819"/>
    <d v="2024-12-11T00:00:00"/>
    <s v="Basic"/>
    <n v="199"/>
    <n v="13.9"/>
    <n v="7"/>
    <n v="3"/>
    <n v="16"/>
    <n v="4"/>
    <s v="Yes"/>
    <s v="No"/>
    <s v="Yes"/>
    <s v="Yes"/>
    <s v="No"/>
    <s v="No"/>
    <m/>
    <s v="1+ Failures"/>
    <n v="1"/>
    <s v="10-20hrs"/>
    <x v="1"/>
  </r>
  <r>
    <n v="820"/>
    <d v="2024-12-11T00:00:00"/>
    <s v="Premium"/>
    <n v="699"/>
    <n v="19.7"/>
    <n v="6"/>
    <n v="4"/>
    <n v="28"/>
    <n v="50"/>
    <s v="Yes"/>
    <s v="No"/>
    <s v="Yes"/>
    <s v="Yes"/>
    <s v="Yes"/>
    <s v="No"/>
    <m/>
    <s v="1+ Failures"/>
    <n v="1"/>
    <s v="10-20hrs"/>
    <x v="1"/>
  </r>
  <r>
    <n v="821"/>
    <d v="2024-05-13T00:00:00"/>
    <s v="Basic"/>
    <n v="199"/>
    <n v="16.7"/>
    <n v="1"/>
    <n v="5"/>
    <n v="12"/>
    <n v="59"/>
    <s v="No"/>
    <s v="No"/>
    <s v="Yes"/>
    <s v="No"/>
    <s v="Yes"/>
    <s v="No"/>
    <m/>
    <s v="1+ Failures"/>
    <n v="0"/>
    <s v="10-20hrs"/>
    <x v="0"/>
  </r>
  <r>
    <n v="822"/>
    <d v="2024-02-20T00:00:00"/>
    <s v="Basic"/>
    <n v="199"/>
    <n v="8.5"/>
    <n v="1"/>
    <n v="3"/>
    <n v="30"/>
    <n v="11"/>
    <s v="Yes"/>
    <s v="No"/>
    <s v="Yes"/>
    <s v="No"/>
    <s v="No"/>
    <s v="No"/>
    <m/>
    <s v="1+ Failures"/>
    <n v="1"/>
    <s v="5-10 hrs"/>
    <x v="1"/>
  </r>
  <r>
    <n v="823"/>
    <d v="2023-03-04T00:00:00"/>
    <s v="Basic"/>
    <n v="199"/>
    <n v="17.3"/>
    <n v="6"/>
    <n v="2"/>
    <n v="7"/>
    <n v="31"/>
    <s v="Yes"/>
    <s v="No"/>
    <s v="Yes"/>
    <s v="Yes"/>
    <s v="Yes"/>
    <s v="No"/>
    <m/>
    <s v="1+ Failures"/>
    <n v="1"/>
    <s v="10-20hrs"/>
    <x v="0"/>
  </r>
  <r>
    <n v="824"/>
    <d v="2024-06-28T00:00:00"/>
    <s v="Basic"/>
    <n v="199"/>
    <n v="20.5"/>
    <n v="0"/>
    <n v="1"/>
    <n v="14"/>
    <n v="42"/>
    <s v="Yes"/>
    <s v="No"/>
    <s v="Yes"/>
    <s v="No"/>
    <s v="Yes"/>
    <s v="No"/>
    <m/>
    <s v="1+ Failures"/>
    <n v="1"/>
    <s v="20+ hrs"/>
    <x v="1"/>
  </r>
  <r>
    <n v="825"/>
    <d v="2023-11-21T00:00:00"/>
    <s v="Standard"/>
    <n v="399"/>
    <n v="15.6"/>
    <n v="7"/>
    <n v="1"/>
    <n v="25"/>
    <n v="13"/>
    <s v="No"/>
    <s v="No"/>
    <s v="Yes"/>
    <s v="Yes"/>
    <s v="No"/>
    <s v="No"/>
    <m/>
    <s v="1+ Failures"/>
    <n v="0"/>
    <s v="10-20hrs"/>
    <x v="1"/>
  </r>
  <r>
    <n v="826"/>
    <d v="2023-04-02T00:00:00"/>
    <s v="Standard"/>
    <n v="399"/>
    <n v="23"/>
    <n v="6"/>
    <n v="5"/>
    <n v="20"/>
    <n v="58"/>
    <s v="Yes"/>
    <s v="No"/>
    <s v="Yes"/>
    <s v="Yes"/>
    <s v="Yes"/>
    <s v="No"/>
    <m/>
    <s v="1+ Failures"/>
    <n v="1"/>
    <s v="20+ hrs"/>
    <x v="1"/>
  </r>
  <r>
    <n v="827"/>
    <d v="2023-10-29T00:00:00"/>
    <s v="Premium"/>
    <n v="699"/>
    <n v="15.5"/>
    <n v="8"/>
    <n v="3"/>
    <n v="1"/>
    <n v="54"/>
    <s v="Yes"/>
    <s v="No"/>
    <s v="Yes"/>
    <s v="Yes"/>
    <s v="Yes"/>
    <s v="Yes"/>
    <m/>
    <s v="1+ Failures"/>
    <n v="1"/>
    <s v="10-20hrs"/>
    <x v="2"/>
  </r>
  <r>
    <n v="828"/>
    <d v="2024-01-03T00:00:00"/>
    <s v="Basic"/>
    <n v="199"/>
    <n v="22.6"/>
    <n v="0"/>
    <n v="0"/>
    <n v="24"/>
    <n v="45"/>
    <s v="No"/>
    <s v="No"/>
    <s v="No"/>
    <s v="No"/>
    <s v="Yes"/>
    <s v="No"/>
    <m/>
    <s v="0 Failures"/>
    <n v="0"/>
    <s v="20+ hrs"/>
    <x v="1"/>
  </r>
  <r>
    <n v="829"/>
    <d v="2024-10-02T00:00:00"/>
    <s v="Basic"/>
    <n v="199"/>
    <n v="21.7"/>
    <n v="3"/>
    <n v="3"/>
    <n v="19"/>
    <n v="44"/>
    <s v="Yes"/>
    <s v="No"/>
    <s v="Yes"/>
    <s v="No"/>
    <s v="Yes"/>
    <s v="No"/>
    <m/>
    <s v="1+ Failures"/>
    <n v="1"/>
    <s v="20+ hrs"/>
    <x v="1"/>
  </r>
  <r>
    <n v="830"/>
    <d v="2024-05-01T00:00:00"/>
    <s v="Standard"/>
    <n v="399"/>
    <n v="10.4"/>
    <n v="6"/>
    <n v="4"/>
    <n v="25"/>
    <n v="13"/>
    <s v="No"/>
    <s v="No"/>
    <s v="Yes"/>
    <s v="Yes"/>
    <s v="No"/>
    <s v="No"/>
    <m/>
    <s v="1+ Failures"/>
    <n v="0"/>
    <s v="10-20hrs"/>
    <x v="1"/>
  </r>
  <r>
    <n v="831"/>
    <d v="2024-11-17T00:00:00"/>
    <s v="Basic"/>
    <n v="199"/>
    <n v="14.1"/>
    <n v="5"/>
    <n v="3"/>
    <n v="13"/>
    <n v="9"/>
    <s v="Yes"/>
    <s v="No"/>
    <s v="Yes"/>
    <s v="Yes"/>
    <s v="No"/>
    <s v="No"/>
    <m/>
    <s v="1+ Failures"/>
    <n v="1"/>
    <s v="10-20hrs"/>
    <x v="1"/>
  </r>
  <r>
    <n v="832"/>
    <d v="2024-11-04T00:00:00"/>
    <s v="Basic"/>
    <n v="199"/>
    <n v="0.8"/>
    <n v="0"/>
    <n v="1"/>
    <n v="9"/>
    <n v="46"/>
    <s v="No"/>
    <s v="Yes"/>
    <s v="Yes"/>
    <s v="No"/>
    <s v="Yes"/>
    <s v="No"/>
    <m/>
    <s v="1+ Failures"/>
    <n v="0"/>
    <s v="0-5 hrs"/>
    <x v="0"/>
  </r>
  <r>
    <n v="833"/>
    <d v="2024-09-10T00:00:00"/>
    <s v="Standard"/>
    <n v="399"/>
    <n v="2.6"/>
    <n v="6"/>
    <n v="3"/>
    <n v="9"/>
    <n v="57"/>
    <s v="Yes"/>
    <s v="Yes"/>
    <s v="Yes"/>
    <s v="Yes"/>
    <s v="Yes"/>
    <s v="No"/>
    <m/>
    <s v="1+ Failures"/>
    <n v="1"/>
    <s v="0-5 hrs"/>
    <x v="0"/>
  </r>
  <r>
    <n v="834"/>
    <d v="2023-12-30T00:00:00"/>
    <s v="Standard"/>
    <n v="399"/>
    <n v="11.6"/>
    <n v="6"/>
    <n v="4"/>
    <n v="12"/>
    <n v="52"/>
    <s v="Yes"/>
    <s v="No"/>
    <s v="Yes"/>
    <s v="Yes"/>
    <s v="Yes"/>
    <s v="No"/>
    <m/>
    <s v="1+ Failures"/>
    <n v="1"/>
    <s v="10-20hrs"/>
    <x v="0"/>
  </r>
  <r>
    <n v="835"/>
    <d v="2023-08-31T00:00:00"/>
    <s v="Basic"/>
    <n v="199"/>
    <n v="10.9"/>
    <n v="0"/>
    <n v="4"/>
    <n v="12"/>
    <n v="31"/>
    <s v="No"/>
    <s v="No"/>
    <s v="Yes"/>
    <s v="No"/>
    <s v="Yes"/>
    <s v="No"/>
    <m/>
    <s v="1+ Failures"/>
    <n v="0"/>
    <s v="10-20hrs"/>
    <x v="0"/>
  </r>
  <r>
    <n v="836"/>
    <d v="2023-02-08T00:00:00"/>
    <s v="Premium"/>
    <n v="699"/>
    <n v="7.1"/>
    <n v="8"/>
    <n v="4"/>
    <n v="33"/>
    <n v="23"/>
    <s v="Yes"/>
    <s v="No"/>
    <s v="Yes"/>
    <s v="Yes"/>
    <s v="Yes"/>
    <s v="No"/>
    <m/>
    <s v="1+ Failures"/>
    <n v="1"/>
    <s v="5-10 hrs"/>
    <x v="1"/>
  </r>
  <r>
    <n v="837"/>
    <d v="2023-03-23T00:00:00"/>
    <s v="Premium"/>
    <n v="699"/>
    <n v="17.8"/>
    <n v="1"/>
    <n v="4"/>
    <n v="31"/>
    <n v="30"/>
    <s v="No"/>
    <s v="No"/>
    <s v="Yes"/>
    <s v="No"/>
    <s v="Yes"/>
    <s v="No"/>
    <m/>
    <s v="1+ Failures"/>
    <n v="0"/>
    <s v="10-20hrs"/>
    <x v="1"/>
  </r>
  <r>
    <n v="838"/>
    <d v="2024-09-16T00:00:00"/>
    <s v="Basic"/>
    <n v="199"/>
    <n v="24.6"/>
    <n v="4"/>
    <n v="3"/>
    <n v="34"/>
    <n v="33"/>
    <s v="Yes"/>
    <s v="No"/>
    <s v="Yes"/>
    <s v="No"/>
    <s v="Yes"/>
    <s v="No"/>
    <m/>
    <s v="1+ Failures"/>
    <n v="1"/>
    <s v="20+ hrs"/>
    <x v="1"/>
  </r>
  <r>
    <n v="839"/>
    <d v="2024-08-16T00:00:00"/>
    <s v="Basic"/>
    <n v="199"/>
    <n v="12.1"/>
    <n v="1"/>
    <n v="5"/>
    <n v="16"/>
    <n v="40"/>
    <s v="Yes"/>
    <s v="No"/>
    <s v="Yes"/>
    <s v="No"/>
    <s v="Yes"/>
    <s v="No"/>
    <m/>
    <s v="1+ Failures"/>
    <n v="1"/>
    <s v="10-20hrs"/>
    <x v="1"/>
  </r>
  <r>
    <n v="840"/>
    <d v="2024-04-25T00:00:00"/>
    <s v="Standard"/>
    <n v="399"/>
    <n v="22.6"/>
    <n v="8"/>
    <n v="0"/>
    <n v="4"/>
    <n v="30"/>
    <s v="Yes"/>
    <s v="No"/>
    <s v="No"/>
    <s v="Yes"/>
    <s v="Yes"/>
    <s v="Yes"/>
    <m/>
    <s v="0 Failures"/>
    <n v="1"/>
    <s v="20+ hrs"/>
    <x v="3"/>
  </r>
  <r>
    <n v="841"/>
    <d v="2024-09-03T00:00:00"/>
    <s v="Premium"/>
    <n v="699"/>
    <n v="10.8"/>
    <n v="4"/>
    <n v="2"/>
    <n v="22"/>
    <n v="10"/>
    <s v="Yes"/>
    <s v="No"/>
    <s v="Yes"/>
    <s v="No"/>
    <s v="No"/>
    <s v="No"/>
    <m/>
    <s v="1+ Failures"/>
    <n v="1"/>
    <s v="10-20hrs"/>
    <x v="1"/>
  </r>
  <r>
    <n v="842"/>
    <d v="2023-06-23T00:00:00"/>
    <s v="Premium"/>
    <n v="699"/>
    <n v="18.3"/>
    <n v="4"/>
    <n v="0"/>
    <n v="20"/>
    <n v="40"/>
    <s v="Yes"/>
    <s v="No"/>
    <s v="No"/>
    <s v="No"/>
    <s v="Yes"/>
    <s v="No"/>
    <m/>
    <s v="0 Failures"/>
    <n v="1"/>
    <s v="10-20hrs"/>
    <x v="1"/>
  </r>
  <r>
    <n v="843"/>
    <d v="2024-05-11T00:00:00"/>
    <s v="Premium"/>
    <n v="699"/>
    <n v="16.600000000000001"/>
    <n v="4"/>
    <n v="5"/>
    <n v="4"/>
    <n v="39"/>
    <s v="Yes"/>
    <s v="No"/>
    <s v="Yes"/>
    <s v="No"/>
    <s v="Yes"/>
    <s v="Yes"/>
    <m/>
    <s v="1+ Failures"/>
    <n v="1"/>
    <s v="10-20hrs"/>
    <x v="3"/>
  </r>
  <r>
    <n v="844"/>
    <d v="2023-10-09T00:00:00"/>
    <s v="Basic"/>
    <n v="199"/>
    <n v="12.9"/>
    <n v="4"/>
    <n v="2"/>
    <n v="9"/>
    <n v="8"/>
    <s v="No"/>
    <s v="No"/>
    <s v="Yes"/>
    <s v="No"/>
    <s v="No"/>
    <s v="No"/>
    <m/>
    <s v="1+ Failures"/>
    <n v="0"/>
    <s v="10-20hrs"/>
    <x v="0"/>
  </r>
  <r>
    <n v="845"/>
    <d v="2024-04-02T00:00:00"/>
    <s v="Standard"/>
    <n v="399"/>
    <n v="18.7"/>
    <n v="2"/>
    <n v="4"/>
    <n v="1"/>
    <n v="47"/>
    <s v="Yes"/>
    <s v="No"/>
    <s v="Yes"/>
    <s v="No"/>
    <s v="Yes"/>
    <s v="Yes"/>
    <m/>
    <s v="1+ Failures"/>
    <n v="1"/>
    <s v="10-20hrs"/>
    <x v="2"/>
  </r>
  <r>
    <n v="846"/>
    <d v="2023-02-03T00:00:00"/>
    <s v="Standard"/>
    <n v="399"/>
    <n v="6.9"/>
    <n v="3"/>
    <n v="3"/>
    <n v="12"/>
    <n v="11"/>
    <s v="No"/>
    <s v="No"/>
    <s v="Yes"/>
    <s v="No"/>
    <s v="No"/>
    <s v="No"/>
    <m/>
    <s v="1+ Failures"/>
    <n v="0"/>
    <s v="5-10 hrs"/>
    <x v="0"/>
  </r>
  <r>
    <n v="847"/>
    <d v="2024-01-28T00:00:00"/>
    <s v="Standard"/>
    <n v="399"/>
    <n v="24.2"/>
    <n v="2"/>
    <n v="3"/>
    <n v="6"/>
    <n v="48"/>
    <s v="No"/>
    <s v="No"/>
    <s v="Yes"/>
    <s v="No"/>
    <s v="Yes"/>
    <s v="No"/>
    <m/>
    <s v="1+ Failures"/>
    <n v="0"/>
    <s v="20+ hrs"/>
    <x v="3"/>
  </r>
  <r>
    <n v="848"/>
    <d v="2023-12-20T00:00:00"/>
    <s v="Basic"/>
    <n v="199"/>
    <n v="18.3"/>
    <n v="2"/>
    <n v="1"/>
    <n v="29"/>
    <n v="36"/>
    <s v="No"/>
    <s v="No"/>
    <s v="Yes"/>
    <s v="No"/>
    <s v="Yes"/>
    <s v="No"/>
    <m/>
    <s v="1+ Failures"/>
    <n v="0"/>
    <s v="10-20hrs"/>
    <x v="1"/>
  </r>
  <r>
    <n v="849"/>
    <d v="2024-05-02T00:00:00"/>
    <s v="Basic"/>
    <n v="199"/>
    <n v="19"/>
    <n v="1"/>
    <n v="0"/>
    <n v="17"/>
    <n v="10"/>
    <s v="No"/>
    <s v="No"/>
    <s v="No"/>
    <s v="No"/>
    <s v="No"/>
    <s v="No"/>
    <m/>
    <s v="0 Failures"/>
    <n v="0"/>
    <s v="10-20hrs"/>
    <x v="1"/>
  </r>
  <r>
    <n v="850"/>
    <d v="2024-02-04T00:00:00"/>
    <s v="Standard"/>
    <n v="399"/>
    <n v="18.8"/>
    <n v="8"/>
    <n v="1"/>
    <n v="31"/>
    <n v="24"/>
    <s v="No"/>
    <s v="No"/>
    <s v="Yes"/>
    <s v="Yes"/>
    <s v="Yes"/>
    <s v="No"/>
    <m/>
    <s v="1+ Failures"/>
    <n v="0"/>
    <s v="10-20hrs"/>
    <x v="1"/>
  </r>
  <r>
    <n v="851"/>
    <d v="2024-04-04T00:00:00"/>
    <s v="Standard"/>
    <n v="399"/>
    <n v="4.0999999999999996"/>
    <n v="6"/>
    <n v="0"/>
    <n v="17"/>
    <n v="18"/>
    <s v="No"/>
    <s v="Yes"/>
    <s v="No"/>
    <s v="Yes"/>
    <s v="Yes"/>
    <s v="No"/>
    <m/>
    <s v="0 Failures"/>
    <n v="0"/>
    <s v="0-5 hrs"/>
    <x v="1"/>
  </r>
  <r>
    <n v="852"/>
    <d v="2023-12-29T00:00:00"/>
    <s v="Standard"/>
    <n v="399"/>
    <n v="24.1"/>
    <n v="0"/>
    <n v="0"/>
    <n v="21"/>
    <n v="58"/>
    <s v="No"/>
    <s v="No"/>
    <s v="No"/>
    <s v="No"/>
    <s v="Yes"/>
    <s v="No"/>
    <m/>
    <s v="0 Failures"/>
    <n v="0"/>
    <s v="20+ hrs"/>
    <x v="1"/>
  </r>
  <r>
    <n v="853"/>
    <d v="2024-02-05T00:00:00"/>
    <s v="Standard"/>
    <n v="399"/>
    <n v="8.6999999999999993"/>
    <n v="4"/>
    <n v="0"/>
    <n v="18"/>
    <n v="16"/>
    <s v="No"/>
    <s v="No"/>
    <s v="No"/>
    <s v="No"/>
    <s v="Yes"/>
    <s v="No"/>
    <m/>
    <s v="0 Failures"/>
    <n v="0"/>
    <s v="5-10 hrs"/>
    <x v="1"/>
  </r>
  <r>
    <n v="854"/>
    <d v="2023-07-04T00:00:00"/>
    <s v="Standard"/>
    <n v="399"/>
    <n v="18.5"/>
    <n v="3"/>
    <n v="4"/>
    <n v="16"/>
    <n v="21"/>
    <s v="No"/>
    <s v="No"/>
    <s v="Yes"/>
    <s v="No"/>
    <s v="Yes"/>
    <s v="No"/>
    <m/>
    <s v="1+ Failures"/>
    <n v="0"/>
    <s v="10-20hrs"/>
    <x v="1"/>
  </r>
  <r>
    <n v="855"/>
    <d v="2024-06-21T00:00:00"/>
    <s v="Standard"/>
    <n v="399"/>
    <n v="0.8"/>
    <n v="0"/>
    <n v="0"/>
    <n v="36"/>
    <n v="0"/>
    <s v="No"/>
    <s v="Yes"/>
    <s v="No"/>
    <s v="No"/>
    <s v="No"/>
    <s v="No"/>
    <m/>
    <s v="0 Failures"/>
    <n v="0"/>
    <s v="0-5 hrs"/>
    <x v="1"/>
  </r>
  <r>
    <n v="856"/>
    <d v="2024-09-26T00:00:00"/>
    <s v="Basic"/>
    <n v="199"/>
    <n v="9.1"/>
    <n v="4"/>
    <n v="2"/>
    <n v="29"/>
    <n v="12"/>
    <s v="Yes"/>
    <s v="No"/>
    <s v="Yes"/>
    <s v="No"/>
    <s v="No"/>
    <s v="No"/>
    <m/>
    <s v="1+ Failures"/>
    <n v="1"/>
    <s v="5-10 hrs"/>
    <x v="1"/>
  </r>
  <r>
    <n v="857"/>
    <d v="2023-05-03T00:00:00"/>
    <s v="Basic"/>
    <n v="199"/>
    <n v="23.5"/>
    <n v="3"/>
    <n v="4"/>
    <n v="4"/>
    <n v="40"/>
    <s v="Yes"/>
    <s v="No"/>
    <s v="Yes"/>
    <s v="No"/>
    <s v="Yes"/>
    <s v="Yes"/>
    <m/>
    <s v="1+ Failures"/>
    <n v="1"/>
    <s v="20+ hrs"/>
    <x v="3"/>
  </r>
  <r>
    <n v="858"/>
    <d v="2023-10-29T00:00:00"/>
    <s v="Basic"/>
    <n v="199"/>
    <n v="9.6999999999999993"/>
    <n v="2"/>
    <n v="0"/>
    <n v="9"/>
    <n v="44"/>
    <s v="Yes"/>
    <s v="No"/>
    <s v="No"/>
    <s v="No"/>
    <s v="Yes"/>
    <s v="No"/>
    <m/>
    <s v="0 Failures"/>
    <n v="1"/>
    <s v="5-10 hrs"/>
    <x v="0"/>
  </r>
  <r>
    <n v="859"/>
    <d v="2023-11-28T00:00:00"/>
    <s v="Standard"/>
    <n v="399"/>
    <n v="16.2"/>
    <n v="4"/>
    <n v="3"/>
    <n v="5"/>
    <n v="44"/>
    <s v="No"/>
    <s v="No"/>
    <s v="Yes"/>
    <s v="No"/>
    <s v="Yes"/>
    <s v="Yes"/>
    <m/>
    <s v="1+ Failures"/>
    <n v="0"/>
    <s v="10-20hrs"/>
    <x v="3"/>
  </r>
  <r>
    <n v="860"/>
    <d v="2023-03-03T00:00:00"/>
    <s v="Standard"/>
    <n v="399"/>
    <n v="19.600000000000001"/>
    <n v="4"/>
    <n v="0"/>
    <n v="11"/>
    <n v="24"/>
    <s v="Yes"/>
    <s v="No"/>
    <s v="No"/>
    <s v="No"/>
    <s v="Yes"/>
    <s v="No"/>
    <m/>
    <s v="0 Failures"/>
    <n v="1"/>
    <s v="10-20hrs"/>
    <x v="0"/>
  </r>
  <r>
    <n v="861"/>
    <d v="2024-02-07T00:00:00"/>
    <s v="Standard"/>
    <n v="399"/>
    <n v="4.9000000000000004"/>
    <n v="1"/>
    <n v="3"/>
    <n v="17"/>
    <n v="59"/>
    <s v="Yes"/>
    <s v="Yes"/>
    <s v="Yes"/>
    <s v="No"/>
    <s v="Yes"/>
    <s v="No"/>
    <m/>
    <s v="1+ Failures"/>
    <n v="1"/>
    <s v="0-5 hrs"/>
    <x v="1"/>
  </r>
  <r>
    <n v="862"/>
    <d v="2023-04-19T00:00:00"/>
    <s v="Basic"/>
    <n v="199"/>
    <n v="3.2"/>
    <n v="8"/>
    <n v="3"/>
    <n v="32"/>
    <n v="13"/>
    <s v="Yes"/>
    <s v="Yes"/>
    <s v="Yes"/>
    <s v="Yes"/>
    <s v="No"/>
    <s v="No"/>
    <m/>
    <s v="1+ Failures"/>
    <n v="1"/>
    <s v="0-5 hrs"/>
    <x v="1"/>
  </r>
  <r>
    <n v="863"/>
    <d v="2024-04-01T00:00:00"/>
    <s v="Standard"/>
    <n v="399"/>
    <n v="3"/>
    <n v="1"/>
    <n v="0"/>
    <n v="17"/>
    <n v="36"/>
    <s v="No"/>
    <s v="Yes"/>
    <s v="No"/>
    <s v="No"/>
    <s v="Yes"/>
    <s v="No"/>
    <m/>
    <s v="0 Failures"/>
    <n v="0"/>
    <s v="0-5 hrs"/>
    <x v="1"/>
  </r>
  <r>
    <n v="864"/>
    <d v="2023-06-05T00:00:00"/>
    <s v="Basic"/>
    <n v="199"/>
    <n v="4.0999999999999996"/>
    <n v="0"/>
    <n v="0"/>
    <n v="32"/>
    <n v="42"/>
    <s v="Yes"/>
    <s v="Yes"/>
    <s v="No"/>
    <s v="No"/>
    <s v="Yes"/>
    <s v="No"/>
    <m/>
    <s v="0 Failures"/>
    <n v="1"/>
    <s v="0-5 hrs"/>
    <x v="1"/>
  </r>
  <r>
    <n v="865"/>
    <d v="2024-05-17T00:00:00"/>
    <s v="Premium"/>
    <n v="699"/>
    <n v="22.7"/>
    <n v="0"/>
    <n v="4"/>
    <n v="22"/>
    <n v="45"/>
    <s v="No"/>
    <s v="No"/>
    <s v="Yes"/>
    <s v="No"/>
    <s v="Yes"/>
    <s v="No"/>
    <m/>
    <s v="1+ Failures"/>
    <n v="0"/>
    <s v="20+ hrs"/>
    <x v="1"/>
  </r>
  <r>
    <n v="866"/>
    <d v="2024-12-06T00:00:00"/>
    <s v="Standard"/>
    <n v="399"/>
    <n v="10.4"/>
    <n v="1"/>
    <n v="4"/>
    <n v="28"/>
    <n v="14"/>
    <s v="Yes"/>
    <s v="No"/>
    <s v="Yes"/>
    <s v="No"/>
    <s v="No"/>
    <s v="No"/>
    <m/>
    <s v="1+ Failures"/>
    <n v="1"/>
    <s v="10-20hrs"/>
    <x v="1"/>
  </r>
  <r>
    <n v="867"/>
    <d v="2023-02-26T00:00:00"/>
    <s v="Standard"/>
    <n v="399"/>
    <n v="14.4"/>
    <n v="5"/>
    <n v="2"/>
    <n v="8"/>
    <n v="43"/>
    <s v="Yes"/>
    <s v="No"/>
    <s v="Yes"/>
    <s v="Yes"/>
    <s v="Yes"/>
    <s v="No"/>
    <m/>
    <s v="1+ Failures"/>
    <n v="1"/>
    <s v="10-20hrs"/>
    <x v="0"/>
  </r>
  <r>
    <n v="868"/>
    <d v="2023-10-24T00:00:00"/>
    <s v="Premium"/>
    <n v="699"/>
    <n v="9.5"/>
    <n v="5"/>
    <n v="0"/>
    <n v="6"/>
    <n v="53"/>
    <s v="Yes"/>
    <s v="No"/>
    <s v="No"/>
    <s v="Yes"/>
    <s v="Yes"/>
    <s v="No"/>
    <m/>
    <s v="0 Failures"/>
    <n v="1"/>
    <s v="5-10 hrs"/>
    <x v="3"/>
  </r>
  <r>
    <n v="869"/>
    <d v="2024-12-13T00:00:00"/>
    <s v="Premium"/>
    <n v="699"/>
    <n v="4.8"/>
    <n v="0"/>
    <n v="3"/>
    <n v="13"/>
    <n v="42"/>
    <s v="Yes"/>
    <s v="Yes"/>
    <s v="Yes"/>
    <s v="No"/>
    <s v="Yes"/>
    <s v="No"/>
    <m/>
    <s v="1+ Failures"/>
    <n v="1"/>
    <s v="0-5 hrs"/>
    <x v="1"/>
  </r>
  <r>
    <n v="870"/>
    <d v="2024-03-24T00:00:00"/>
    <s v="Standard"/>
    <n v="399"/>
    <n v="16"/>
    <n v="5"/>
    <n v="3"/>
    <n v="7"/>
    <n v="5"/>
    <s v="No"/>
    <s v="No"/>
    <s v="Yes"/>
    <s v="Yes"/>
    <s v="No"/>
    <s v="No"/>
    <m/>
    <s v="1+ Failures"/>
    <n v="0"/>
    <s v="10-20hrs"/>
    <x v="0"/>
  </r>
  <r>
    <n v="871"/>
    <d v="2023-09-02T00:00:00"/>
    <s v="Premium"/>
    <n v="699"/>
    <n v="3.9"/>
    <n v="3"/>
    <n v="0"/>
    <n v="13"/>
    <n v="46"/>
    <s v="No"/>
    <s v="Yes"/>
    <s v="No"/>
    <s v="No"/>
    <s v="Yes"/>
    <s v="No"/>
    <m/>
    <s v="0 Failures"/>
    <n v="0"/>
    <s v="0-5 hrs"/>
    <x v="1"/>
  </r>
  <r>
    <n v="872"/>
    <d v="2024-04-05T00:00:00"/>
    <s v="Standard"/>
    <n v="399"/>
    <n v="2"/>
    <n v="8"/>
    <n v="5"/>
    <n v="25"/>
    <n v="19"/>
    <s v="Yes"/>
    <s v="Yes"/>
    <s v="Yes"/>
    <s v="Yes"/>
    <s v="Yes"/>
    <s v="No"/>
    <m/>
    <s v="1+ Failures"/>
    <n v="1"/>
    <s v="0-5 hrs"/>
    <x v="1"/>
  </r>
  <r>
    <n v="873"/>
    <d v="2023-08-05T00:00:00"/>
    <s v="Basic"/>
    <n v="199"/>
    <n v="8.8000000000000007"/>
    <n v="5"/>
    <n v="5"/>
    <n v="3"/>
    <n v="2"/>
    <s v="Yes"/>
    <s v="No"/>
    <s v="Yes"/>
    <s v="Yes"/>
    <s v="No"/>
    <s v="Yes"/>
    <m/>
    <s v="1+ Failures"/>
    <n v="1"/>
    <s v="5-10 hrs"/>
    <x v="2"/>
  </r>
  <r>
    <n v="874"/>
    <d v="2023-03-15T00:00:00"/>
    <s v="Premium"/>
    <n v="699"/>
    <n v="11.7"/>
    <n v="8"/>
    <n v="1"/>
    <n v="34"/>
    <n v="47"/>
    <s v="No"/>
    <s v="No"/>
    <s v="Yes"/>
    <s v="Yes"/>
    <s v="Yes"/>
    <s v="No"/>
    <m/>
    <s v="1+ Failures"/>
    <n v="0"/>
    <s v="10-20hrs"/>
    <x v="1"/>
  </r>
  <r>
    <n v="875"/>
    <d v="2023-02-16T00:00:00"/>
    <s v="Basic"/>
    <n v="199"/>
    <n v="12.5"/>
    <n v="0"/>
    <n v="3"/>
    <n v="10"/>
    <n v="58"/>
    <s v="No"/>
    <s v="No"/>
    <s v="Yes"/>
    <s v="No"/>
    <s v="Yes"/>
    <s v="No"/>
    <m/>
    <s v="1+ Failures"/>
    <n v="0"/>
    <s v="10-20hrs"/>
    <x v="0"/>
  </r>
  <r>
    <n v="876"/>
    <d v="2024-04-12T00:00:00"/>
    <s v="Basic"/>
    <n v="199"/>
    <n v="0.9"/>
    <n v="0"/>
    <n v="2"/>
    <n v="9"/>
    <n v="52"/>
    <s v="Yes"/>
    <s v="Yes"/>
    <s v="Yes"/>
    <s v="No"/>
    <s v="Yes"/>
    <s v="No"/>
    <m/>
    <s v="1+ Failures"/>
    <n v="1"/>
    <s v="0-5 hrs"/>
    <x v="0"/>
  </r>
  <r>
    <n v="877"/>
    <d v="2024-09-22T00:00:00"/>
    <s v="Premium"/>
    <n v="699"/>
    <n v="21"/>
    <n v="1"/>
    <n v="0"/>
    <n v="11"/>
    <n v="7"/>
    <s v="No"/>
    <s v="No"/>
    <s v="No"/>
    <s v="No"/>
    <s v="No"/>
    <s v="No"/>
    <m/>
    <s v="0 Failures"/>
    <n v="0"/>
    <s v="20+ hrs"/>
    <x v="0"/>
  </r>
  <r>
    <n v="878"/>
    <d v="2024-11-25T00:00:00"/>
    <s v="Basic"/>
    <n v="199"/>
    <n v="20.2"/>
    <n v="6"/>
    <n v="2"/>
    <n v="5"/>
    <n v="51"/>
    <s v="No"/>
    <s v="No"/>
    <s v="Yes"/>
    <s v="Yes"/>
    <s v="Yes"/>
    <s v="Yes"/>
    <m/>
    <s v="1+ Failures"/>
    <n v="0"/>
    <s v="20+ hrs"/>
    <x v="3"/>
  </r>
  <r>
    <n v="879"/>
    <d v="2023-08-07T00:00:00"/>
    <s v="Standard"/>
    <n v="399"/>
    <n v="3.5"/>
    <n v="8"/>
    <n v="1"/>
    <n v="21"/>
    <n v="20"/>
    <s v="No"/>
    <s v="Yes"/>
    <s v="Yes"/>
    <s v="Yes"/>
    <s v="Yes"/>
    <s v="No"/>
    <m/>
    <s v="1+ Failures"/>
    <n v="0"/>
    <s v="0-5 hrs"/>
    <x v="1"/>
  </r>
  <r>
    <n v="880"/>
    <d v="2023-06-22T00:00:00"/>
    <s v="Basic"/>
    <n v="199"/>
    <n v="8.6999999999999993"/>
    <n v="1"/>
    <n v="2"/>
    <n v="12"/>
    <n v="9"/>
    <s v="No"/>
    <s v="No"/>
    <s v="Yes"/>
    <s v="No"/>
    <s v="No"/>
    <s v="No"/>
    <m/>
    <s v="1+ Failures"/>
    <n v="0"/>
    <s v="5-10 hrs"/>
    <x v="0"/>
  </r>
  <r>
    <n v="881"/>
    <d v="2023-05-17T00:00:00"/>
    <s v="Premium"/>
    <n v="699"/>
    <n v="14.1"/>
    <n v="7"/>
    <n v="1"/>
    <n v="24"/>
    <n v="59"/>
    <s v="No"/>
    <s v="No"/>
    <s v="Yes"/>
    <s v="Yes"/>
    <s v="Yes"/>
    <s v="No"/>
    <m/>
    <s v="1+ Failures"/>
    <n v="0"/>
    <s v="10-20hrs"/>
    <x v="1"/>
  </r>
  <r>
    <n v="882"/>
    <d v="2023-07-03T00:00:00"/>
    <s v="Basic"/>
    <n v="199"/>
    <n v="19.600000000000001"/>
    <n v="0"/>
    <n v="3"/>
    <n v="25"/>
    <n v="5"/>
    <s v="Yes"/>
    <s v="No"/>
    <s v="Yes"/>
    <s v="No"/>
    <s v="No"/>
    <s v="No"/>
    <m/>
    <s v="1+ Failures"/>
    <n v="1"/>
    <s v="10-20hrs"/>
    <x v="1"/>
  </r>
  <r>
    <n v="883"/>
    <d v="2024-10-17T00:00:00"/>
    <s v="Basic"/>
    <n v="199"/>
    <n v="10.7"/>
    <n v="7"/>
    <n v="5"/>
    <n v="19"/>
    <n v="8"/>
    <s v="Yes"/>
    <s v="No"/>
    <s v="Yes"/>
    <s v="Yes"/>
    <s v="No"/>
    <s v="No"/>
    <m/>
    <s v="1+ Failures"/>
    <n v="1"/>
    <s v="10-20hrs"/>
    <x v="1"/>
  </r>
  <r>
    <n v="884"/>
    <d v="2024-09-02T00:00:00"/>
    <s v="Standard"/>
    <n v="399"/>
    <n v="11.5"/>
    <n v="3"/>
    <n v="1"/>
    <n v="34"/>
    <n v="39"/>
    <s v="No"/>
    <s v="No"/>
    <s v="Yes"/>
    <s v="No"/>
    <s v="Yes"/>
    <s v="No"/>
    <m/>
    <s v="1+ Failures"/>
    <n v="0"/>
    <s v="10-20hrs"/>
    <x v="1"/>
  </r>
  <r>
    <n v="885"/>
    <d v="2023-12-23T00:00:00"/>
    <s v="Basic"/>
    <n v="199"/>
    <n v="15.5"/>
    <n v="1"/>
    <n v="5"/>
    <n v="32"/>
    <n v="52"/>
    <s v="No"/>
    <s v="No"/>
    <s v="Yes"/>
    <s v="No"/>
    <s v="Yes"/>
    <s v="No"/>
    <m/>
    <s v="1+ Failures"/>
    <n v="0"/>
    <s v="10-20hrs"/>
    <x v="1"/>
  </r>
  <r>
    <n v="886"/>
    <d v="2024-09-25T00:00:00"/>
    <s v="Standard"/>
    <n v="399"/>
    <n v="14.2"/>
    <n v="3"/>
    <n v="0"/>
    <n v="1"/>
    <n v="33"/>
    <s v="No"/>
    <s v="No"/>
    <s v="No"/>
    <s v="No"/>
    <s v="Yes"/>
    <s v="Yes"/>
    <m/>
    <s v="0 Failures"/>
    <n v="0"/>
    <s v="10-20hrs"/>
    <x v="2"/>
  </r>
  <r>
    <n v="887"/>
    <d v="2023-02-24T00:00:00"/>
    <s v="Standard"/>
    <n v="399"/>
    <n v="12.9"/>
    <n v="7"/>
    <n v="5"/>
    <n v="35"/>
    <n v="42"/>
    <s v="Yes"/>
    <s v="No"/>
    <s v="Yes"/>
    <s v="Yes"/>
    <s v="Yes"/>
    <s v="No"/>
    <m/>
    <s v="1+ Failures"/>
    <n v="1"/>
    <s v="10-20hrs"/>
    <x v="1"/>
  </r>
  <r>
    <n v="888"/>
    <d v="2023-02-14T00:00:00"/>
    <s v="Basic"/>
    <n v="199"/>
    <n v="20"/>
    <n v="7"/>
    <n v="3"/>
    <n v="8"/>
    <n v="11"/>
    <s v="Yes"/>
    <s v="No"/>
    <s v="Yes"/>
    <s v="Yes"/>
    <s v="No"/>
    <s v="No"/>
    <m/>
    <s v="1+ Failures"/>
    <n v="1"/>
    <s v="10-20hrs"/>
    <x v="0"/>
  </r>
  <r>
    <n v="889"/>
    <d v="2024-04-09T00:00:00"/>
    <s v="Basic"/>
    <n v="199"/>
    <n v="7.5"/>
    <n v="6"/>
    <n v="2"/>
    <n v="24"/>
    <n v="21"/>
    <s v="Yes"/>
    <s v="No"/>
    <s v="Yes"/>
    <s v="Yes"/>
    <s v="Yes"/>
    <s v="No"/>
    <m/>
    <s v="1+ Failures"/>
    <n v="1"/>
    <s v="5-10 hrs"/>
    <x v="1"/>
  </r>
  <r>
    <n v="890"/>
    <d v="2024-05-11T00:00:00"/>
    <s v="Basic"/>
    <n v="199"/>
    <n v="18.600000000000001"/>
    <n v="8"/>
    <n v="1"/>
    <n v="7"/>
    <n v="10"/>
    <s v="No"/>
    <s v="No"/>
    <s v="Yes"/>
    <s v="Yes"/>
    <s v="No"/>
    <s v="No"/>
    <m/>
    <s v="1+ Failures"/>
    <n v="0"/>
    <s v="10-20hrs"/>
    <x v="0"/>
  </r>
  <r>
    <n v="891"/>
    <d v="2023-11-30T00:00:00"/>
    <s v="Premium"/>
    <n v="699"/>
    <n v="2.2000000000000002"/>
    <n v="3"/>
    <n v="5"/>
    <n v="8"/>
    <n v="28"/>
    <s v="Yes"/>
    <s v="Yes"/>
    <s v="Yes"/>
    <s v="No"/>
    <s v="Yes"/>
    <s v="No"/>
    <m/>
    <s v="1+ Failures"/>
    <n v="1"/>
    <s v="0-5 hrs"/>
    <x v="0"/>
  </r>
  <r>
    <n v="892"/>
    <d v="2023-08-22T00:00:00"/>
    <s v="Standard"/>
    <n v="399"/>
    <n v="18.8"/>
    <n v="5"/>
    <n v="1"/>
    <n v="13"/>
    <n v="49"/>
    <s v="Yes"/>
    <s v="No"/>
    <s v="Yes"/>
    <s v="Yes"/>
    <s v="Yes"/>
    <s v="No"/>
    <m/>
    <s v="1+ Failures"/>
    <n v="1"/>
    <s v="10-20hrs"/>
    <x v="1"/>
  </r>
  <r>
    <n v="893"/>
    <d v="2024-04-27T00:00:00"/>
    <s v="Basic"/>
    <n v="199"/>
    <n v="18.600000000000001"/>
    <n v="3"/>
    <n v="3"/>
    <n v="16"/>
    <n v="57"/>
    <s v="Yes"/>
    <s v="No"/>
    <s v="Yes"/>
    <s v="No"/>
    <s v="Yes"/>
    <s v="No"/>
    <m/>
    <s v="1+ Failures"/>
    <n v="1"/>
    <s v="10-20hrs"/>
    <x v="1"/>
  </r>
  <r>
    <n v="894"/>
    <d v="2024-04-10T00:00:00"/>
    <s v="Premium"/>
    <n v="699"/>
    <n v="1.8"/>
    <n v="6"/>
    <n v="1"/>
    <n v="32"/>
    <n v="13"/>
    <s v="No"/>
    <s v="Yes"/>
    <s v="Yes"/>
    <s v="Yes"/>
    <s v="No"/>
    <s v="No"/>
    <m/>
    <s v="1+ Failures"/>
    <n v="0"/>
    <s v="0-5 hrs"/>
    <x v="1"/>
  </r>
  <r>
    <n v="895"/>
    <d v="2023-10-04T00:00:00"/>
    <s v="Basic"/>
    <n v="199"/>
    <n v="9.6999999999999993"/>
    <n v="7"/>
    <n v="5"/>
    <n v="25"/>
    <n v="12"/>
    <s v="No"/>
    <s v="No"/>
    <s v="Yes"/>
    <s v="Yes"/>
    <s v="No"/>
    <s v="No"/>
    <m/>
    <s v="1+ Failures"/>
    <n v="0"/>
    <s v="5-10 hrs"/>
    <x v="1"/>
  </r>
  <r>
    <n v="896"/>
    <d v="2024-04-21T00:00:00"/>
    <s v="Basic"/>
    <n v="199"/>
    <n v="3.6"/>
    <n v="0"/>
    <n v="2"/>
    <n v="22"/>
    <n v="8"/>
    <s v="Yes"/>
    <s v="Yes"/>
    <s v="Yes"/>
    <s v="No"/>
    <s v="No"/>
    <s v="No"/>
    <m/>
    <s v="1+ Failures"/>
    <n v="1"/>
    <s v="0-5 hrs"/>
    <x v="1"/>
  </r>
  <r>
    <n v="897"/>
    <d v="2023-06-10T00:00:00"/>
    <s v="Standard"/>
    <n v="399"/>
    <n v="4.7"/>
    <n v="5"/>
    <n v="1"/>
    <n v="27"/>
    <n v="56"/>
    <s v="Yes"/>
    <s v="Yes"/>
    <s v="Yes"/>
    <s v="Yes"/>
    <s v="Yes"/>
    <s v="No"/>
    <m/>
    <s v="1+ Failures"/>
    <n v="1"/>
    <s v="0-5 hrs"/>
    <x v="1"/>
  </r>
  <r>
    <n v="898"/>
    <d v="2024-06-18T00:00:00"/>
    <s v="Premium"/>
    <n v="699"/>
    <n v="14.7"/>
    <n v="8"/>
    <n v="1"/>
    <n v="11"/>
    <n v="5"/>
    <s v="No"/>
    <s v="No"/>
    <s v="Yes"/>
    <s v="Yes"/>
    <s v="No"/>
    <s v="No"/>
    <m/>
    <s v="1+ Failures"/>
    <n v="0"/>
    <s v="10-20hrs"/>
    <x v="0"/>
  </r>
  <r>
    <n v="899"/>
    <d v="2023-09-10T00:00:00"/>
    <s v="Standard"/>
    <n v="399"/>
    <n v="15"/>
    <n v="7"/>
    <n v="2"/>
    <n v="14"/>
    <n v="0"/>
    <s v="No"/>
    <s v="No"/>
    <s v="Yes"/>
    <s v="Yes"/>
    <s v="No"/>
    <s v="No"/>
    <m/>
    <s v="1+ Failures"/>
    <n v="0"/>
    <s v="10-20hrs"/>
    <x v="1"/>
  </r>
  <r>
    <n v="900"/>
    <d v="2024-08-10T00:00:00"/>
    <s v="Basic"/>
    <n v="199"/>
    <n v="11.1"/>
    <n v="3"/>
    <n v="4"/>
    <n v="21"/>
    <n v="60"/>
    <s v="Yes"/>
    <s v="No"/>
    <s v="Yes"/>
    <s v="No"/>
    <s v="Yes"/>
    <s v="No"/>
    <m/>
    <s v="1+ Failures"/>
    <n v="1"/>
    <s v="10-20hrs"/>
    <x v="1"/>
  </r>
  <r>
    <n v="901"/>
    <d v="2023-02-04T00:00:00"/>
    <s v="Basic"/>
    <n v="199"/>
    <n v="24.5"/>
    <n v="0"/>
    <n v="3"/>
    <n v="27"/>
    <n v="46"/>
    <s v="No"/>
    <s v="No"/>
    <s v="Yes"/>
    <s v="No"/>
    <s v="Yes"/>
    <s v="No"/>
    <m/>
    <s v="1+ Failures"/>
    <n v="0"/>
    <s v="20+ hrs"/>
    <x v="1"/>
  </r>
  <r>
    <n v="902"/>
    <d v="2024-07-25T00:00:00"/>
    <s v="Standard"/>
    <n v="399"/>
    <n v="10.199999999999999"/>
    <n v="1"/>
    <n v="3"/>
    <n v="34"/>
    <n v="31"/>
    <s v="Yes"/>
    <s v="No"/>
    <s v="Yes"/>
    <s v="No"/>
    <s v="Yes"/>
    <s v="No"/>
    <m/>
    <s v="1+ Failures"/>
    <n v="1"/>
    <s v="10-20hrs"/>
    <x v="1"/>
  </r>
  <r>
    <n v="903"/>
    <d v="2023-04-03T00:00:00"/>
    <s v="Basic"/>
    <n v="199"/>
    <n v="23.8"/>
    <n v="2"/>
    <n v="2"/>
    <n v="27"/>
    <n v="18"/>
    <s v="Yes"/>
    <s v="No"/>
    <s v="Yes"/>
    <s v="No"/>
    <s v="Yes"/>
    <s v="No"/>
    <m/>
    <s v="1+ Failures"/>
    <n v="1"/>
    <s v="20+ hrs"/>
    <x v="1"/>
  </r>
  <r>
    <n v="904"/>
    <d v="2024-08-20T00:00:00"/>
    <s v="Basic"/>
    <n v="199"/>
    <n v="16.899999999999999"/>
    <n v="2"/>
    <n v="5"/>
    <n v="31"/>
    <n v="29"/>
    <s v="No"/>
    <s v="No"/>
    <s v="Yes"/>
    <s v="No"/>
    <s v="Yes"/>
    <s v="No"/>
    <m/>
    <s v="1+ Failures"/>
    <n v="0"/>
    <s v="10-20hrs"/>
    <x v="1"/>
  </r>
  <r>
    <n v="905"/>
    <d v="2024-01-15T00:00:00"/>
    <s v="Basic"/>
    <n v="199"/>
    <n v="11.9"/>
    <n v="2"/>
    <n v="5"/>
    <n v="30"/>
    <n v="25"/>
    <s v="Yes"/>
    <s v="No"/>
    <s v="Yes"/>
    <s v="No"/>
    <s v="Yes"/>
    <s v="No"/>
    <m/>
    <s v="1+ Failures"/>
    <n v="1"/>
    <s v="10-20hrs"/>
    <x v="1"/>
  </r>
  <r>
    <n v="906"/>
    <d v="2024-12-08T00:00:00"/>
    <s v="Premium"/>
    <n v="699"/>
    <n v="17.7"/>
    <n v="0"/>
    <n v="5"/>
    <n v="30"/>
    <n v="4"/>
    <s v="No"/>
    <s v="No"/>
    <s v="Yes"/>
    <s v="No"/>
    <s v="No"/>
    <s v="No"/>
    <m/>
    <s v="1+ Failures"/>
    <n v="0"/>
    <s v="10-20hrs"/>
    <x v="1"/>
  </r>
  <r>
    <n v="907"/>
    <d v="2024-07-09T00:00:00"/>
    <s v="Standard"/>
    <n v="399"/>
    <n v="1.3"/>
    <n v="6"/>
    <n v="2"/>
    <n v="34"/>
    <n v="44"/>
    <s v="Yes"/>
    <s v="Yes"/>
    <s v="Yes"/>
    <s v="Yes"/>
    <s v="Yes"/>
    <s v="No"/>
    <m/>
    <s v="1+ Failures"/>
    <n v="1"/>
    <s v="0-5 hrs"/>
    <x v="1"/>
  </r>
  <r>
    <n v="908"/>
    <d v="2023-02-26T00:00:00"/>
    <s v="Premium"/>
    <n v="699"/>
    <n v="19.8"/>
    <n v="1"/>
    <n v="4"/>
    <n v="14"/>
    <n v="56"/>
    <s v="Yes"/>
    <s v="No"/>
    <s v="Yes"/>
    <s v="No"/>
    <s v="Yes"/>
    <s v="No"/>
    <m/>
    <s v="1+ Failures"/>
    <n v="1"/>
    <s v="10-20hrs"/>
    <x v="1"/>
  </r>
  <r>
    <n v="909"/>
    <d v="2023-02-11T00:00:00"/>
    <s v="Premium"/>
    <n v="699"/>
    <n v="22.3"/>
    <n v="1"/>
    <n v="3"/>
    <n v="24"/>
    <n v="23"/>
    <s v="Yes"/>
    <s v="No"/>
    <s v="Yes"/>
    <s v="No"/>
    <s v="Yes"/>
    <s v="No"/>
    <m/>
    <s v="1+ Failures"/>
    <n v="1"/>
    <s v="20+ hrs"/>
    <x v="1"/>
  </r>
  <r>
    <n v="910"/>
    <d v="2023-07-29T00:00:00"/>
    <s v="Standard"/>
    <n v="399"/>
    <n v="4.8"/>
    <n v="8"/>
    <n v="5"/>
    <n v="24"/>
    <n v="4"/>
    <s v="Yes"/>
    <s v="Yes"/>
    <s v="Yes"/>
    <s v="Yes"/>
    <s v="No"/>
    <s v="No"/>
    <m/>
    <s v="1+ Failures"/>
    <n v="1"/>
    <s v="0-5 hrs"/>
    <x v="1"/>
  </r>
  <r>
    <n v="911"/>
    <d v="2024-08-17T00:00:00"/>
    <s v="Basic"/>
    <n v="199"/>
    <n v="6.3"/>
    <n v="1"/>
    <n v="5"/>
    <n v="22"/>
    <n v="30"/>
    <s v="No"/>
    <s v="No"/>
    <s v="Yes"/>
    <s v="No"/>
    <s v="Yes"/>
    <s v="No"/>
    <m/>
    <s v="1+ Failures"/>
    <n v="0"/>
    <s v="5-10 hrs"/>
    <x v="1"/>
  </r>
  <r>
    <n v="912"/>
    <d v="2024-05-30T00:00:00"/>
    <s v="Premium"/>
    <n v="699"/>
    <n v="19"/>
    <n v="3"/>
    <n v="2"/>
    <n v="14"/>
    <n v="22"/>
    <s v="No"/>
    <s v="No"/>
    <s v="Yes"/>
    <s v="No"/>
    <s v="Yes"/>
    <s v="No"/>
    <m/>
    <s v="1+ Failures"/>
    <n v="0"/>
    <s v="10-20hrs"/>
    <x v="1"/>
  </r>
  <r>
    <n v="913"/>
    <d v="2024-05-28T00:00:00"/>
    <s v="Premium"/>
    <n v="699"/>
    <n v="7.3"/>
    <n v="1"/>
    <n v="2"/>
    <n v="28"/>
    <n v="22"/>
    <s v="Yes"/>
    <s v="No"/>
    <s v="Yes"/>
    <s v="No"/>
    <s v="Yes"/>
    <s v="No"/>
    <m/>
    <s v="1+ Failures"/>
    <n v="1"/>
    <s v="5-10 hrs"/>
    <x v="1"/>
  </r>
  <r>
    <n v="914"/>
    <d v="2023-10-27T00:00:00"/>
    <s v="Premium"/>
    <n v="699"/>
    <n v="12"/>
    <n v="8"/>
    <n v="5"/>
    <n v="8"/>
    <n v="52"/>
    <s v="Yes"/>
    <s v="No"/>
    <s v="Yes"/>
    <s v="Yes"/>
    <s v="Yes"/>
    <s v="No"/>
    <m/>
    <s v="1+ Failures"/>
    <n v="1"/>
    <s v="10-20hrs"/>
    <x v="0"/>
  </r>
  <r>
    <n v="915"/>
    <d v="2023-03-31T00:00:00"/>
    <s v="Standard"/>
    <n v="399"/>
    <n v="20.100000000000001"/>
    <n v="1"/>
    <n v="1"/>
    <n v="24"/>
    <n v="57"/>
    <s v="No"/>
    <s v="No"/>
    <s v="Yes"/>
    <s v="No"/>
    <s v="Yes"/>
    <s v="No"/>
    <m/>
    <s v="1+ Failures"/>
    <n v="0"/>
    <s v="20+ hrs"/>
    <x v="1"/>
  </r>
  <r>
    <n v="916"/>
    <d v="2023-04-25T00:00:00"/>
    <s v="Basic"/>
    <n v="199"/>
    <n v="22.5"/>
    <n v="4"/>
    <n v="0"/>
    <n v="26"/>
    <n v="6"/>
    <s v="Yes"/>
    <s v="No"/>
    <s v="No"/>
    <s v="No"/>
    <s v="No"/>
    <s v="No"/>
    <m/>
    <s v="0 Failures"/>
    <n v="1"/>
    <s v="20+ hrs"/>
    <x v="1"/>
  </r>
  <r>
    <n v="917"/>
    <d v="2023-10-28T00:00:00"/>
    <s v="Premium"/>
    <n v="699"/>
    <n v="12.7"/>
    <n v="3"/>
    <n v="4"/>
    <n v="10"/>
    <n v="60"/>
    <s v="No"/>
    <s v="No"/>
    <s v="Yes"/>
    <s v="No"/>
    <s v="Yes"/>
    <s v="No"/>
    <m/>
    <s v="1+ Failures"/>
    <n v="0"/>
    <s v="10-20hrs"/>
    <x v="0"/>
  </r>
  <r>
    <n v="918"/>
    <d v="2024-10-22T00:00:00"/>
    <s v="Standard"/>
    <n v="399"/>
    <n v="23.3"/>
    <n v="7"/>
    <n v="2"/>
    <n v="35"/>
    <n v="26"/>
    <s v="Yes"/>
    <s v="No"/>
    <s v="Yes"/>
    <s v="Yes"/>
    <s v="Yes"/>
    <s v="No"/>
    <m/>
    <s v="1+ Failures"/>
    <n v="1"/>
    <s v="20+ hrs"/>
    <x v="1"/>
  </r>
  <r>
    <n v="919"/>
    <d v="2024-10-22T00:00:00"/>
    <s v="Basic"/>
    <n v="199"/>
    <n v="5.0999999999999996"/>
    <n v="0"/>
    <n v="1"/>
    <n v="19"/>
    <n v="53"/>
    <s v="No"/>
    <s v="No"/>
    <s v="Yes"/>
    <s v="No"/>
    <s v="Yes"/>
    <s v="No"/>
    <m/>
    <s v="1+ Failures"/>
    <n v="0"/>
    <s v="5-10 hrs"/>
    <x v="1"/>
  </r>
  <r>
    <n v="920"/>
    <d v="2024-06-26T00:00:00"/>
    <s v="Standard"/>
    <n v="399"/>
    <n v="14.7"/>
    <n v="5"/>
    <n v="3"/>
    <n v="27"/>
    <n v="37"/>
    <s v="Yes"/>
    <s v="No"/>
    <s v="Yes"/>
    <s v="Yes"/>
    <s v="Yes"/>
    <s v="No"/>
    <m/>
    <s v="1+ Failures"/>
    <n v="1"/>
    <s v="10-20hrs"/>
    <x v="1"/>
  </r>
  <r>
    <n v="921"/>
    <d v="2023-08-21T00:00:00"/>
    <s v="Premium"/>
    <n v="699"/>
    <n v="11.7"/>
    <n v="2"/>
    <n v="2"/>
    <n v="29"/>
    <n v="10"/>
    <s v="No"/>
    <s v="No"/>
    <s v="Yes"/>
    <s v="No"/>
    <s v="No"/>
    <s v="No"/>
    <m/>
    <s v="1+ Failures"/>
    <n v="0"/>
    <s v="10-20hrs"/>
    <x v="1"/>
  </r>
  <r>
    <n v="922"/>
    <d v="2023-06-20T00:00:00"/>
    <s v="Standard"/>
    <n v="399"/>
    <n v="24.3"/>
    <n v="0"/>
    <n v="1"/>
    <n v="24"/>
    <n v="22"/>
    <s v="Yes"/>
    <s v="No"/>
    <s v="Yes"/>
    <s v="No"/>
    <s v="Yes"/>
    <s v="No"/>
    <m/>
    <s v="1+ Failures"/>
    <n v="1"/>
    <s v="20+ hrs"/>
    <x v="1"/>
  </r>
  <r>
    <n v="923"/>
    <d v="2024-12-10T00:00:00"/>
    <s v="Premium"/>
    <n v="699"/>
    <n v="17.899999999999999"/>
    <n v="4"/>
    <n v="1"/>
    <n v="11"/>
    <n v="11"/>
    <s v="No"/>
    <s v="No"/>
    <s v="Yes"/>
    <s v="No"/>
    <s v="No"/>
    <s v="No"/>
    <m/>
    <s v="1+ Failures"/>
    <n v="0"/>
    <s v="10-20hrs"/>
    <x v="0"/>
  </r>
  <r>
    <n v="924"/>
    <d v="2024-03-27T00:00:00"/>
    <s v="Premium"/>
    <n v="699"/>
    <n v="4.5"/>
    <n v="1"/>
    <n v="0"/>
    <n v="10"/>
    <n v="20"/>
    <s v="No"/>
    <s v="Yes"/>
    <s v="No"/>
    <s v="No"/>
    <s v="Yes"/>
    <s v="No"/>
    <m/>
    <s v="0 Failures"/>
    <n v="0"/>
    <s v="0-5 hrs"/>
    <x v="0"/>
  </r>
  <r>
    <n v="925"/>
    <d v="2023-12-19T00:00:00"/>
    <s v="Standard"/>
    <n v="399"/>
    <n v="5"/>
    <n v="8"/>
    <n v="5"/>
    <n v="24"/>
    <n v="2"/>
    <s v="No"/>
    <s v="No"/>
    <s v="Yes"/>
    <s v="Yes"/>
    <s v="No"/>
    <s v="No"/>
    <m/>
    <s v="1+ Failures"/>
    <n v="0"/>
    <s v="0-5 hrs"/>
    <x v="1"/>
  </r>
  <r>
    <n v="926"/>
    <d v="2023-01-26T00:00:00"/>
    <s v="Basic"/>
    <n v="199"/>
    <n v="11.5"/>
    <n v="2"/>
    <n v="4"/>
    <n v="24"/>
    <n v="19"/>
    <s v="Yes"/>
    <s v="No"/>
    <s v="Yes"/>
    <s v="No"/>
    <s v="Yes"/>
    <s v="No"/>
    <m/>
    <s v="1+ Failures"/>
    <n v="1"/>
    <s v="10-20hrs"/>
    <x v="1"/>
  </r>
  <r>
    <n v="927"/>
    <d v="2024-07-13T00:00:00"/>
    <s v="Standard"/>
    <n v="399"/>
    <n v="19.3"/>
    <n v="7"/>
    <n v="2"/>
    <n v="32"/>
    <n v="9"/>
    <s v="Yes"/>
    <s v="No"/>
    <s v="Yes"/>
    <s v="Yes"/>
    <s v="No"/>
    <s v="No"/>
    <m/>
    <s v="1+ Failures"/>
    <n v="1"/>
    <s v="10-20hrs"/>
    <x v="1"/>
  </r>
  <r>
    <n v="928"/>
    <d v="2024-08-10T00:00:00"/>
    <s v="Premium"/>
    <n v="699"/>
    <n v="16.399999999999999"/>
    <n v="4"/>
    <n v="3"/>
    <n v="22"/>
    <n v="57"/>
    <s v="Yes"/>
    <s v="No"/>
    <s v="Yes"/>
    <s v="No"/>
    <s v="Yes"/>
    <s v="No"/>
    <m/>
    <s v="1+ Failures"/>
    <n v="1"/>
    <s v="10-20hrs"/>
    <x v="1"/>
  </r>
  <r>
    <n v="929"/>
    <d v="2024-05-05T00:00:00"/>
    <s v="Premium"/>
    <n v="699"/>
    <n v="20.100000000000001"/>
    <n v="7"/>
    <n v="2"/>
    <n v="10"/>
    <n v="44"/>
    <s v="Yes"/>
    <s v="No"/>
    <s v="Yes"/>
    <s v="Yes"/>
    <s v="Yes"/>
    <s v="No"/>
    <m/>
    <s v="1+ Failures"/>
    <n v="1"/>
    <s v="20+ hrs"/>
    <x v="0"/>
  </r>
  <r>
    <n v="930"/>
    <d v="2023-08-14T00:00:00"/>
    <s v="Basic"/>
    <n v="199"/>
    <n v="17.100000000000001"/>
    <n v="1"/>
    <n v="2"/>
    <n v="9"/>
    <n v="1"/>
    <s v="No"/>
    <s v="No"/>
    <s v="Yes"/>
    <s v="No"/>
    <s v="No"/>
    <s v="No"/>
    <m/>
    <s v="1+ Failures"/>
    <n v="0"/>
    <s v="10-20hrs"/>
    <x v="0"/>
  </r>
  <r>
    <n v="931"/>
    <d v="2024-06-23T00:00:00"/>
    <s v="Standard"/>
    <n v="399"/>
    <n v="2.8"/>
    <n v="0"/>
    <n v="4"/>
    <n v="23"/>
    <n v="41"/>
    <s v="Yes"/>
    <s v="Yes"/>
    <s v="Yes"/>
    <s v="No"/>
    <s v="Yes"/>
    <s v="No"/>
    <m/>
    <s v="1+ Failures"/>
    <n v="1"/>
    <s v="0-5 hrs"/>
    <x v="1"/>
  </r>
  <r>
    <n v="932"/>
    <d v="2024-11-18T00:00:00"/>
    <s v="Basic"/>
    <n v="199"/>
    <n v="5.3"/>
    <n v="1"/>
    <n v="4"/>
    <n v="18"/>
    <n v="54"/>
    <s v="Yes"/>
    <s v="No"/>
    <s v="Yes"/>
    <s v="No"/>
    <s v="Yes"/>
    <s v="No"/>
    <m/>
    <s v="1+ Failures"/>
    <n v="1"/>
    <s v="5-10 hrs"/>
    <x v="1"/>
  </r>
  <r>
    <n v="933"/>
    <d v="2023-02-27T00:00:00"/>
    <s v="Basic"/>
    <n v="199"/>
    <n v="10.199999999999999"/>
    <n v="7"/>
    <n v="2"/>
    <n v="33"/>
    <n v="38"/>
    <s v="Yes"/>
    <s v="No"/>
    <s v="Yes"/>
    <s v="Yes"/>
    <s v="Yes"/>
    <s v="No"/>
    <m/>
    <s v="1+ Failures"/>
    <n v="1"/>
    <s v="10-20hrs"/>
    <x v="1"/>
  </r>
  <r>
    <n v="934"/>
    <d v="2023-10-19T00:00:00"/>
    <s v="Premium"/>
    <n v="699"/>
    <n v="10.199999999999999"/>
    <n v="6"/>
    <n v="2"/>
    <n v="24"/>
    <n v="24"/>
    <s v="Yes"/>
    <s v="No"/>
    <s v="Yes"/>
    <s v="Yes"/>
    <s v="Yes"/>
    <s v="No"/>
    <m/>
    <s v="1+ Failures"/>
    <n v="1"/>
    <s v="10-20hrs"/>
    <x v="1"/>
  </r>
  <r>
    <n v="935"/>
    <d v="2024-03-30T00:00:00"/>
    <s v="Standard"/>
    <n v="399"/>
    <n v="8"/>
    <n v="7"/>
    <n v="4"/>
    <n v="23"/>
    <n v="5"/>
    <s v="Yes"/>
    <s v="No"/>
    <s v="Yes"/>
    <s v="Yes"/>
    <s v="No"/>
    <s v="No"/>
    <m/>
    <s v="1+ Failures"/>
    <n v="1"/>
    <s v="5-10 hrs"/>
    <x v="1"/>
  </r>
  <r>
    <n v="936"/>
    <d v="2024-03-10T00:00:00"/>
    <s v="Premium"/>
    <n v="699"/>
    <n v="20.2"/>
    <n v="4"/>
    <n v="1"/>
    <n v="27"/>
    <n v="51"/>
    <s v="No"/>
    <s v="No"/>
    <s v="Yes"/>
    <s v="No"/>
    <s v="Yes"/>
    <s v="No"/>
    <m/>
    <s v="1+ Failures"/>
    <n v="0"/>
    <s v="20+ hrs"/>
    <x v="1"/>
  </r>
  <r>
    <n v="937"/>
    <d v="2024-06-21T00:00:00"/>
    <s v="Premium"/>
    <n v="699"/>
    <n v="3.9"/>
    <n v="1"/>
    <n v="1"/>
    <n v="27"/>
    <n v="13"/>
    <s v="Yes"/>
    <s v="Yes"/>
    <s v="Yes"/>
    <s v="No"/>
    <s v="No"/>
    <s v="No"/>
    <m/>
    <s v="1+ Failures"/>
    <n v="1"/>
    <s v="0-5 hrs"/>
    <x v="1"/>
  </r>
  <r>
    <n v="938"/>
    <d v="2023-10-07T00:00:00"/>
    <s v="Standard"/>
    <n v="399"/>
    <n v="23.4"/>
    <n v="6"/>
    <n v="0"/>
    <n v="5"/>
    <n v="0"/>
    <s v="No"/>
    <s v="No"/>
    <s v="No"/>
    <s v="Yes"/>
    <s v="No"/>
    <s v="Yes"/>
    <m/>
    <s v="0 Failures"/>
    <n v="0"/>
    <s v="20+ hrs"/>
    <x v="3"/>
  </r>
  <r>
    <n v="939"/>
    <d v="2023-10-24T00:00:00"/>
    <s v="Standard"/>
    <n v="399"/>
    <n v="14.1"/>
    <n v="2"/>
    <n v="1"/>
    <n v="12"/>
    <n v="11"/>
    <s v="No"/>
    <s v="No"/>
    <s v="Yes"/>
    <s v="No"/>
    <s v="No"/>
    <s v="No"/>
    <m/>
    <s v="1+ Failures"/>
    <n v="0"/>
    <s v="10-20hrs"/>
    <x v="0"/>
  </r>
  <r>
    <n v="940"/>
    <d v="2024-04-19T00:00:00"/>
    <s v="Premium"/>
    <n v="699"/>
    <n v="1.5"/>
    <n v="4"/>
    <n v="4"/>
    <n v="32"/>
    <n v="19"/>
    <s v="Yes"/>
    <s v="Yes"/>
    <s v="Yes"/>
    <s v="No"/>
    <s v="Yes"/>
    <s v="No"/>
    <m/>
    <s v="1+ Failures"/>
    <n v="1"/>
    <s v="0-5 hrs"/>
    <x v="1"/>
  </r>
  <r>
    <n v="941"/>
    <d v="2024-10-13T00:00:00"/>
    <s v="Basic"/>
    <n v="199"/>
    <n v="19.899999999999999"/>
    <n v="2"/>
    <n v="2"/>
    <n v="2"/>
    <n v="19"/>
    <s v="No"/>
    <s v="No"/>
    <s v="Yes"/>
    <s v="No"/>
    <s v="Yes"/>
    <s v="Yes"/>
    <m/>
    <s v="1+ Failures"/>
    <n v="0"/>
    <s v="10-20hrs"/>
    <x v="2"/>
  </r>
  <r>
    <n v="942"/>
    <d v="2024-12-05T00:00:00"/>
    <s v="Standard"/>
    <n v="399"/>
    <n v="16.5"/>
    <n v="4"/>
    <n v="3"/>
    <n v="8"/>
    <n v="11"/>
    <s v="Yes"/>
    <s v="No"/>
    <s v="Yes"/>
    <s v="No"/>
    <s v="No"/>
    <s v="No"/>
    <m/>
    <s v="1+ Failures"/>
    <n v="1"/>
    <s v="10-20hrs"/>
    <x v="0"/>
  </r>
  <r>
    <n v="943"/>
    <d v="2024-01-06T00:00:00"/>
    <s v="Premium"/>
    <n v="699"/>
    <n v="1.2"/>
    <n v="4"/>
    <n v="3"/>
    <n v="16"/>
    <n v="4"/>
    <s v="Yes"/>
    <s v="Yes"/>
    <s v="Yes"/>
    <s v="No"/>
    <s v="No"/>
    <s v="No"/>
    <m/>
    <s v="1+ Failures"/>
    <n v="1"/>
    <s v="0-5 hrs"/>
    <x v="1"/>
  </r>
  <r>
    <n v="944"/>
    <d v="2024-12-11T00:00:00"/>
    <s v="Premium"/>
    <n v="699"/>
    <n v="14.4"/>
    <n v="4"/>
    <n v="5"/>
    <n v="31"/>
    <n v="43"/>
    <s v="Yes"/>
    <s v="No"/>
    <s v="Yes"/>
    <s v="No"/>
    <s v="Yes"/>
    <s v="No"/>
    <m/>
    <s v="1+ Failures"/>
    <n v="1"/>
    <s v="10-20hrs"/>
    <x v="1"/>
  </r>
  <r>
    <n v="945"/>
    <d v="2023-05-30T00:00:00"/>
    <s v="Basic"/>
    <n v="199"/>
    <n v="13.1"/>
    <n v="0"/>
    <n v="2"/>
    <n v="24"/>
    <n v="10"/>
    <s v="No"/>
    <s v="No"/>
    <s v="Yes"/>
    <s v="No"/>
    <s v="No"/>
    <s v="No"/>
    <m/>
    <s v="1+ Failures"/>
    <n v="0"/>
    <s v="10-20hrs"/>
    <x v="1"/>
  </r>
  <r>
    <n v="946"/>
    <d v="2024-01-05T00:00:00"/>
    <s v="Standard"/>
    <n v="399"/>
    <n v="22"/>
    <n v="2"/>
    <n v="2"/>
    <n v="30"/>
    <n v="10"/>
    <s v="Yes"/>
    <s v="No"/>
    <s v="Yes"/>
    <s v="No"/>
    <s v="No"/>
    <s v="No"/>
    <m/>
    <s v="1+ Failures"/>
    <n v="1"/>
    <s v="20+ hrs"/>
    <x v="1"/>
  </r>
  <r>
    <n v="947"/>
    <d v="2024-06-10T00:00:00"/>
    <s v="Standard"/>
    <n v="399"/>
    <n v="1.7"/>
    <n v="4"/>
    <n v="4"/>
    <n v="23"/>
    <n v="40"/>
    <s v="Yes"/>
    <s v="Yes"/>
    <s v="Yes"/>
    <s v="No"/>
    <s v="Yes"/>
    <s v="No"/>
    <m/>
    <s v="1+ Failures"/>
    <n v="1"/>
    <s v="0-5 hrs"/>
    <x v="1"/>
  </r>
  <r>
    <n v="948"/>
    <d v="2024-12-02T00:00:00"/>
    <s v="Basic"/>
    <n v="199"/>
    <n v="19.2"/>
    <n v="2"/>
    <n v="4"/>
    <n v="12"/>
    <n v="20"/>
    <s v="No"/>
    <s v="No"/>
    <s v="Yes"/>
    <s v="No"/>
    <s v="Yes"/>
    <s v="No"/>
    <m/>
    <s v="1+ Failures"/>
    <n v="0"/>
    <s v="10-20hrs"/>
    <x v="0"/>
  </r>
  <r>
    <n v="949"/>
    <d v="2023-05-28T00:00:00"/>
    <s v="Standard"/>
    <n v="399"/>
    <n v="17.3"/>
    <n v="5"/>
    <n v="0"/>
    <n v="18"/>
    <n v="34"/>
    <s v="No"/>
    <s v="No"/>
    <s v="No"/>
    <s v="Yes"/>
    <s v="Yes"/>
    <s v="No"/>
    <m/>
    <s v="0 Failures"/>
    <n v="0"/>
    <s v="10-20hrs"/>
    <x v="1"/>
  </r>
  <r>
    <n v="950"/>
    <d v="2023-06-16T00:00:00"/>
    <s v="Basic"/>
    <n v="199"/>
    <n v="13.2"/>
    <n v="5"/>
    <n v="3"/>
    <n v="9"/>
    <n v="26"/>
    <s v="Yes"/>
    <s v="No"/>
    <s v="Yes"/>
    <s v="Yes"/>
    <s v="Yes"/>
    <s v="No"/>
    <m/>
    <s v="1+ Failures"/>
    <n v="1"/>
    <s v="10-20hrs"/>
    <x v="0"/>
  </r>
  <r>
    <n v="951"/>
    <d v="2024-09-20T00:00:00"/>
    <s v="Basic"/>
    <n v="199"/>
    <n v="4.3"/>
    <n v="3"/>
    <n v="1"/>
    <n v="14"/>
    <n v="50"/>
    <s v="No"/>
    <s v="Yes"/>
    <s v="Yes"/>
    <s v="No"/>
    <s v="Yes"/>
    <s v="No"/>
    <m/>
    <s v="1+ Failures"/>
    <n v="0"/>
    <s v="0-5 hrs"/>
    <x v="1"/>
  </r>
  <r>
    <n v="952"/>
    <d v="2024-03-03T00:00:00"/>
    <s v="Premium"/>
    <n v="699"/>
    <n v="21.2"/>
    <n v="8"/>
    <n v="5"/>
    <n v="34"/>
    <n v="48"/>
    <s v="No"/>
    <s v="No"/>
    <s v="Yes"/>
    <s v="Yes"/>
    <s v="Yes"/>
    <s v="No"/>
    <m/>
    <s v="1+ Failures"/>
    <n v="0"/>
    <s v="20+ hrs"/>
    <x v="1"/>
  </r>
  <r>
    <n v="953"/>
    <d v="2024-12-08T00:00:00"/>
    <s v="Standard"/>
    <n v="399"/>
    <n v="3.4"/>
    <n v="2"/>
    <n v="0"/>
    <n v="5"/>
    <n v="30"/>
    <s v="Yes"/>
    <s v="Yes"/>
    <s v="No"/>
    <s v="No"/>
    <s v="Yes"/>
    <s v="Yes"/>
    <m/>
    <s v="0 Failures"/>
    <n v="1"/>
    <s v="0-5 hrs"/>
    <x v="3"/>
  </r>
  <r>
    <n v="954"/>
    <d v="2023-01-30T00:00:00"/>
    <s v="Standard"/>
    <n v="399"/>
    <n v="20.5"/>
    <n v="8"/>
    <n v="2"/>
    <n v="9"/>
    <n v="11"/>
    <s v="No"/>
    <s v="No"/>
    <s v="Yes"/>
    <s v="Yes"/>
    <s v="No"/>
    <s v="No"/>
    <m/>
    <s v="1+ Failures"/>
    <n v="0"/>
    <s v="20+ hrs"/>
    <x v="0"/>
  </r>
  <r>
    <n v="955"/>
    <d v="2023-08-03T00:00:00"/>
    <s v="Premium"/>
    <n v="699"/>
    <n v="5.9"/>
    <n v="2"/>
    <n v="5"/>
    <n v="8"/>
    <n v="14"/>
    <s v="Yes"/>
    <s v="No"/>
    <s v="Yes"/>
    <s v="No"/>
    <s v="No"/>
    <s v="No"/>
    <m/>
    <s v="1+ Failures"/>
    <n v="1"/>
    <s v="5-10 hrs"/>
    <x v="0"/>
  </r>
  <r>
    <n v="956"/>
    <d v="2024-03-17T00:00:00"/>
    <s v="Basic"/>
    <n v="199"/>
    <n v="10.9"/>
    <n v="1"/>
    <n v="0"/>
    <n v="6"/>
    <n v="1"/>
    <s v="No"/>
    <s v="No"/>
    <s v="No"/>
    <s v="No"/>
    <s v="No"/>
    <s v="No"/>
    <m/>
    <s v="0 Failures"/>
    <n v="0"/>
    <s v="10-20hrs"/>
    <x v="3"/>
  </r>
  <r>
    <n v="957"/>
    <d v="2023-09-17T00:00:00"/>
    <s v="Basic"/>
    <n v="199"/>
    <n v="3.1"/>
    <n v="8"/>
    <n v="4"/>
    <n v="13"/>
    <n v="3"/>
    <s v="Yes"/>
    <s v="Yes"/>
    <s v="Yes"/>
    <s v="Yes"/>
    <s v="No"/>
    <s v="No"/>
    <m/>
    <s v="1+ Failures"/>
    <n v="1"/>
    <s v="0-5 hrs"/>
    <x v="1"/>
  </r>
  <r>
    <n v="958"/>
    <d v="2024-09-08T00:00:00"/>
    <s v="Basic"/>
    <n v="199"/>
    <n v="7.9"/>
    <n v="0"/>
    <n v="0"/>
    <n v="5"/>
    <n v="50"/>
    <s v="Yes"/>
    <s v="No"/>
    <s v="No"/>
    <s v="No"/>
    <s v="Yes"/>
    <s v="Yes"/>
    <m/>
    <s v="0 Failures"/>
    <n v="1"/>
    <s v="5-10 hrs"/>
    <x v="3"/>
  </r>
  <r>
    <n v="959"/>
    <d v="2023-10-12T00:00:00"/>
    <s v="Basic"/>
    <n v="199"/>
    <n v="5"/>
    <n v="5"/>
    <n v="0"/>
    <n v="13"/>
    <n v="5"/>
    <s v="Yes"/>
    <s v="No"/>
    <s v="No"/>
    <s v="Yes"/>
    <s v="No"/>
    <s v="No"/>
    <m/>
    <s v="0 Failures"/>
    <n v="1"/>
    <s v="0-5 hrs"/>
    <x v="1"/>
  </r>
  <r>
    <n v="960"/>
    <d v="2024-08-06T00:00:00"/>
    <s v="Premium"/>
    <n v="699"/>
    <n v="9.1"/>
    <n v="8"/>
    <n v="5"/>
    <n v="23"/>
    <n v="39"/>
    <s v="Yes"/>
    <s v="No"/>
    <s v="Yes"/>
    <s v="Yes"/>
    <s v="Yes"/>
    <s v="No"/>
    <m/>
    <s v="1+ Failures"/>
    <n v="1"/>
    <s v="5-10 hrs"/>
    <x v="1"/>
  </r>
  <r>
    <n v="961"/>
    <d v="2023-10-16T00:00:00"/>
    <s v="Basic"/>
    <n v="199"/>
    <n v="20.6"/>
    <n v="0"/>
    <n v="4"/>
    <n v="7"/>
    <n v="13"/>
    <s v="No"/>
    <s v="No"/>
    <s v="Yes"/>
    <s v="No"/>
    <s v="No"/>
    <s v="No"/>
    <m/>
    <s v="1+ Failures"/>
    <n v="0"/>
    <s v="20+ hrs"/>
    <x v="0"/>
  </r>
  <r>
    <n v="962"/>
    <d v="2024-12-25T00:00:00"/>
    <s v="Basic"/>
    <n v="199"/>
    <n v="0.6"/>
    <n v="1"/>
    <n v="1"/>
    <n v="35"/>
    <n v="58"/>
    <s v="Yes"/>
    <s v="Yes"/>
    <s v="Yes"/>
    <s v="No"/>
    <s v="Yes"/>
    <s v="No"/>
    <m/>
    <s v="1+ Failures"/>
    <n v="1"/>
    <s v="0-5 hrs"/>
    <x v="1"/>
  </r>
  <r>
    <n v="963"/>
    <d v="2023-07-05T00:00:00"/>
    <s v="Standard"/>
    <n v="399"/>
    <n v="17.600000000000001"/>
    <n v="2"/>
    <n v="3"/>
    <n v="24"/>
    <n v="43"/>
    <s v="No"/>
    <s v="No"/>
    <s v="Yes"/>
    <s v="No"/>
    <s v="Yes"/>
    <s v="No"/>
    <m/>
    <s v="1+ Failures"/>
    <n v="0"/>
    <s v="10-20hrs"/>
    <x v="1"/>
  </r>
  <r>
    <n v="964"/>
    <d v="2023-11-18T00:00:00"/>
    <s v="Standard"/>
    <n v="399"/>
    <n v="10.9"/>
    <n v="8"/>
    <n v="1"/>
    <n v="25"/>
    <n v="26"/>
    <s v="Yes"/>
    <s v="No"/>
    <s v="Yes"/>
    <s v="Yes"/>
    <s v="Yes"/>
    <s v="No"/>
    <m/>
    <s v="1+ Failures"/>
    <n v="1"/>
    <s v="10-20hrs"/>
    <x v="1"/>
  </r>
  <r>
    <n v="965"/>
    <d v="2023-10-23T00:00:00"/>
    <s v="Basic"/>
    <n v="199"/>
    <n v="3.2"/>
    <n v="2"/>
    <n v="3"/>
    <n v="30"/>
    <n v="48"/>
    <s v="Yes"/>
    <s v="Yes"/>
    <s v="Yes"/>
    <s v="No"/>
    <s v="Yes"/>
    <s v="No"/>
    <m/>
    <s v="1+ Failures"/>
    <n v="1"/>
    <s v="0-5 hrs"/>
    <x v="1"/>
  </r>
  <r>
    <n v="966"/>
    <d v="2024-09-06T00:00:00"/>
    <s v="Premium"/>
    <n v="699"/>
    <n v="2.5"/>
    <n v="7"/>
    <n v="0"/>
    <n v="3"/>
    <n v="24"/>
    <s v="Yes"/>
    <s v="Yes"/>
    <s v="No"/>
    <s v="Yes"/>
    <s v="Yes"/>
    <s v="Yes"/>
    <m/>
    <s v="0 Failures"/>
    <n v="1"/>
    <s v="0-5 hrs"/>
    <x v="2"/>
  </r>
  <r>
    <n v="967"/>
    <d v="2024-03-14T00:00:00"/>
    <s v="Premium"/>
    <n v="699"/>
    <n v="17.3"/>
    <n v="7"/>
    <n v="1"/>
    <n v="20"/>
    <n v="35"/>
    <s v="Yes"/>
    <s v="No"/>
    <s v="Yes"/>
    <s v="Yes"/>
    <s v="Yes"/>
    <s v="No"/>
    <m/>
    <s v="1+ Failures"/>
    <n v="1"/>
    <s v="10-20hrs"/>
    <x v="1"/>
  </r>
  <r>
    <n v="968"/>
    <d v="2024-11-21T00:00:00"/>
    <s v="Basic"/>
    <n v="199"/>
    <n v="22.4"/>
    <n v="7"/>
    <n v="5"/>
    <n v="5"/>
    <n v="23"/>
    <s v="Yes"/>
    <s v="No"/>
    <s v="Yes"/>
    <s v="Yes"/>
    <s v="Yes"/>
    <s v="Yes"/>
    <m/>
    <s v="1+ Failures"/>
    <n v="1"/>
    <s v="20+ hrs"/>
    <x v="3"/>
  </r>
  <r>
    <n v="969"/>
    <d v="2023-05-27T00:00:00"/>
    <s v="Standard"/>
    <n v="399"/>
    <n v="10.199999999999999"/>
    <n v="8"/>
    <n v="5"/>
    <n v="7"/>
    <n v="43"/>
    <s v="Yes"/>
    <s v="No"/>
    <s v="Yes"/>
    <s v="Yes"/>
    <s v="Yes"/>
    <s v="No"/>
    <m/>
    <s v="1+ Failures"/>
    <n v="1"/>
    <s v="10-20hrs"/>
    <x v="0"/>
  </r>
  <r>
    <n v="970"/>
    <d v="2023-06-22T00:00:00"/>
    <s v="Standard"/>
    <n v="399"/>
    <n v="17.5"/>
    <n v="1"/>
    <n v="5"/>
    <n v="26"/>
    <n v="59"/>
    <s v="No"/>
    <s v="No"/>
    <s v="Yes"/>
    <s v="No"/>
    <s v="Yes"/>
    <s v="No"/>
    <m/>
    <s v="1+ Failures"/>
    <n v="0"/>
    <s v="10-20hrs"/>
    <x v="1"/>
  </r>
  <r>
    <n v="971"/>
    <d v="2024-02-18T00:00:00"/>
    <s v="Basic"/>
    <n v="199"/>
    <n v="24.4"/>
    <n v="5"/>
    <n v="1"/>
    <n v="24"/>
    <n v="38"/>
    <s v="No"/>
    <s v="No"/>
    <s v="Yes"/>
    <s v="Yes"/>
    <s v="Yes"/>
    <s v="No"/>
    <m/>
    <s v="1+ Failures"/>
    <n v="0"/>
    <s v="20+ hrs"/>
    <x v="1"/>
  </r>
  <r>
    <n v="972"/>
    <d v="2024-08-18T00:00:00"/>
    <s v="Basic"/>
    <n v="199"/>
    <n v="21"/>
    <n v="7"/>
    <n v="2"/>
    <n v="15"/>
    <n v="48"/>
    <s v="Yes"/>
    <s v="No"/>
    <s v="Yes"/>
    <s v="Yes"/>
    <s v="Yes"/>
    <s v="No"/>
    <m/>
    <s v="1+ Failures"/>
    <n v="1"/>
    <s v="20+ hrs"/>
    <x v="1"/>
  </r>
  <r>
    <n v="973"/>
    <d v="2024-02-19T00:00:00"/>
    <s v="Premium"/>
    <n v="699"/>
    <n v="19"/>
    <n v="6"/>
    <n v="2"/>
    <n v="18"/>
    <n v="30"/>
    <s v="Yes"/>
    <s v="No"/>
    <s v="Yes"/>
    <s v="Yes"/>
    <s v="Yes"/>
    <s v="No"/>
    <m/>
    <s v="1+ Failures"/>
    <n v="1"/>
    <s v="10-20hrs"/>
    <x v="1"/>
  </r>
  <r>
    <n v="974"/>
    <d v="2024-05-24T00:00:00"/>
    <s v="Standard"/>
    <n v="399"/>
    <n v="7.3"/>
    <n v="7"/>
    <n v="0"/>
    <n v="33"/>
    <n v="7"/>
    <s v="No"/>
    <s v="No"/>
    <s v="No"/>
    <s v="Yes"/>
    <s v="No"/>
    <s v="No"/>
    <m/>
    <s v="0 Failures"/>
    <n v="0"/>
    <s v="5-10 hrs"/>
    <x v="1"/>
  </r>
  <r>
    <n v="975"/>
    <d v="2023-07-03T00:00:00"/>
    <s v="Basic"/>
    <n v="199"/>
    <n v="1.2"/>
    <n v="0"/>
    <n v="0"/>
    <n v="9"/>
    <n v="31"/>
    <s v="No"/>
    <s v="Yes"/>
    <s v="No"/>
    <s v="No"/>
    <s v="Yes"/>
    <s v="No"/>
    <m/>
    <s v="0 Failures"/>
    <n v="0"/>
    <s v="0-5 hrs"/>
    <x v="0"/>
  </r>
  <r>
    <n v="976"/>
    <d v="2024-05-19T00:00:00"/>
    <s v="Standard"/>
    <n v="399"/>
    <n v="4.2"/>
    <n v="1"/>
    <n v="0"/>
    <n v="21"/>
    <n v="42"/>
    <s v="No"/>
    <s v="Yes"/>
    <s v="No"/>
    <s v="No"/>
    <s v="Yes"/>
    <s v="No"/>
    <m/>
    <s v="0 Failures"/>
    <n v="0"/>
    <s v="0-5 hrs"/>
    <x v="1"/>
  </r>
  <r>
    <n v="977"/>
    <d v="2023-12-18T00:00:00"/>
    <s v="Standard"/>
    <n v="399"/>
    <n v="7.7"/>
    <n v="7"/>
    <n v="3"/>
    <n v="13"/>
    <n v="32"/>
    <s v="Yes"/>
    <s v="No"/>
    <s v="Yes"/>
    <s v="Yes"/>
    <s v="Yes"/>
    <s v="No"/>
    <m/>
    <s v="1+ Failures"/>
    <n v="1"/>
    <s v="5-10 hrs"/>
    <x v="1"/>
  </r>
  <r>
    <n v="978"/>
    <d v="2024-01-28T00:00:00"/>
    <s v="Premium"/>
    <n v="699"/>
    <n v="0.9"/>
    <n v="0"/>
    <n v="3"/>
    <n v="35"/>
    <n v="56"/>
    <s v="No"/>
    <s v="Yes"/>
    <s v="Yes"/>
    <s v="No"/>
    <s v="Yes"/>
    <s v="No"/>
    <m/>
    <s v="1+ Failures"/>
    <n v="0"/>
    <s v="0-5 hrs"/>
    <x v="1"/>
  </r>
  <r>
    <n v="979"/>
    <d v="2024-07-24T00:00:00"/>
    <s v="Standard"/>
    <n v="399"/>
    <n v="21.4"/>
    <n v="7"/>
    <n v="3"/>
    <n v="21"/>
    <n v="2"/>
    <s v="Yes"/>
    <s v="No"/>
    <s v="Yes"/>
    <s v="Yes"/>
    <s v="No"/>
    <s v="No"/>
    <m/>
    <s v="1+ Failures"/>
    <n v="1"/>
    <s v="20+ hrs"/>
    <x v="1"/>
  </r>
  <r>
    <n v="980"/>
    <d v="2024-02-03T00:00:00"/>
    <s v="Premium"/>
    <n v="699"/>
    <n v="22.2"/>
    <n v="2"/>
    <n v="3"/>
    <n v="20"/>
    <n v="27"/>
    <s v="Yes"/>
    <s v="No"/>
    <s v="Yes"/>
    <s v="No"/>
    <s v="Yes"/>
    <s v="No"/>
    <m/>
    <s v="1+ Failures"/>
    <n v="1"/>
    <s v="20+ hrs"/>
    <x v="1"/>
  </r>
  <r>
    <n v="981"/>
    <d v="2024-08-08T00:00:00"/>
    <s v="Standard"/>
    <n v="399"/>
    <n v="14.4"/>
    <n v="7"/>
    <n v="5"/>
    <n v="8"/>
    <n v="35"/>
    <s v="Yes"/>
    <s v="No"/>
    <s v="Yes"/>
    <s v="Yes"/>
    <s v="Yes"/>
    <s v="No"/>
    <m/>
    <s v="1+ Failures"/>
    <n v="1"/>
    <s v="10-20hrs"/>
    <x v="0"/>
  </r>
  <r>
    <n v="982"/>
    <d v="2024-05-21T00:00:00"/>
    <s v="Standard"/>
    <n v="399"/>
    <n v="14.3"/>
    <n v="2"/>
    <n v="4"/>
    <n v="31"/>
    <n v="3"/>
    <s v="No"/>
    <s v="No"/>
    <s v="Yes"/>
    <s v="No"/>
    <s v="No"/>
    <s v="No"/>
    <m/>
    <s v="1+ Failures"/>
    <n v="0"/>
    <s v="10-20hrs"/>
    <x v="1"/>
  </r>
  <r>
    <n v="983"/>
    <d v="2024-08-27T00:00:00"/>
    <s v="Premium"/>
    <n v="699"/>
    <n v="15.6"/>
    <n v="5"/>
    <n v="2"/>
    <n v="25"/>
    <n v="20"/>
    <s v="Yes"/>
    <s v="No"/>
    <s v="Yes"/>
    <s v="Yes"/>
    <s v="Yes"/>
    <s v="No"/>
    <m/>
    <s v="1+ Failures"/>
    <n v="1"/>
    <s v="10-20hrs"/>
    <x v="1"/>
  </r>
  <r>
    <n v="984"/>
    <d v="2024-10-02T00:00:00"/>
    <s v="Basic"/>
    <n v="199"/>
    <n v="21"/>
    <n v="5"/>
    <n v="5"/>
    <n v="9"/>
    <n v="37"/>
    <s v="Yes"/>
    <s v="No"/>
    <s v="Yes"/>
    <s v="Yes"/>
    <s v="Yes"/>
    <s v="No"/>
    <m/>
    <s v="1+ Failures"/>
    <n v="1"/>
    <s v="20+ hrs"/>
    <x v="0"/>
  </r>
  <r>
    <n v="985"/>
    <d v="2024-11-08T00:00:00"/>
    <s v="Standard"/>
    <n v="399"/>
    <n v="2.9"/>
    <n v="5"/>
    <n v="2"/>
    <n v="25"/>
    <n v="26"/>
    <s v="Yes"/>
    <s v="Yes"/>
    <s v="Yes"/>
    <s v="Yes"/>
    <s v="Yes"/>
    <s v="No"/>
    <m/>
    <s v="1+ Failures"/>
    <n v="1"/>
    <s v="0-5 hrs"/>
    <x v="1"/>
  </r>
  <r>
    <n v="986"/>
    <d v="2023-03-09T00:00:00"/>
    <s v="Basic"/>
    <n v="199"/>
    <n v="6.2"/>
    <n v="4"/>
    <n v="4"/>
    <n v="16"/>
    <n v="5"/>
    <s v="No"/>
    <s v="No"/>
    <s v="Yes"/>
    <s v="No"/>
    <s v="No"/>
    <s v="No"/>
    <m/>
    <s v="1+ Failures"/>
    <n v="0"/>
    <s v="5-10 hrs"/>
    <x v="1"/>
  </r>
  <r>
    <n v="987"/>
    <d v="2024-11-04T00:00:00"/>
    <s v="Standard"/>
    <n v="399"/>
    <n v="8.8000000000000007"/>
    <n v="0"/>
    <n v="4"/>
    <n v="8"/>
    <n v="20"/>
    <s v="Yes"/>
    <s v="No"/>
    <s v="Yes"/>
    <s v="No"/>
    <s v="Yes"/>
    <s v="No"/>
    <m/>
    <s v="1+ Failures"/>
    <n v="1"/>
    <s v="5-10 hrs"/>
    <x v="0"/>
  </r>
  <r>
    <n v="988"/>
    <d v="2023-01-23T00:00:00"/>
    <s v="Standard"/>
    <n v="399"/>
    <n v="22.6"/>
    <n v="4"/>
    <n v="0"/>
    <n v="33"/>
    <n v="44"/>
    <s v="Yes"/>
    <s v="No"/>
    <s v="No"/>
    <s v="No"/>
    <s v="Yes"/>
    <s v="No"/>
    <m/>
    <s v="0 Failures"/>
    <n v="1"/>
    <s v="20+ hrs"/>
    <x v="1"/>
  </r>
  <r>
    <n v="989"/>
    <d v="2023-04-13T00:00:00"/>
    <s v="Standard"/>
    <n v="399"/>
    <n v="14.5"/>
    <n v="5"/>
    <n v="4"/>
    <n v="25"/>
    <n v="6"/>
    <s v="No"/>
    <s v="No"/>
    <s v="Yes"/>
    <s v="Yes"/>
    <s v="No"/>
    <s v="No"/>
    <m/>
    <s v="1+ Failures"/>
    <n v="0"/>
    <s v="10-20hrs"/>
    <x v="1"/>
  </r>
  <r>
    <n v="990"/>
    <d v="2023-11-03T00:00:00"/>
    <s v="Premium"/>
    <n v="699"/>
    <n v="8.6999999999999993"/>
    <n v="8"/>
    <n v="5"/>
    <n v="14"/>
    <n v="21"/>
    <s v="Yes"/>
    <s v="No"/>
    <s v="Yes"/>
    <s v="Yes"/>
    <s v="Yes"/>
    <s v="No"/>
    <m/>
    <s v="1+ Failures"/>
    <n v="1"/>
    <s v="5-10 hrs"/>
    <x v="1"/>
  </r>
  <r>
    <n v="991"/>
    <d v="2023-02-18T00:00:00"/>
    <s v="Standard"/>
    <n v="399"/>
    <n v="5.4"/>
    <n v="1"/>
    <n v="4"/>
    <n v="28"/>
    <n v="13"/>
    <s v="Yes"/>
    <s v="No"/>
    <s v="Yes"/>
    <s v="No"/>
    <s v="No"/>
    <s v="No"/>
    <m/>
    <s v="1+ Failures"/>
    <n v="1"/>
    <s v="5-10 hrs"/>
    <x v="1"/>
  </r>
  <r>
    <n v="992"/>
    <d v="2024-08-29T00:00:00"/>
    <s v="Standard"/>
    <n v="399"/>
    <n v="20.2"/>
    <n v="1"/>
    <n v="5"/>
    <n v="26"/>
    <n v="54"/>
    <s v="Yes"/>
    <s v="No"/>
    <s v="Yes"/>
    <s v="No"/>
    <s v="Yes"/>
    <s v="No"/>
    <m/>
    <s v="1+ Failures"/>
    <n v="1"/>
    <s v="20+ hrs"/>
    <x v="1"/>
  </r>
  <r>
    <n v="993"/>
    <d v="2023-03-20T00:00:00"/>
    <s v="Standard"/>
    <n v="399"/>
    <n v="2.1"/>
    <n v="8"/>
    <n v="3"/>
    <n v="18"/>
    <n v="27"/>
    <s v="Yes"/>
    <s v="Yes"/>
    <s v="Yes"/>
    <s v="Yes"/>
    <s v="Yes"/>
    <s v="No"/>
    <m/>
    <s v="1+ Failures"/>
    <n v="1"/>
    <s v="0-5 hrs"/>
    <x v="1"/>
  </r>
  <r>
    <n v="994"/>
    <d v="2023-07-24T00:00:00"/>
    <s v="Premium"/>
    <n v="699"/>
    <n v="12.9"/>
    <n v="4"/>
    <n v="3"/>
    <n v="20"/>
    <n v="42"/>
    <s v="Yes"/>
    <s v="No"/>
    <s v="Yes"/>
    <s v="No"/>
    <s v="Yes"/>
    <s v="No"/>
    <m/>
    <s v="1+ Failures"/>
    <n v="1"/>
    <s v="10-20hrs"/>
    <x v="1"/>
  </r>
  <r>
    <n v="995"/>
    <d v="2023-07-04T00:00:00"/>
    <s v="Standard"/>
    <n v="399"/>
    <n v="6.7"/>
    <n v="8"/>
    <n v="3"/>
    <n v="26"/>
    <n v="42"/>
    <s v="No"/>
    <s v="No"/>
    <s v="Yes"/>
    <s v="Yes"/>
    <s v="Yes"/>
    <s v="No"/>
    <m/>
    <s v="1+ Failures"/>
    <n v="0"/>
    <s v="5-10 hrs"/>
    <x v="1"/>
  </r>
  <r>
    <n v="996"/>
    <d v="2024-04-23T00:00:00"/>
    <s v="Basic"/>
    <n v="199"/>
    <n v="21.6"/>
    <n v="7"/>
    <n v="1"/>
    <n v="34"/>
    <n v="42"/>
    <s v="No"/>
    <s v="No"/>
    <s v="Yes"/>
    <s v="Yes"/>
    <s v="Yes"/>
    <s v="No"/>
    <m/>
    <s v="1+ Failures"/>
    <n v="0"/>
    <s v="20+ hrs"/>
    <x v="1"/>
  </r>
  <r>
    <n v="997"/>
    <d v="2024-06-18T00:00:00"/>
    <s v="Standard"/>
    <n v="399"/>
    <n v="20.3"/>
    <n v="6"/>
    <n v="4"/>
    <n v="35"/>
    <n v="46"/>
    <s v="Yes"/>
    <s v="No"/>
    <s v="Yes"/>
    <s v="Yes"/>
    <s v="Yes"/>
    <s v="No"/>
    <m/>
    <s v="1+ Failures"/>
    <n v="1"/>
    <s v="20+ hrs"/>
    <x v="1"/>
  </r>
  <r>
    <n v="998"/>
    <d v="2023-11-04T00:00:00"/>
    <s v="Basic"/>
    <n v="199"/>
    <n v="11.8"/>
    <n v="3"/>
    <n v="1"/>
    <n v="24"/>
    <n v="47"/>
    <s v="No"/>
    <s v="No"/>
    <s v="Yes"/>
    <s v="No"/>
    <s v="Yes"/>
    <s v="No"/>
    <m/>
    <s v="1+ Failures"/>
    <n v="0"/>
    <s v="10-20hrs"/>
    <x v="1"/>
  </r>
  <r>
    <n v="999"/>
    <d v="2023-10-01T00:00:00"/>
    <s v="Standard"/>
    <n v="399"/>
    <n v="8.3000000000000007"/>
    <n v="1"/>
    <n v="5"/>
    <n v="27"/>
    <n v="13"/>
    <s v="No"/>
    <s v="No"/>
    <s v="Yes"/>
    <s v="No"/>
    <s v="No"/>
    <s v="No"/>
    <m/>
    <s v="1+ Failures"/>
    <n v="0"/>
    <s v="5-10 hrs"/>
    <x v="1"/>
  </r>
  <r>
    <n v="1000"/>
    <d v="2023-07-16T00:00:00"/>
    <s v="Standard"/>
    <n v="399"/>
    <n v="6.8"/>
    <n v="3"/>
    <n v="3"/>
    <n v="11"/>
    <n v="15"/>
    <s v="Yes"/>
    <s v="No"/>
    <s v="Yes"/>
    <s v="No"/>
    <s v="Yes"/>
    <s v="No"/>
    <m/>
    <s v="1+ Failures"/>
    <n v="1"/>
    <s v="5-10 hrs"/>
    <x v="0"/>
  </r>
  <r>
    <n v="1001"/>
    <d v="2024-03-22T00:00:00"/>
    <s v="Basic"/>
    <n v="199"/>
    <n v="20"/>
    <n v="4"/>
    <n v="3"/>
    <n v="16"/>
    <n v="31"/>
    <s v="Yes"/>
    <s v="No"/>
    <s v="Yes"/>
    <s v="No"/>
    <s v="Yes"/>
    <s v="No"/>
    <m/>
    <s v="1+ Failures"/>
    <n v="1"/>
    <s v="10-20hrs"/>
    <x v="1"/>
  </r>
  <r>
    <n v="1002"/>
    <d v="2023-10-12T00:00:00"/>
    <s v="Standard"/>
    <n v="399"/>
    <n v="5.4"/>
    <n v="4"/>
    <n v="1"/>
    <n v="3"/>
    <n v="1"/>
    <s v="No"/>
    <s v="No"/>
    <s v="Yes"/>
    <s v="No"/>
    <s v="No"/>
    <s v="Yes"/>
    <m/>
    <s v="1+ Failures"/>
    <n v="0"/>
    <s v="5-10 hrs"/>
    <x v="2"/>
  </r>
  <r>
    <n v="1003"/>
    <d v="2023-02-26T00:00:00"/>
    <s v="Premium"/>
    <n v="699"/>
    <n v="4.8"/>
    <n v="0"/>
    <n v="5"/>
    <n v="36"/>
    <n v="31"/>
    <s v="Yes"/>
    <s v="Yes"/>
    <s v="Yes"/>
    <s v="No"/>
    <s v="Yes"/>
    <s v="No"/>
    <m/>
    <s v="1+ Failures"/>
    <n v="1"/>
    <s v="0-5 hrs"/>
    <x v="1"/>
  </r>
  <r>
    <n v="1004"/>
    <d v="2024-11-04T00:00:00"/>
    <s v="Basic"/>
    <n v="199"/>
    <n v="15.2"/>
    <n v="1"/>
    <n v="3"/>
    <n v="21"/>
    <n v="57"/>
    <s v="Yes"/>
    <s v="No"/>
    <s v="Yes"/>
    <s v="No"/>
    <s v="Yes"/>
    <s v="No"/>
    <m/>
    <s v="1+ Failures"/>
    <n v="1"/>
    <s v="10-20hrs"/>
    <x v="1"/>
  </r>
  <r>
    <n v="1005"/>
    <d v="2024-05-27T00:00:00"/>
    <s v="Basic"/>
    <n v="199"/>
    <n v="23.6"/>
    <n v="2"/>
    <n v="1"/>
    <n v="26"/>
    <n v="7"/>
    <s v="No"/>
    <s v="No"/>
    <s v="Yes"/>
    <s v="No"/>
    <s v="No"/>
    <s v="No"/>
    <m/>
    <s v="1+ Failures"/>
    <n v="0"/>
    <s v="20+ hrs"/>
    <x v="1"/>
  </r>
  <r>
    <n v="1006"/>
    <d v="2023-09-01T00:00:00"/>
    <s v="Basic"/>
    <n v="199"/>
    <n v="16.8"/>
    <n v="8"/>
    <n v="2"/>
    <n v="34"/>
    <n v="31"/>
    <s v="No"/>
    <s v="No"/>
    <s v="Yes"/>
    <s v="Yes"/>
    <s v="Yes"/>
    <s v="No"/>
    <m/>
    <s v="1+ Failures"/>
    <n v="0"/>
    <s v="10-20hrs"/>
    <x v="1"/>
  </r>
  <r>
    <n v="1007"/>
    <d v="2024-02-04T00:00:00"/>
    <s v="Premium"/>
    <n v="699"/>
    <n v="19.399999999999999"/>
    <n v="5"/>
    <n v="2"/>
    <n v="8"/>
    <n v="53"/>
    <s v="Yes"/>
    <s v="No"/>
    <s v="Yes"/>
    <s v="Yes"/>
    <s v="Yes"/>
    <s v="No"/>
    <m/>
    <s v="1+ Failures"/>
    <n v="1"/>
    <s v="10-20hrs"/>
    <x v="0"/>
  </r>
  <r>
    <n v="1008"/>
    <d v="2023-10-09T00:00:00"/>
    <s v="Premium"/>
    <n v="699"/>
    <n v="23.4"/>
    <n v="3"/>
    <n v="1"/>
    <n v="16"/>
    <n v="6"/>
    <s v="No"/>
    <s v="No"/>
    <s v="Yes"/>
    <s v="No"/>
    <s v="No"/>
    <s v="No"/>
    <m/>
    <s v="1+ Failures"/>
    <n v="0"/>
    <s v="20+ hrs"/>
    <x v="1"/>
  </r>
  <r>
    <n v="1009"/>
    <d v="2023-04-26T00:00:00"/>
    <s v="Standard"/>
    <n v="399"/>
    <n v="6.7"/>
    <n v="0"/>
    <n v="3"/>
    <n v="27"/>
    <n v="34"/>
    <s v="Yes"/>
    <s v="No"/>
    <s v="Yes"/>
    <s v="No"/>
    <s v="Yes"/>
    <s v="No"/>
    <m/>
    <s v="1+ Failures"/>
    <n v="1"/>
    <s v="5-10 hrs"/>
    <x v="1"/>
  </r>
  <r>
    <n v="1010"/>
    <d v="2023-05-29T00:00:00"/>
    <s v="Standard"/>
    <n v="399"/>
    <n v="10.9"/>
    <n v="3"/>
    <n v="2"/>
    <n v="35"/>
    <n v="56"/>
    <s v="No"/>
    <s v="No"/>
    <s v="Yes"/>
    <s v="No"/>
    <s v="Yes"/>
    <s v="No"/>
    <m/>
    <s v="1+ Failures"/>
    <n v="0"/>
    <s v="10-20hrs"/>
    <x v="1"/>
  </r>
  <r>
    <n v="1011"/>
    <d v="2024-09-12T00:00:00"/>
    <s v="Standard"/>
    <n v="399"/>
    <n v="18"/>
    <n v="4"/>
    <n v="0"/>
    <n v="31"/>
    <n v="41"/>
    <s v="No"/>
    <s v="No"/>
    <s v="No"/>
    <s v="No"/>
    <s v="Yes"/>
    <s v="No"/>
    <m/>
    <s v="0 Failures"/>
    <n v="0"/>
    <s v="10-20hrs"/>
    <x v="1"/>
  </r>
  <r>
    <n v="1012"/>
    <d v="2024-10-16T00:00:00"/>
    <s v="Basic"/>
    <n v="199"/>
    <n v="17.399999999999999"/>
    <n v="3"/>
    <n v="2"/>
    <n v="4"/>
    <n v="35"/>
    <s v="Yes"/>
    <s v="No"/>
    <s v="Yes"/>
    <s v="No"/>
    <s v="Yes"/>
    <s v="Yes"/>
    <m/>
    <s v="1+ Failures"/>
    <n v="1"/>
    <s v="10-20hrs"/>
    <x v="3"/>
  </r>
  <r>
    <n v="1013"/>
    <d v="2024-03-29T00:00:00"/>
    <s v="Premium"/>
    <n v="699"/>
    <n v="22.6"/>
    <n v="1"/>
    <n v="4"/>
    <n v="24"/>
    <n v="55"/>
    <s v="Yes"/>
    <s v="No"/>
    <s v="Yes"/>
    <s v="No"/>
    <s v="Yes"/>
    <s v="No"/>
    <m/>
    <s v="1+ Failures"/>
    <n v="1"/>
    <s v="20+ hrs"/>
    <x v="1"/>
  </r>
  <r>
    <n v="1014"/>
    <d v="2023-08-30T00:00:00"/>
    <s v="Standard"/>
    <n v="399"/>
    <n v="22.8"/>
    <n v="6"/>
    <n v="2"/>
    <n v="1"/>
    <n v="19"/>
    <s v="Yes"/>
    <s v="No"/>
    <s v="Yes"/>
    <s v="Yes"/>
    <s v="Yes"/>
    <s v="Yes"/>
    <m/>
    <s v="1+ Failures"/>
    <n v="1"/>
    <s v="20+ hrs"/>
    <x v="2"/>
  </r>
  <r>
    <n v="1015"/>
    <d v="2024-10-21T00:00:00"/>
    <s v="Standard"/>
    <n v="399"/>
    <n v="21.6"/>
    <n v="2"/>
    <n v="3"/>
    <n v="14"/>
    <n v="40"/>
    <s v="Yes"/>
    <s v="No"/>
    <s v="Yes"/>
    <s v="No"/>
    <s v="Yes"/>
    <s v="No"/>
    <m/>
    <s v="1+ Failures"/>
    <n v="1"/>
    <s v="20+ hrs"/>
    <x v="1"/>
  </r>
  <r>
    <n v="1016"/>
    <d v="2023-12-07T00:00:00"/>
    <s v="Standard"/>
    <n v="399"/>
    <n v="7.2"/>
    <n v="1"/>
    <n v="3"/>
    <n v="3"/>
    <n v="30"/>
    <s v="No"/>
    <s v="No"/>
    <s v="Yes"/>
    <s v="No"/>
    <s v="Yes"/>
    <s v="Yes"/>
    <m/>
    <s v="1+ Failures"/>
    <n v="0"/>
    <s v="5-10 hrs"/>
    <x v="2"/>
  </r>
  <r>
    <n v="1017"/>
    <d v="2023-03-09T00:00:00"/>
    <s v="Premium"/>
    <n v="699"/>
    <n v="22"/>
    <n v="1"/>
    <n v="1"/>
    <n v="28"/>
    <n v="44"/>
    <s v="Yes"/>
    <s v="No"/>
    <s v="Yes"/>
    <s v="No"/>
    <s v="Yes"/>
    <s v="No"/>
    <m/>
    <s v="1+ Failures"/>
    <n v="1"/>
    <s v="20+ hrs"/>
    <x v="1"/>
  </r>
  <r>
    <n v="1018"/>
    <d v="2023-01-29T00:00:00"/>
    <s v="Standard"/>
    <n v="399"/>
    <n v="15.3"/>
    <n v="8"/>
    <n v="5"/>
    <n v="27"/>
    <n v="20"/>
    <s v="Yes"/>
    <s v="No"/>
    <s v="Yes"/>
    <s v="Yes"/>
    <s v="Yes"/>
    <s v="No"/>
    <m/>
    <s v="1+ Failures"/>
    <n v="1"/>
    <s v="10-20hrs"/>
    <x v="1"/>
  </r>
  <r>
    <n v="1019"/>
    <d v="2023-11-09T00:00:00"/>
    <s v="Basic"/>
    <n v="199"/>
    <n v="15.9"/>
    <n v="2"/>
    <n v="0"/>
    <n v="12"/>
    <n v="25"/>
    <s v="Yes"/>
    <s v="No"/>
    <s v="No"/>
    <s v="No"/>
    <s v="Yes"/>
    <s v="No"/>
    <m/>
    <s v="0 Failures"/>
    <n v="1"/>
    <s v="10-20hrs"/>
    <x v="0"/>
  </r>
  <r>
    <n v="1020"/>
    <d v="2024-10-26T00:00:00"/>
    <s v="Standard"/>
    <n v="399"/>
    <n v="3.2"/>
    <n v="3"/>
    <n v="4"/>
    <n v="6"/>
    <n v="45"/>
    <s v="No"/>
    <s v="Yes"/>
    <s v="Yes"/>
    <s v="No"/>
    <s v="Yes"/>
    <s v="No"/>
    <m/>
    <s v="1+ Failures"/>
    <n v="0"/>
    <s v="0-5 hrs"/>
    <x v="3"/>
  </r>
  <r>
    <n v="1021"/>
    <d v="2023-05-17T00:00:00"/>
    <s v="Basic"/>
    <n v="199"/>
    <n v="19.899999999999999"/>
    <n v="5"/>
    <n v="3"/>
    <n v="27"/>
    <n v="30"/>
    <s v="No"/>
    <s v="No"/>
    <s v="Yes"/>
    <s v="Yes"/>
    <s v="Yes"/>
    <s v="No"/>
    <m/>
    <s v="1+ Failures"/>
    <n v="0"/>
    <s v="10-20hrs"/>
    <x v="1"/>
  </r>
  <r>
    <n v="1022"/>
    <d v="2024-01-12T00:00:00"/>
    <s v="Standard"/>
    <n v="399"/>
    <n v="17.3"/>
    <n v="5"/>
    <n v="2"/>
    <n v="12"/>
    <n v="12"/>
    <s v="Yes"/>
    <s v="No"/>
    <s v="Yes"/>
    <s v="Yes"/>
    <s v="No"/>
    <s v="No"/>
    <m/>
    <s v="1+ Failures"/>
    <n v="1"/>
    <s v="10-20hrs"/>
    <x v="0"/>
  </r>
  <r>
    <n v="1023"/>
    <d v="2024-07-25T00:00:00"/>
    <s v="Basic"/>
    <n v="199"/>
    <n v="22"/>
    <n v="3"/>
    <n v="0"/>
    <n v="26"/>
    <n v="60"/>
    <s v="Yes"/>
    <s v="No"/>
    <s v="No"/>
    <s v="No"/>
    <s v="Yes"/>
    <s v="No"/>
    <m/>
    <s v="0 Failures"/>
    <n v="1"/>
    <s v="20+ hrs"/>
    <x v="1"/>
  </r>
  <r>
    <n v="1024"/>
    <d v="2023-06-22T00:00:00"/>
    <s v="Premium"/>
    <n v="699"/>
    <n v="22.7"/>
    <n v="7"/>
    <n v="1"/>
    <n v="15"/>
    <n v="16"/>
    <s v="No"/>
    <s v="No"/>
    <s v="Yes"/>
    <s v="Yes"/>
    <s v="Yes"/>
    <s v="No"/>
    <m/>
    <s v="1+ Failures"/>
    <n v="0"/>
    <s v="20+ hrs"/>
    <x v="1"/>
  </r>
  <r>
    <n v="1025"/>
    <d v="2023-06-24T00:00:00"/>
    <s v="Basic"/>
    <n v="199"/>
    <n v="15.6"/>
    <n v="4"/>
    <n v="1"/>
    <n v="26"/>
    <n v="5"/>
    <s v="No"/>
    <s v="No"/>
    <s v="Yes"/>
    <s v="No"/>
    <s v="No"/>
    <s v="No"/>
    <m/>
    <s v="1+ Failures"/>
    <n v="0"/>
    <s v="10-20hrs"/>
    <x v="1"/>
  </r>
  <r>
    <n v="1026"/>
    <d v="2024-04-09T00:00:00"/>
    <s v="Premium"/>
    <n v="699"/>
    <n v="0.8"/>
    <n v="8"/>
    <n v="3"/>
    <n v="8"/>
    <n v="49"/>
    <s v="Yes"/>
    <s v="Yes"/>
    <s v="Yes"/>
    <s v="Yes"/>
    <s v="Yes"/>
    <s v="No"/>
    <m/>
    <s v="1+ Failures"/>
    <n v="1"/>
    <s v="0-5 hrs"/>
    <x v="0"/>
  </r>
  <r>
    <n v="1027"/>
    <d v="2023-09-30T00:00:00"/>
    <s v="Premium"/>
    <n v="699"/>
    <n v="3.4"/>
    <n v="3"/>
    <n v="1"/>
    <n v="32"/>
    <n v="60"/>
    <s v="No"/>
    <s v="Yes"/>
    <s v="Yes"/>
    <s v="No"/>
    <s v="Yes"/>
    <s v="No"/>
    <m/>
    <s v="1+ Failures"/>
    <n v="0"/>
    <s v="0-5 hrs"/>
    <x v="1"/>
  </r>
  <r>
    <n v="1028"/>
    <d v="2023-10-17T00:00:00"/>
    <s v="Standard"/>
    <n v="399"/>
    <n v="9.9"/>
    <n v="6"/>
    <n v="1"/>
    <n v="32"/>
    <n v="38"/>
    <s v="Yes"/>
    <s v="No"/>
    <s v="Yes"/>
    <s v="Yes"/>
    <s v="Yes"/>
    <s v="No"/>
    <m/>
    <s v="1+ Failures"/>
    <n v="1"/>
    <s v="5-10 hrs"/>
    <x v="1"/>
  </r>
  <r>
    <n v="1029"/>
    <d v="2023-09-26T00:00:00"/>
    <s v="Premium"/>
    <n v="699"/>
    <n v="10.7"/>
    <n v="6"/>
    <n v="1"/>
    <n v="13"/>
    <n v="1"/>
    <s v="No"/>
    <s v="No"/>
    <s v="Yes"/>
    <s v="Yes"/>
    <s v="No"/>
    <s v="No"/>
    <m/>
    <s v="1+ Failures"/>
    <n v="0"/>
    <s v="10-20hrs"/>
    <x v="1"/>
  </r>
  <r>
    <n v="1030"/>
    <d v="2023-03-29T00:00:00"/>
    <s v="Basic"/>
    <n v="199"/>
    <n v="22.7"/>
    <n v="5"/>
    <n v="4"/>
    <n v="29"/>
    <n v="43"/>
    <s v="Yes"/>
    <s v="No"/>
    <s v="Yes"/>
    <s v="Yes"/>
    <s v="Yes"/>
    <s v="No"/>
    <m/>
    <s v="1+ Failures"/>
    <n v="1"/>
    <s v="20+ hrs"/>
    <x v="1"/>
  </r>
  <r>
    <n v="1031"/>
    <d v="2024-12-31T00:00:00"/>
    <s v="Basic"/>
    <n v="199"/>
    <n v="3.8"/>
    <n v="5"/>
    <n v="5"/>
    <n v="31"/>
    <n v="25"/>
    <s v="Yes"/>
    <s v="Yes"/>
    <s v="Yes"/>
    <s v="Yes"/>
    <s v="Yes"/>
    <s v="No"/>
    <m/>
    <s v="1+ Failures"/>
    <n v="1"/>
    <s v="0-5 hrs"/>
    <x v="1"/>
  </r>
  <r>
    <n v="1032"/>
    <d v="2023-02-23T00:00:00"/>
    <s v="Standard"/>
    <n v="399"/>
    <n v="18.5"/>
    <n v="4"/>
    <n v="0"/>
    <n v="28"/>
    <n v="6"/>
    <s v="No"/>
    <s v="No"/>
    <s v="No"/>
    <s v="No"/>
    <s v="No"/>
    <s v="No"/>
    <m/>
    <s v="0 Failures"/>
    <n v="0"/>
    <s v="10-20hrs"/>
    <x v="1"/>
  </r>
  <r>
    <n v="1033"/>
    <d v="2024-09-04T00:00:00"/>
    <s v="Standard"/>
    <n v="399"/>
    <n v="12"/>
    <n v="5"/>
    <n v="4"/>
    <n v="16"/>
    <n v="60"/>
    <s v="Yes"/>
    <s v="No"/>
    <s v="Yes"/>
    <s v="Yes"/>
    <s v="Yes"/>
    <s v="No"/>
    <m/>
    <s v="1+ Failures"/>
    <n v="1"/>
    <s v="10-20hrs"/>
    <x v="1"/>
  </r>
  <r>
    <n v="1034"/>
    <d v="2024-02-09T00:00:00"/>
    <s v="Premium"/>
    <n v="699"/>
    <n v="0.6"/>
    <n v="8"/>
    <n v="4"/>
    <n v="3"/>
    <n v="24"/>
    <s v="Yes"/>
    <s v="Yes"/>
    <s v="Yes"/>
    <s v="Yes"/>
    <s v="Yes"/>
    <s v="Yes"/>
    <m/>
    <s v="1+ Failures"/>
    <n v="1"/>
    <s v="0-5 hrs"/>
    <x v="2"/>
  </r>
  <r>
    <n v="1035"/>
    <d v="2023-06-23T00:00:00"/>
    <s v="Premium"/>
    <n v="699"/>
    <n v="3.7"/>
    <n v="8"/>
    <n v="0"/>
    <n v="24"/>
    <n v="37"/>
    <s v="Yes"/>
    <s v="Yes"/>
    <s v="No"/>
    <s v="Yes"/>
    <s v="Yes"/>
    <s v="No"/>
    <m/>
    <s v="0 Failures"/>
    <n v="1"/>
    <s v="0-5 hrs"/>
    <x v="1"/>
  </r>
  <r>
    <n v="1036"/>
    <d v="2024-06-27T00:00:00"/>
    <s v="Premium"/>
    <n v="699"/>
    <n v="23.3"/>
    <n v="7"/>
    <n v="1"/>
    <n v="32"/>
    <n v="5"/>
    <s v="No"/>
    <s v="No"/>
    <s v="Yes"/>
    <s v="Yes"/>
    <s v="No"/>
    <s v="No"/>
    <m/>
    <s v="1+ Failures"/>
    <n v="0"/>
    <s v="20+ hrs"/>
    <x v="1"/>
  </r>
  <r>
    <n v="1037"/>
    <d v="2023-10-15T00:00:00"/>
    <s v="Standard"/>
    <n v="399"/>
    <n v="6.9"/>
    <n v="5"/>
    <n v="0"/>
    <n v="10"/>
    <n v="8"/>
    <s v="No"/>
    <s v="No"/>
    <s v="No"/>
    <s v="Yes"/>
    <s v="No"/>
    <s v="No"/>
    <m/>
    <s v="0 Failures"/>
    <n v="0"/>
    <s v="5-10 hrs"/>
    <x v="0"/>
  </r>
  <r>
    <n v="1038"/>
    <d v="2023-09-28T00:00:00"/>
    <s v="Premium"/>
    <n v="699"/>
    <n v="23.2"/>
    <n v="4"/>
    <n v="2"/>
    <n v="24"/>
    <n v="39"/>
    <s v="No"/>
    <s v="No"/>
    <s v="Yes"/>
    <s v="No"/>
    <s v="Yes"/>
    <s v="No"/>
    <m/>
    <s v="1+ Failures"/>
    <n v="0"/>
    <s v="20+ hrs"/>
    <x v="1"/>
  </r>
  <r>
    <n v="1039"/>
    <d v="2023-06-04T00:00:00"/>
    <s v="Premium"/>
    <n v="699"/>
    <n v="11.2"/>
    <n v="2"/>
    <n v="2"/>
    <n v="21"/>
    <n v="47"/>
    <s v="No"/>
    <s v="No"/>
    <s v="Yes"/>
    <s v="No"/>
    <s v="Yes"/>
    <s v="No"/>
    <m/>
    <s v="1+ Failures"/>
    <n v="0"/>
    <s v="10-20hrs"/>
    <x v="1"/>
  </r>
  <r>
    <n v="1040"/>
    <d v="2024-04-26T00:00:00"/>
    <s v="Premium"/>
    <n v="699"/>
    <n v="1.8"/>
    <n v="2"/>
    <n v="0"/>
    <n v="29"/>
    <n v="14"/>
    <s v="Yes"/>
    <s v="Yes"/>
    <s v="No"/>
    <s v="No"/>
    <s v="No"/>
    <s v="No"/>
    <m/>
    <s v="0 Failures"/>
    <n v="1"/>
    <s v="0-5 hrs"/>
    <x v="1"/>
  </r>
  <r>
    <n v="1041"/>
    <d v="2023-02-11T00:00:00"/>
    <s v="Standard"/>
    <n v="399"/>
    <n v="17.8"/>
    <n v="6"/>
    <n v="0"/>
    <n v="11"/>
    <n v="57"/>
    <s v="No"/>
    <s v="No"/>
    <s v="No"/>
    <s v="Yes"/>
    <s v="Yes"/>
    <s v="No"/>
    <m/>
    <s v="0 Failures"/>
    <n v="0"/>
    <s v="10-20hrs"/>
    <x v="0"/>
  </r>
  <r>
    <n v="1042"/>
    <d v="2023-06-01T00:00:00"/>
    <s v="Standard"/>
    <n v="399"/>
    <n v="24.7"/>
    <n v="8"/>
    <n v="3"/>
    <n v="23"/>
    <n v="29"/>
    <s v="Yes"/>
    <s v="No"/>
    <s v="Yes"/>
    <s v="Yes"/>
    <s v="Yes"/>
    <s v="No"/>
    <m/>
    <s v="1+ Failures"/>
    <n v="1"/>
    <s v="20+ hrs"/>
    <x v="1"/>
  </r>
  <r>
    <n v="1043"/>
    <d v="2024-06-04T00:00:00"/>
    <s v="Basic"/>
    <n v="199"/>
    <n v="2.8"/>
    <n v="4"/>
    <n v="1"/>
    <n v="23"/>
    <n v="53"/>
    <s v="Yes"/>
    <s v="Yes"/>
    <s v="Yes"/>
    <s v="No"/>
    <s v="Yes"/>
    <s v="No"/>
    <m/>
    <s v="1+ Failures"/>
    <n v="1"/>
    <s v="0-5 hrs"/>
    <x v="1"/>
  </r>
  <r>
    <n v="1044"/>
    <d v="2024-03-02T00:00:00"/>
    <s v="Standard"/>
    <n v="399"/>
    <n v="14.8"/>
    <n v="0"/>
    <n v="4"/>
    <n v="14"/>
    <n v="49"/>
    <s v="Yes"/>
    <s v="No"/>
    <s v="Yes"/>
    <s v="No"/>
    <s v="Yes"/>
    <s v="No"/>
    <m/>
    <s v="1+ Failures"/>
    <n v="1"/>
    <s v="10-20hrs"/>
    <x v="1"/>
  </r>
  <r>
    <n v="1045"/>
    <d v="2024-11-27T00:00:00"/>
    <s v="Basic"/>
    <n v="199"/>
    <n v="19.3"/>
    <n v="1"/>
    <n v="2"/>
    <n v="16"/>
    <n v="1"/>
    <s v="Yes"/>
    <s v="No"/>
    <s v="Yes"/>
    <s v="No"/>
    <s v="No"/>
    <s v="No"/>
    <m/>
    <s v="1+ Failures"/>
    <n v="1"/>
    <s v="10-20hrs"/>
    <x v="1"/>
  </r>
  <r>
    <n v="1046"/>
    <d v="2024-04-16T00:00:00"/>
    <s v="Basic"/>
    <n v="199"/>
    <n v="9.6999999999999993"/>
    <n v="1"/>
    <n v="2"/>
    <n v="26"/>
    <n v="9"/>
    <s v="Yes"/>
    <s v="No"/>
    <s v="Yes"/>
    <s v="No"/>
    <s v="No"/>
    <s v="No"/>
    <m/>
    <s v="1+ Failures"/>
    <n v="1"/>
    <s v="5-10 hrs"/>
    <x v="1"/>
  </r>
  <r>
    <n v="1047"/>
    <d v="2023-02-14T00:00:00"/>
    <s v="Premium"/>
    <n v="699"/>
    <n v="11.6"/>
    <n v="4"/>
    <n v="4"/>
    <n v="31"/>
    <n v="42"/>
    <s v="Yes"/>
    <s v="No"/>
    <s v="Yes"/>
    <s v="No"/>
    <s v="Yes"/>
    <s v="No"/>
    <m/>
    <s v="1+ Failures"/>
    <n v="1"/>
    <s v="10-20hrs"/>
    <x v="1"/>
  </r>
  <r>
    <n v="1048"/>
    <d v="2024-10-21T00:00:00"/>
    <s v="Premium"/>
    <n v="699"/>
    <n v="8.5"/>
    <n v="2"/>
    <n v="1"/>
    <n v="29"/>
    <n v="55"/>
    <s v="Yes"/>
    <s v="No"/>
    <s v="Yes"/>
    <s v="No"/>
    <s v="Yes"/>
    <s v="No"/>
    <m/>
    <s v="1+ Failures"/>
    <n v="1"/>
    <s v="5-10 hrs"/>
    <x v="1"/>
  </r>
  <r>
    <n v="1049"/>
    <d v="2023-04-05T00:00:00"/>
    <s v="Standard"/>
    <n v="399"/>
    <n v="20.100000000000001"/>
    <n v="1"/>
    <n v="4"/>
    <n v="21"/>
    <n v="60"/>
    <s v="No"/>
    <s v="No"/>
    <s v="Yes"/>
    <s v="No"/>
    <s v="Yes"/>
    <s v="No"/>
    <m/>
    <s v="1+ Failures"/>
    <n v="0"/>
    <s v="20+ hrs"/>
    <x v="1"/>
  </r>
  <r>
    <n v="1050"/>
    <d v="2023-06-16T00:00:00"/>
    <s v="Standard"/>
    <n v="399"/>
    <n v="4.9000000000000004"/>
    <n v="6"/>
    <n v="0"/>
    <n v="17"/>
    <n v="1"/>
    <s v="No"/>
    <s v="Yes"/>
    <s v="No"/>
    <s v="Yes"/>
    <s v="No"/>
    <s v="No"/>
    <m/>
    <s v="0 Failures"/>
    <n v="0"/>
    <s v="0-5 hrs"/>
    <x v="1"/>
  </r>
  <r>
    <n v="1051"/>
    <d v="2024-03-18T00:00:00"/>
    <s v="Standard"/>
    <n v="399"/>
    <n v="7.5"/>
    <n v="2"/>
    <n v="0"/>
    <n v="26"/>
    <n v="19"/>
    <s v="No"/>
    <s v="No"/>
    <s v="No"/>
    <s v="No"/>
    <s v="Yes"/>
    <s v="No"/>
    <m/>
    <s v="0 Failures"/>
    <n v="0"/>
    <s v="5-10 hrs"/>
    <x v="1"/>
  </r>
  <r>
    <n v="1052"/>
    <d v="2024-01-12T00:00:00"/>
    <s v="Premium"/>
    <n v="699"/>
    <n v="22.6"/>
    <n v="2"/>
    <n v="2"/>
    <n v="20"/>
    <n v="42"/>
    <s v="Yes"/>
    <s v="No"/>
    <s v="Yes"/>
    <s v="No"/>
    <s v="Yes"/>
    <s v="No"/>
    <m/>
    <s v="1+ Failures"/>
    <n v="1"/>
    <s v="20+ hrs"/>
    <x v="1"/>
  </r>
  <r>
    <n v="1053"/>
    <d v="2024-03-09T00:00:00"/>
    <s v="Premium"/>
    <n v="699"/>
    <n v="12.5"/>
    <n v="6"/>
    <n v="3"/>
    <n v="13"/>
    <n v="17"/>
    <s v="No"/>
    <s v="No"/>
    <s v="Yes"/>
    <s v="Yes"/>
    <s v="Yes"/>
    <s v="No"/>
    <m/>
    <s v="1+ Failures"/>
    <n v="0"/>
    <s v="10-20hrs"/>
    <x v="1"/>
  </r>
  <r>
    <n v="1054"/>
    <d v="2023-02-11T00:00:00"/>
    <s v="Basic"/>
    <n v="199"/>
    <n v="20.399999999999999"/>
    <n v="2"/>
    <n v="3"/>
    <n v="28"/>
    <n v="40"/>
    <s v="Yes"/>
    <s v="No"/>
    <s v="Yes"/>
    <s v="No"/>
    <s v="Yes"/>
    <s v="No"/>
    <m/>
    <s v="1+ Failures"/>
    <n v="1"/>
    <s v="20+ hrs"/>
    <x v="1"/>
  </r>
  <r>
    <n v="1055"/>
    <d v="2024-05-22T00:00:00"/>
    <s v="Premium"/>
    <n v="699"/>
    <n v="24.3"/>
    <n v="3"/>
    <n v="5"/>
    <n v="22"/>
    <n v="43"/>
    <s v="No"/>
    <s v="No"/>
    <s v="Yes"/>
    <s v="No"/>
    <s v="Yes"/>
    <s v="No"/>
    <m/>
    <s v="1+ Failures"/>
    <n v="0"/>
    <s v="20+ hrs"/>
    <x v="1"/>
  </r>
  <r>
    <n v="1056"/>
    <d v="2024-05-04T00:00:00"/>
    <s v="Premium"/>
    <n v="699"/>
    <n v="2.6"/>
    <n v="7"/>
    <n v="3"/>
    <n v="34"/>
    <n v="5"/>
    <s v="No"/>
    <s v="Yes"/>
    <s v="Yes"/>
    <s v="Yes"/>
    <s v="No"/>
    <s v="No"/>
    <m/>
    <s v="1+ Failures"/>
    <n v="0"/>
    <s v="0-5 hrs"/>
    <x v="1"/>
  </r>
  <r>
    <n v="1057"/>
    <d v="2024-08-05T00:00:00"/>
    <s v="Standard"/>
    <n v="399"/>
    <n v="24.6"/>
    <n v="4"/>
    <n v="1"/>
    <n v="10"/>
    <n v="33"/>
    <s v="Yes"/>
    <s v="No"/>
    <s v="Yes"/>
    <s v="No"/>
    <s v="Yes"/>
    <s v="No"/>
    <m/>
    <s v="1+ Failures"/>
    <n v="1"/>
    <s v="20+ hrs"/>
    <x v="0"/>
  </r>
  <r>
    <n v="1058"/>
    <d v="2024-02-27T00:00:00"/>
    <s v="Basic"/>
    <n v="199"/>
    <n v="2.4"/>
    <n v="0"/>
    <n v="4"/>
    <n v="36"/>
    <n v="6"/>
    <s v="Yes"/>
    <s v="Yes"/>
    <s v="Yes"/>
    <s v="No"/>
    <s v="No"/>
    <s v="No"/>
    <m/>
    <s v="1+ Failures"/>
    <n v="1"/>
    <s v="0-5 hrs"/>
    <x v="1"/>
  </r>
  <r>
    <n v="1059"/>
    <d v="2024-05-30T00:00:00"/>
    <s v="Basic"/>
    <n v="199"/>
    <n v="16.7"/>
    <n v="4"/>
    <n v="2"/>
    <n v="30"/>
    <n v="16"/>
    <s v="No"/>
    <s v="No"/>
    <s v="Yes"/>
    <s v="No"/>
    <s v="Yes"/>
    <s v="No"/>
    <m/>
    <s v="1+ Failures"/>
    <n v="0"/>
    <s v="10-20hrs"/>
    <x v="1"/>
  </r>
  <r>
    <n v="1060"/>
    <d v="2024-02-07T00:00:00"/>
    <s v="Basic"/>
    <n v="199"/>
    <n v="18.600000000000001"/>
    <n v="7"/>
    <n v="1"/>
    <n v="8"/>
    <n v="50"/>
    <s v="Yes"/>
    <s v="No"/>
    <s v="Yes"/>
    <s v="Yes"/>
    <s v="Yes"/>
    <s v="No"/>
    <m/>
    <s v="1+ Failures"/>
    <n v="1"/>
    <s v="10-20hrs"/>
    <x v="0"/>
  </r>
  <r>
    <n v="1061"/>
    <d v="2024-11-17T00:00:00"/>
    <s v="Basic"/>
    <n v="199"/>
    <n v="10.7"/>
    <n v="4"/>
    <n v="2"/>
    <n v="6"/>
    <n v="37"/>
    <s v="Yes"/>
    <s v="No"/>
    <s v="Yes"/>
    <s v="No"/>
    <s v="Yes"/>
    <s v="No"/>
    <m/>
    <s v="1+ Failures"/>
    <n v="1"/>
    <s v="10-20hrs"/>
    <x v="3"/>
  </r>
  <r>
    <n v="1062"/>
    <d v="2024-09-10T00:00:00"/>
    <s v="Standard"/>
    <n v="399"/>
    <n v="8.9"/>
    <n v="2"/>
    <n v="1"/>
    <n v="17"/>
    <n v="11"/>
    <s v="Yes"/>
    <s v="No"/>
    <s v="Yes"/>
    <s v="No"/>
    <s v="No"/>
    <s v="No"/>
    <m/>
    <s v="1+ Failures"/>
    <n v="1"/>
    <s v="5-10 hrs"/>
    <x v="1"/>
  </r>
  <r>
    <n v="1063"/>
    <d v="2023-06-25T00:00:00"/>
    <s v="Standard"/>
    <n v="399"/>
    <n v="11.1"/>
    <n v="0"/>
    <n v="0"/>
    <n v="7"/>
    <n v="25"/>
    <s v="Yes"/>
    <s v="No"/>
    <s v="No"/>
    <s v="No"/>
    <s v="Yes"/>
    <s v="No"/>
    <m/>
    <s v="0 Failures"/>
    <n v="1"/>
    <s v="10-20hrs"/>
    <x v="0"/>
  </r>
  <r>
    <n v="1064"/>
    <d v="2024-05-13T00:00:00"/>
    <s v="Premium"/>
    <n v="699"/>
    <n v="11.8"/>
    <n v="6"/>
    <n v="5"/>
    <n v="31"/>
    <n v="47"/>
    <s v="Yes"/>
    <s v="No"/>
    <s v="Yes"/>
    <s v="Yes"/>
    <s v="Yes"/>
    <s v="No"/>
    <m/>
    <s v="1+ Failures"/>
    <n v="1"/>
    <s v="10-20hrs"/>
    <x v="1"/>
  </r>
  <r>
    <n v="1065"/>
    <d v="2023-01-15T00:00:00"/>
    <s v="Standard"/>
    <n v="399"/>
    <n v="17.399999999999999"/>
    <n v="6"/>
    <n v="2"/>
    <n v="24"/>
    <n v="5"/>
    <s v="Yes"/>
    <s v="No"/>
    <s v="Yes"/>
    <s v="Yes"/>
    <s v="No"/>
    <s v="No"/>
    <m/>
    <s v="1+ Failures"/>
    <n v="1"/>
    <s v="10-20hrs"/>
    <x v="1"/>
  </r>
  <r>
    <n v="1066"/>
    <d v="2023-05-29T00:00:00"/>
    <s v="Basic"/>
    <n v="199"/>
    <n v="20.5"/>
    <n v="3"/>
    <n v="0"/>
    <n v="8"/>
    <n v="13"/>
    <s v="No"/>
    <s v="No"/>
    <s v="No"/>
    <s v="No"/>
    <s v="No"/>
    <s v="No"/>
    <m/>
    <s v="0 Failures"/>
    <n v="0"/>
    <s v="20+ hrs"/>
    <x v="0"/>
  </r>
  <r>
    <n v="1067"/>
    <d v="2024-04-19T00:00:00"/>
    <s v="Premium"/>
    <n v="699"/>
    <n v="11.2"/>
    <n v="8"/>
    <n v="1"/>
    <n v="16"/>
    <n v="5"/>
    <s v="No"/>
    <s v="No"/>
    <s v="Yes"/>
    <s v="Yes"/>
    <s v="No"/>
    <s v="No"/>
    <m/>
    <s v="1+ Failures"/>
    <n v="0"/>
    <s v="10-20hrs"/>
    <x v="1"/>
  </r>
  <r>
    <n v="1068"/>
    <d v="2024-12-20T00:00:00"/>
    <s v="Basic"/>
    <n v="199"/>
    <n v="10.8"/>
    <n v="1"/>
    <n v="1"/>
    <n v="31"/>
    <n v="57"/>
    <s v="Yes"/>
    <s v="No"/>
    <s v="Yes"/>
    <s v="No"/>
    <s v="Yes"/>
    <s v="No"/>
    <m/>
    <s v="1+ Failures"/>
    <n v="1"/>
    <s v="10-20hrs"/>
    <x v="1"/>
  </r>
  <r>
    <n v="1069"/>
    <d v="2024-08-06T00:00:00"/>
    <s v="Standard"/>
    <n v="399"/>
    <n v="12.1"/>
    <n v="7"/>
    <n v="4"/>
    <n v="32"/>
    <n v="15"/>
    <s v="Yes"/>
    <s v="No"/>
    <s v="Yes"/>
    <s v="Yes"/>
    <s v="Yes"/>
    <s v="No"/>
    <m/>
    <s v="1+ Failures"/>
    <n v="1"/>
    <s v="10-20hrs"/>
    <x v="1"/>
  </r>
  <r>
    <n v="1070"/>
    <d v="2024-03-01T00:00:00"/>
    <s v="Standard"/>
    <n v="399"/>
    <n v="8.6999999999999993"/>
    <n v="1"/>
    <n v="5"/>
    <n v="4"/>
    <n v="54"/>
    <s v="No"/>
    <s v="No"/>
    <s v="Yes"/>
    <s v="No"/>
    <s v="Yes"/>
    <s v="Yes"/>
    <m/>
    <s v="1+ Failures"/>
    <n v="0"/>
    <s v="5-10 hrs"/>
    <x v="3"/>
  </r>
  <r>
    <n v="1071"/>
    <d v="2024-08-28T00:00:00"/>
    <s v="Standard"/>
    <n v="399"/>
    <n v="25"/>
    <n v="0"/>
    <n v="3"/>
    <n v="36"/>
    <n v="25"/>
    <s v="Yes"/>
    <s v="No"/>
    <s v="Yes"/>
    <s v="No"/>
    <s v="Yes"/>
    <s v="No"/>
    <m/>
    <s v="1+ Failures"/>
    <n v="1"/>
    <s v="20+ hrs"/>
    <x v="1"/>
  </r>
  <r>
    <n v="1072"/>
    <d v="2023-11-20T00:00:00"/>
    <s v="Premium"/>
    <n v="699"/>
    <n v="6.2"/>
    <n v="0"/>
    <n v="4"/>
    <n v="32"/>
    <n v="1"/>
    <s v="No"/>
    <s v="No"/>
    <s v="Yes"/>
    <s v="No"/>
    <s v="No"/>
    <s v="No"/>
    <m/>
    <s v="1+ Failures"/>
    <n v="0"/>
    <s v="5-10 hrs"/>
    <x v="1"/>
  </r>
  <r>
    <n v="1073"/>
    <d v="2024-10-23T00:00:00"/>
    <s v="Premium"/>
    <n v="699"/>
    <n v="7.1"/>
    <n v="6"/>
    <n v="3"/>
    <n v="5"/>
    <n v="7"/>
    <s v="Yes"/>
    <s v="No"/>
    <s v="Yes"/>
    <s v="Yes"/>
    <s v="No"/>
    <s v="Yes"/>
    <m/>
    <s v="1+ Failures"/>
    <n v="1"/>
    <s v="5-10 hrs"/>
    <x v="3"/>
  </r>
  <r>
    <n v="1074"/>
    <d v="2024-04-25T00:00:00"/>
    <s v="Standard"/>
    <n v="399"/>
    <n v="17.600000000000001"/>
    <n v="0"/>
    <n v="1"/>
    <n v="29"/>
    <n v="18"/>
    <s v="No"/>
    <s v="No"/>
    <s v="Yes"/>
    <s v="No"/>
    <s v="Yes"/>
    <s v="No"/>
    <m/>
    <s v="1+ Failures"/>
    <n v="0"/>
    <s v="10-20hrs"/>
    <x v="1"/>
  </r>
  <r>
    <n v="1075"/>
    <d v="2024-09-08T00:00:00"/>
    <s v="Standard"/>
    <n v="399"/>
    <n v="6.2"/>
    <n v="3"/>
    <n v="4"/>
    <n v="29"/>
    <n v="58"/>
    <s v="No"/>
    <s v="No"/>
    <s v="Yes"/>
    <s v="No"/>
    <s v="Yes"/>
    <s v="No"/>
    <m/>
    <s v="1+ Failures"/>
    <n v="0"/>
    <s v="5-10 hrs"/>
    <x v="1"/>
  </r>
  <r>
    <n v="1076"/>
    <d v="2024-03-02T00:00:00"/>
    <s v="Premium"/>
    <n v="699"/>
    <n v="3.7"/>
    <n v="4"/>
    <n v="5"/>
    <n v="30"/>
    <n v="45"/>
    <s v="Yes"/>
    <s v="Yes"/>
    <s v="Yes"/>
    <s v="No"/>
    <s v="Yes"/>
    <s v="No"/>
    <m/>
    <s v="1+ Failures"/>
    <n v="1"/>
    <s v="0-5 hrs"/>
    <x v="1"/>
  </r>
  <r>
    <n v="1077"/>
    <d v="2023-03-30T00:00:00"/>
    <s v="Premium"/>
    <n v="699"/>
    <n v="20"/>
    <n v="2"/>
    <n v="4"/>
    <n v="24"/>
    <n v="13"/>
    <s v="Yes"/>
    <s v="No"/>
    <s v="Yes"/>
    <s v="No"/>
    <s v="No"/>
    <s v="No"/>
    <m/>
    <s v="1+ Failures"/>
    <n v="1"/>
    <s v="10-20hrs"/>
    <x v="1"/>
  </r>
  <r>
    <n v="1078"/>
    <d v="2024-03-01T00:00:00"/>
    <s v="Premium"/>
    <n v="699"/>
    <n v="3.7"/>
    <n v="3"/>
    <n v="1"/>
    <n v="31"/>
    <n v="38"/>
    <s v="Yes"/>
    <s v="Yes"/>
    <s v="Yes"/>
    <s v="No"/>
    <s v="Yes"/>
    <s v="No"/>
    <m/>
    <s v="1+ Failures"/>
    <n v="1"/>
    <s v="0-5 hrs"/>
    <x v="1"/>
  </r>
  <r>
    <n v="1079"/>
    <d v="2023-09-25T00:00:00"/>
    <s v="Standard"/>
    <n v="399"/>
    <n v="6.3"/>
    <n v="8"/>
    <n v="0"/>
    <n v="20"/>
    <n v="1"/>
    <s v="No"/>
    <s v="No"/>
    <s v="No"/>
    <s v="Yes"/>
    <s v="No"/>
    <s v="No"/>
    <m/>
    <s v="0 Failures"/>
    <n v="0"/>
    <s v="5-10 hrs"/>
    <x v="1"/>
  </r>
  <r>
    <n v="1080"/>
    <d v="2024-03-16T00:00:00"/>
    <s v="Standard"/>
    <n v="399"/>
    <n v="4.8"/>
    <n v="8"/>
    <n v="0"/>
    <n v="11"/>
    <n v="51"/>
    <s v="Yes"/>
    <s v="Yes"/>
    <s v="No"/>
    <s v="Yes"/>
    <s v="Yes"/>
    <s v="No"/>
    <m/>
    <s v="0 Failures"/>
    <n v="1"/>
    <s v="0-5 hrs"/>
    <x v="0"/>
  </r>
  <r>
    <n v="1081"/>
    <d v="2023-12-30T00:00:00"/>
    <s v="Basic"/>
    <n v="199"/>
    <n v="3.5"/>
    <n v="3"/>
    <n v="3"/>
    <n v="15"/>
    <n v="16"/>
    <s v="No"/>
    <s v="Yes"/>
    <s v="Yes"/>
    <s v="No"/>
    <s v="Yes"/>
    <s v="No"/>
    <m/>
    <s v="1+ Failures"/>
    <n v="0"/>
    <s v="0-5 hrs"/>
    <x v="1"/>
  </r>
  <r>
    <n v="1082"/>
    <d v="2024-11-16T00:00:00"/>
    <s v="Basic"/>
    <n v="199"/>
    <n v="7.1"/>
    <n v="2"/>
    <n v="5"/>
    <n v="36"/>
    <n v="55"/>
    <s v="Yes"/>
    <s v="No"/>
    <s v="Yes"/>
    <s v="No"/>
    <s v="Yes"/>
    <s v="No"/>
    <m/>
    <s v="1+ Failures"/>
    <n v="1"/>
    <s v="5-10 hrs"/>
    <x v="1"/>
  </r>
  <r>
    <n v="1083"/>
    <d v="2023-04-19T00:00:00"/>
    <s v="Basic"/>
    <n v="199"/>
    <n v="23.2"/>
    <n v="7"/>
    <n v="3"/>
    <n v="4"/>
    <n v="53"/>
    <s v="No"/>
    <s v="No"/>
    <s v="Yes"/>
    <s v="Yes"/>
    <s v="Yes"/>
    <s v="Yes"/>
    <m/>
    <s v="1+ Failures"/>
    <n v="0"/>
    <s v="20+ hrs"/>
    <x v="3"/>
  </r>
  <r>
    <n v="1084"/>
    <d v="2023-05-01T00:00:00"/>
    <s v="Premium"/>
    <n v="699"/>
    <n v="20.7"/>
    <n v="0"/>
    <n v="4"/>
    <n v="7"/>
    <n v="6"/>
    <s v="Yes"/>
    <s v="No"/>
    <s v="Yes"/>
    <s v="No"/>
    <s v="No"/>
    <s v="No"/>
    <m/>
    <s v="1+ Failures"/>
    <n v="1"/>
    <s v="20+ hrs"/>
    <x v="0"/>
  </r>
  <r>
    <n v="1085"/>
    <d v="2024-05-25T00:00:00"/>
    <s v="Basic"/>
    <n v="199"/>
    <n v="4.3"/>
    <n v="4"/>
    <n v="5"/>
    <n v="24"/>
    <n v="28"/>
    <s v="Yes"/>
    <s v="Yes"/>
    <s v="Yes"/>
    <s v="No"/>
    <s v="Yes"/>
    <s v="No"/>
    <m/>
    <s v="1+ Failures"/>
    <n v="1"/>
    <s v="0-5 hrs"/>
    <x v="1"/>
  </r>
  <r>
    <n v="1086"/>
    <d v="2023-07-26T00:00:00"/>
    <s v="Premium"/>
    <n v="699"/>
    <n v="4.3"/>
    <n v="5"/>
    <n v="2"/>
    <n v="7"/>
    <n v="52"/>
    <s v="Yes"/>
    <s v="Yes"/>
    <s v="Yes"/>
    <s v="Yes"/>
    <s v="Yes"/>
    <s v="No"/>
    <m/>
    <s v="1+ Failures"/>
    <n v="1"/>
    <s v="0-5 hrs"/>
    <x v="0"/>
  </r>
  <r>
    <n v="1087"/>
    <d v="2023-12-16T00:00:00"/>
    <s v="Standard"/>
    <n v="399"/>
    <n v="19.3"/>
    <n v="0"/>
    <n v="1"/>
    <n v="27"/>
    <n v="53"/>
    <s v="No"/>
    <s v="No"/>
    <s v="Yes"/>
    <s v="No"/>
    <s v="Yes"/>
    <s v="No"/>
    <m/>
    <s v="1+ Failures"/>
    <n v="0"/>
    <s v="10-20hrs"/>
    <x v="1"/>
  </r>
  <r>
    <n v="1088"/>
    <d v="2024-01-05T00:00:00"/>
    <s v="Standard"/>
    <n v="399"/>
    <n v="4.7"/>
    <n v="4"/>
    <n v="2"/>
    <n v="33"/>
    <n v="45"/>
    <s v="Yes"/>
    <s v="Yes"/>
    <s v="Yes"/>
    <s v="No"/>
    <s v="Yes"/>
    <s v="No"/>
    <m/>
    <s v="1+ Failures"/>
    <n v="1"/>
    <s v="0-5 hrs"/>
    <x v="1"/>
  </r>
  <r>
    <n v="1089"/>
    <d v="2024-03-15T00:00:00"/>
    <s v="Premium"/>
    <n v="699"/>
    <n v="4.2"/>
    <n v="8"/>
    <n v="3"/>
    <n v="16"/>
    <n v="50"/>
    <s v="Yes"/>
    <s v="Yes"/>
    <s v="Yes"/>
    <s v="Yes"/>
    <s v="Yes"/>
    <s v="No"/>
    <m/>
    <s v="1+ Failures"/>
    <n v="1"/>
    <s v="0-5 hrs"/>
    <x v="1"/>
  </r>
  <r>
    <n v="1090"/>
    <d v="2024-03-29T00:00:00"/>
    <s v="Standard"/>
    <n v="399"/>
    <n v="22.5"/>
    <n v="8"/>
    <n v="5"/>
    <n v="27"/>
    <n v="23"/>
    <s v="No"/>
    <s v="No"/>
    <s v="Yes"/>
    <s v="Yes"/>
    <s v="Yes"/>
    <s v="No"/>
    <m/>
    <s v="1+ Failures"/>
    <n v="0"/>
    <s v="20+ hrs"/>
    <x v="1"/>
  </r>
  <r>
    <n v="1091"/>
    <d v="2024-02-16T00:00:00"/>
    <s v="Basic"/>
    <n v="199"/>
    <n v="18.100000000000001"/>
    <n v="8"/>
    <n v="0"/>
    <n v="1"/>
    <n v="5"/>
    <s v="No"/>
    <s v="No"/>
    <s v="No"/>
    <s v="Yes"/>
    <s v="No"/>
    <s v="Yes"/>
    <m/>
    <s v="0 Failures"/>
    <n v="0"/>
    <s v="10-20hrs"/>
    <x v="2"/>
  </r>
  <r>
    <n v="1092"/>
    <d v="2024-08-11T00:00:00"/>
    <s v="Basic"/>
    <n v="199"/>
    <n v="2"/>
    <n v="0"/>
    <n v="5"/>
    <n v="28"/>
    <n v="59"/>
    <s v="Yes"/>
    <s v="Yes"/>
    <s v="Yes"/>
    <s v="No"/>
    <s v="Yes"/>
    <s v="No"/>
    <m/>
    <s v="1+ Failures"/>
    <n v="1"/>
    <s v="0-5 hrs"/>
    <x v="1"/>
  </r>
  <r>
    <n v="1093"/>
    <d v="2024-07-20T00:00:00"/>
    <s v="Basic"/>
    <n v="199"/>
    <n v="24.3"/>
    <n v="6"/>
    <n v="3"/>
    <n v="34"/>
    <n v="56"/>
    <s v="Yes"/>
    <s v="No"/>
    <s v="Yes"/>
    <s v="Yes"/>
    <s v="Yes"/>
    <s v="No"/>
    <m/>
    <s v="1+ Failures"/>
    <n v="1"/>
    <s v="20+ hrs"/>
    <x v="1"/>
  </r>
  <r>
    <n v="1094"/>
    <d v="2023-05-31T00:00:00"/>
    <s v="Standard"/>
    <n v="399"/>
    <n v="22.8"/>
    <n v="0"/>
    <n v="2"/>
    <n v="21"/>
    <n v="57"/>
    <s v="Yes"/>
    <s v="No"/>
    <s v="Yes"/>
    <s v="No"/>
    <s v="Yes"/>
    <s v="No"/>
    <m/>
    <s v="1+ Failures"/>
    <n v="1"/>
    <s v="20+ hrs"/>
    <x v="1"/>
  </r>
  <r>
    <n v="1095"/>
    <d v="2024-10-29T00:00:00"/>
    <s v="Premium"/>
    <n v="699"/>
    <n v="11.4"/>
    <n v="3"/>
    <n v="4"/>
    <n v="26"/>
    <n v="39"/>
    <s v="No"/>
    <s v="No"/>
    <s v="Yes"/>
    <s v="No"/>
    <s v="Yes"/>
    <s v="No"/>
    <m/>
    <s v="1+ Failures"/>
    <n v="0"/>
    <s v="10-20hrs"/>
    <x v="1"/>
  </r>
  <r>
    <n v="1096"/>
    <d v="2023-02-07T00:00:00"/>
    <s v="Standard"/>
    <n v="399"/>
    <n v="22.2"/>
    <n v="6"/>
    <n v="1"/>
    <n v="23"/>
    <n v="56"/>
    <s v="Yes"/>
    <s v="No"/>
    <s v="Yes"/>
    <s v="Yes"/>
    <s v="Yes"/>
    <s v="No"/>
    <m/>
    <s v="1+ Failures"/>
    <n v="1"/>
    <s v="20+ hrs"/>
    <x v="1"/>
  </r>
  <r>
    <n v="1097"/>
    <d v="2023-04-06T00:00:00"/>
    <s v="Premium"/>
    <n v="699"/>
    <n v="10.1"/>
    <n v="2"/>
    <n v="4"/>
    <n v="22"/>
    <n v="34"/>
    <s v="Yes"/>
    <s v="No"/>
    <s v="Yes"/>
    <s v="No"/>
    <s v="Yes"/>
    <s v="No"/>
    <m/>
    <s v="1+ Failures"/>
    <n v="1"/>
    <s v="10-20hrs"/>
    <x v="1"/>
  </r>
  <r>
    <n v="1098"/>
    <d v="2024-07-06T00:00:00"/>
    <s v="Premium"/>
    <n v="699"/>
    <n v="8.1999999999999993"/>
    <n v="5"/>
    <n v="5"/>
    <n v="36"/>
    <n v="10"/>
    <s v="Yes"/>
    <s v="No"/>
    <s v="Yes"/>
    <s v="Yes"/>
    <s v="No"/>
    <s v="No"/>
    <m/>
    <s v="1+ Failures"/>
    <n v="1"/>
    <s v="5-10 hrs"/>
    <x v="1"/>
  </r>
  <r>
    <n v="1099"/>
    <d v="2023-04-24T00:00:00"/>
    <s v="Premium"/>
    <n v="699"/>
    <n v="6.4"/>
    <n v="4"/>
    <n v="5"/>
    <n v="17"/>
    <n v="27"/>
    <s v="No"/>
    <s v="No"/>
    <s v="Yes"/>
    <s v="No"/>
    <s v="Yes"/>
    <s v="No"/>
    <m/>
    <s v="1+ Failures"/>
    <n v="0"/>
    <s v="5-10 hrs"/>
    <x v="1"/>
  </r>
  <r>
    <n v="1100"/>
    <d v="2023-02-18T00:00:00"/>
    <s v="Premium"/>
    <n v="699"/>
    <n v="21.1"/>
    <n v="4"/>
    <n v="5"/>
    <n v="4"/>
    <n v="32"/>
    <s v="Yes"/>
    <s v="No"/>
    <s v="Yes"/>
    <s v="No"/>
    <s v="Yes"/>
    <s v="Yes"/>
    <m/>
    <s v="1+ Failures"/>
    <n v="1"/>
    <s v="20+ hrs"/>
    <x v="3"/>
  </r>
  <r>
    <n v="1101"/>
    <d v="2024-08-18T00:00:00"/>
    <s v="Premium"/>
    <n v="699"/>
    <n v="11.5"/>
    <n v="0"/>
    <n v="3"/>
    <n v="8"/>
    <n v="21"/>
    <s v="No"/>
    <s v="No"/>
    <s v="Yes"/>
    <s v="No"/>
    <s v="Yes"/>
    <s v="No"/>
    <m/>
    <s v="1+ Failures"/>
    <n v="0"/>
    <s v="10-20hrs"/>
    <x v="0"/>
  </r>
  <r>
    <n v="1102"/>
    <d v="2024-08-09T00:00:00"/>
    <s v="Premium"/>
    <n v="699"/>
    <n v="21.2"/>
    <n v="3"/>
    <n v="2"/>
    <n v="35"/>
    <n v="19"/>
    <s v="Yes"/>
    <s v="No"/>
    <s v="Yes"/>
    <s v="No"/>
    <s v="Yes"/>
    <s v="No"/>
    <m/>
    <s v="1+ Failures"/>
    <n v="1"/>
    <s v="20+ hrs"/>
    <x v="1"/>
  </r>
  <r>
    <n v="1103"/>
    <d v="2024-06-12T00:00:00"/>
    <s v="Premium"/>
    <n v="699"/>
    <n v="18"/>
    <n v="8"/>
    <n v="5"/>
    <n v="9"/>
    <n v="15"/>
    <s v="Yes"/>
    <s v="No"/>
    <s v="Yes"/>
    <s v="Yes"/>
    <s v="Yes"/>
    <s v="No"/>
    <m/>
    <s v="1+ Failures"/>
    <n v="1"/>
    <s v="10-20hrs"/>
    <x v="0"/>
  </r>
  <r>
    <n v="1104"/>
    <d v="2024-03-11T00:00:00"/>
    <s v="Premium"/>
    <n v="699"/>
    <n v="20.7"/>
    <n v="5"/>
    <n v="3"/>
    <n v="13"/>
    <n v="6"/>
    <s v="Yes"/>
    <s v="No"/>
    <s v="Yes"/>
    <s v="Yes"/>
    <s v="No"/>
    <s v="No"/>
    <m/>
    <s v="1+ Failures"/>
    <n v="1"/>
    <s v="20+ hrs"/>
    <x v="1"/>
  </r>
  <r>
    <n v="1105"/>
    <d v="2023-03-21T00:00:00"/>
    <s v="Standard"/>
    <n v="399"/>
    <n v="2.8"/>
    <n v="6"/>
    <n v="1"/>
    <n v="6"/>
    <n v="30"/>
    <s v="Yes"/>
    <s v="Yes"/>
    <s v="Yes"/>
    <s v="Yes"/>
    <s v="Yes"/>
    <s v="No"/>
    <m/>
    <s v="1+ Failures"/>
    <n v="1"/>
    <s v="0-5 hrs"/>
    <x v="3"/>
  </r>
  <r>
    <n v="1106"/>
    <d v="2023-09-28T00:00:00"/>
    <s v="Standard"/>
    <n v="399"/>
    <n v="10.4"/>
    <n v="8"/>
    <n v="4"/>
    <n v="34"/>
    <n v="49"/>
    <s v="Yes"/>
    <s v="No"/>
    <s v="Yes"/>
    <s v="Yes"/>
    <s v="Yes"/>
    <s v="No"/>
    <m/>
    <s v="1+ Failures"/>
    <n v="1"/>
    <s v="10-20hrs"/>
    <x v="1"/>
  </r>
  <r>
    <n v="1107"/>
    <d v="2024-03-02T00:00:00"/>
    <s v="Premium"/>
    <n v="699"/>
    <n v="16.100000000000001"/>
    <n v="7"/>
    <n v="5"/>
    <n v="32"/>
    <n v="59"/>
    <s v="No"/>
    <s v="No"/>
    <s v="Yes"/>
    <s v="Yes"/>
    <s v="Yes"/>
    <s v="No"/>
    <m/>
    <s v="1+ Failures"/>
    <n v="0"/>
    <s v="10-20hrs"/>
    <x v="1"/>
  </r>
  <r>
    <n v="1108"/>
    <d v="2024-12-22T00:00:00"/>
    <s v="Basic"/>
    <n v="199"/>
    <n v="12.9"/>
    <n v="7"/>
    <n v="5"/>
    <n v="10"/>
    <n v="29"/>
    <s v="Yes"/>
    <s v="No"/>
    <s v="Yes"/>
    <s v="Yes"/>
    <s v="Yes"/>
    <s v="No"/>
    <m/>
    <s v="1+ Failures"/>
    <n v="1"/>
    <s v="10-20hrs"/>
    <x v="0"/>
  </r>
  <r>
    <n v="1109"/>
    <d v="2023-06-10T00:00:00"/>
    <s v="Premium"/>
    <n v="699"/>
    <n v="3.4"/>
    <n v="3"/>
    <n v="3"/>
    <n v="34"/>
    <n v="30"/>
    <s v="Yes"/>
    <s v="Yes"/>
    <s v="Yes"/>
    <s v="No"/>
    <s v="Yes"/>
    <s v="No"/>
    <m/>
    <s v="1+ Failures"/>
    <n v="1"/>
    <s v="0-5 hrs"/>
    <x v="1"/>
  </r>
  <r>
    <n v="1110"/>
    <d v="2023-05-04T00:00:00"/>
    <s v="Premium"/>
    <n v="699"/>
    <n v="23.1"/>
    <n v="1"/>
    <n v="4"/>
    <n v="24"/>
    <n v="54"/>
    <s v="Yes"/>
    <s v="No"/>
    <s v="Yes"/>
    <s v="No"/>
    <s v="Yes"/>
    <s v="No"/>
    <m/>
    <s v="1+ Failures"/>
    <n v="1"/>
    <s v="20+ hrs"/>
    <x v="1"/>
  </r>
  <r>
    <n v="1111"/>
    <d v="2024-01-19T00:00:00"/>
    <s v="Standard"/>
    <n v="399"/>
    <n v="1.5"/>
    <n v="2"/>
    <n v="0"/>
    <n v="19"/>
    <n v="23"/>
    <s v="Yes"/>
    <s v="Yes"/>
    <s v="No"/>
    <s v="No"/>
    <s v="Yes"/>
    <s v="No"/>
    <m/>
    <s v="0 Failures"/>
    <n v="1"/>
    <s v="0-5 hrs"/>
    <x v="1"/>
  </r>
  <r>
    <n v="1112"/>
    <d v="2023-02-19T00:00:00"/>
    <s v="Standard"/>
    <n v="399"/>
    <n v="12.4"/>
    <n v="2"/>
    <n v="1"/>
    <n v="19"/>
    <n v="50"/>
    <s v="No"/>
    <s v="No"/>
    <s v="Yes"/>
    <s v="No"/>
    <s v="Yes"/>
    <s v="No"/>
    <m/>
    <s v="1+ Failures"/>
    <n v="0"/>
    <s v="10-20hrs"/>
    <x v="1"/>
  </r>
  <r>
    <n v="1113"/>
    <d v="2023-03-11T00:00:00"/>
    <s v="Standard"/>
    <n v="399"/>
    <n v="5.8"/>
    <n v="7"/>
    <n v="0"/>
    <n v="19"/>
    <n v="7"/>
    <s v="No"/>
    <s v="No"/>
    <s v="No"/>
    <s v="Yes"/>
    <s v="No"/>
    <s v="No"/>
    <m/>
    <s v="0 Failures"/>
    <n v="0"/>
    <s v="5-10 hrs"/>
    <x v="1"/>
  </r>
  <r>
    <n v="1114"/>
    <d v="2024-01-22T00:00:00"/>
    <s v="Basic"/>
    <n v="199"/>
    <n v="12.3"/>
    <n v="4"/>
    <n v="4"/>
    <n v="27"/>
    <n v="28"/>
    <s v="No"/>
    <s v="No"/>
    <s v="Yes"/>
    <s v="No"/>
    <s v="Yes"/>
    <s v="No"/>
    <m/>
    <s v="1+ Failures"/>
    <n v="0"/>
    <s v="10-20hrs"/>
    <x v="1"/>
  </r>
  <r>
    <n v="1115"/>
    <d v="2024-11-14T00:00:00"/>
    <s v="Standard"/>
    <n v="399"/>
    <n v="19.2"/>
    <n v="8"/>
    <n v="5"/>
    <n v="9"/>
    <n v="29"/>
    <s v="No"/>
    <s v="No"/>
    <s v="Yes"/>
    <s v="Yes"/>
    <s v="Yes"/>
    <s v="No"/>
    <m/>
    <s v="1+ Failures"/>
    <n v="0"/>
    <s v="10-20hrs"/>
    <x v="0"/>
  </r>
  <r>
    <n v="1116"/>
    <d v="2024-09-30T00:00:00"/>
    <s v="Standard"/>
    <n v="399"/>
    <n v="21.7"/>
    <n v="5"/>
    <n v="0"/>
    <n v="10"/>
    <n v="51"/>
    <s v="No"/>
    <s v="No"/>
    <s v="No"/>
    <s v="Yes"/>
    <s v="Yes"/>
    <s v="No"/>
    <m/>
    <s v="0 Failures"/>
    <n v="0"/>
    <s v="20+ hrs"/>
    <x v="0"/>
  </r>
  <r>
    <n v="1117"/>
    <d v="2024-11-17T00:00:00"/>
    <s v="Standard"/>
    <n v="399"/>
    <n v="6.2"/>
    <n v="6"/>
    <n v="2"/>
    <n v="25"/>
    <n v="34"/>
    <s v="Yes"/>
    <s v="No"/>
    <s v="Yes"/>
    <s v="Yes"/>
    <s v="Yes"/>
    <s v="No"/>
    <m/>
    <s v="1+ Failures"/>
    <n v="1"/>
    <s v="5-10 hrs"/>
    <x v="1"/>
  </r>
  <r>
    <n v="1118"/>
    <d v="2024-12-25T00:00:00"/>
    <s v="Standard"/>
    <n v="399"/>
    <n v="16.3"/>
    <n v="2"/>
    <n v="5"/>
    <n v="18"/>
    <n v="1"/>
    <s v="No"/>
    <s v="No"/>
    <s v="Yes"/>
    <s v="No"/>
    <s v="No"/>
    <s v="No"/>
    <m/>
    <s v="1+ Failures"/>
    <n v="0"/>
    <s v="10-20hrs"/>
    <x v="1"/>
  </r>
  <r>
    <n v="1119"/>
    <d v="2024-07-08T00:00:00"/>
    <s v="Standard"/>
    <n v="399"/>
    <n v="16.3"/>
    <n v="8"/>
    <n v="0"/>
    <n v="36"/>
    <n v="12"/>
    <s v="No"/>
    <s v="No"/>
    <s v="No"/>
    <s v="Yes"/>
    <s v="No"/>
    <s v="No"/>
    <m/>
    <s v="0 Failures"/>
    <n v="0"/>
    <s v="10-20hrs"/>
    <x v="1"/>
  </r>
  <r>
    <n v="1120"/>
    <d v="2023-01-20T00:00:00"/>
    <s v="Premium"/>
    <n v="699"/>
    <n v="24"/>
    <n v="8"/>
    <n v="1"/>
    <n v="4"/>
    <n v="48"/>
    <s v="Yes"/>
    <s v="No"/>
    <s v="Yes"/>
    <s v="Yes"/>
    <s v="Yes"/>
    <s v="Yes"/>
    <m/>
    <s v="1+ Failures"/>
    <n v="1"/>
    <s v="20+ hrs"/>
    <x v="3"/>
  </r>
  <r>
    <n v="1121"/>
    <d v="2024-12-23T00:00:00"/>
    <s v="Basic"/>
    <n v="199"/>
    <n v="4.9000000000000004"/>
    <n v="0"/>
    <n v="2"/>
    <n v="35"/>
    <n v="50"/>
    <s v="Yes"/>
    <s v="Yes"/>
    <s v="Yes"/>
    <s v="No"/>
    <s v="Yes"/>
    <s v="No"/>
    <m/>
    <s v="1+ Failures"/>
    <n v="1"/>
    <s v="0-5 hrs"/>
    <x v="1"/>
  </r>
  <r>
    <n v="1122"/>
    <d v="2023-02-16T00:00:00"/>
    <s v="Premium"/>
    <n v="699"/>
    <n v="2.6"/>
    <n v="8"/>
    <n v="4"/>
    <n v="29"/>
    <n v="20"/>
    <s v="Yes"/>
    <s v="Yes"/>
    <s v="Yes"/>
    <s v="Yes"/>
    <s v="Yes"/>
    <s v="No"/>
    <m/>
    <s v="1+ Failures"/>
    <n v="1"/>
    <s v="0-5 hrs"/>
    <x v="1"/>
  </r>
  <r>
    <n v="1123"/>
    <d v="2023-11-21T00:00:00"/>
    <s v="Standard"/>
    <n v="399"/>
    <n v="8.8000000000000007"/>
    <n v="2"/>
    <n v="3"/>
    <n v="2"/>
    <n v="1"/>
    <s v="No"/>
    <s v="No"/>
    <s v="Yes"/>
    <s v="No"/>
    <s v="No"/>
    <s v="Yes"/>
    <m/>
    <s v="1+ Failures"/>
    <n v="0"/>
    <s v="5-10 hrs"/>
    <x v="2"/>
  </r>
  <r>
    <n v="1124"/>
    <d v="2023-07-07T00:00:00"/>
    <s v="Standard"/>
    <n v="399"/>
    <n v="2.7"/>
    <n v="1"/>
    <n v="4"/>
    <n v="17"/>
    <n v="10"/>
    <s v="Yes"/>
    <s v="Yes"/>
    <s v="Yes"/>
    <s v="No"/>
    <s v="No"/>
    <s v="No"/>
    <m/>
    <s v="1+ Failures"/>
    <n v="1"/>
    <s v="0-5 hrs"/>
    <x v="1"/>
  </r>
  <r>
    <n v="1125"/>
    <d v="2023-11-30T00:00:00"/>
    <s v="Standard"/>
    <n v="399"/>
    <n v="4.3"/>
    <n v="6"/>
    <n v="5"/>
    <n v="6"/>
    <n v="10"/>
    <s v="Yes"/>
    <s v="Yes"/>
    <s v="Yes"/>
    <s v="Yes"/>
    <s v="No"/>
    <s v="No"/>
    <m/>
    <s v="1+ Failures"/>
    <n v="1"/>
    <s v="0-5 hrs"/>
    <x v="3"/>
  </r>
  <r>
    <n v="1126"/>
    <d v="2024-02-27T00:00:00"/>
    <s v="Basic"/>
    <n v="199"/>
    <n v="18"/>
    <n v="4"/>
    <n v="3"/>
    <n v="2"/>
    <n v="6"/>
    <s v="Yes"/>
    <s v="No"/>
    <s v="Yes"/>
    <s v="No"/>
    <s v="No"/>
    <s v="Yes"/>
    <m/>
    <s v="1+ Failures"/>
    <n v="1"/>
    <s v="10-20hrs"/>
    <x v="2"/>
  </r>
  <r>
    <n v="1127"/>
    <d v="2024-09-03T00:00:00"/>
    <s v="Standard"/>
    <n v="399"/>
    <n v="9.6999999999999993"/>
    <n v="1"/>
    <n v="0"/>
    <n v="17"/>
    <n v="12"/>
    <s v="No"/>
    <s v="No"/>
    <s v="No"/>
    <s v="No"/>
    <s v="No"/>
    <s v="No"/>
    <m/>
    <s v="0 Failures"/>
    <n v="0"/>
    <s v="5-10 hrs"/>
    <x v="1"/>
  </r>
  <r>
    <n v="1128"/>
    <d v="2023-03-04T00:00:00"/>
    <s v="Premium"/>
    <n v="699"/>
    <n v="12.6"/>
    <n v="8"/>
    <n v="3"/>
    <n v="16"/>
    <n v="60"/>
    <s v="Yes"/>
    <s v="No"/>
    <s v="Yes"/>
    <s v="Yes"/>
    <s v="Yes"/>
    <s v="No"/>
    <m/>
    <s v="1+ Failures"/>
    <n v="1"/>
    <s v="10-20hrs"/>
    <x v="1"/>
  </r>
  <r>
    <n v="1129"/>
    <d v="2023-08-28T00:00:00"/>
    <s v="Standard"/>
    <n v="399"/>
    <n v="14.1"/>
    <n v="1"/>
    <n v="3"/>
    <n v="30"/>
    <n v="1"/>
    <s v="No"/>
    <s v="No"/>
    <s v="Yes"/>
    <s v="No"/>
    <s v="No"/>
    <s v="No"/>
    <m/>
    <s v="1+ Failures"/>
    <n v="0"/>
    <s v="10-20hrs"/>
    <x v="1"/>
  </r>
  <r>
    <n v="1130"/>
    <d v="2023-05-09T00:00:00"/>
    <s v="Basic"/>
    <n v="199"/>
    <n v="14.1"/>
    <n v="1"/>
    <n v="1"/>
    <n v="18"/>
    <n v="48"/>
    <s v="No"/>
    <s v="No"/>
    <s v="Yes"/>
    <s v="No"/>
    <s v="Yes"/>
    <s v="No"/>
    <m/>
    <s v="1+ Failures"/>
    <n v="0"/>
    <s v="10-20hrs"/>
    <x v="1"/>
  </r>
  <r>
    <n v="1131"/>
    <d v="2024-01-18T00:00:00"/>
    <s v="Standard"/>
    <n v="399"/>
    <n v="11.4"/>
    <n v="8"/>
    <n v="1"/>
    <n v="27"/>
    <n v="50"/>
    <s v="No"/>
    <s v="No"/>
    <s v="Yes"/>
    <s v="Yes"/>
    <s v="Yes"/>
    <s v="No"/>
    <m/>
    <s v="1+ Failures"/>
    <n v="0"/>
    <s v="10-20hrs"/>
    <x v="1"/>
  </r>
  <r>
    <n v="1132"/>
    <d v="2023-02-12T00:00:00"/>
    <s v="Premium"/>
    <n v="699"/>
    <n v="19.7"/>
    <n v="8"/>
    <n v="3"/>
    <n v="11"/>
    <n v="58"/>
    <s v="Yes"/>
    <s v="No"/>
    <s v="Yes"/>
    <s v="Yes"/>
    <s v="Yes"/>
    <s v="No"/>
    <m/>
    <s v="1+ Failures"/>
    <n v="1"/>
    <s v="10-20hrs"/>
    <x v="0"/>
  </r>
  <r>
    <n v="1133"/>
    <d v="2024-05-08T00:00:00"/>
    <s v="Basic"/>
    <n v="199"/>
    <n v="24"/>
    <n v="4"/>
    <n v="5"/>
    <n v="30"/>
    <n v="10"/>
    <s v="Yes"/>
    <s v="No"/>
    <s v="Yes"/>
    <s v="No"/>
    <s v="No"/>
    <s v="No"/>
    <m/>
    <s v="1+ Failures"/>
    <n v="1"/>
    <s v="20+ hrs"/>
    <x v="1"/>
  </r>
  <r>
    <n v="1134"/>
    <d v="2024-08-22T00:00:00"/>
    <s v="Standard"/>
    <n v="399"/>
    <n v="21.1"/>
    <n v="6"/>
    <n v="2"/>
    <n v="17"/>
    <n v="53"/>
    <s v="Yes"/>
    <s v="No"/>
    <s v="Yes"/>
    <s v="Yes"/>
    <s v="Yes"/>
    <s v="No"/>
    <m/>
    <s v="1+ Failures"/>
    <n v="1"/>
    <s v="20+ hrs"/>
    <x v="1"/>
  </r>
  <r>
    <n v="1135"/>
    <d v="2024-02-09T00:00:00"/>
    <s v="Premium"/>
    <n v="699"/>
    <n v="1.6"/>
    <n v="8"/>
    <n v="4"/>
    <n v="19"/>
    <n v="4"/>
    <s v="Yes"/>
    <s v="Yes"/>
    <s v="Yes"/>
    <s v="Yes"/>
    <s v="No"/>
    <s v="No"/>
    <m/>
    <s v="1+ Failures"/>
    <n v="1"/>
    <s v="0-5 hrs"/>
    <x v="1"/>
  </r>
  <r>
    <n v="1136"/>
    <d v="2024-09-17T00:00:00"/>
    <s v="Premium"/>
    <n v="699"/>
    <n v="20.8"/>
    <n v="8"/>
    <n v="2"/>
    <n v="8"/>
    <n v="56"/>
    <s v="Yes"/>
    <s v="No"/>
    <s v="Yes"/>
    <s v="Yes"/>
    <s v="Yes"/>
    <s v="No"/>
    <m/>
    <s v="1+ Failures"/>
    <n v="1"/>
    <s v="20+ hrs"/>
    <x v="0"/>
  </r>
  <r>
    <n v="1137"/>
    <d v="2024-12-25T00:00:00"/>
    <s v="Premium"/>
    <n v="699"/>
    <n v="22.2"/>
    <n v="5"/>
    <n v="5"/>
    <n v="21"/>
    <n v="16"/>
    <s v="No"/>
    <s v="No"/>
    <s v="Yes"/>
    <s v="Yes"/>
    <s v="Yes"/>
    <s v="No"/>
    <m/>
    <s v="1+ Failures"/>
    <n v="0"/>
    <s v="20+ hrs"/>
    <x v="1"/>
  </r>
  <r>
    <n v="1138"/>
    <d v="2024-09-05T00:00:00"/>
    <s v="Standard"/>
    <n v="399"/>
    <n v="6.5"/>
    <n v="5"/>
    <n v="2"/>
    <n v="18"/>
    <n v="13"/>
    <s v="Yes"/>
    <s v="No"/>
    <s v="Yes"/>
    <s v="Yes"/>
    <s v="No"/>
    <s v="No"/>
    <m/>
    <s v="1+ Failures"/>
    <n v="1"/>
    <s v="5-10 hrs"/>
    <x v="1"/>
  </r>
  <r>
    <n v="1139"/>
    <d v="2024-05-02T00:00:00"/>
    <s v="Standard"/>
    <n v="399"/>
    <n v="22.9"/>
    <n v="2"/>
    <n v="5"/>
    <n v="2"/>
    <n v="59"/>
    <s v="Yes"/>
    <s v="No"/>
    <s v="Yes"/>
    <s v="No"/>
    <s v="Yes"/>
    <s v="Yes"/>
    <m/>
    <s v="1+ Failures"/>
    <n v="1"/>
    <s v="20+ hrs"/>
    <x v="2"/>
  </r>
  <r>
    <n v="1140"/>
    <d v="2024-05-15T00:00:00"/>
    <s v="Basic"/>
    <n v="199"/>
    <n v="17"/>
    <n v="6"/>
    <n v="4"/>
    <n v="1"/>
    <n v="57"/>
    <s v="Yes"/>
    <s v="No"/>
    <s v="Yes"/>
    <s v="Yes"/>
    <s v="Yes"/>
    <s v="Yes"/>
    <m/>
    <s v="1+ Failures"/>
    <n v="1"/>
    <s v="10-20hrs"/>
    <x v="2"/>
  </r>
  <r>
    <n v="1141"/>
    <d v="2024-11-18T00:00:00"/>
    <s v="Standard"/>
    <n v="399"/>
    <n v="2.5"/>
    <n v="1"/>
    <n v="4"/>
    <n v="35"/>
    <n v="1"/>
    <s v="No"/>
    <s v="Yes"/>
    <s v="Yes"/>
    <s v="No"/>
    <s v="No"/>
    <s v="No"/>
    <m/>
    <s v="1+ Failures"/>
    <n v="0"/>
    <s v="0-5 hrs"/>
    <x v="1"/>
  </r>
  <r>
    <n v="1142"/>
    <d v="2024-12-14T00:00:00"/>
    <s v="Standard"/>
    <n v="399"/>
    <n v="9.1"/>
    <n v="6"/>
    <n v="4"/>
    <n v="8"/>
    <n v="22"/>
    <s v="Yes"/>
    <s v="No"/>
    <s v="Yes"/>
    <s v="Yes"/>
    <s v="Yes"/>
    <s v="No"/>
    <m/>
    <s v="1+ Failures"/>
    <n v="1"/>
    <s v="5-10 hrs"/>
    <x v="0"/>
  </r>
  <r>
    <n v="1143"/>
    <d v="2023-01-21T00:00:00"/>
    <s v="Basic"/>
    <n v="199"/>
    <n v="11.8"/>
    <n v="3"/>
    <n v="3"/>
    <n v="8"/>
    <n v="0"/>
    <s v="Yes"/>
    <s v="No"/>
    <s v="Yes"/>
    <s v="No"/>
    <s v="No"/>
    <s v="No"/>
    <m/>
    <s v="1+ Failures"/>
    <n v="1"/>
    <s v="10-20hrs"/>
    <x v="0"/>
  </r>
  <r>
    <n v="1144"/>
    <d v="2024-05-20T00:00:00"/>
    <s v="Standard"/>
    <n v="399"/>
    <n v="5.2"/>
    <n v="4"/>
    <n v="5"/>
    <n v="23"/>
    <n v="14"/>
    <s v="Yes"/>
    <s v="No"/>
    <s v="Yes"/>
    <s v="No"/>
    <s v="No"/>
    <s v="No"/>
    <m/>
    <s v="1+ Failures"/>
    <n v="1"/>
    <s v="5-10 hrs"/>
    <x v="1"/>
  </r>
  <r>
    <n v="1145"/>
    <d v="2024-10-15T00:00:00"/>
    <s v="Standard"/>
    <n v="399"/>
    <n v="7.4"/>
    <n v="3"/>
    <n v="0"/>
    <n v="3"/>
    <n v="12"/>
    <s v="No"/>
    <s v="No"/>
    <s v="No"/>
    <s v="No"/>
    <s v="No"/>
    <s v="Yes"/>
    <m/>
    <s v="0 Failures"/>
    <n v="0"/>
    <s v="5-10 hrs"/>
    <x v="2"/>
  </r>
  <r>
    <n v="1146"/>
    <d v="2024-11-06T00:00:00"/>
    <s v="Standard"/>
    <n v="399"/>
    <n v="21.8"/>
    <n v="8"/>
    <n v="3"/>
    <n v="8"/>
    <n v="10"/>
    <s v="No"/>
    <s v="No"/>
    <s v="Yes"/>
    <s v="Yes"/>
    <s v="No"/>
    <s v="No"/>
    <m/>
    <s v="1+ Failures"/>
    <n v="0"/>
    <s v="20+ hrs"/>
    <x v="0"/>
  </r>
  <r>
    <n v="1147"/>
    <d v="2024-08-06T00:00:00"/>
    <s v="Premium"/>
    <n v="699"/>
    <n v="2.1"/>
    <n v="2"/>
    <n v="5"/>
    <n v="12"/>
    <n v="4"/>
    <s v="Yes"/>
    <s v="Yes"/>
    <s v="Yes"/>
    <s v="No"/>
    <s v="No"/>
    <s v="No"/>
    <m/>
    <s v="1+ Failures"/>
    <n v="1"/>
    <s v="0-5 hrs"/>
    <x v="0"/>
  </r>
  <r>
    <n v="1148"/>
    <d v="2024-12-10T00:00:00"/>
    <s v="Basic"/>
    <n v="199"/>
    <n v="18.399999999999999"/>
    <n v="4"/>
    <n v="1"/>
    <n v="34"/>
    <n v="54"/>
    <s v="No"/>
    <s v="No"/>
    <s v="Yes"/>
    <s v="No"/>
    <s v="Yes"/>
    <s v="No"/>
    <m/>
    <s v="1+ Failures"/>
    <n v="0"/>
    <s v="10-20hrs"/>
    <x v="1"/>
  </r>
  <r>
    <n v="1149"/>
    <d v="2024-10-18T00:00:00"/>
    <s v="Premium"/>
    <n v="699"/>
    <n v="15.6"/>
    <n v="8"/>
    <n v="3"/>
    <n v="35"/>
    <n v="0"/>
    <s v="No"/>
    <s v="No"/>
    <s v="Yes"/>
    <s v="Yes"/>
    <s v="No"/>
    <s v="No"/>
    <m/>
    <s v="1+ Failures"/>
    <n v="0"/>
    <s v="10-20hrs"/>
    <x v="1"/>
  </r>
  <r>
    <n v="1150"/>
    <d v="2023-10-08T00:00:00"/>
    <s v="Premium"/>
    <n v="699"/>
    <n v="21.4"/>
    <n v="5"/>
    <n v="3"/>
    <n v="4"/>
    <n v="54"/>
    <s v="No"/>
    <s v="No"/>
    <s v="Yes"/>
    <s v="Yes"/>
    <s v="Yes"/>
    <s v="Yes"/>
    <m/>
    <s v="1+ Failures"/>
    <n v="0"/>
    <s v="20+ hrs"/>
    <x v="3"/>
  </r>
  <r>
    <n v="1151"/>
    <d v="2023-08-18T00:00:00"/>
    <s v="Basic"/>
    <n v="199"/>
    <n v="11.9"/>
    <n v="5"/>
    <n v="4"/>
    <n v="34"/>
    <n v="48"/>
    <s v="Yes"/>
    <s v="No"/>
    <s v="Yes"/>
    <s v="Yes"/>
    <s v="Yes"/>
    <s v="No"/>
    <m/>
    <s v="1+ Failures"/>
    <n v="1"/>
    <s v="10-20hrs"/>
    <x v="1"/>
  </r>
  <r>
    <n v="1152"/>
    <d v="2023-07-19T00:00:00"/>
    <s v="Basic"/>
    <n v="199"/>
    <n v="23"/>
    <n v="8"/>
    <n v="3"/>
    <n v="18"/>
    <n v="20"/>
    <s v="Yes"/>
    <s v="No"/>
    <s v="Yes"/>
    <s v="Yes"/>
    <s v="Yes"/>
    <s v="No"/>
    <m/>
    <s v="1+ Failures"/>
    <n v="1"/>
    <s v="20+ hrs"/>
    <x v="1"/>
  </r>
  <r>
    <n v="1153"/>
    <d v="2024-03-09T00:00:00"/>
    <s v="Standard"/>
    <n v="399"/>
    <n v="22.1"/>
    <n v="0"/>
    <n v="5"/>
    <n v="6"/>
    <n v="14"/>
    <s v="No"/>
    <s v="No"/>
    <s v="Yes"/>
    <s v="No"/>
    <s v="No"/>
    <s v="No"/>
    <m/>
    <s v="1+ Failures"/>
    <n v="0"/>
    <s v="20+ hrs"/>
    <x v="3"/>
  </r>
  <r>
    <n v="1154"/>
    <d v="2023-04-10T00:00:00"/>
    <s v="Basic"/>
    <n v="199"/>
    <n v="5.3"/>
    <n v="5"/>
    <n v="2"/>
    <n v="16"/>
    <n v="4"/>
    <s v="No"/>
    <s v="No"/>
    <s v="Yes"/>
    <s v="Yes"/>
    <s v="No"/>
    <s v="No"/>
    <m/>
    <s v="1+ Failures"/>
    <n v="0"/>
    <s v="5-10 hrs"/>
    <x v="1"/>
  </r>
  <r>
    <n v="1155"/>
    <d v="2023-12-09T00:00:00"/>
    <s v="Basic"/>
    <n v="199"/>
    <n v="11.1"/>
    <n v="0"/>
    <n v="4"/>
    <n v="31"/>
    <n v="51"/>
    <s v="No"/>
    <s v="No"/>
    <s v="Yes"/>
    <s v="No"/>
    <s v="Yes"/>
    <s v="No"/>
    <m/>
    <s v="1+ Failures"/>
    <n v="0"/>
    <s v="10-20hrs"/>
    <x v="1"/>
  </r>
  <r>
    <n v="1156"/>
    <d v="2023-12-08T00:00:00"/>
    <s v="Standard"/>
    <n v="399"/>
    <n v="3.1"/>
    <n v="3"/>
    <n v="2"/>
    <n v="16"/>
    <n v="53"/>
    <s v="Yes"/>
    <s v="Yes"/>
    <s v="Yes"/>
    <s v="No"/>
    <s v="Yes"/>
    <s v="No"/>
    <m/>
    <s v="1+ Failures"/>
    <n v="1"/>
    <s v="0-5 hrs"/>
    <x v="1"/>
  </r>
  <r>
    <n v="1157"/>
    <d v="2023-05-08T00:00:00"/>
    <s v="Premium"/>
    <n v="699"/>
    <n v="23.6"/>
    <n v="7"/>
    <n v="0"/>
    <n v="16"/>
    <n v="40"/>
    <s v="Yes"/>
    <s v="No"/>
    <s v="No"/>
    <s v="Yes"/>
    <s v="Yes"/>
    <s v="No"/>
    <m/>
    <s v="0 Failures"/>
    <n v="1"/>
    <s v="20+ hrs"/>
    <x v="1"/>
  </r>
  <r>
    <n v="1158"/>
    <d v="2023-03-08T00:00:00"/>
    <s v="Basic"/>
    <n v="199"/>
    <n v="23"/>
    <n v="6"/>
    <n v="2"/>
    <n v="4"/>
    <n v="56"/>
    <s v="No"/>
    <s v="No"/>
    <s v="Yes"/>
    <s v="Yes"/>
    <s v="Yes"/>
    <s v="Yes"/>
    <m/>
    <s v="1+ Failures"/>
    <n v="0"/>
    <s v="20+ hrs"/>
    <x v="3"/>
  </r>
  <r>
    <n v="1159"/>
    <d v="2024-03-18T00:00:00"/>
    <s v="Basic"/>
    <n v="199"/>
    <n v="23"/>
    <n v="7"/>
    <n v="0"/>
    <n v="4"/>
    <n v="19"/>
    <s v="No"/>
    <s v="No"/>
    <s v="No"/>
    <s v="Yes"/>
    <s v="Yes"/>
    <s v="Yes"/>
    <m/>
    <s v="0 Failures"/>
    <n v="0"/>
    <s v="20+ hrs"/>
    <x v="3"/>
  </r>
  <r>
    <n v="1160"/>
    <d v="2024-02-16T00:00:00"/>
    <s v="Basic"/>
    <n v="199"/>
    <n v="17.100000000000001"/>
    <n v="8"/>
    <n v="0"/>
    <n v="7"/>
    <n v="18"/>
    <s v="No"/>
    <s v="No"/>
    <s v="No"/>
    <s v="Yes"/>
    <s v="Yes"/>
    <s v="No"/>
    <m/>
    <s v="0 Failures"/>
    <n v="0"/>
    <s v="10-20hrs"/>
    <x v="0"/>
  </r>
  <r>
    <n v="1161"/>
    <d v="2024-03-14T00:00:00"/>
    <s v="Basic"/>
    <n v="199"/>
    <n v="6.2"/>
    <n v="0"/>
    <n v="3"/>
    <n v="27"/>
    <n v="24"/>
    <s v="Yes"/>
    <s v="No"/>
    <s v="Yes"/>
    <s v="No"/>
    <s v="Yes"/>
    <s v="No"/>
    <m/>
    <s v="1+ Failures"/>
    <n v="1"/>
    <s v="5-10 hrs"/>
    <x v="1"/>
  </r>
  <r>
    <n v="1162"/>
    <d v="2023-07-17T00:00:00"/>
    <s v="Premium"/>
    <n v="699"/>
    <n v="8.8000000000000007"/>
    <n v="0"/>
    <n v="3"/>
    <n v="7"/>
    <n v="33"/>
    <s v="Yes"/>
    <s v="No"/>
    <s v="Yes"/>
    <s v="No"/>
    <s v="Yes"/>
    <s v="No"/>
    <m/>
    <s v="1+ Failures"/>
    <n v="1"/>
    <s v="5-10 hrs"/>
    <x v="0"/>
  </r>
  <r>
    <n v="1163"/>
    <d v="2024-08-09T00:00:00"/>
    <s v="Basic"/>
    <n v="199"/>
    <n v="0.8"/>
    <n v="1"/>
    <n v="4"/>
    <n v="7"/>
    <n v="50"/>
    <s v="Yes"/>
    <s v="Yes"/>
    <s v="Yes"/>
    <s v="No"/>
    <s v="Yes"/>
    <s v="No"/>
    <m/>
    <s v="1+ Failures"/>
    <n v="1"/>
    <s v="0-5 hrs"/>
    <x v="0"/>
  </r>
  <r>
    <n v="1164"/>
    <d v="2023-07-10T00:00:00"/>
    <s v="Basic"/>
    <n v="199"/>
    <n v="6.8"/>
    <n v="6"/>
    <n v="3"/>
    <n v="33"/>
    <n v="46"/>
    <s v="Yes"/>
    <s v="No"/>
    <s v="Yes"/>
    <s v="Yes"/>
    <s v="Yes"/>
    <s v="No"/>
    <m/>
    <s v="1+ Failures"/>
    <n v="1"/>
    <s v="5-10 hrs"/>
    <x v="1"/>
  </r>
  <r>
    <n v="1165"/>
    <d v="2024-06-09T00:00:00"/>
    <s v="Basic"/>
    <n v="199"/>
    <n v="20"/>
    <n v="0"/>
    <n v="1"/>
    <n v="9"/>
    <n v="19"/>
    <s v="No"/>
    <s v="No"/>
    <s v="Yes"/>
    <s v="No"/>
    <s v="Yes"/>
    <s v="No"/>
    <m/>
    <s v="1+ Failures"/>
    <n v="0"/>
    <s v="10-20hrs"/>
    <x v="0"/>
  </r>
  <r>
    <n v="1166"/>
    <d v="2024-09-09T00:00:00"/>
    <s v="Premium"/>
    <n v="699"/>
    <n v="8.1"/>
    <n v="8"/>
    <n v="1"/>
    <n v="23"/>
    <n v="9"/>
    <s v="No"/>
    <s v="No"/>
    <s v="Yes"/>
    <s v="Yes"/>
    <s v="No"/>
    <s v="No"/>
    <m/>
    <s v="1+ Failures"/>
    <n v="0"/>
    <s v="5-10 hrs"/>
    <x v="1"/>
  </r>
  <r>
    <n v="1167"/>
    <d v="2023-05-29T00:00:00"/>
    <s v="Standard"/>
    <n v="399"/>
    <n v="9.5"/>
    <n v="0"/>
    <n v="4"/>
    <n v="19"/>
    <n v="37"/>
    <s v="No"/>
    <s v="No"/>
    <s v="Yes"/>
    <s v="No"/>
    <s v="Yes"/>
    <s v="No"/>
    <m/>
    <s v="1+ Failures"/>
    <n v="0"/>
    <s v="5-10 hrs"/>
    <x v="1"/>
  </r>
  <r>
    <n v="1168"/>
    <d v="2023-07-25T00:00:00"/>
    <s v="Basic"/>
    <n v="199"/>
    <n v="12.9"/>
    <n v="8"/>
    <n v="0"/>
    <n v="16"/>
    <n v="27"/>
    <s v="Yes"/>
    <s v="No"/>
    <s v="No"/>
    <s v="Yes"/>
    <s v="Yes"/>
    <s v="No"/>
    <m/>
    <s v="0 Failures"/>
    <n v="1"/>
    <s v="10-20hrs"/>
    <x v="1"/>
  </r>
  <r>
    <n v="1169"/>
    <d v="2024-12-09T00:00:00"/>
    <s v="Premium"/>
    <n v="699"/>
    <n v="19.7"/>
    <n v="5"/>
    <n v="1"/>
    <n v="13"/>
    <n v="42"/>
    <s v="Yes"/>
    <s v="No"/>
    <s v="Yes"/>
    <s v="Yes"/>
    <s v="Yes"/>
    <s v="No"/>
    <m/>
    <s v="1+ Failures"/>
    <n v="1"/>
    <s v="10-20hrs"/>
    <x v="1"/>
  </r>
  <r>
    <n v="1170"/>
    <d v="2023-06-16T00:00:00"/>
    <s v="Standard"/>
    <n v="399"/>
    <n v="21.4"/>
    <n v="5"/>
    <n v="4"/>
    <n v="22"/>
    <n v="19"/>
    <s v="Yes"/>
    <s v="No"/>
    <s v="Yes"/>
    <s v="Yes"/>
    <s v="Yes"/>
    <s v="No"/>
    <m/>
    <s v="1+ Failures"/>
    <n v="1"/>
    <s v="20+ hrs"/>
    <x v="1"/>
  </r>
  <r>
    <n v="1171"/>
    <d v="2024-10-16T00:00:00"/>
    <s v="Basic"/>
    <n v="199"/>
    <n v="22"/>
    <n v="0"/>
    <n v="3"/>
    <n v="30"/>
    <n v="14"/>
    <s v="No"/>
    <s v="No"/>
    <s v="Yes"/>
    <s v="No"/>
    <s v="No"/>
    <s v="No"/>
    <m/>
    <s v="1+ Failures"/>
    <n v="0"/>
    <s v="20+ hrs"/>
    <x v="1"/>
  </r>
  <r>
    <n v="1172"/>
    <d v="2023-12-06T00:00:00"/>
    <s v="Basic"/>
    <n v="199"/>
    <n v="11.9"/>
    <n v="3"/>
    <n v="1"/>
    <n v="15"/>
    <n v="30"/>
    <s v="No"/>
    <s v="No"/>
    <s v="Yes"/>
    <s v="No"/>
    <s v="Yes"/>
    <s v="No"/>
    <m/>
    <s v="1+ Failures"/>
    <n v="0"/>
    <s v="10-20hrs"/>
    <x v="1"/>
  </r>
  <r>
    <n v="1173"/>
    <d v="2024-01-02T00:00:00"/>
    <s v="Premium"/>
    <n v="699"/>
    <n v="5.5"/>
    <n v="2"/>
    <n v="0"/>
    <n v="25"/>
    <n v="23"/>
    <s v="Yes"/>
    <s v="No"/>
    <s v="No"/>
    <s v="No"/>
    <s v="Yes"/>
    <s v="No"/>
    <m/>
    <s v="0 Failures"/>
    <n v="1"/>
    <s v="5-10 hrs"/>
    <x v="1"/>
  </r>
  <r>
    <n v="1174"/>
    <d v="2024-01-04T00:00:00"/>
    <s v="Basic"/>
    <n v="199"/>
    <n v="3.3"/>
    <n v="4"/>
    <n v="3"/>
    <n v="36"/>
    <n v="12"/>
    <s v="Yes"/>
    <s v="Yes"/>
    <s v="Yes"/>
    <s v="No"/>
    <s v="No"/>
    <s v="No"/>
    <m/>
    <s v="1+ Failures"/>
    <n v="1"/>
    <s v="0-5 hrs"/>
    <x v="1"/>
  </r>
  <r>
    <n v="1175"/>
    <d v="2023-06-28T00:00:00"/>
    <s v="Basic"/>
    <n v="199"/>
    <n v="5.4"/>
    <n v="4"/>
    <n v="1"/>
    <n v="2"/>
    <n v="14"/>
    <s v="No"/>
    <s v="No"/>
    <s v="Yes"/>
    <s v="No"/>
    <s v="No"/>
    <s v="Yes"/>
    <m/>
    <s v="1+ Failures"/>
    <n v="0"/>
    <s v="5-10 hrs"/>
    <x v="2"/>
  </r>
  <r>
    <n v="1176"/>
    <d v="2023-04-14T00:00:00"/>
    <s v="Standard"/>
    <n v="399"/>
    <n v="6.5"/>
    <n v="3"/>
    <n v="0"/>
    <n v="36"/>
    <n v="11"/>
    <s v="No"/>
    <s v="No"/>
    <s v="No"/>
    <s v="No"/>
    <s v="No"/>
    <s v="No"/>
    <m/>
    <s v="0 Failures"/>
    <n v="0"/>
    <s v="5-10 hrs"/>
    <x v="1"/>
  </r>
  <r>
    <n v="1177"/>
    <d v="2024-04-12T00:00:00"/>
    <s v="Basic"/>
    <n v="199"/>
    <n v="9.8000000000000007"/>
    <n v="1"/>
    <n v="2"/>
    <n v="9"/>
    <n v="59"/>
    <s v="Yes"/>
    <s v="No"/>
    <s v="Yes"/>
    <s v="No"/>
    <s v="Yes"/>
    <s v="No"/>
    <m/>
    <s v="1+ Failures"/>
    <n v="1"/>
    <s v="5-10 hrs"/>
    <x v="0"/>
  </r>
  <r>
    <n v="1178"/>
    <d v="2024-03-20T00:00:00"/>
    <s v="Basic"/>
    <n v="199"/>
    <n v="20.3"/>
    <n v="2"/>
    <n v="4"/>
    <n v="24"/>
    <n v="51"/>
    <s v="No"/>
    <s v="No"/>
    <s v="Yes"/>
    <s v="No"/>
    <s v="Yes"/>
    <s v="No"/>
    <m/>
    <s v="1+ Failures"/>
    <n v="0"/>
    <s v="20+ hrs"/>
    <x v="1"/>
  </r>
  <r>
    <n v="1179"/>
    <d v="2024-12-12T00:00:00"/>
    <s v="Premium"/>
    <n v="699"/>
    <n v="3.4"/>
    <n v="2"/>
    <n v="1"/>
    <n v="5"/>
    <n v="12"/>
    <s v="No"/>
    <s v="Yes"/>
    <s v="Yes"/>
    <s v="No"/>
    <s v="No"/>
    <s v="Yes"/>
    <m/>
    <s v="1+ Failures"/>
    <n v="0"/>
    <s v="0-5 hrs"/>
    <x v="3"/>
  </r>
  <r>
    <n v="1180"/>
    <d v="2023-07-13T00:00:00"/>
    <s v="Standard"/>
    <n v="399"/>
    <n v="15.2"/>
    <n v="3"/>
    <n v="0"/>
    <n v="21"/>
    <n v="48"/>
    <s v="No"/>
    <s v="No"/>
    <s v="No"/>
    <s v="No"/>
    <s v="Yes"/>
    <s v="No"/>
    <m/>
    <s v="0 Failures"/>
    <n v="0"/>
    <s v="10-20hrs"/>
    <x v="1"/>
  </r>
  <r>
    <n v="1181"/>
    <d v="2023-10-14T00:00:00"/>
    <s v="Premium"/>
    <n v="699"/>
    <n v="19.8"/>
    <n v="5"/>
    <n v="1"/>
    <n v="19"/>
    <n v="3"/>
    <s v="No"/>
    <s v="No"/>
    <s v="Yes"/>
    <s v="Yes"/>
    <s v="No"/>
    <s v="No"/>
    <m/>
    <s v="1+ Failures"/>
    <n v="0"/>
    <s v="10-20hrs"/>
    <x v="1"/>
  </r>
  <r>
    <n v="1182"/>
    <d v="2024-04-26T00:00:00"/>
    <s v="Basic"/>
    <n v="199"/>
    <n v="24.2"/>
    <n v="7"/>
    <n v="1"/>
    <n v="33"/>
    <n v="46"/>
    <s v="Yes"/>
    <s v="No"/>
    <s v="Yes"/>
    <s v="Yes"/>
    <s v="Yes"/>
    <s v="No"/>
    <m/>
    <s v="1+ Failures"/>
    <n v="1"/>
    <s v="20+ hrs"/>
    <x v="1"/>
  </r>
  <r>
    <n v="1183"/>
    <d v="2024-05-25T00:00:00"/>
    <s v="Premium"/>
    <n v="699"/>
    <n v="4.5999999999999996"/>
    <n v="6"/>
    <n v="5"/>
    <n v="5"/>
    <n v="48"/>
    <s v="Yes"/>
    <s v="Yes"/>
    <s v="Yes"/>
    <s v="Yes"/>
    <s v="Yes"/>
    <s v="Yes"/>
    <m/>
    <s v="1+ Failures"/>
    <n v="1"/>
    <s v="0-5 hrs"/>
    <x v="3"/>
  </r>
  <r>
    <n v="1184"/>
    <d v="2024-05-21T00:00:00"/>
    <s v="Premium"/>
    <n v="699"/>
    <n v="4.9000000000000004"/>
    <n v="5"/>
    <n v="4"/>
    <n v="30"/>
    <n v="44"/>
    <s v="Yes"/>
    <s v="Yes"/>
    <s v="Yes"/>
    <s v="Yes"/>
    <s v="Yes"/>
    <s v="No"/>
    <m/>
    <s v="1+ Failures"/>
    <n v="1"/>
    <s v="0-5 hrs"/>
    <x v="1"/>
  </r>
  <r>
    <n v="1185"/>
    <d v="2024-04-07T00:00:00"/>
    <s v="Standard"/>
    <n v="399"/>
    <n v="14.7"/>
    <n v="0"/>
    <n v="1"/>
    <n v="18"/>
    <n v="14"/>
    <s v="No"/>
    <s v="No"/>
    <s v="Yes"/>
    <s v="No"/>
    <s v="No"/>
    <s v="No"/>
    <m/>
    <s v="1+ Failures"/>
    <n v="0"/>
    <s v="10-20hrs"/>
    <x v="1"/>
  </r>
  <r>
    <n v="1186"/>
    <d v="2024-01-19T00:00:00"/>
    <s v="Basic"/>
    <n v="199"/>
    <n v="5.9"/>
    <n v="6"/>
    <n v="3"/>
    <n v="26"/>
    <n v="36"/>
    <s v="Yes"/>
    <s v="No"/>
    <s v="Yes"/>
    <s v="Yes"/>
    <s v="Yes"/>
    <s v="No"/>
    <m/>
    <s v="1+ Failures"/>
    <n v="1"/>
    <s v="5-10 hrs"/>
    <x v="1"/>
  </r>
  <r>
    <n v="1187"/>
    <d v="2023-08-24T00:00:00"/>
    <s v="Standard"/>
    <n v="399"/>
    <n v="2.6"/>
    <n v="1"/>
    <n v="2"/>
    <n v="36"/>
    <n v="28"/>
    <s v="Yes"/>
    <s v="Yes"/>
    <s v="Yes"/>
    <s v="No"/>
    <s v="Yes"/>
    <s v="No"/>
    <m/>
    <s v="1+ Failures"/>
    <n v="1"/>
    <s v="0-5 hrs"/>
    <x v="1"/>
  </r>
  <r>
    <n v="1188"/>
    <d v="2024-02-23T00:00:00"/>
    <s v="Premium"/>
    <n v="699"/>
    <n v="11.9"/>
    <n v="5"/>
    <n v="3"/>
    <n v="3"/>
    <n v="28"/>
    <s v="Yes"/>
    <s v="No"/>
    <s v="Yes"/>
    <s v="Yes"/>
    <s v="Yes"/>
    <s v="Yes"/>
    <m/>
    <s v="1+ Failures"/>
    <n v="1"/>
    <s v="10-20hrs"/>
    <x v="2"/>
  </r>
  <r>
    <n v="1189"/>
    <d v="2023-09-29T00:00:00"/>
    <s v="Standard"/>
    <n v="399"/>
    <n v="8.3000000000000007"/>
    <n v="6"/>
    <n v="0"/>
    <n v="32"/>
    <n v="11"/>
    <s v="No"/>
    <s v="No"/>
    <s v="No"/>
    <s v="Yes"/>
    <s v="No"/>
    <s v="No"/>
    <m/>
    <s v="0 Failures"/>
    <n v="0"/>
    <s v="5-10 hrs"/>
    <x v="1"/>
  </r>
  <r>
    <n v="1190"/>
    <d v="2024-07-13T00:00:00"/>
    <s v="Premium"/>
    <n v="699"/>
    <n v="9.3000000000000007"/>
    <n v="1"/>
    <n v="2"/>
    <n v="5"/>
    <n v="53"/>
    <s v="Yes"/>
    <s v="No"/>
    <s v="Yes"/>
    <s v="No"/>
    <s v="Yes"/>
    <s v="Yes"/>
    <m/>
    <s v="1+ Failures"/>
    <n v="1"/>
    <s v="5-10 hrs"/>
    <x v="3"/>
  </r>
  <r>
    <n v="1191"/>
    <d v="2023-02-09T00:00:00"/>
    <s v="Premium"/>
    <n v="699"/>
    <n v="19.8"/>
    <n v="3"/>
    <n v="0"/>
    <n v="6"/>
    <n v="7"/>
    <s v="Yes"/>
    <s v="No"/>
    <s v="No"/>
    <s v="No"/>
    <s v="No"/>
    <s v="No"/>
    <m/>
    <s v="0 Failures"/>
    <n v="1"/>
    <s v="10-20hrs"/>
    <x v="3"/>
  </r>
  <r>
    <n v="1192"/>
    <d v="2024-11-30T00:00:00"/>
    <s v="Premium"/>
    <n v="699"/>
    <n v="8.6999999999999993"/>
    <n v="5"/>
    <n v="2"/>
    <n v="13"/>
    <n v="19"/>
    <s v="No"/>
    <s v="No"/>
    <s v="Yes"/>
    <s v="Yes"/>
    <s v="Yes"/>
    <s v="No"/>
    <m/>
    <s v="1+ Failures"/>
    <n v="0"/>
    <s v="5-10 hrs"/>
    <x v="1"/>
  </r>
  <r>
    <n v="1193"/>
    <d v="2023-09-25T00:00:00"/>
    <s v="Standard"/>
    <n v="399"/>
    <n v="17.8"/>
    <n v="2"/>
    <n v="5"/>
    <n v="13"/>
    <n v="47"/>
    <s v="Yes"/>
    <s v="No"/>
    <s v="Yes"/>
    <s v="No"/>
    <s v="Yes"/>
    <s v="No"/>
    <m/>
    <s v="1+ Failures"/>
    <n v="1"/>
    <s v="10-20hrs"/>
    <x v="1"/>
  </r>
  <r>
    <n v="1194"/>
    <d v="2024-08-16T00:00:00"/>
    <s v="Basic"/>
    <n v="199"/>
    <n v="7.4"/>
    <n v="5"/>
    <n v="3"/>
    <n v="20"/>
    <n v="60"/>
    <s v="Yes"/>
    <s v="No"/>
    <s v="Yes"/>
    <s v="Yes"/>
    <s v="Yes"/>
    <s v="No"/>
    <m/>
    <s v="1+ Failures"/>
    <n v="1"/>
    <s v="5-10 hrs"/>
    <x v="1"/>
  </r>
  <r>
    <n v="1195"/>
    <d v="2023-08-21T00:00:00"/>
    <s v="Premium"/>
    <n v="699"/>
    <n v="12.1"/>
    <n v="8"/>
    <n v="1"/>
    <n v="1"/>
    <n v="55"/>
    <s v="Yes"/>
    <s v="No"/>
    <s v="Yes"/>
    <s v="Yes"/>
    <s v="Yes"/>
    <s v="Yes"/>
    <m/>
    <s v="1+ Failures"/>
    <n v="1"/>
    <s v="10-20hrs"/>
    <x v="2"/>
  </r>
  <r>
    <n v="1196"/>
    <d v="2024-04-24T00:00:00"/>
    <s v="Premium"/>
    <n v="699"/>
    <n v="12.1"/>
    <n v="8"/>
    <n v="4"/>
    <n v="14"/>
    <n v="50"/>
    <s v="Yes"/>
    <s v="No"/>
    <s v="Yes"/>
    <s v="Yes"/>
    <s v="Yes"/>
    <s v="No"/>
    <m/>
    <s v="1+ Failures"/>
    <n v="1"/>
    <s v="10-20hrs"/>
    <x v="1"/>
  </r>
  <r>
    <n v="1197"/>
    <d v="2024-12-15T00:00:00"/>
    <s v="Premium"/>
    <n v="699"/>
    <n v="8.8000000000000007"/>
    <n v="1"/>
    <n v="2"/>
    <n v="30"/>
    <n v="54"/>
    <s v="Yes"/>
    <s v="No"/>
    <s v="Yes"/>
    <s v="No"/>
    <s v="Yes"/>
    <s v="No"/>
    <m/>
    <s v="1+ Failures"/>
    <n v="1"/>
    <s v="5-10 hrs"/>
    <x v="1"/>
  </r>
  <r>
    <n v="1198"/>
    <d v="2023-05-12T00:00:00"/>
    <s v="Standard"/>
    <n v="399"/>
    <n v="11.2"/>
    <n v="8"/>
    <n v="0"/>
    <n v="14"/>
    <n v="23"/>
    <s v="Yes"/>
    <s v="No"/>
    <s v="No"/>
    <s v="Yes"/>
    <s v="Yes"/>
    <s v="No"/>
    <m/>
    <s v="0 Failures"/>
    <n v="1"/>
    <s v="10-20hrs"/>
    <x v="1"/>
  </r>
  <r>
    <n v="1199"/>
    <d v="2024-12-03T00:00:00"/>
    <s v="Standard"/>
    <n v="399"/>
    <n v="12.7"/>
    <n v="5"/>
    <n v="2"/>
    <n v="1"/>
    <n v="14"/>
    <s v="Yes"/>
    <s v="No"/>
    <s v="Yes"/>
    <s v="Yes"/>
    <s v="No"/>
    <s v="Yes"/>
    <m/>
    <s v="1+ Failures"/>
    <n v="1"/>
    <s v="10-20hrs"/>
    <x v="2"/>
  </r>
  <r>
    <n v="1200"/>
    <d v="2023-05-23T00:00:00"/>
    <s v="Standard"/>
    <n v="399"/>
    <n v="7.8"/>
    <n v="0"/>
    <n v="4"/>
    <n v="35"/>
    <n v="50"/>
    <s v="Yes"/>
    <s v="No"/>
    <s v="Yes"/>
    <s v="No"/>
    <s v="Yes"/>
    <s v="No"/>
    <m/>
    <s v="1+ Failures"/>
    <n v="1"/>
    <s v="5-10 hrs"/>
    <x v="1"/>
  </r>
  <r>
    <n v="1201"/>
    <d v="2023-03-07T00:00:00"/>
    <s v="Basic"/>
    <n v="199"/>
    <n v="14.4"/>
    <n v="6"/>
    <n v="3"/>
    <n v="22"/>
    <n v="13"/>
    <s v="No"/>
    <s v="No"/>
    <s v="Yes"/>
    <s v="Yes"/>
    <s v="No"/>
    <s v="No"/>
    <m/>
    <s v="1+ Failures"/>
    <n v="0"/>
    <s v="10-20hrs"/>
    <x v="1"/>
  </r>
  <r>
    <n v="1202"/>
    <d v="2024-10-16T00:00:00"/>
    <s v="Premium"/>
    <n v="699"/>
    <n v="5.0999999999999996"/>
    <n v="1"/>
    <n v="2"/>
    <n v="25"/>
    <n v="36"/>
    <s v="No"/>
    <s v="No"/>
    <s v="Yes"/>
    <s v="No"/>
    <s v="Yes"/>
    <s v="No"/>
    <m/>
    <s v="1+ Failures"/>
    <n v="0"/>
    <s v="5-10 hrs"/>
    <x v="1"/>
  </r>
  <r>
    <n v="1203"/>
    <d v="2024-09-09T00:00:00"/>
    <s v="Standard"/>
    <n v="399"/>
    <n v="4.7"/>
    <n v="8"/>
    <n v="1"/>
    <n v="6"/>
    <n v="2"/>
    <s v="No"/>
    <s v="Yes"/>
    <s v="Yes"/>
    <s v="Yes"/>
    <s v="No"/>
    <s v="No"/>
    <m/>
    <s v="1+ Failures"/>
    <n v="0"/>
    <s v="0-5 hrs"/>
    <x v="3"/>
  </r>
  <r>
    <n v="1204"/>
    <d v="2023-10-26T00:00:00"/>
    <s v="Standard"/>
    <n v="399"/>
    <n v="5.0999999999999996"/>
    <n v="1"/>
    <n v="3"/>
    <n v="2"/>
    <n v="18"/>
    <s v="Yes"/>
    <s v="No"/>
    <s v="Yes"/>
    <s v="No"/>
    <s v="Yes"/>
    <s v="Yes"/>
    <m/>
    <s v="1+ Failures"/>
    <n v="1"/>
    <s v="5-10 hrs"/>
    <x v="2"/>
  </r>
  <r>
    <n v="1205"/>
    <d v="2023-12-01T00:00:00"/>
    <s v="Premium"/>
    <n v="699"/>
    <n v="2.2000000000000002"/>
    <n v="0"/>
    <n v="2"/>
    <n v="34"/>
    <n v="33"/>
    <s v="Yes"/>
    <s v="Yes"/>
    <s v="Yes"/>
    <s v="No"/>
    <s v="Yes"/>
    <s v="No"/>
    <m/>
    <s v="1+ Failures"/>
    <n v="1"/>
    <s v="0-5 hrs"/>
    <x v="1"/>
  </r>
  <r>
    <n v="1206"/>
    <d v="2023-03-12T00:00:00"/>
    <s v="Standard"/>
    <n v="399"/>
    <n v="4.3"/>
    <n v="1"/>
    <n v="1"/>
    <n v="26"/>
    <n v="34"/>
    <s v="Yes"/>
    <s v="Yes"/>
    <s v="Yes"/>
    <s v="No"/>
    <s v="Yes"/>
    <s v="No"/>
    <m/>
    <s v="1+ Failures"/>
    <n v="1"/>
    <s v="0-5 hrs"/>
    <x v="1"/>
  </r>
  <r>
    <n v="1207"/>
    <d v="2024-11-11T00:00:00"/>
    <s v="Standard"/>
    <n v="399"/>
    <n v="3.7"/>
    <n v="3"/>
    <n v="2"/>
    <n v="14"/>
    <n v="27"/>
    <s v="Yes"/>
    <s v="Yes"/>
    <s v="Yes"/>
    <s v="No"/>
    <s v="Yes"/>
    <s v="No"/>
    <m/>
    <s v="1+ Failures"/>
    <n v="1"/>
    <s v="0-5 hrs"/>
    <x v="1"/>
  </r>
  <r>
    <n v="1208"/>
    <d v="2024-12-02T00:00:00"/>
    <s v="Standard"/>
    <n v="399"/>
    <n v="15.3"/>
    <n v="4"/>
    <n v="4"/>
    <n v="11"/>
    <n v="12"/>
    <s v="No"/>
    <s v="No"/>
    <s v="Yes"/>
    <s v="No"/>
    <s v="No"/>
    <s v="No"/>
    <m/>
    <s v="1+ Failures"/>
    <n v="0"/>
    <s v="10-20hrs"/>
    <x v="0"/>
  </r>
  <r>
    <n v="1209"/>
    <d v="2024-09-11T00:00:00"/>
    <s v="Standard"/>
    <n v="399"/>
    <n v="5.4"/>
    <n v="2"/>
    <n v="3"/>
    <n v="18"/>
    <n v="4"/>
    <s v="No"/>
    <s v="No"/>
    <s v="Yes"/>
    <s v="No"/>
    <s v="No"/>
    <s v="No"/>
    <m/>
    <s v="1+ Failures"/>
    <n v="0"/>
    <s v="5-10 hrs"/>
    <x v="1"/>
  </r>
  <r>
    <n v="1210"/>
    <d v="2023-04-04T00:00:00"/>
    <s v="Basic"/>
    <n v="199"/>
    <n v="8.6"/>
    <n v="7"/>
    <n v="3"/>
    <n v="34"/>
    <n v="29"/>
    <s v="Yes"/>
    <s v="No"/>
    <s v="Yes"/>
    <s v="Yes"/>
    <s v="Yes"/>
    <s v="No"/>
    <m/>
    <s v="1+ Failures"/>
    <n v="1"/>
    <s v="5-10 hrs"/>
    <x v="1"/>
  </r>
  <r>
    <n v="1211"/>
    <d v="2023-06-29T00:00:00"/>
    <s v="Standard"/>
    <n v="399"/>
    <n v="9"/>
    <n v="4"/>
    <n v="3"/>
    <n v="30"/>
    <n v="39"/>
    <s v="No"/>
    <s v="No"/>
    <s v="Yes"/>
    <s v="No"/>
    <s v="Yes"/>
    <s v="No"/>
    <m/>
    <s v="1+ Failures"/>
    <n v="0"/>
    <s v="5-10 hrs"/>
    <x v="1"/>
  </r>
  <r>
    <n v="1212"/>
    <d v="2023-07-07T00:00:00"/>
    <s v="Standard"/>
    <n v="399"/>
    <n v="4.9000000000000004"/>
    <n v="6"/>
    <n v="3"/>
    <n v="16"/>
    <n v="24"/>
    <s v="Yes"/>
    <s v="Yes"/>
    <s v="Yes"/>
    <s v="Yes"/>
    <s v="Yes"/>
    <s v="No"/>
    <m/>
    <s v="1+ Failures"/>
    <n v="1"/>
    <s v="0-5 hrs"/>
    <x v="1"/>
  </r>
  <r>
    <n v="1213"/>
    <d v="2023-10-08T00:00:00"/>
    <s v="Premium"/>
    <n v="699"/>
    <n v="10.1"/>
    <n v="0"/>
    <n v="1"/>
    <n v="7"/>
    <n v="56"/>
    <s v="No"/>
    <s v="No"/>
    <s v="Yes"/>
    <s v="No"/>
    <s v="Yes"/>
    <s v="No"/>
    <m/>
    <s v="1+ Failures"/>
    <n v="0"/>
    <s v="10-20hrs"/>
    <x v="0"/>
  </r>
  <r>
    <n v="1214"/>
    <d v="2023-08-11T00:00:00"/>
    <s v="Premium"/>
    <n v="699"/>
    <n v="7.7"/>
    <n v="1"/>
    <n v="5"/>
    <n v="35"/>
    <n v="46"/>
    <s v="No"/>
    <s v="No"/>
    <s v="Yes"/>
    <s v="No"/>
    <s v="Yes"/>
    <s v="No"/>
    <m/>
    <s v="1+ Failures"/>
    <n v="0"/>
    <s v="5-10 hrs"/>
    <x v="1"/>
  </r>
  <r>
    <n v="1215"/>
    <d v="2023-04-18T00:00:00"/>
    <s v="Standard"/>
    <n v="399"/>
    <n v="24.8"/>
    <n v="8"/>
    <n v="0"/>
    <n v="27"/>
    <n v="23"/>
    <s v="Yes"/>
    <s v="No"/>
    <s v="No"/>
    <s v="Yes"/>
    <s v="Yes"/>
    <s v="No"/>
    <m/>
    <s v="0 Failures"/>
    <n v="1"/>
    <s v="20+ hrs"/>
    <x v="1"/>
  </r>
  <r>
    <n v="1216"/>
    <d v="2024-04-18T00:00:00"/>
    <s v="Premium"/>
    <n v="699"/>
    <n v="10.5"/>
    <n v="2"/>
    <n v="2"/>
    <n v="21"/>
    <n v="13"/>
    <s v="No"/>
    <s v="No"/>
    <s v="Yes"/>
    <s v="No"/>
    <s v="No"/>
    <s v="No"/>
    <m/>
    <s v="1+ Failures"/>
    <n v="0"/>
    <s v="10-20hrs"/>
    <x v="1"/>
  </r>
  <r>
    <n v="1217"/>
    <d v="2023-07-19T00:00:00"/>
    <s v="Basic"/>
    <n v="199"/>
    <n v="16.2"/>
    <n v="7"/>
    <n v="3"/>
    <n v="5"/>
    <n v="21"/>
    <s v="Yes"/>
    <s v="No"/>
    <s v="Yes"/>
    <s v="Yes"/>
    <s v="Yes"/>
    <s v="Yes"/>
    <m/>
    <s v="1+ Failures"/>
    <n v="1"/>
    <s v="10-20hrs"/>
    <x v="3"/>
  </r>
  <r>
    <n v="1218"/>
    <d v="2024-11-17T00:00:00"/>
    <s v="Standard"/>
    <n v="399"/>
    <n v="0.8"/>
    <n v="1"/>
    <n v="5"/>
    <n v="3"/>
    <n v="58"/>
    <s v="Yes"/>
    <s v="Yes"/>
    <s v="Yes"/>
    <s v="No"/>
    <s v="Yes"/>
    <s v="Yes"/>
    <m/>
    <s v="1+ Failures"/>
    <n v="1"/>
    <s v="0-5 hrs"/>
    <x v="2"/>
  </r>
  <r>
    <n v="1219"/>
    <d v="2024-12-31T00:00:00"/>
    <s v="Premium"/>
    <n v="699"/>
    <n v="12.4"/>
    <n v="1"/>
    <n v="0"/>
    <n v="30"/>
    <n v="35"/>
    <s v="No"/>
    <s v="No"/>
    <s v="No"/>
    <s v="No"/>
    <s v="Yes"/>
    <s v="No"/>
    <m/>
    <s v="0 Failures"/>
    <n v="0"/>
    <s v="10-20hrs"/>
    <x v="1"/>
  </r>
  <r>
    <n v="1220"/>
    <d v="2024-09-13T00:00:00"/>
    <s v="Standard"/>
    <n v="399"/>
    <n v="12"/>
    <n v="4"/>
    <n v="1"/>
    <n v="9"/>
    <n v="10"/>
    <s v="No"/>
    <s v="No"/>
    <s v="Yes"/>
    <s v="No"/>
    <s v="No"/>
    <s v="No"/>
    <m/>
    <s v="1+ Failures"/>
    <n v="0"/>
    <s v="10-20hrs"/>
    <x v="0"/>
  </r>
  <r>
    <n v="1221"/>
    <d v="2024-11-18T00:00:00"/>
    <s v="Basic"/>
    <n v="199"/>
    <n v="7.7"/>
    <n v="8"/>
    <n v="5"/>
    <n v="12"/>
    <n v="25"/>
    <s v="Yes"/>
    <s v="No"/>
    <s v="Yes"/>
    <s v="Yes"/>
    <s v="Yes"/>
    <s v="No"/>
    <m/>
    <s v="1+ Failures"/>
    <n v="1"/>
    <s v="5-10 hrs"/>
    <x v="0"/>
  </r>
  <r>
    <n v="1222"/>
    <d v="2024-11-22T00:00:00"/>
    <s v="Basic"/>
    <n v="199"/>
    <n v="4.3"/>
    <n v="5"/>
    <n v="1"/>
    <n v="18"/>
    <n v="13"/>
    <s v="No"/>
    <s v="Yes"/>
    <s v="Yes"/>
    <s v="Yes"/>
    <s v="No"/>
    <s v="No"/>
    <m/>
    <s v="1+ Failures"/>
    <n v="0"/>
    <s v="0-5 hrs"/>
    <x v="1"/>
  </r>
  <r>
    <n v="1223"/>
    <d v="2024-11-09T00:00:00"/>
    <s v="Premium"/>
    <n v="699"/>
    <n v="11.3"/>
    <n v="0"/>
    <n v="5"/>
    <n v="14"/>
    <n v="51"/>
    <s v="Yes"/>
    <s v="No"/>
    <s v="Yes"/>
    <s v="No"/>
    <s v="Yes"/>
    <s v="No"/>
    <m/>
    <s v="1+ Failures"/>
    <n v="1"/>
    <s v="10-20hrs"/>
    <x v="1"/>
  </r>
  <r>
    <n v="1224"/>
    <d v="2023-02-19T00:00:00"/>
    <s v="Premium"/>
    <n v="699"/>
    <n v="10.1"/>
    <n v="4"/>
    <n v="3"/>
    <n v="7"/>
    <n v="3"/>
    <s v="No"/>
    <s v="No"/>
    <s v="Yes"/>
    <s v="No"/>
    <s v="No"/>
    <s v="No"/>
    <m/>
    <s v="1+ Failures"/>
    <n v="0"/>
    <s v="10-20hrs"/>
    <x v="0"/>
  </r>
  <r>
    <n v="1225"/>
    <d v="2024-03-07T00:00:00"/>
    <s v="Standard"/>
    <n v="399"/>
    <n v="23.3"/>
    <n v="5"/>
    <n v="1"/>
    <n v="13"/>
    <n v="12"/>
    <s v="Yes"/>
    <s v="No"/>
    <s v="Yes"/>
    <s v="Yes"/>
    <s v="No"/>
    <s v="No"/>
    <m/>
    <s v="1+ Failures"/>
    <n v="1"/>
    <s v="20+ hrs"/>
    <x v="1"/>
  </r>
  <r>
    <n v="1226"/>
    <d v="2023-04-09T00:00:00"/>
    <s v="Basic"/>
    <n v="199"/>
    <n v="8.8000000000000007"/>
    <n v="3"/>
    <n v="5"/>
    <n v="1"/>
    <n v="42"/>
    <s v="Yes"/>
    <s v="No"/>
    <s v="Yes"/>
    <s v="No"/>
    <s v="Yes"/>
    <s v="Yes"/>
    <m/>
    <s v="1+ Failures"/>
    <n v="1"/>
    <s v="5-10 hrs"/>
    <x v="2"/>
  </r>
  <r>
    <n v="1227"/>
    <d v="2023-12-01T00:00:00"/>
    <s v="Premium"/>
    <n v="699"/>
    <n v="18.2"/>
    <n v="0"/>
    <n v="3"/>
    <n v="11"/>
    <n v="32"/>
    <s v="Yes"/>
    <s v="No"/>
    <s v="Yes"/>
    <s v="No"/>
    <s v="Yes"/>
    <s v="No"/>
    <m/>
    <s v="1+ Failures"/>
    <n v="1"/>
    <s v="10-20hrs"/>
    <x v="0"/>
  </r>
  <r>
    <n v="1228"/>
    <d v="2023-05-04T00:00:00"/>
    <s v="Standard"/>
    <n v="399"/>
    <n v="15.9"/>
    <n v="3"/>
    <n v="4"/>
    <n v="36"/>
    <n v="25"/>
    <s v="No"/>
    <s v="No"/>
    <s v="Yes"/>
    <s v="No"/>
    <s v="Yes"/>
    <s v="No"/>
    <m/>
    <s v="1+ Failures"/>
    <n v="0"/>
    <s v="10-20hrs"/>
    <x v="1"/>
  </r>
  <r>
    <n v="1229"/>
    <d v="2023-11-20T00:00:00"/>
    <s v="Basic"/>
    <n v="199"/>
    <n v="3.1"/>
    <n v="5"/>
    <n v="1"/>
    <n v="14"/>
    <n v="0"/>
    <s v="Yes"/>
    <s v="Yes"/>
    <s v="Yes"/>
    <s v="Yes"/>
    <s v="No"/>
    <s v="No"/>
    <m/>
    <s v="1+ Failures"/>
    <n v="1"/>
    <s v="0-5 hrs"/>
    <x v="1"/>
  </r>
  <r>
    <n v="1230"/>
    <d v="2024-10-27T00:00:00"/>
    <s v="Basic"/>
    <n v="199"/>
    <n v="5.7"/>
    <n v="3"/>
    <n v="0"/>
    <n v="25"/>
    <n v="42"/>
    <s v="No"/>
    <s v="No"/>
    <s v="No"/>
    <s v="No"/>
    <s v="Yes"/>
    <s v="No"/>
    <m/>
    <s v="0 Failures"/>
    <n v="0"/>
    <s v="5-10 hrs"/>
    <x v="1"/>
  </r>
  <r>
    <n v="1231"/>
    <d v="2024-05-26T00:00:00"/>
    <s v="Premium"/>
    <n v="699"/>
    <n v="1.6"/>
    <n v="3"/>
    <n v="3"/>
    <n v="24"/>
    <n v="19"/>
    <s v="No"/>
    <s v="Yes"/>
    <s v="Yes"/>
    <s v="No"/>
    <s v="Yes"/>
    <s v="No"/>
    <m/>
    <s v="1+ Failures"/>
    <n v="0"/>
    <s v="0-5 hrs"/>
    <x v="1"/>
  </r>
  <r>
    <n v="1232"/>
    <d v="2024-10-08T00:00:00"/>
    <s v="Basic"/>
    <n v="199"/>
    <n v="19.899999999999999"/>
    <n v="2"/>
    <n v="2"/>
    <n v="35"/>
    <n v="6"/>
    <s v="No"/>
    <s v="No"/>
    <s v="Yes"/>
    <s v="No"/>
    <s v="No"/>
    <s v="No"/>
    <m/>
    <s v="1+ Failures"/>
    <n v="0"/>
    <s v="10-20hrs"/>
    <x v="1"/>
  </r>
  <r>
    <n v="1233"/>
    <d v="2024-12-05T00:00:00"/>
    <s v="Premium"/>
    <n v="699"/>
    <n v="17.100000000000001"/>
    <n v="2"/>
    <n v="2"/>
    <n v="25"/>
    <n v="11"/>
    <s v="No"/>
    <s v="No"/>
    <s v="Yes"/>
    <s v="No"/>
    <s v="No"/>
    <s v="No"/>
    <m/>
    <s v="1+ Failures"/>
    <n v="0"/>
    <s v="10-20hrs"/>
    <x v="1"/>
  </r>
  <r>
    <n v="1234"/>
    <d v="2024-01-27T00:00:00"/>
    <s v="Standard"/>
    <n v="399"/>
    <n v="2.2000000000000002"/>
    <n v="0"/>
    <n v="4"/>
    <n v="31"/>
    <n v="58"/>
    <s v="Yes"/>
    <s v="Yes"/>
    <s v="Yes"/>
    <s v="No"/>
    <s v="Yes"/>
    <s v="No"/>
    <m/>
    <s v="1+ Failures"/>
    <n v="1"/>
    <s v="0-5 hrs"/>
    <x v="1"/>
  </r>
  <r>
    <n v="1235"/>
    <d v="2023-05-08T00:00:00"/>
    <s v="Premium"/>
    <n v="699"/>
    <n v="12.8"/>
    <n v="0"/>
    <n v="1"/>
    <n v="15"/>
    <n v="1"/>
    <s v="No"/>
    <s v="No"/>
    <s v="Yes"/>
    <s v="No"/>
    <s v="No"/>
    <s v="No"/>
    <m/>
    <s v="1+ Failures"/>
    <n v="0"/>
    <s v="10-20hrs"/>
    <x v="1"/>
  </r>
  <r>
    <n v="1236"/>
    <d v="2024-01-19T00:00:00"/>
    <s v="Standard"/>
    <n v="399"/>
    <n v="18.600000000000001"/>
    <n v="3"/>
    <n v="4"/>
    <n v="16"/>
    <n v="5"/>
    <s v="Yes"/>
    <s v="No"/>
    <s v="Yes"/>
    <s v="No"/>
    <s v="No"/>
    <s v="No"/>
    <m/>
    <s v="1+ Failures"/>
    <n v="1"/>
    <s v="10-20hrs"/>
    <x v="1"/>
  </r>
  <r>
    <n v="1237"/>
    <d v="2024-09-04T00:00:00"/>
    <s v="Standard"/>
    <n v="399"/>
    <n v="5.4"/>
    <n v="6"/>
    <n v="1"/>
    <n v="19"/>
    <n v="41"/>
    <s v="Yes"/>
    <s v="No"/>
    <s v="Yes"/>
    <s v="Yes"/>
    <s v="Yes"/>
    <s v="No"/>
    <m/>
    <s v="1+ Failures"/>
    <n v="1"/>
    <s v="5-10 hrs"/>
    <x v="1"/>
  </r>
  <r>
    <n v="1238"/>
    <d v="2024-06-17T00:00:00"/>
    <s v="Standard"/>
    <n v="399"/>
    <n v="3.8"/>
    <n v="5"/>
    <n v="5"/>
    <n v="22"/>
    <n v="50"/>
    <s v="Yes"/>
    <s v="Yes"/>
    <s v="Yes"/>
    <s v="Yes"/>
    <s v="Yes"/>
    <s v="No"/>
    <m/>
    <s v="1+ Failures"/>
    <n v="1"/>
    <s v="0-5 hrs"/>
    <x v="1"/>
  </r>
  <r>
    <n v="1239"/>
    <d v="2023-07-30T00:00:00"/>
    <s v="Standard"/>
    <n v="399"/>
    <n v="18.899999999999999"/>
    <n v="3"/>
    <n v="5"/>
    <n v="19"/>
    <n v="21"/>
    <s v="Yes"/>
    <s v="No"/>
    <s v="Yes"/>
    <s v="No"/>
    <s v="Yes"/>
    <s v="No"/>
    <m/>
    <s v="1+ Failures"/>
    <n v="1"/>
    <s v="10-20hrs"/>
    <x v="1"/>
  </r>
  <r>
    <n v="1240"/>
    <d v="2024-09-14T00:00:00"/>
    <s v="Premium"/>
    <n v="699"/>
    <n v="22.7"/>
    <n v="3"/>
    <n v="5"/>
    <n v="4"/>
    <n v="44"/>
    <s v="No"/>
    <s v="No"/>
    <s v="Yes"/>
    <s v="No"/>
    <s v="Yes"/>
    <s v="Yes"/>
    <m/>
    <s v="1+ Failures"/>
    <n v="0"/>
    <s v="20+ hrs"/>
    <x v="3"/>
  </r>
  <r>
    <n v="1241"/>
    <d v="2024-05-18T00:00:00"/>
    <s v="Standard"/>
    <n v="399"/>
    <n v="8.4"/>
    <n v="7"/>
    <n v="5"/>
    <n v="34"/>
    <n v="0"/>
    <s v="Yes"/>
    <s v="No"/>
    <s v="Yes"/>
    <s v="Yes"/>
    <s v="No"/>
    <s v="No"/>
    <m/>
    <s v="1+ Failures"/>
    <n v="1"/>
    <s v="5-10 hrs"/>
    <x v="1"/>
  </r>
  <r>
    <n v="1242"/>
    <d v="2024-08-29T00:00:00"/>
    <s v="Basic"/>
    <n v="199"/>
    <n v="1.8"/>
    <n v="2"/>
    <n v="1"/>
    <n v="13"/>
    <n v="8"/>
    <s v="Yes"/>
    <s v="Yes"/>
    <s v="Yes"/>
    <s v="No"/>
    <s v="No"/>
    <s v="No"/>
    <m/>
    <s v="1+ Failures"/>
    <n v="1"/>
    <s v="0-5 hrs"/>
    <x v="1"/>
  </r>
  <r>
    <n v="1243"/>
    <d v="2023-06-18T00:00:00"/>
    <s v="Premium"/>
    <n v="699"/>
    <n v="6.3"/>
    <n v="1"/>
    <n v="3"/>
    <n v="14"/>
    <n v="46"/>
    <s v="Yes"/>
    <s v="No"/>
    <s v="Yes"/>
    <s v="No"/>
    <s v="Yes"/>
    <s v="No"/>
    <m/>
    <s v="1+ Failures"/>
    <n v="1"/>
    <s v="5-10 hrs"/>
    <x v="1"/>
  </r>
  <r>
    <n v="1244"/>
    <d v="2024-08-13T00:00:00"/>
    <s v="Premium"/>
    <n v="699"/>
    <n v="6.5"/>
    <n v="2"/>
    <n v="4"/>
    <n v="13"/>
    <n v="15"/>
    <s v="Yes"/>
    <s v="No"/>
    <s v="Yes"/>
    <s v="No"/>
    <s v="Yes"/>
    <s v="No"/>
    <m/>
    <s v="1+ Failures"/>
    <n v="1"/>
    <s v="5-10 hrs"/>
    <x v="1"/>
  </r>
  <r>
    <n v="1245"/>
    <d v="2024-02-12T00:00:00"/>
    <s v="Standard"/>
    <n v="399"/>
    <n v="7.2"/>
    <n v="7"/>
    <n v="0"/>
    <n v="13"/>
    <n v="60"/>
    <s v="No"/>
    <s v="No"/>
    <s v="No"/>
    <s v="Yes"/>
    <s v="Yes"/>
    <s v="No"/>
    <m/>
    <s v="0 Failures"/>
    <n v="0"/>
    <s v="5-10 hrs"/>
    <x v="1"/>
  </r>
  <r>
    <n v="1246"/>
    <d v="2023-06-09T00:00:00"/>
    <s v="Standard"/>
    <n v="399"/>
    <n v="12"/>
    <n v="6"/>
    <n v="4"/>
    <n v="11"/>
    <n v="39"/>
    <s v="Yes"/>
    <s v="No"/>
    <s v="Yes"/>
    <s v="Yes"/>
    <s v="Yes"/>
    <s v="No"/>
    <m/>
    <s v="1+ Failures"/>
    <n v="1"/>
    <s v="10-20hrs"/>
    <x v="0"/>
  </r>
  <r>
    <n v="1247"/>
    <d v="2023-11-04T00:00:00"/>
    <s v="Standard"/>
    <n v="399"/>
    <n v="19.2"/>
    <n v="6"/>
    <n v="0"/>
    <n v="2"/>
    <n v="48"/>
    <s v="No"/>
    <s v="No"/>
    <s v="No"/>
    <s v="Yes"/>
    <s v="Yes"/>
    <s v="Yes"/>
    <m/>
    <s v="0 Failures"/>
    <n v="0"/>
    <s v="10-20hrs"/>
    <x v="2"/>
  </r>
  <r>
    <n v="1248"/>
    <d v="2024-04-09T00:00:00"/>
    <s v="Premium"/>
    <n v="699"/>
    <n v="4.2"/>
    <n v="2"/>
    <n v="2"/>
    <n v="35"/>
    <n v="24"/>
    <s v="Yes"/>
    <s v="Yes"/>
    <s v="Yes"/>
    <s v="No"/>
    <s v="Yes"/>
    <s v="No"/>
    <m/>
    <s v="1+ Failures"/>
    <n v="1"/>
    <s v="0-5 hrs"/>
    <x v="1"/>
  </r>
  <r>
    <n v="1249"/>
    <d v="2024-04-25T00:00:00"/>
    <s v="Standard"/>
    <n v="399"/>
    <n v="14.3"/>
    <n v="7"/>
    <n v="0"/>
    <n v="25"/>
    <n v="21"/>
    <s v="Yes"/>
    <s v="No"/>
    <s v="No"/>
    <s v="Yes"/>
    <s v="Yes"/>
    <s v="No"/>
    <m/>
    <s v="0 Failures"/>
    <n v="1"/>
    <s v="10-20hrs"/>
    <x v="1"/>
  </r>
  <r>
    <n v="1250"/>
    <d v="2024-01-19T00:00:00"/>
    <s v="Basic"/>
    <n v="199"/>
    <n v="22.9"/>
    <n v="0"/>
    <n v="0"/>
    <n v="10"/>
    <n v="55"/>
    <s v="No"/>
    <s v="No"/>
    <s v="No"/>
    <s v="No"/>
    <s v="Yes"/>
    <s v="No"/>
    <m/>
    <s v="0 Failures"/>
    <n v="0"/>
    <s v="20+ hrs"/>
    <x v="0"/>
  </r>
  <r>
    <n v="1251"/>
    <d v="2023-11-12T00:00:00"/>
    <s v="Standard"/>
    <n v="399"/>
    <n v="23.2"/>
    <n v="6"/>
    <n v="5"/>
    <n v="26"/>
    <n v="23"/>
    <s v="Yes"/>
    <s v="No"/>
    <s v="Yes"/>
    <s v="Yes"/>
    <s v="Yes"/>
    <s v="No"/>
    <m/>
    <s v="1+ Failures"/>
    <n v="1"/>
    <s v="20+ hrs"/>
    <x v="1"/>
  </r>
  <r>
    <n v="1252"/>
    <d v="2023-06-16T00:00:00"/>
    <s v="Premium"/>
    <n v="699"/>
    <n v="10.5"/>
    <n v="0"/>
    <n v="0"/>
    <n v="5"/>
    <n v="24"/>
    <s v="No"/>
    <s v="No"/>
    <s v="No"/>
    <s v="No"/>
    <s v="Yes"/>
    <s v="Yes"/>
    <m/>
    <s v="0 Failures"/>
    <n v="0"/>
    <s v="10-20hrs"/>
    <x v="3"/>
  </r>
  <r>
    <n v="1253"/>
    <d v="2024-12-06T00:00:00"/>
    <s v="Basic"/>
    <n v="199"/>
    <n v="23.9"/>
    <n v="5"/>
    <n v="4"/>
    <n v="28"/>
    <n v="45"/>
    <s v="Yes"/>
    <s v="No"/>
    <s v="Yes"/>
    <s v="Yes"/>
    <s v="Yes"/>
    <s v="No"/>
    <m/>
    <s v="1+ Failures"/>
    <n v="1"/>
    <s v="20+ hrs"/>
    <x v="1"/>
  </r>
  <r>
    <n v="1254"/>
    <d v="2023-02-05T00:00:00"/>
    <s v="Standard"/>
    <n v="399"/>
    <n v="16.399999999999999"/>
    <n v="6"/>
    <n v="5"/>
    <n v="4"/>
    <n v="15"/>
    <s v="Yes"/>
    <s v="No"/>
    <s v="Yes"/>
    <s v="Yes"/>
    <s v="Yes"/>
    <s v="Yes"/>
    <m/>
    <s v="1+ Failures"/>
    <n v="1"/>
    <s v="10-20hrs"/>
    <x v="3"/>
  </r>
  <r>
    <n v="1255"/>
    <d v="2024-11-28T00:00:00"/>
    <s v="Standard"/>
    <n v="399"/>
    <n v="17.600000000000001"/>
    <n v="2"/>
    <n v="2"/>
    <n v="2"/>
    <n v="38"/>
    <s v="Yes"/>
    <s v="No"/>
    <s v="Yes"/>
    <s v="No"/>
    <s v="Yes"/>
    <s v="Yes"/>
    <m/>
    <s v="1+ Failures"/>
    <n v="1"/>
    <s v="10-20hrs"/>
    <x v="2"/>
  </r>
  <r>
    <n v="1256"/>
    <d v="2024-10-21T00:00:00"/>
    <s v="Basic"/>
    <n v="199"/>
    <n v="6.6"/>
    <n v="2"/>
    <n v="0"/>
    <n v="17"/>
    <n v="7"/>
    <s v="No"/>
    <s v="No"/>
    <s v="No"/>
    <s v="No"/>
    <s v="No"/>
    <s v="No"/>
    <m/>
    <s v="0 Failures"/>
    <n v="0"/>
    <s v="5-10 hrs"/>
    <x v="1"/>
  </r>
  <r>
    <n v="1257"/>
    <d v="2024-03-09T00:00:00"/>
    <s v="Premium"/>
    <n v="699"/>
    <n v="10.199999999999999"/>
    <n v="1"/>
    <n v="4"/>
    <n v="25"/>
    <n v="58"/>
    <s v="Yes"/>
    <s v="No"/>
    <s v="Yes"/>
    <s v="No"/>
    <s v="Yes"/>
    <s v="No"/>
    <m/>
    <s v="1+ Failures"/>
    <n v="1"/>
    <s v="10-20hrs"/>
    <x v="1"/>
  </r>
  <r>
    <n v="1258"/>
    <d v="2024-01-27T00:00:00"/>
    <s v="Basic"/>
    <n v="199"/>
    <n v="6.7"/>
    <n v="4"/>
    <n v="4"/>
    <n v="28"/>
    <n v="34"/>
    <s v="Yes"/>
    <s v="No"/>
    <s v="Yes"/>
    <s v="No"/>
    <s v="Yes"/>
    <s v="No"/>
    <m/>
    <s v="1+ Failures"/>
    <n v="1"/>
    <s v="5-10 hrs"/>
    <x v="1"/>
  </r>
  <r>
    <n v="1259"/>
    <d v="2023-12-19T00:00:00"/>
    <s v="Premium"/>
    <n v="699"/>
    <n v="18.5"/>
    <n v="1"/>
    <n v="0"/>
    <n v="20"/>
    <n v="40"/>
    <s v="No"/>
    <s v="No"/>
    <s v="No"/>
    <s v="No"/>
    <s v="Yes"/>
    <s v="No"/>
    <m/>
    <s v="0 Failures"/>
    <n v="0"/>
    <s v="10-20hrs"/>
    <x v="1"/>
  </r>
  <r>
    <n v="1260"/>
    <d v="2023-06-22T00:00:00"/>
    <s v="Basic"/>
    <n v="199"/>
    <n v="18.8"/>
    <n v="6"/>
    <n v="5"/>
    <n v="18"/>
    <n v="19"/>
    <s v="Yes"/>
    <s v="No"/>
    <s v="Yes"/>
    <s v="Yes"/>
    <s v="Yes"/>
    <s v="No"/>
    <m/>
    <s v="1+ Failures"/>
    <n v="1"/>
    <s v="10-20hrs"/>
    <x v="1"/>
  </r>
  <r>
    <n v="1261"/>
    <d v="2024-03-17T00:00:00"/>
    <s v="Standard"/>
    <n v="399"/>
    <n v="2.9"/>
    <n v="6"/>
    <n v="4"/>
    <n v="1"/>
    <n v="26"/>
    <s v="Yes"/>
    <s v="Yes"/>
    <s v="Yes"/>
    <s v="Yes"/>
    <s v="Yes"/>
    <s v="Yes"/>
    <m/>
    <s v="1+ Failures"/>
    <n v="1"/>
    <s v="0-5 hrs"/>
    <x v="2"/>
  </r>
  <r>
    <n v="1262"/>
    <d v="2023-04-23T00:00:00"/>
    <s v="Basic"/>
    <n v="199"/>
    <n v="9.6999999999999993"/>
    <n v="2"/>
    <n v="1"/>
    <n v="12"/>
    <n v="31"/>
    <s v="Yes"/>
    <s v="No"/>
    <s v="Yes"/>
    <s v="No"/>
    <s v="Yes"/>
    <s v="No"/>
    <m/>
    <s v="1+ Failures"/>
    <n v="1"/>
    <s v="5-10 hrs"/>
    <x v="0"/>
  </r>
  <r>
    <n v="1263"/>
    <d v="2023-07-16T00:00:00"/>
    <s v="Standard"/>
    <n v="399"/>
    <n v="5"/>
    <n v="0"/>
    <n v="5"/>
    <n v="14"/>
    <n v="11"/>
    <s v="No"/>
    <s v="No"/>
    <s v="Yes"/>
    <s v="No"/>
    <s v="No"/>
    <s v="No"/>
    <m/>
    <s v="1+ Failures"/>
    <n v="0"/>
    <s v="0-5 hrs"/>
    <x v="1"/>
  </r>
  <r>
    <n v="1264"/>
    <d v="2023-03-29T00:00:00"/>
    <s v="Standard"/>
    <n v="399"/>
    <n v="11.3"/>
    <n v="1"/>
    <n v="5"/>
    <n v="27"/>
    <n v="10"/>
    <s v="Yes"/>
    <s v="No"/>
    <s v="Yes"/>
    <s v="No"/>
    <s v="No"/>
    <s v="No"/>
    <m/>
    <s v="1+ Failures"/>
    <n v="1"/>
    <s v="10-20hrs"/>
    <x v="1"/>
  </r>
  <r>
    <n v="1265"/>
    <d v="2024-05-11T00:00:00"/>
    <s v="Standard"/>
    <n v="399"/>
    <n v="7.3"/>
    <n v="5"/>
    <n v="0"/>
    <n v="8"/>
    <n v="37"/>
    <s v="Yes"/>
    <s v="No"/>
    <s v="No"/>
    <s v="Yes"/>
    <s v="Yes"/>
    <s v="No"/>
    <m/>
    <s v="0 Failures"/>
    <n v="1"/>
    <s v="5-10 hrs"/>
    <x v="0"/>
  </r>
  <r>
    <n v="1266"/>
    <d v="2023-02-12T00:00:00"/>
    <s v="Premium"/>
    <n v="699"/>
    <n v="0.7"/>
    <n v="4"/>
    <n v="0"/>
    <n v="7"/>
    <n v="42"/>
    <s v="Yes"/>
    <s v="Yes"/>
    <s v="No"/>
    <s v="No"/>
    <s v="Yes"/>
    <s v="No"/>
    <m/>
    <s v="0 Failures"/>
    <n v="1"/>
    <s v="0-5 hrs"/>
    <x v="0"/>
  </r>
  <r>
    <n v="1267"/>
    <d v="2023-09-30T00:00:00"/>
    <s v="Basic"/>
    <n v="199"/>
    <n v="13.3"/>
    <n v="0"/>
    <n v="3"/>
    <n v="14"/>
    <n v="38"/>
    <s v="Yes"/>
    <s v="No"/>
    <s v="Yes"/>
    <s v="No"/>
    <s v="Yes"/>
    <s v="No"/>
    <m/>
    <s v="1+ Failures"/>
    <n v="1"/>
    <s v="10-20hrs"/>
    <x v="1"/>
  </r>
  <r>
    <n v="1268"/>
    <d v="2023-12-18T00:00:00"/>
    <s v="Standard"/>
    <n v="399"/>
    <n v="19"/>
    <n v="6"/>
    <n v="2"/>
    <n v="31"/>
    <n v="23"/>
    <s v="Yes"/>
    <s v="No"/>
    <s v="Yes"/>
    <s v="Yes"/>
    <s v="Yes"/>
    <s v="No"/>
    <m/>
    <s v="1+ Failures"/>
    <n v="1"/>
    <s v="10-20hrs"/>
    <x v="1"/>
  </r>
  <r>
    <n v="1269"/>
    <d v="2023-12-31T00:00:00"/>
    <s v="Standard"/>
    <n v="399"/>
    <n v="23.6"/>
    <n v="6"/>
    <n v="3"/>
    <n v="16"/>
    <n v="39"/>
    <s v="Yes"/>
    <s v="No"/>
    <s v="Yes"/>
    <s v="Yes"/>
    <s v="Yes"/>
    <s v="No"/>
    <m/>
    <s v="1+ Failures"/>
    <n v="1"/>
    <s v="20+ hrs"/>
    <x v="1"/>
  </r>
  <r>
    <n v="1270"/>
    <d v="2023-05-23T00:00:00"/>
    <s v="Standard"/>
    <n v="399"/>
    <n v="0.6"/>
    <n v="6"/>
    <n v="5"/>
    <n v="7"/>
    <n v="53"/>
    <s v="Yes"/>
    <s v="Yes"/>
    <s v="Yes"/>
    <s v="Yes"/>
    <s v="Yes"/>
    <s v="No"/>
    <m/>
    <s v="1+ Failures"/>
    <n v="1"/>
    <s v="0-5 hrs"/>
    <x v="0"/>
  </r>
  <r>
    <n v="1271"/>
    <d v="2024-01-13T00:00:00"/>
    <s v="Basic"/>
    <n v="199"/>
    <n v="21.8"/>
    <n v="4"/>
    <n v="5"/>
    <n v="8"/>
    <n v="48"/>
    <s v="No"/>
    <s v="No"/>
    <s v="Yes"/>
    <s v="No"/>
    <s v="Yes"/>
    <s v="No"/>
    <m/>
    <s v="1+ Failures"/>
    <n v="0"/>
    <s v="20+ hrs"/>
    <x v="0"/>
  </r>
  <r>
    <n v="1272"/>
    <d v="2023-11-26T00:00:00"/>
    <s v="Standard"/>
    <n v="399"/>
    <n v="13.1"/>
    <n v="3"/>
    <n v="0"/>
    <n v="31"/>
    <n v="40"/>
    <s v="No"/>
    <s v="No"/>
    <s v="No"/>
    <s v="No"/>
    <s v="Yes"/>
    <s v="No"/>
    <m/>
    <s v="0 Failures"/>
    <n v="0"/>
    <s v="10-20hrs"/>
    <x v="1"/>
  </r>
  <r>
    <n v="1273"/>
    <d v="2024-05-11T00:00:00"/>
    <s v="Basic"/>
    <n v="199"/>
    <n v="21.9"/>
    <n v="5"/>
    <n v="5"/>
    <n v="24"/>
    <n v="28"/>
    <s v="Yes"/>
    <s v="No"/>
    <s v="Yes"/>
    <s v="Yes"/>
    <s v="Yes"/>
    <s v="No"/>
    <m/>
    <s v="1+ Failures"/>
    <n v="1"/>
    <s v="20+ hrs"/>
    <x v="1"/>
  </r>
  <r>
    <n v="1274"/>
    <d v="2023-04-13T00:00:00"/>
    <s v="Standard"/>
    <n v="399"/>
    <n v="9"/>
    <n v="7"/>
    <n v="5"/>
    <n v="6"/>
    <n v="54"/>
    <s v="Yes"/>
    <s v="No"/>
    <s v="Yes"/>
    <s v="Yes"/>
    <s v="Yes"/>
    <s v="No"/>
    <m/>
    <s v="1+ Failures"/>
    <n v="1"/>
    <s v="5-10 hrs"/>
    <x v="3"/>
  </r>
  <r>
    <n v="1275"/>
    <d v="2024-08-08T00:00:00"/>
    <s v="Premium"/>
    <n v="699"/>
    <n v="7.7"/>
    <n v="3"/>
    <n v="5"/>
    <n v="25"/>
    <n v="9"/>
    <s v="No"/>
    <s v="No"/>
    <s v="Yes"/>
    <s v="No"/>
    <s v="No"/>
    <s v="No"/>
    <m/>
    <s v="1+ Failures"/>
    <n v="0"/>
    <s v="5-10 hrs"/>
    <x v="1"/>
  </r>
  <r>
    <n v="1276"/>
    <d v="2024-07-15T00:00:00"/>
    <s v="Premium"/>
    <n v="699"/>
    <n v="1.3"/>
    <n v="7"/>
    <n v="0"/>
    <n v="33"/>
    <n v="19"/>
    <s v="No"/>
    <s v="Yes"/>
    <s v="No"/>
    <s v="Yes"/>
    <s v="Yes"/>
    <s v="No"/>
    <m/>
    <s v="0 Failures"/>
    <n v="0"/>
    <s v="0-5 hrs"/>
    <x v="1"/>
  </r>
  <r>
    <n v="1277"/>
    <d v="2023-09-07T00:00:00"/>
    <s v="Standard"/>
    <n v="399"/>
    <n v="22.5"/>
    <n v="1"/>
    <n v="3"/>
    <n v="11"/>
    <n v="42"/>
    <s v="Yes"/>
    <s v="No"/>
    <s v="Yes"/>
    <s v="No"/>
    <s v="Yes"/>
    <s v="No"/>
    <m/>
    <s v="1+ Failures"/>
    <n v="1"/>
    <s v="20+ hrs"/>
    <x v="0"/>
  </r>
  <r>
    <n v="1278"/>
    <d v="2023-01-30T00:00:00"/>
    <s v="Basic"/>
    <n v="199"/>
    <n v="19"/>
    <n v="1"/>
    <n v="0"/>
    <n v="11"/>
    <n v="27"/>
    <s v="No"/>
    <s v="No"/>
    <s v="No"/>
    <s v="No"/>
    <s v="Yes"/>
    <s v="No"/>
    <m/>
    <s v="0 Failures"/>
    <n v="0"/>
    <s v="10-20hrs"/>
    <x v="0"/>
  </r>
  <r>
    <n v="1279"/>
    <d v="2024-05-02T00:00:00"/>
    <s v="Basic"/>
    <n v="199"/>
    <n v="22.6"/>
    <n v="4"/>
    <n v="1"/>
    <n v="21"/>
    <n v="46"/>
    <s v="Yes"/>
    <s v="No"/>
    <s v="Yes"/>
    <s v="No"/>
    <s v="Yes"/>
    <s v="No"/>
    <m/>
    <s v="1+ Failures"/>
    <n v="1"/>
    <s v="20+ hrs"/>
    <x v="1"/>
  </r>
  <r>
    <n v="1280"/>
    <d v="2024-12-09T00:00:00"/>
    <s v="Premium"/>
    <n v="699"/>
    <n v="16.8"/>
    <n v="8"/>
    <n v="5"/>
    <n v="8"/>
    <n v="46"/>
    <s v="Yes"/>
    <s v="No"/>
    <s v="Yes"/>
    <s v="Yes"/>
    <s v="Yes"/>
    <s v="No"/>
    <m/>
    <s v="1+ Failures"/>
    <n v="1"/>
    <s v="10-20hrs"/>
    <x v="0"/>
  </r>
  <r>
    <n v="1281"/>
    <d v="2024-01-26T00:00:00"/>
    <s v="Standard"/>
    <n v="399"/>
    <n v="23.3"/>
    <n v="1"/>
    <n v="5"/>
    <n v="15"/>
    <n v="21"/>
    <s v="Yes"/>
    <s v="No"/>
    <s v="Yes"/>
    <s v="No"/>
    <s v="Yes"/>
    <s v="No"/>
    <m/>
    <s v="1+ Failures"/>
    <n v="1"/>
    <s v="20+ hrs"/>
    <x v="1"/>
  </r>
  <r>
    <n v="1282"/>
    <d v="2023-10-25T00:00:00"/>
    <s v="Premium"/>
    <n v="699"/>
    <n v="24.2"/>
    <n v="6"/>
    <n v="1"/>
    <n v="36"/>
    <n v="14"/>
    <s v="No"/>
    <s v="No"/>
    <s v="Yes"/>
    <s v="Yes"/>
    <s v="No"/>
    <s v="No"/>
    <m/>
    <s v="1+ Failures"/>
    <n v="0"/>
    <s v="20+ hrs"/>
    <x v="1"/>
  </r>
  <r>
    <n v="1283"/>
    <d v="2024-01-12T00:00:00"/>
    <s v="Basic"/>
    <n v="199"/>
    <n v="2.7"/>
    <n v="3"/>
    <n v="5"/>
    <n v="8"/>
    <n v="60"/>
    <s v="Yes"/>
    <s v="Yes"/>
    <s v="Yes"/>
    <s v="No"/>
    <s v="Yes"/>
    <s v="No"/>
    <m/>
    <s v="1+ Failures"/>
    <n v="1"/>
    <s v="0-5 hrs"/>
    <x v="0"/>
  </r>
  <r>
    <n v="1284"/>
    <d v="2023-07-14T00:00:00"/>
    <s v="Basic"/>
    <n v="199"/>
    <n v="23.9"/>
    <n v="0"/>
    <n v="2"/>
    <n v="21"/>
    <n v="3"/>
    <s v="No"/>
    <s v="No"/>
    <s v="Yes"/>
    <s v="No"/>
    <s v="No"/>
    <s v="No"/>
    <m/>
    <s v="1+ Failures"/>
    <n v="0"/>
    <s v="20+ hrs"/>
    <x v="1"/>
  </r>
  <r>
    <n v="1285"/>
    <d v="2024-06-16T00:00:00"/>
    <s v="Standard"/>
    <n v="399"/>
    <n v="8.3000000000000007"/>
    <n v="5"/>
    <n v="5"/>
    <n v="28"/>
    <n v="59"/>
    <s v="No"/>
    <s v="No"/>
    <s v="Yes"/>
    <s v="Yes"/>
    <s v="Yes"/>
    <s v="No"/>
    <m/>
    <s v="1+ Failures"/>
    <n v="0"/>
    <s v="5-10 hrs"/>
    <x v="1"/>
  </r>
  <r>
    <n v="1286"/>
    <d v="2023-05-29T00:00:00"/>
    <s v="Premium"/>
    <n v="699"/>
    <n v="3.1"/>
    <n v="0"/>
    <n v="4"/>
    <n v="15"/>
    <n v="54"/>
    <s v="Yes"/>
    <s v="Yes"/>
    <s v="Yes"/>
    <s v="No"/>
    <s v="Yes"/>
    <s v="No"/>
    <m/>
    <s v="1+ Failures"/>
    <n v="1"/>
    <s v="0-5 hrs"/>
    <x v="1"/>
  </r>
  <r>
    <n v="1287"/>
    <d v="2024-11-12T00:00:00"/>
    <s v="Standard"/>
    <n v="399"/>
    <n v="12.7"/>
    <n v="7"/>
    <n v="1"/>
    <n v="15"/>
    <n v="38"/>
    <s v="Yes"/>
    <s v="No"/>
    <s v="Yes"/>
    <s v="Yes"/>
    <s v="Yes"/>
    <s v="No"/>
    <m/>
    <s v="1+ Failures"/>
    <n v="1"/>
    <s v="10-20hrs"/>
    <x v="1"/>
  </r>
  <r>
    <n v="1288"/>
    <d v="2024-12-24T00:00:00"/>
    <s v="Premium"/>
    <n v="699"/>
    <n v="15.2"/>
    <n v="4"/>
    <n v="4"/>
    <n v="3"/>
    <n v="44"/>
    <s v="Yes"/>
    <s v="No"/>
    <s v="Yes"/>
    <s v="No"/>
    <s v="Yes"/>
    <s v="Yes"/>
    <m/>
    <s v="1+ Failures"/>
    <n v="1"/>
    <s v="10-20hrs"/>
    <x v="2"/>
  </r>
  <r>
    <n v="1289"/>
    <d v="2024-01-21T00:00:00"/>
    <s v="Premium"/>
    <n v="699"/>
    <n v="16"/>
    <n v="3"/>
    <n v="3"/>
    <n v="31"/>
    <n v="18"/>
    <s v="No"/>
    <s v="No"/>
    <s v="Yes"/>
    <s v="No"/>
    <s v="Yes"/>
    <s v="No"/>
    <m/>
    <s v="1+ Failures"/>
    <n v="0"/>
    <s v="10-20hrs"/>
    <x v="1"/>
  </r>
  <r>
    <n v="1290"/>
    <d v="2024-12-18T00:00:00"/>
    <s v="Basic"/>
    <n v="199"/>
    <n v="4.2"/>
    <n v="3"/>
    <n v="5"/>
    <n v="22"/>
    <n v="59"/>
    <s v="Yes"/>
    <s v="Yes"/>
    <s v="Yes"/>
    <s v="No"/>
    <s v="Yes"/>
    <s v="No"/>
    <m/>
    <s v="1+ Failures"/>
    <n v="1"/>
    <s v="0-5 hrs"/>
    <x v="1"/>
  </r>
  <r>
    <n v="1291"/>
    <d v="2024-11-06T00:00:00"/>
    <s v="Premium"/>
    <n v="699"/>
    <n v="23.1"/>
    <n v="2"/>
    <n v="3"/>
    <n v="4"/>
    <n v="46"/>
    <s v="Yes"/>
    <s v="No"/>
    <s v="Yes"/>
    <s v="No"/>
    <s v="Yes"/>
    <s v="Yes"/>
    <m/>
    <s v="1+ Failures"/>
    <n v="1"/>
    <s v="20+ hrs"/>
    <x v="3"/>
  </r>
  <r>
    <n v="1292"/>
    <d v="2023-12-23T00:00:00"/>
    <s v="Basic"/>
    <n v="199"/>
    <n v="13.9"/>
    <n v="5"/>
    <n v="3"/>
    <n v="2"/>
    <n v="43"/>
    <s v="Yes"/>
    <s v="No"/>
    <s v="Yes"/>
    <s v="Yes"/>
    <s v="Yes"/>
    <s v="Yes"/>
    <m/>
    <s v="1+ Failures"/>
    <n v="1"/>
    <s v="10-20hrs"/>
    <x v="2"/>
  </r>
  <r>
    <n v="1293"/>
    <d v="2024-12-18T00:00:00"/>
    <s v="Standard"/>
    <n v="399"/>
    <n v="2.2999999999999998"/>
    <n v="4"/>
    <n v="2"/>
    <n v="26"/>
    <n v="44"/>
    <s v="Yes"/>
    <s v="Yes"/>
    <s v="Yes"/>
    <s v="No"/>
    <s v="Yes"/>
    <s v="No"/>
    <m/>
    <s v="1+ Failures"/>
    <n v="1"/>
    <s v="0-5 hrs"/>
    <x v="1"/>
  </r>
  <r>
    <n v="1294"/>
    <d v="2024-12-27T00:00:00"/>
    <s v="Premium"/>
    <n v="699"/>
    <n v="2.9"/>
    <n v="5"/>
    <n v="4"/>
    <n v="26"/>
    <n v="55"/>
    <s v="Yes"/>
    <s v="Yes"/>
    <s v="Yes"/>
    <s v="Yes"/>
    <s v="Yes"/>
    <s v="No"/>
    <m/>
    <s v="1+ Failures"/>
    <n v="1"/>
    <s v="0-5 hrs"/>
    <x v="1"/>
  </r>
  <r>
    <n v="1295"/>
    <d v="2023-05-29T00:00:00"/>
    <s v="Standard"/>
    <n v="399"/>
    <n v="16.5"/>
    <n v="2"/>
    <n v="3"/>
    <n v="30"/>
    <n v="44"/>
    <s v="Yes"/>
    <s v="No"/>
    <s v="Yes"/>
    <s v="No"/>
    <s v="Yes"/>
    <s v="No"/>
    <m/>
    <s v="1+ Failures"/>
    <n v="1"/>
    <s v="10-20hrs"/>
    <x v="1"/>
  </r>
  <r>
    <n v="1296"/>
    <d v="2024-08-12T00:00:00"/>
    <s v="Basic"/>
    <n v="199"/>
    <n v="20.2"/>
    <n v="3"/>
    <n v="5"/>
    <n v="14"/>
    <n v="41"/>
    <s v="Yes"/>
    <s v="No"/>
    <s v="Yes"/>
    <s v="No"/>
    <s v="Yes"/>
    <s v="No"/>
    <m/>
    <s v="1+ Failures"/>
    <n v="1"/>
    <s v="20+ hrs"/>
    <x v="1"/>
  </r>
  <r>
    <n v="1297"/>
    <d v="2023-02-27T00:00:00"/>
    <s v="Basic"/>
    <n v="199"/>
    <n v="9.6999999999999993"/>
    <n v="6"/>
    <n v="5"/>
    <n v="10"/>
    <n v="53"/>
    <s v="Yes"/>
    <s v="No"/>
    <s v="Yes"/>
    <s v="Yes"/>
    <s v="Yes"/>
    <s v="No"/>
    <m/>
    <s v="1+ Failures"/>
    <n v="1"/>
    <s v="5-10 hrs"/>
    <x v="0"/>
  </r>
  <r>
    <n v="1298"/>
    <d v="2024-10-27T00:00:00"/>
    <s v="Basic"/>
    <n v="199"/>
    <n v="24.4"/>
    <n v="2"/>
    <n v="0"/>
    <n v="23"/>
    <n v="7"/>
    <s v="No"/>
    <s v="No"/>
    <s v="No"/>
    <s v="No"/>
    <s v="No"/>
    <s v="No"/>
    <m/>
    <s v="0 Failures"/>
    <n v="0"/>
    <s v="20+ hrs"/>
    <x v="1"/>
  </r>
  <r>
    <n v="1299"/>
    <d v="2024-02-11T00:00:00"/>
    <s v="Standard"/>
    <n v="399"/>
    <n v="24.3"/>
    <n v="6"/>
    <n v="1"/>
    <n v="28"/>
    <n v="2"/>
    <s v="Yes"/>
    <s v="No"/>
    <s v="Yes"/>
    <s v="Yes"/>
    <s v="No"/>
    <s v="No"/>
    <m/>
    <s v="1+ Failures"/>
    <n v="1"/>
    <s v="20+ hrs"/>
    <x v="1"/>
  </r>
  <r>
    <n v="1300"/>
    <d v="2024-12-09T00:00:00"/>
    <s v="Standard"/>
    <n v="399"/>
    <n v="17.399999999999999"/>
    <n v="2"/>
    <n v="5"/>
    <n v="20"/>
    <n v="47"/>
    <s v="Yes"/>
    <s v="No"/>
    <s v="Yes"/>
    <s v="No"/>
    <s v="Yes"/>
    <s v="No"/>
    <m/>
    <s v="1+ Failures"/>
    <n v="1"/>
    <s v="10-20hrs"/>
    <x v="1"/>
  </r>
  <r>
    <n v="1301"/>
    <d v="2024-01-12T00:00:00"/>
    <s v="Premium"/>
    <n v="699"/>
    <n v="19.600000000000001"/>
    <n v="6"/>
    <n v="2"/>
    <n v="6"/>
    <n v="40"/>
    <s v="Yes"/>
    <s v="No"/>
    <s v="Yes"/>
    <s v="Yes"/>
    <s v="Yes"/>
    <s v="No"/>
    <m/>
    <s v="1+ Failures"/>
    <n v="1"/>
    <s v="10-20hrs"/>
    <x v="3"/>
  </r>
  <r>
    <n v="1302"/>
    <d v="2024-06-05T00:00:00"/>
    <s v="Basic"/>
    <n v="199"/>
    <n v="3.4"/>
    <n v="1"/>
    <n v="3"/>
    <n v="8"/>
    <n v="41"/>
    <s v="Yes"/>
    <s v="Yes"/>
    <s v="Yes"/>
    <s v="No"/>
    <s v="Yes"/>
    <s v="No"/>
    <m/>
    <s v="1+ Failures"/>
    <n v="1"/>
    <s v="0-5 hrs"/>
    <x v="0"/>
  </r>
  <r>
    <n v="1303"/>
    <d v="2024-08-30T00:00:00"/>
    <s v="Basic"/>
    <n v="199"/>
    <n v="14.9"/>
    <n v="7"/>
    <n v="2"/>
    <n v="2"/>
    <n v="44"/>
    <s v="Yes"/>
    <s v="No"/>
    <s v="Yes"/>
    <s v="Yes"/>
    <s v="Yes"/>
    <s v="Yes"/>
    <m/>
    <s v="1+ Failures"/>
    <n v="1"/>
    <s v="10-20hrs"/>
    <x v="2"/>
  </r>
  <r>
    <n v="1304"/>
    <d v="2023-11-30T00:00:00"/>
    <s v="Basic"/>
    <n v="199"/>
    <n v="12.4"/>
    <n v="6"/>
    <n v="2"/>
    <n v="25"/>
    <n v="36"/>
    <s v="Yes"/>
    <s v="No"/>
    <s v="Yes"/>
    <s v="Yes"/>
    <s v="Yes"/>
    <s v="No"/>
    <m/>
    <s v="1+ Failures"/>
    <n v="1"/>
    <s v="10-20hrs"/>
    <x v="1"/>
  </r>
  <r>
    <n v="1305"/>
    <d v="2024-06-26T00:00:00"/>
    <s v="Basic"/>
    <n v="199"/>
    <n v="5"/>
    <n v="0"/>
    <n v="3"/>
    <n v="35"/>
    <n v="35"/>
    <s v="No"/>
    <s v="No"/>
    <s v="Yes"/>
    <s v="No"/>
    <s v="Yes"/>
    <s v="No"/>
    <m/>
    <s v="1+ Failures"/>
    <n v="0"/>
    <s v="0-5 hrs"/>
    <x v="1"/>
  </r>
  <r>
    <n v="1306"/>
    <d v="2023-05-08T00:00:00"/>
    <s v="Standard"/>
    <n v="399"/>
    <n v="13.2"/>
    <n v="8"/>
    <n v="5"/>
    <n v="5"/>
    <n v="52"/>
    <s v="No"/>
    <s v="No"/>
    <s v="Yes"/>
    <s v="Yes"/>
    <s v="Yes"/>
    <s v="Yes"/>
    <m/>
    <s v="1+ Failures"/>
    <n v="0"/>
    <s v="10-20hrs"/>
    <x v="3"/>
  </r>
  <r>
    <n v="1307"/>
    <d v="2023-11-18T00:00:00"/>
    <s v="Basic"/>
    <n v="199"/>
    <n v="4.9000000000000004"/>
    <n v="2"/>
    <n v="0"/>
    <n v="8"/>
    <n v="35"/>
    <s v="Yes"/>
    <s v="Yes"/>
    <s v="No"/>
    <s v="No"/>
    <s v="Yes"/>
    <s v="No"/>
    <m/>
    <s v="0 Failures"/>
    <n v="1"/>
    <s v="0-5 hrs"/>
    <x v="0"/>
  </r>
  <r>
    <n v="1308"/>
    <d v="2023-09-20T00:00:00"/>
    <s v="Basic"/>
    <n v="199"/>
    <n v="3.7"/>
    <n v="3"/>
    <n v="5"/>
    <n v="3"/>
    <n v="10"/>
    <s v="Yes"/>
    <s v="Yes"/>
    <s v="Yes"/>
    <s v="No"/>
    <s v="No"/>
    <s v="Yes"/>
    <m/>
    <s v="1+ Failures"/>
    <n v="1"/>
    <s v="0-5 hrs"/>
    <x v="2"/>
  </r>
  <r>
    <n v="1309"/>
    <d v="2023-06-25T00:00:00"/>
    <s v="Basic"/>
    <n v="199"/>
    <n v="24.5"/>
    <n v="8"/>
    <n v="2"/>
    <n v="6"/>
    <n v="23"/>
    <s v="No"/>
    <s v="No"/>
    <s v="Yes"/>
    <s v="Yes"/>
    <s v="Yes"/>
    <s v="No"/>
    <m/>
    <s v="1+ Failures"/>
    <n v="0"/>
    <s v="20+ hrs"/>
    <x v="3"/>
  </r>
  <r>
    <n v="1310"/>
    <d v="2024-11-05T00:00:00"/>
    <s v="Standard"/>
    <n v="399"/>
    <n v="6.6"/>
    <n v="0"/>
    <n v="4"/>
    <n v="1"/>
    <n v="57"/>
    <s v="No"/>
    <s v="No"/>
    <s v="Yes"/>
    <s v="No"/>
    <s v="Yes"/>
    <s v="Yes"/>
    <m/>
    <s v="1+ Failures"/>
    <n v="0"/>
    <s v="5-10 hrs"/>
    <x v="2"/>
  </r>
  <r>
    <n v="1311"/>
    <d v="2023-12-27T00:00:00"/>
    <s v="Premium"/>
    <n v="699"/>
    <n v="3.9"/>
    <n v="7"/>
    <n v="5"/>
    <n v="29"/>
    <n v="20"/>
    <s v="Yes"/>
    <s v="Yes"/>
    <s v="Yes"/>
    <s v="Yes"/>
    <s v="Yes"/>
    <s v="No"/>
    <m/>
    <s v="1+ Failures"/>
    <n v="1"/>
    <s v="0-5 hrs"/>
    <x v="1"/>
  </r>
  <r>
    <n v="1312"/>
    <d v="2023-02-07T00:00:00"/>
    <s v="Premium"/>
    <n v="699"/>
    <n v="13"/>
    <n v="1"/>
    <n v="5"/>
    <n v="35"/>
    <n v="52"/>
    <s v="Yes"/>
    <s v="No"/>
    <s v="Yes"/>
    <s v="No"/>
    <s v="Yes"/>
    <s v="No"/>
    <m/>
    <s v="1+ Failures"/>
    <n v="1"/>
    <s v="10-20hrs"/>
    <x v="1"/>
  </r>
  <r>
    <n v="1313"/>
    <d v="2024-08-28T00:00:00"/>
    <s v="Basic"/>
    <n v="199"/>
    <n v="7.8"/>
    <n v="3"/>
    <n v="1"/>
    <n v="10"/>
    <n v="38"/>
    <s v="No"/>
    <s v="No"/>
    <s v="Yes"/>
    <s v="No"/>
    <s v="Yes"/>
    <s v="No"/>
    <m/>
    <s v="1+ Failures"/>
    <n v="0"/>
    <s v="5-10 hrs"/>
    <x v="0"/>
  </r>
  <r>
    <n v="1314"/>
    <d v="2024-01-26T00:00:00"/>
    <s v="Standard"/>
    <n v="399"/>
    <n v="3.6"/>
    <n v="6"/>
    <n v="0"/>
    <n v="18"/>
    <n v="35"/>
    <s v="Yes"/>
    <s v="Yes"/>
    <s v="No"/>
    <s v="Yes"/>
    <s v="Yes"/>
    <s v="No"/>
    <m/>
    <s v="0 Failures"/>
    <n v="1"/>
    <s v="0-5 hrs"/>
    <x v="1"/>
  </r>
  <r>
    <n v="1315"/>
    <d v="2024-12-12T00:00:00"/>
    <s v="Premium"/>
    <n v="699"/>
    <n v="10.3"/>
    <n v="1"/>
    <n v="2"/>
    <n v="11"/>
    <n v="43"/>
    <s v="Yes"/>
    <s v="No"/>
    <s v="Yes"/>
    <s v="No"/>
    <s v="Yes"/>
    <s v="No"/>
    <m/>
    <s v="1+ Failures"/>
    <n v="1"/>
    <s v="10-20hrs"/>
    <x v="0"/>
  </r>
  <r>
    <n v="1316"/>
    <d v="2024-01-17T00:00:00"/>
    <s v="Basic"/>
    <n v="199"/>
    <n v="5.5"/>
    <n v="4"/>
    <n v="5"/>
    <n v="35"/>
    <n v="44"/>
    <s v="Yes"/>
    <s v="No"/>
    <s v="Yes"/>
    <s v="No"/>
    <s v="Yes"/>
    <s v="No"/>
    <m/>
    <s v="1+ Failures"/>
    <n v="1"/>
    <s v="5-10 hrs"/>
    <x v="1"/>
  </r>
  <r>
    <n v="1317"/>
    <d v="2024-03-20T00:00:00"/>
    <s v="Premium"/>
    <n v="699"/>
    <n v="15.3"/>
    <n v="6"/>
    <n v="1"/>
    <n v="33"/>
    <n v="20"/>
    <s v="No"/>
    <s v="No"/>
    <s v="Yes"/>
    <s v="Yes"/>
    <s v="Yes"/>
    <s v="No"/>
    <m/>
    <s v="1+ Failures"/>
    <n v="0"/>
    <s v="10-20hrs"/>
    <x v="1"/>
  </r>
  <r>
    <n v="1318"/>
    <d v="2023-04-23T00:00:00"/>
    <s v="Standard"/>
    <n v="399"/>
    <n v="24.1"/>
    <n v="3"/>
    <n v="0"/>
    <n v="2"/>
    <n v="17"/>
    <s v="No"/>
    <s v="No"/>
    <s v="No"/>
    <s v="No"/>
    <s v="Yes"/>
    <s v="Yes"/>
    <m/>
    <s v="0 Failures"/>
    <n v="0"/>
    <s v="20+ hrs"/>
    <x v="2"/>
  </r>
  <r>
    <n v="1319"/>
    <d v="2023-12-08T00:00:00"/>
    <s v="Premium"/>
    <n v="699"/>
    <n v="10.5"/>
    <n v="5"/>
    <n v="5"/>
    <n v="36"/>
    <n v="5"/>
    <s v="Yes"/>
    <s v="No"/>
    <s v="Yes"/>
    <s v="Yes"/>
    <s v="No"/>
    <s v="No"/>
    <m/>
    <s v="1+ Failures"/>
    <n v="1"/>
    <s v="10-20hrs"/>
    <x v="1"/>
  </r>
  <r>
    <n v="1320"/>
    <d v="2023-08-16T00:00:00"/>
    <s v="Standard"/>
    <n v="399"/>
    <n v="21.8"/>
    <n v="3"/>
    <n v="2"/>
    <n v="10"/>
    <n v="0"/>
    <s v="Yes"/>
    <s v="No"/>
    <s v="Yes"/>
    <s v="No"/>
    <s v="No"/>
    <s v="No"/>
    <m/>
    <s v="1+ Failures"/>
    <n v="1"/>
    <s v="20+ hrs"/>
    <x v="0"/>
  </r>
  <r>
    <n v="1321"/>
    <d v="2023-11-10T00:00:00"/>
    <s v="Standard"/>
    <n v="399"/>
    <n v="19.7"/>
    <n v="1"/>
    <n v="1"/>
    <n v="7"/>
    <n v="33"/>
    <s v="No"/>
    <s v="No"/>
    <s v="Yes"/>
    <s v="No"/>
    <s v="Yes"/>
    <s v="No"/>
    <m/>
    <s v="1+ Failures"/>
    <n v="0"/>
    <s v="10-20hrs"/>
    <x v="0"/>
  </r>
  <r>
    <n v="1322"/>
    <d v="2024-07-18T00:00:00"/>
    <s v="Premium"/>
    <n v="699"/>
    <n v="2.8"/>
    <n v="5"/>
    <n v="5"/>
    <n v="32"/>
    <n v="36"/>
    <s v="Yes"/>
    <s v="Yes"/>
    <s v="Yes"/>
    <s v="Yes"/>
    <s v="Yes"/>
    <s v="No"/>
    <m/>
    <s v="1+ Failures"/>
    <n v="1"/>
    <s v="0-5 hrs"/>
    <x v="1"/>
  </r>
  <r>
    <n v="1323"/>
    <d v="2023-07-05T00:00:00"/>
    <s v="Standard"/>
    <n v="399"/>
    <n v="22.5"/>
    <n v="2"/>
    <n v="2"/>
    <n v="7"/>
    <n v="60"/>
    <s v="No"/>
    <s v="No"/>
    <s v="Yes"/>
    <s v="No"/>
    <s v="Yes"/>
    <s v="No"/>
    <m/>
    <s v="1+ Failures"/>
    <n v="0"/>
    <s v="20+ hrs"/>
    <x v="0"/>
  </r>
  <r>
    <n v="1324"/>
    <d v="2023-01-10T00:00:00"/>
    <s v="Standard"/>
    <n v="399"/>
    <n v="14"/>
    <n v="6"/>
    <n v="3"/>
    <n v="35"/>
    <n v="37"/>
    <s v="Yes"/>
    <s v="No"/>
    <s v="Yes"/>
    <s v="Yes"/>
    <s v="Yes"/>
    <s v="No"/>
    <m/>
    <s v="1+ Failures"/>
    <n v="1"/>
    <s v="10-20hrs"/>
    <x v="1"/>
  </r>
  <r>
    <n v="1325"/>
    <d v="2023-10-01T00:00:00"/>
    <s v="Premium"/>
    <n v="699"/>
    <n v="18"/>
    <n v="2"/>
    <n v="1"/>
    <n v="33"/>
    <n v="24"/>
    <s v="No"/>
    <s v="No"/>
    <s v="Yes"/>
    <s v="No"/>
    <s v="Yes"/>
    <s v="No"/>
    <m/>
    <s v="1+ Failures"/>
    <n v="0"/>
    <s v="10-20hrs"/>
    <x v="1"/>
  </r>
  <r>
    <n v="1326"/>
    <d v="2024-04-13T00:00:00"/>
    <s v="Basic"/>
    <n v="199"/>
    <n v="17.8"/>
    <n v="3"/>
    <n v="5"/>
    <n v="24"/>
    <n v="38"/>
    <s v="Yes"/>
    <s v="No"/>
    <s v="Yes"/>
    <s v="No"/>
    <s v="Yes"/>
    <s v="No"/>
    <m/>
    <s v="1+ Failures"/>
    <n v="1"/>
    <s v="10-20hrs"/>
    <x v="1"/>
  </r>
  <r>
    <n v="1327"/>
    <d v="2024-03-14T00:00:00"/>
    <s v="Basic"/>
    <n v="199"/>
    <n v="24.7"/>
    <n v="7"/>
    <n v="4"/>
    <n v="29"/>
    <n v="18"/>
    <s v="Yes"/>
    <s v="No"/>
    <s v="Yes"/>
    <s v="Yes"/>
    <s v="Yes"/>
    <s v="No"/>
    <m/>
    <s v="1+ Failures"/>
    <n v="1"/>
    <s v="20+ hrs"/>
    <x v="1"/>
  </r>
  <r>
    <n v="1328"/>
    <d v="2023-04-03T00:00:00"/>
    <s v="Premium"/>
    <n v="699"/>
    <n v="8"/>
    <n v="1"/>
    <n v="2"/>
    <n v="15"/>
    <n v="26"/>
    <s v="No"/>
    <s v="No"/>
    <s v="Yes"/>
    <s v="No"/>
    <s v="Yes"/>
    <s v="No"/>
    <m/>
    <s v="1+ Failures"/>
    <n v="0"/>
    <s v="5-10 hrs"/>
    <x v="1"/>
  </r>
  <r>
    <n v="1329"/>
    <d v="2023-03-28T00:00:00"/>
    <s v="Premium"/>
    <n v="699"/>
    <n v="2.4"/>
    <n v="3"/>
    <n v="0"/>
    <n v="6"/>
    <n v="10"/>
    <s v="No"/>
    <s v="Yes"/>
    <s v="No"/>
    <s v="No"/>
    <s v="No"/>
    <s v="No"/>
    <m/>
    <s v="0 Failures"/>
    <n v="0"/>
    <s v="0-5 hrs"/>
    <x v="3"/>
  </r>
  <r>
    <n v="1330"/>
    <d v="2024-06-04T00:00:00"/>
    <s v="Premium"/>
    <n v="699"/>
    <n v="14.1"/>
    <n v="7"/>
    <n v="0"/>
    <n v="19"/>
    <n v="60"/>
    <s v="Yes"/>
    <s v="No"/>
    <s v="No"/>
    <s v="Yes"/>
    <s v="Yes"/>
    <s v="No"/>
    <m/>
    <s v="0 Failures"/>
    <n v="1"/>
    <s v="10-20hrs"/>
    <x v="1"/>
  </r>
  <r>
    <n v="1331"/>
    <d v="2024-12-15T00:00:00"/>
    <s v="Premium"/>
    <n v="699"/>
    <n v="12.3"/>
    <n v="8"/>
    <n v="5"/>
    <n v="9"/>
    <n v="43"/>
    <s v="No"/>
    <s v="No"/>
    <s v="Yes"/>
    <s v="Yes"/>
    <s v="Yes"/>
    <s v="No"/>
    <m/>
    <s v="1+ Failures"/>
    <n v="0"/>
    <s v="10-20hrs"/>
    <x v="0"/>
  </r>
  <r>
    <n v="1332"/>
    <d v="2024-12-20T00:00:00"/>
    <s v="Basic"/>
    <n v="199"/>
    <n v="0.8"/>
    <n v="3"/>
    <n v="5"/>
    <n v="26"/>
    <n v="0"/>
    <s v="No"/>
    <s v="Yes"/>
    <s v="Yes"/>
    <s v="No"/>
    <s v="No"/>
    <s v="No"/>
    <m/>
    <s v="1+ Failures"/>
    <n v="0"/>
    <s v="0-5 hrs"/>
    <x v="1"/>
  </r>
  <r>
    <n v="1333"/>
    <d v="2024-04-04T00:00:00"/>
    <s v="Premium"/>
    <n v="699"/>
    <n v="6.5"/>
    <n v="8"/>
    <n v="5"/>
    <n v="23"/>
    <n v="38"/>
    <s v="Yes"/>
    <s v="No"/>
    <s v="Yes"/>
    <s v="Yes"/>
    <s v="Yes"/>
    <s v="No"/>
    <m/>
    <s v="1+ Failures"/>
    <n v="1"/>
    <s v="5-10 hrs"/>
    <x v="1"/>
  </r>
  <r>
    <n v="1334"/>
    <d v="2024-06-10T00:00:00"/>
    <s v="Basic"/>
    <n v="199"/>
    <n v="22.6"/>
    <n v="2"/>
    <n v="0"/>
    <n v="34"/>
    <n v="23"/>
    <s v="No"/>
    <s v="No"/>
    <s v="No"/>
    <s v="No"/>
    <s v="Yes"/>
    <s v="No"/>
    <m/>
    <s v="0 Failures"/>
    <n v="0"/>
    <s v="20+ hrs"/>
    <x v="1"/>
  </r>
  <r>
    <n v="1335"/>
    <d v="2023-12-13T00:00:00"/>
    <s v="Standard"/>
    <n v="399"/>
    <n v="10.9"/>
    <n v="6"/>
    <n v="1"/>
    <n v="4"/>
    <n v="23"/>
    <s v="No"/>
    <s v="No"/>
    <s v="Yes"/>
    <s v="Yes"/>
    <s v="Yes"/>
    <s v="Yes"/>
    <m/>
    <s v="1+ Failures"/>
    <n v="0"/>
    <s v="10-20hrs"/>
    <x v="3"/>
  </r>
  <r>
    <n v="1336"/>
    <d v="2023-09-29T00:00:00"/>
    <s v="Premium"/>
    <n v="699"/>
    <n v="20.9"/>
    <n v="1"/>
    <n v="2"/>
    <n v="16"/>
    <n v="19"/>
    <s v="No"/>
    <s v="No"/>
    <s v="Yes"/>
    <s v="No"/>
    <s v="Yes"/>
    <s v="No"/>
    <m/>
    <s v="1+ Failures"/>
    <n v="0"/>
    <s v="20+ hrs"/>
    <x v="1"/>
  </r>
  <r>
    <n v="1337"/>
    <d v="2024-10-20T00:00:00"/>
    <s v="Basic"/>
    <n v="199"/>
    <n v="18.600000000000001"/>
    <n v="6"/>
    <n v="1"/>
    <n v="1"/>
    <n v="59"/>
    <s v="Yes"/>
    <s v="No"/>
    <s v="Yes"/>
    <s v="Yes"/>
    <s v="Yes"/>
    <s v="Yes"/>
    <m/>
    <s v="1+ Failures"/>
    <n v="1"/>
    <s v="10-20hrs"/>
    <x v="2"/>
  </r>
  <r>
    <n v="1338"/>
    <d v="2024-04-16T00:00:00"/>
    <s v="Premium"/>
    <n v="699"/>
    <n v="23.4"/>
    <n v="7"/>
    <n v="0"/>
    <n v="3"/>
    <n v="22"/>
    <s v="Yes"/>
    <s v="No"/>
    <s v="No"/>
    <s v="Yes"/>
    <s v="Yes"/>
    <s v="Yes"/>
    <m/>
    <s v="0 Failures"/>
    <n v="1"/>
    <s v="20+ hrs"/>
    <x v="2"/>
  </r>
  <r>
    <n v="1339"/>
    <d v="2024-02-16T00:00:00"/>
    <s v="Standard"/>
    <n v="399"/>
    <n v="9.1999999999999993"/>
    <n v="0"/>
    <n v="2"/>
    <n v="20"/>
    <n v="56"/>
    <s v="No"/>
    <s v="No"/>
    <s v="Yes"/>
    <s v="No"/>
    <s v="Yes"/>
    <s v="No"/>
    <m/>
    <s v="1+ Failures"/>
    <n v="0"/>
    <s v="5-10 hrs"/>
    <x v="1"/>
  </r>
  <r>
    <n v="1340"/>
    <d v="2023-06-07T00:00:00"/>
    <s v="Standard"/>
    <n v="399"/>
    <n v="3"/>
    <n v="7"/>
    <n v="1"/>
    <n v="1"/>
    <n v="5"/>
    <s v="No"/>
    <s v="Yes"/>
    <s v="Yes"/>
    <s v="Yes"/>
    <s v="No"/>
    <s v="Yes"/>
    <m/>
    <s v="1+ Failures"/>
    <n v="0"/>
    <s v="0-5 hrs"/>
    <x v="2"/>
  </r>
  <r>
    <n v="1341"/>
    <d v="2023-08-20T00:00:00"/>
    <s v="Standard"/>
    <n v="399"/>
    <n v="22.9"/>
    <n v="0"/>
    <n v="1"/>
    <n v="8"/>
    <n v="49"/>
    <s v="No"/>
    <s v="No"/>
    <s v="Yes"/>
    <s v="No"/>
    <s v="Yes"/>
    <s v="No"/>
    <m/>
    <s v="1+ Failures"/>
    <n v="0"/>
    <s v="20+ hrs"/>
    <x v="0"/>
  </r>
  <r>
    <n v="1342"/>
    <d v="2023-10-03T00:00:00"/>
    <s v="Standard"/>
    <n v="399"/>
    <n v="9.6999999999999993"/>
    <n v="5"/>
    <n v="3"/>
    <n v="26"/>
    <n v="57"/>
    <s v="Yes"/>
    <s v="No"/>
    <s v="Yes"/>
    <s v="Yes"/>
    <s v="Yes"/>
    <s v="No"/>
    <m/>
    <s v="1+ Failures"/>
    <n v="1"/>
    <s v="5-10 hrs"/>
    <x v="1"/>
  </r>
  <r>
    <n v="1343"/>
    <d v="2024-03-20T00:00:00"/>
    <s v="Basic"/>
    <n v="199"/>
    <n v="16.600000000000001"/>
    <n v="7"/>
    <n v="1"/>
    <n v="29"/>
    <n v="8"/>
    <s v="No"/>
    <s v="No"/>
    <s v="Yes"/>
    <s v="Yes"/>
    <s v="No"/>
    <s v="No"/>
    <m/>
    <s v="1+ Failures"/>
    <n v="0"/>
    <s v="10-20hrs"/>
    <x v="1"/>
  </r>
  <r>
    <n v="1344"/>
    <d v="2023-05-17T00:00:00"/>
    <s v="Basic"/>
    <n v="199"/>
    <n v="22.1"/>
    <n v="3"/>
    <n v="0"/>
    <n v="23"/>
    <n v="12"/>
    <s v="No"/>
    <s v="No"/>
    <s v="No"/>
    <s v="No"/>
    <s v="No"/>
    <s v="No"/>
    <m/>
    <s v="0 Failures"/>
    <n v="0"/>
    <s v="20+ hrs"/>
    <x v="1"/>
  </r>
  <r>
    <n v="1345"/>
    <d v="2024-05-05T00:00:00"/>
    <s v="Standard"/>
    <n v="399"/>
    <n v="18.7"/>
    <n v="0"/>
    <n v="1"/>
    <n v="27"/>
    <n v="42"/>
    <s v="Yes"/>
    <s v="No"/>
    <s v="Yes"/>
    <s v="No"/>
    <s v="Yes"/>
    <s v="No"/>
    <m/>
    <s v="1+ Failures"/>
    <n v="1"/>
    <s v="10-20hrs"/>
    <x v="1"/>
  </r>
  <r>
    <n v="1346"/>
    <d v="2023-05-11T00:00:00"/>
    <s v="Premium"/>
    <n v="699"/>
    <n v="3.4"/>
    <n v="7"/>
    <n v="4"/>
    <n v="18"/>
    <n v="31"/>
    <s v="Yes"/>
    <s v="Yes"/>
    <s v="Yes"/>
    <s v="Yes"/>
    <s v="Yes"/>
    <s v="No"/>
    <m/>
    <s v="1+ Failures"/>
    <n v="1"/>
    <s v="0-5 hrs"/>
    <x v="1"/>
  </r>
  <r>
    <n v="1347"/>
    <d v="2023-01-22T00:00:00"/>
    <s v="Standard"/>
    <n v="399"/>
    <n v="12.8"/>
    <n v="6"/>
    <n v="1"/>
    <n v="26"/>
    <n v="7"/>
    <s v="No"/>
    <s v="No"/>
    <s v="Yes"/>
    <s v="Yes"/>
    <s v="No"/>
    <s v="No"/>
    <m/>
    <s v="1+ Failures"/>
    <n v="0"/>
    <s v="10-20hrs"/>
    <x v="1"/>
  </r>
  <r>
    <n v="1348"/>
    <d v="2023-12-17T00:00:00"/>
    <s v="Basic"/>
    <n v="199"/>
    <n v="8.9"/>
    <n v="0"/>
    <n v="5"/>
    <n v="10"/>
    <n v="15"/>
    <s v="Yes"/>
    <s v="No"/>
    <s v="Yes"/>
    <s v="No"/>
    <s v="Yes"/>
    <s v="No"/>
    <m/>
    <s v="1+ Failures"/>
    <n v="1"/>
    <s v="5-10 hrs"/>
    <x v="0"/>
  </r>
  <r>
    <n v="1349"/>
    <d v="2024-03-15T00:00:00"/>
    <s v="Standard"/>
    <n v="399"/>
    <n v="11.1"/>
    <n v="4"/>
    <n v="2"/>
    <n v="1"/>
    <n v="31"/>
    <s v="Yes"/>
    <s v="No"/>
    <s v="Yes"/>
    <s v="No"/>
    <s v="Yes"/>
    <s v="Yes"/>
    <m/>
    <s v="1+ Failures"/>
    <n v="1"/>
    <s v="10-20hrs"/>
    <x v="2"/>
  </r>
  <r>
    <n v="1350"/>
    <d v="2023-09-27T00:00:00"/>
    <s v="Basic"/>
    <n v="199"/>
    <n v="18.399999999999999"/>
    <n v="2"/>
    <n v="1"/>
    <n v="10"/>
    <n v="17"/>
    <s v="No"/>
    <s v="No"/>
    <s v="Yes"/>
    <s v="No"/>
    <s v="Yes"/>
    <s v="No"/>
    <m/>
    <s v="1+ Failures"/>
    <n v="0"/>
    <s v="10-20hrs"/>
    <x v="0"/>
  </r>
  <r>
    <n v="1351"/>
    <d v="2023-04-16T00:00:00"/>
    <s v="Premium"/>
    <n v="699"/>
    <n v="16.8"/>
    <n v="6"/>
    <n v="1"/>
    <n v="16"/>
    <n v="30"/>
    <s v="No"/>
    <s v="No"/>
    <s v="Yes"/>
    <s v="Yes"/>
    <s v="Yes"/>
    <s v="No"/>
    <m/>
    <s v="1+ Failures"/>
    <n v="0"/>
    <s v="10-20hrs"/>
    <x v="1"/>
  </r>
  <r>
    <n v="1352"/>
    <d v="2023-08-23T00:00:00"/>
    <s v="Premium"/>
    <n v="699"/>
    <n v="15.5"/>
    <n v="3"/>
    <n v="4"/>
    <n v="33"/>
    <n v="40"/>
    <s v="No"/>
    <s v="No"/>
    <s v="Yes"/>
    <s v="No"/>
    <s v="Yes"/>
    <s v="No"/>
    <m/>
    <s v="1+ Failures"/>
    <n v="0"/>
    <s v="10-20hrs"/>
    <x v="1"/>
  </r>
  <r>
    <n v="1353"/>
    <d v="2023-01-19T00:00:00"/>
    <s v="Basic"/>
    <n v="199"/>
    <n v="10.3"/>
    <n v="4"/>
    <n v="1"/>
    <n v="9"/>
    <n v="59"/>
    <s v="Yes"/>
    <s v="No"/>
    <s v="Yes"/>
    <s v="No"/>
    <s v="Yes"/>
    <s v="No"/>
    <m/>
    <s v="1+ Failures"/>
    <n v="1"/>
    <s v="10-20hrs"/>
    <x v="0"/>
  </r>
  <r>
    <n v="1354"/>
    <d v="2024-12-17T00:00:00"/>
    <s v="Premium"/>
    <n v="699"/>
    <n v="2.7"/>
    <n v="0"/>
    <n v="3"/>
    <n v="13"/>
    <n v="26"/>
    <s v="Yes"/>
    <s v="Yes"/>
    <s v="Yes"/>
    <s v="No"/>
    <s v="Yes"/>
    <s v="No"/>
    <m/>
    <s v="1+ Failures"/>
    <n v="1"/>
    <s v="0-5 hrs"/>
    <x v="1"/>
  </r>
  <r>
    <n v="1355"/>
    <d v="2024-10-21T00:00:00"/>
    <s v="Premium"/>
    <n v="699"/>
    <n v="5.9"/>
    <n v="6"/>
    <n v="3"/>
    <n v="15"/>
    <n v="3"/>
    <s v="No"/>
    <s v="No"/>
    <s v="Yes"/>
    <s v="Yes"/>
    <s v="No"/>
    <s v="No"/>
    <m/>
    <s v="1+ Failures"/>
    <n v="0"/>
    <s v="5-10 hrs"/>
    <x v="1"/>
  </r>
  <r>
    <n v="1356"/>
    <d v="2024-03-04T00:00:00"/>
    <s v="Basic"/>
    <n v="199"/>
    <n v="3.2"/>
    <n v="5"/>
    <n v="2"/>
    <n v="20"/>
    <n v="60"/>
    <s v="Yes"/>
    <s v="Yes"/>
    <s v="Yes"/>
    <s v="Yes"/>
    <s v="Yes"/>
    <s v="No"/>
    <m/>
    <s v="1+ Failures"/>
    <n v="1"/>
    <s v="0-5 hrs"/>
    <x v="1"/>
  </r>
  <r>
    <n v="1357"/>
    <d v="2023-11-26T00:00:00"/>
    <s v="Basic"/>
    <n v="199"/>
    <n v="22.4"/>
    <n v="2"/>
    <n v="0"/>
    <n v="21"/>
    <n v="0"/>
    <s v="Yes"/>
    <s v="No"/>
    <s v="No"/>
    <s v="No"/>
    <s v="No"/>
    <s v="No"/>
    <m/>
    <s v="0 Failures"/>
    <n v="1"/>
    <s v="20+ hrs"/>
    <x v="1"/>
  </r>
  <r>
    <n v="1358"/>
    <d v="2024-05-18T00:00:00"/>
    <s v="Basic"/>
    <n v="199"/>
    <n v="12.1"/>
    <n v="1"/>
    <n v="3"/>
    <n v="19"/>
    <n v="11"/>
    <s v="Yes"/>
    <s v="No"/>
    <s v="Yes"/>
    <s v="No"/>
    <s v="No"/>
    <s v="No"/>
    <m/>
    <s v="1+ Failures"/>
    <n v="1"/>
    <s v="10-20hrs"/>
    <x v="1"/>
  </r>
  <r>
    <n v="1359"/>
    <d v="2023-05-14T00:00:00"/>
    <s v="Standard"/>
    <n v="399"/>
    <n v="8"/>
    <n v="1"/>
    <n v="5"/>
    <n v="22"/>
    <n v="0"/>
    <s v="No"/>
    <s v="No"/>
    <s v="Yes"/>
    <s v="No"/>
    <s v="No"/>
    <s v="No"/>
    <m/>
    <s v="1+ Failures"/>
    <n v="0"/>
    <s v="5-10 hrs"/>
    <x v="1"/>
  </r>
  <r>
    <n v="1360"/>
    <d v="2024-09-11T00:00:00"/>
    <s v="Standard"/>
    <n v="399"/>
    <n v="18.7"/>
    <n v="5"/>
    <n v="5"/>
    <n v="24"/>
    <n v="49"/>
    <s v="Yes"/>
    <s v="No"/>
    <s v="Yes"/>
    <s v="Yes"/>
    <s v="Yes"/>
    <s v="No"/>
    <m/>
    <s v="1+ Failures"/>
    <n v="1"/>
    <s v="10-20hrs"/>
    <x v="1"/>
  </r>
  <r>
    <n v="1361"/>
    <d v="2023-04-19T00:00:00"/>
    <s v="Standard"/>
    <n v="399"/>
    <n v="16.399999999999999"/>
    <n v="3"/>
    <n v="4"/>
    <n v="16"/>
    <n v="24"/>
    <s v="Yes"/>
    <s v="No"/>
    <s v="Yes"/>
    <s v="No"/>
    <s v="Yes"/>
    <s v="No"/>
    <m/>
    <s v="1+ Failures"/>
    <n v="1"/>
    <s v="10-20hrs"/>
    <x v="1"/>
  </r>
  <r>
    <n v="1362"/>
    <d v="2023-04-12T00:00:00"/>
    <s v="Basic"/>
    <n v="199"/>
    <n v="1.5"/>
    <n v="3"/>
    <n v="1"/>
    <n v="8"/>
    <n v="45"/>
    <s v="Yes"/>
    <s v="Yes"/>
    <s v="Yes"/>
    <s v="No"/>
    <s v="Yes"/>
    <s v="No"/>
    <m/>
    <s v="1+ Failures"/>
    <n v="1"/>
    <s v="0-5 hrs"/>
    <x v="0"/>
  </r>
  <r>
    <n v="1363"/>
    <d v="2023-07-26T00:00:00"/>
    <s v="Basic"/>
    <n v="199"/>
    <n v="15.7"/>
    <n v="4"/>
    <n v="5"/>
    <n v="35"/>
    <n v="30"/>
    <s v="No"/>
    <s v="No"/>
    <s v="Yes"/>
    <s v="No"/>
    <s v="Yes"/>
    <s v="No"/>
    <m/>
    <s v="1+ Failures"/>
    <n v="0"/>
    <s v="10-20hrs"/>
    <x v="1"/>
  </r>
  <r>
    <n v="1364"/>
    <d v="2024-07-27T00:00:00"/>
    <s v="Premium"/>
    <n v="699"/>
    <n v="1.6"/>
    <n v="3"/>
    <n v="3"/>
    <n v="10"/>
    <n v="35"/>
    <s v="Yes"/>
    <s v="Yes"/>
    <s v="Yes"/>
    <s v="No"/>
    <s v="Yes"/>
    <s v="No"/>
    <m/>
    <s v="1+ Failures"/>
    <n v="1"/>
    <s v="0-5 hrs"/>
    <x v="0"/>
  </r>
  <r>
    <n v="1365"/>
    <d v="2024-06-20T00:00:00"/>
    <s v="Standard"/>
    <n v="399"/>
    <n v="11.5"/>
    <n v="1"/>
    <n v="3"/>
    <n v="24"/>
    <n v="4"/>
    <s v="No"/>
    <s v="No"/>
    <s v="Yes"/>
    <s v="No"/>
    <s v="No"/>
    <s v="No"/>
    <m/>
    <s v="1+ Failures"/>
    <n v="0"/>
    <s v="10-20hrs"/>
    <x v="1"/>
  </r>
  <r>
    <n v="1366"/>
    <d v="2024-08-02T00:00:00"/>
    <s v="Premium"/>
    <n v="699"/>
    <n v="4.5999999999999996"/>
    <n v="4"/>
    <n v="5"/>
    <n v="2"/>
    <n v="8"/>
    <s v="Yes"/>
    <s v="Yes"/>
    <s v="Yes"/>
    <s v="No"/>
    <s v="No"/>
    <s v="Yes"/>
    <m/>
    <s v="1+ Failures"/>
    <n v="1"/>
    <s v="0-5 hrs"/>
    <x v="2"/>
  </r>
  <r>
    <n v="1367"/>
    <d v="2024-06-09T00:00:00"/>
    <s v="Basic"/>
    <n v="199"/>
    <n v="18.600000000000001"/>
    <n v="6"/>
    <n v="3"/>
    <n v="13"/>
    <n v="43"/>
    <s v="Yes"/>
    <s v="No"/>
    <s v="Yes"/>
    <s v="Yes"/>
    <s v="Yes"/>
    <s v="No"/>
    <m/>
    <s v="1+ Failures"/>
    <n v="1"/>
    <s v="10-20hrs"/>
    <x v="1"/>
  </r>
  <r>
    <n v="1368"/>
    <d v="2024-02-15T00:00:00"/>
    <s v="Basic"/>
    <n v="199"/>
    <n v="11.2"/>
    <n v="8"/>
    <n v="3"/>
    <n v="11"/>
    <n v="35"/>
    <s v="No"/>
    <s v="No"/>
    <s v="Yes"/>
    <s v="Yes"/>
    <s v="Yes"/>
    <s v="No"/>
    <m/>
    <s v="1+ Failures"/>
    <n v="0"/>
    <s v="10-20hrs"/>
    <x v="0"/>
  </r>
  <r>
    <n v="1369"/>
    <d v="2024-12-14T00:00:00"/>
    <s v="Premium"/>
    <n v="699"/>
    <n v="5.6"/>
    <n v="0"/>
    <n v="1"/>
    <n v="18"/>
    <n v="36"/>
    <s v="Yes"/>
    <s v="No"/>
    <s v="Yes"/>
    <s v="No"/>
    <s v="Yes"/>
    <s v="No"/>
    <m/>
    <s v="1+ Failures"/>
    <n v="1"/>
    <s v="5-10 hrs"/>
    <x v="1"/>
  </r>
  <r>
    <n v="1370"/>
    <d v="2023-10-31T00:00:00"/>
    <s v="Basic"/>
    <n v="199"/>
    <n v="11.7"/>
    <n v="8"/>
    <n v="2"/>
    <n v="33"/>
    <n v="19"/>
    <s v="No"/>
    <s v="No"/>
    <s v="Yes"/>
    <s v="Yes"/>
    <s v="Yes"/>
    <s v="No"/>
    <m/>
    <s v="1+ Failures"/>
    <n v="0"/>
    <s v="10-20hrs"/>
    <x v="1"/>
  </r>
  <r>
    <n v="1371"/>
    <d v="2023-10-26T00:00:00"/>
    <s v="Premium"/>
    <n v="699"/>
    <n v="14"/>
    <n v="2"/>
    <n v="1"/>
    <n v="18"/>
    <n v="2"/>
    <s v="No"/>
    <s v="No"/>
    <s v="Yes"/>
    <s v="No"/>
    <s v="No"/>
    <s v="No"/>
    <m/>
    <s v="1+ Failures"/>
    <n v="0"/>
    <s v="10-20hrs"/>
    <x v="1"/>
  </r>
  <r>
    <n v="1372"/>
    <d v="2023-02-22T00:00:00"/>
    <s v="Basic"/>
    <n v="199"/>
    <n v="23.6"/>
    <n v="4"/>
    <n v="1"/>
    <n v="10"/>
    <n v="17"/>
    <s v="No"/>
    <s v="No"/>
    <s v="Yes"/>
    <s v="No"/>
    <s v="Yes"/>
    <s v="No"/>
    <m/>
    <s v="1+ Failures"/>
    <n v="0"/>
    <s v="20+ hrs"/>
    <x v="0"/>
  </r>
  <r>
    <n v="1373"/>
    <d v="2023-12-22T00:00:00"/>
    <s v="Premium"/>
    <n v="699"/>
    <n v="24.7"/>
    <n v="3"/>
    <n v="4"/>
    <n v="16"/>
    <n v="7"/>
    <s v="Yes"/>
    <s v="No"/>
    <s v="Yes"/>
    <s v="No"/>
    <s v="No"/>
    <s v="No"/>
    <m/>
    <s v="1+ Failures"/>
    <n v="1"/>
    <s v="20+ hrs"/>
    <x v="1"/>
  </r>
  <r>
    <n v="1374"/>
    <d v="2024-09-18T00:00:00"/>
    <s v="Premium"/>
    <n v="699"/>
    <n v="8.5"/>
    <n v="8"/>
    <n v="2"/>
    <n v="24"/>
    <n v="46"/>
    <s v="Yes"/>
    <s v="No"/>
    <s v="Yes"/>
    <s v="Yes"/>
    <s v="Yes"/>
    <s v="No"/>
    <m/>
    <s v="1+ Failures"/>
    <n v="1"/>
    <s v="5-10 hrs"/>
    <x v="1"/>
  </r>
  <r>
    <n v="1375"/>
    <d v="2023-10-14T00:00:00"/>
    <s v="Standard"/>
    <n v="399"/>
    <n v="24.6"/>
    <n v="0"/>
    <n v="2"/>
    <n v="21"/>
    <n v="14"/>
    <s v="No"/>
    <s v="No"/>
    <s v="Yes"/>
    <s v="No"/>
    <s v="No"/>
    <s v="No"/>
    <m/>
    <s v="1+ Failures"/>
    <n v="0"/>
    <s v="20+ hrs"/>
    <x v="1"/>
  </r>
  <r>
    <n v="1376"/>
    <d v="2024-08-20T00:00:00"/>
    <s v="Basic"/>
    <n v="199"/>
    <n v="24.3"/>
    <n v="8"/>
    <n v="5"/>
    <n v="17"/>
    <n v="55"/>
    <s v="No"/>
    <s v="No"/>
    <s v="Yes"/>
    <s v="Yes"/>
    <s v="Yes"/>
    <s v="No"/>
    <m/>
    <s v="1+ Failures"/>
    <n v="0"/>
    <s v="20+ hrs"/>
    <x v="1"/>
  </r>
  <r>
    <n v="1377"/>
    <d v="2023-07-31T00:00:00"/>
    <s v="Basic"/>
    <n v="199"/>
    <n v="23.7"/>
    <n v="4"/>
    <n v="5"/>
    <n v="25"/>
    <n v="40"/>
    <s v="Yes"/>
    <s v="No"/>
    <s v="Yes"/>
    <s v="No"/>
    <s v="Yes"/>
    <s v="No"/>
    <m/>
    <s v="1+ Failures"/>
    <n v="1"/>
    <s v="20+ hrs"/>
    <x v="1"/>
  </r>
  <r>
    <n v="1378"/>
    <d v="2024-02-09T00:00:00"/>
    <s v="Standard"/>
    <n v="399"/>
    <n v="8.4"/>
    <n v="3"/>
    <n v="4"/>
    <n v="15"/>
    <n v="40"/>
    <s v="No"/>
    <s v="No"/>
    <s v="Yes"/>
    <s v="No"/>
    <s v="Yes"/>
    <s v="No"/>
    <m/>
    <s v="1+ Failures"/>
    <n v="0"/>
    <s v="5-10 hrs"/>
    <x v="1"/>
  </r>
  <r>
    <n v="1379"/>
    <d v="2023-04-06T00:00:00"/>
    <s v="Basic"/>
    <n v="199"/>
    <n v="6.2"/>
    <n v="6"/>
    <n v="2"/>
    <n v="29"/>
    <n v="9"/>
    <s v="No"/>
    <s v="No"/>
    <s v="Yes"/>
    <s v="Yes"/>
    <s v="No"/>
    <s v="No"/>
    <m/>
    <s v="1+ Failures"/>
    <n v="0"/>
    <s v="5-10 hrs"/>
    <x v="1"/>
  </r>
  <r>
    <n v="1380"/>
    <d v="2023-07-04T00:00:00"/>
    <s v="Standard"/>
    <n v="399"/>
    <n v="11.8"/>
    <n v="2"/>
    <n v="1"/>
    <n v="12"/>
    <n v="36"/>
    <s v="No"/>
    <s v="No"/>
    <s v="Yes"/>
    <s v="No"/>
    <s v="Yes"/>
    <s v="No"/>
    <m/>
    <s v="1+ Failures"/>
    <n v="0"/>
    <s v="10-20hrs"/>
    <x v="0"/>
  </r>
  <r>
    <n v="1381"/>
    <d v="2024-09-14T00:00:00"/>
    <s v="Premium"/>
    <n v="699"/>
    <n v="1"/>
    <n v="2"/>
    <n v="1"/>
    <n v="19"/>
    <n v="52"/>
    <s v="Yes"/>
    <s v="Yes"/>
    <s v="Yes"/>
    <s v="No"/>
    <s v="Yes"/>
    <s v="No"/>
    <m/>
    <s v="1+ Failures"/>
    <n v="1"/>
    <s v="0-5 hrs"/>
    <x v="1"/>
  </r>
  <r>
    <n v="1382"/>
    <d v="2024-02-17T00:00:00"/>
    <s v="Basic"/>
    <n v="199"/>
    <n v="4"/>
    <n v="6"/>
    <n v="1"/>
    <n v="5"/>
    <n v="29"/>
    <s v="No"/>
    <s v="Yes"/>
    <s v="Yes"/>
    <s v="Yes"/>
    <s v="Yes"/>
    <s v="Yes"/>
    <m/>
    <s v="1+ Failures"/>
    <n v="0"/>
    <s v="0-5 hrs"/>
    <x v="3"/>
  </r>
  <r>
    <n v="1383"/>
    <d v="2023-01-22T00:00:00"/>
    <s v="Basic"/>
    <n v="199"/>
    <n v="3.9"/>
    <n v="0"/>
    <n v="4"/>
    <n v="34"/>
    <n v="6"/>
    <s v="Yes"/>
    <s v="Yes"/>
    <s v="Yes"/>
    <s v="No"/>
    <s v="No"/>
    <s v="No"/>
    <m/>
    <s v="1+ Failures"/>
    <n v="1"/>
    <s v="0-5 hrs"/>
    <x v="1"/>
  </r>
  <r>
    <n v="1384"/>
    <d v="2023-10-02T00:00:00"/>
    <s v="Basic"/>
    <n v="199"/>
    <n v="19.2"/>
    <n v="0"/>
    <n v="1"/>
    <n v="1"/>
    <n v="15"/>
    <s v="No"/>
    <s v="No"/>
    <s v="Yes"/>
    <s v="No"/>
    <s v="Yes"/>
    <s v="Yes"/>
    <m/>
    <s v="1+ Failures"/>
    <n v="0"/>
    <s v="10-20hrs"/>
    <x v="2"/>
  </r>
  <r>
    <n v="1385"/>
    <d v="2023-12-13T00:00:00"/>
    <s v="Basic"/>
    <n v="199"/>
    <n v="19.899999999999999"/>
    <n v="0"/>
    <n v="0"/>
    <n v="1"/>
    <n v="34"/>
    <s v="No"/>
    <s v="No"/>
    <s v="No"/>
    <s v="No"/>
    <s v="Yes"/>
    <s v="Yes"/>
    <m/>
    <s v="0 Failures"/>
    <n v="0"/>
    <s v="10-20hrs"/>
    <x v="2"/>
  </r>
  <r>
    <n v="1386"/>
    <d v="2023-06-17T00:00:00"/>
    <s v="Premium"/>
    <n v="699"/>
    <n v="5.5"/>
    <n v="7"/>
    <n v="4"/>
    <n v="6"/>
    <n v="57"/>
    <s v="Yes"/>
    <s v="No"/>
    <s v="Yes"/>
    <s v="Yes"/>
    <s v="Yes"/>
    <s v="No"/>
    <m/>
    <s v="1+ Failures"/>
    <n v="1"/>
    <s v="5-10 hrs"/>
    <x v="3"/>
  </r>
  <r>
    <n v="1387"/>
    <d v="2024-10-04T00:00:00"/>
    <s v="Standard"/>
    <n v="399"/>
    <n v="12.2"/>
    <n v="3"/>
    <n v="0"/>
    <n v="22"/>
    <n v="34"/>
    <s v="No"/>
    <s v="No"/>
    <s v="No"/>
    <s v="No"/>
    <s v="Yes"/>
    <s v="No"/>
    <m/>
    <s v="0 Failures"/>
    <n v="0"/>
    <s v="10-20hrs"/>
    <x v="1"/>
  </r>
  <r>
    <n v="1388"/>
    <d v="2024-06-07T00:00:00"/>
    <s v="Premium"/>
    <n v="699"/>
    <n v="1"/>
    <n v="0"/>
    <n v="0"/>
    <n v="8"/>
    <n v="34"/>
    <s v="Yes"/>
    <s v="Yes"/>
    <s v="No"/>
    <s v="No"/>
    <s v="Yes"/>
    <s v="No"/>
    <m/>
    <s v="0 Failures"/>
    <n v="1"/>
    <s v="0-5 hrs"/>
    <x v="0"/>
  </r>
  <r>
    <n v="1389"/>
    <d v="2023-05-31T00:00:00"/>
    <s v="Standard"/>
    <n v="399"/>
    <n v="0.5"/>
    <n v="3"/>
    <n v="0"/>
    <n v="10"/>
    <n v="14"/>
    <s v="No"/>
    <s v="Yes"/>
    <s v="No"/>
    <s v="No"/>
    <s v="No"/>
    <s v="No"/>
    <m/>
    <s v="0 Failures"/>
    <n v="0"/>
    <s v="0-5 hrs"/>
    <x v="0"/>
  </r>
  <r>
    <n v="1390"/>
    <d v="2023-04-26T00:00:00"/>
    <s v="Standard"/>
    <n v="399"/>
    <n v="6"/>
    <n v="6"/>
    <n v="5"/>
    <n v="19"/>
    <n v="56"/>
    <s v="Yes"/>
    <s v="No"/>
    <s v="Yes"/>
    <s v="Yes"/>
    <s v="Yes"/>
    <s v="No"/>
    <m/>
    <s v="1+ Failures"/>
    <n v="1"/>
    <s v="5-10 hrs"/>
    <x v="1"/>
  </r>
  <r>
    <n v="1391"/>
    <d v="2024-09-22T00:00:00"/>
    <s v="Standard"/>
    <n v="399"/>
    <n v="24.8"/>
    <n v="3"/>
    <n v="0"/>
    <n v="11"/>
    <n v="18"/>
    <s v="No"/>
    <s v="No"/>
    <s v="No"/>
    <s v="No"/>
    <s v="Yes"/>
    <s v="No"/>
    <m/>
    <s v="0 Failures"/>
    <n v="0"/>
    <s v="20+ hrs"/>
    <x v="0"/>
  </r>
  <r>
    <n v="1392"/>
    <d v="2024-03-14T00:00:00"/>
    <s v="Standard"/>
    <n v="399"/>
    <n v="9.3000000000000007"/>
    <n v="1"/>
    <n v="0"/>
    <n v="8"/>
    <n v="38"/>
    <s v="Yes"/>
    <s v="No"/>
    <s v="No"/>
    <s v="No"/>
    <s v="Yes"/>
    <s v="No"/>
    <m/>
    <s v="0 Failures"/>
    <n v="1"/>
    <s v="5-10 hrs"/>
    <x v="0"/>
  </r>
  <r>
    <n v="1393"/>
    <d v="2023-11-05T00:00:00"/>
    <s v="Premium"/>
    <n v="699"/>
    <n v="15.2"/>
    <n v="6"/>
    <n v="1"/>
    <n v="22"/>
    <n v="57"/>
    <s v="No"/>
    <s v="No"/>
    <s v="Yes"/>
    <s v="Yes"/>
    <s v="Yes"/>
    <s v="No"/>
    <m/>
    <s v="1+ Failures"/>
    <n v="0"/>
    <s v="10-20hrs"/>
    <x v="1"/>
  </r>
  <r>
    <n v="1394"/>
    <d v="2024-01-13T00:00:00"/>
    <s v="Premium"/>
    <n v="699"/>
    <n v="9"/>
    <n v="1"/>
    <n v="2"/>
    <n v="19"/>
    <n v="58"/>
    <s v="Yes"/>
    <s v="No"/>
    <s v="Yes"/>
    <s v="No"/>
    <s v="Yes"/>
    <s v="No"/>
    <m/>
    <s v="1+ Failures"/>
    <n v="1"/>
    <s v="5-10 hrs"/>
    <x v="1"/>
  </r>
  <r>
    <n v="1395"/>
    <d v="2024-02-04T00:00:00"/>
    <s v="Standard"/>
    <n v="399"/>
    <n v="19.8"/>
    <n v="2"/>
    <n v="5"/>
    <n v="5"/>
    <n v="9"/>
    <s v="Yes"/>
    <s v="No"/>
    <s v="Yes"/>
    <s v="No"/>
    <s v="No"/>
    <s v="Yes"/>
    <m/>
    <s v="1+ Failures"/>
    <n v="1"/>
    <s v="10-20hrs"/>
    <x v="3"/>
  </r>
  <r>
    <n v="1396"/>
    <d v="2023-10-13T00:00:00"/>
    <s v="Standard"/>
    <n v="399"/>
    <n v="20.5"/>
    <n v="1"/>
    <n v="4"/>
    <n v="31"/>
    <n v="27"/>
    <s v="No"/>
    <s v="No"/>
    <s v="Yes"/>
    <s v="No"/>
    <s v="Yes"/>
    <s v="No"/>
    <m/>
    <s v="1+ Failures"/>
    <n v="0"/>
    <s v="20+ hrs"/>
    <x v="1"/>
  </r>
  <r>
    <n v="1397"/>
    <d v="2023-11-23T00:00:00"/>
    <s v="Basic"/>
    <n v="199"/>
    <n v="8.4"/>
    <n v="2"/>
    <n v="1"/>
    <n v="6"/>
    <n v="49"/>
    <s v="No"/>
    <s v="No"/>
    <s v="Yes"/>
    <s v="No"/>
    <s v="Yes"/>
    <s v="No"/>
    <m/>
    <s v="1+ Failures"/>
    <n v="0"/>
    <s v="5-10 hrs"/>
    <x v="3"/>
  </r>
  <r>
    <n v="1398"/>
    <d v="2023-05-22T00:00:00"/>
    <s v="Standard"/>
    <n v="399"/>
    <n v="12.3"/>
    <n v="6"/>
    <n v="4"/>
    <n v="28"/>
    <n v="50"/>
    <s v="Yes"/>
    <s v="No"/>
    <s v="Yes"/>
    <s v="Yes"/>
    <s v="Yes"/>
    <s v="No"/>
    <m/>
    <s v="1+ Failures"/>
    <n v="1"/>
    <s v="10-20hrs"/>
    <x v="1"/>
  </r>
  <r>
    <n v="1399"/>
    <d v="2024-06-29T00:00:00"/>
    <s v="Premium"/>
    <n v="699"/>
    <n v="9.9"/>
    <n v="8"/>
    <n v="3"/>
    <n v="16"/>
    <n v="34"/>
    <s v="Yes"/>
    <s v="No"/>
    <s v="Yes"/>
    <s v="Yes"/>
    <s v="Yes"/>
    <s v="No"/>
    <m/>
    <s v="1+ Failures"/>
    <n v="1"/>
    <s v="5-10 hrs"/>
    <x v="1"/>
  </r>
  <r>
    <n v="1400"/>
    <d v="2023-08-13T00:00:00"/>
    <s v="Premium"/>
    <n v="699"/>
    <n v="9.9"/>
    <n v="6"/>
    <n v="4"/>
    <n v="15"/>
    <n v="36"/>
    <s v="No"/>
    <s v="No"/>
    <s v="Yes"/>
    <s v="Yes"/>
    <s v="Yes"/>
    <s v="No"/>
    <m/>
    <s v="1+ Failures"/>
    <n v="0"/>
    <s v="5-10 hrs"/>
    <x v="1"/>
  </r>
  <r>
    <n v="1401"/>
    <d v="2024-07-25T00:00:00"/>
    <s v="Premium"/>
    <n v="699"/>
    <n v="6.3"/>
    <n v="0"/>
    <n v="1"/>
    <n v="6"/>
    <n v="54"/>
    <s v="Yes"/>
    <s v="No"/>
    <s v="Yes"/>
    <s v="No"/>
    <s v="Yes"/>
    <s v="No"/>
    <m/>
    <s v="1+ Failures"/>
    <n v="1"/>
    <s v="5-10 hrs"/>
    <x v="3"/>
  </r>
  <r>
    <n v="1402"/>
    <d v="2023-05-23T00:00:00"/>
    <s v="Standard"/>
    <n v="399"/>
    <n v="23.1"/>
    <n v="0"/>
    <n v="2"/>
    <n v="9"/>
    <n v="23"/>
    <s v="No"/>
    <s v="No"/>
    <s v="Yes"/>
    <s v="No"/>
    <s v="Yes"/>
    <s v="No"/>
    <m/>
    <s v="1+ Failures"/>
    <n v="0"/>
    <s v="20+ hrs"/>
    <x v="0"/>
  </r>
  <r>
    <n v="1403"/>
    <d v="2023-08-18T00:00:00"/>
    <s v="Standard"/>
    <n v="399"/>
    <n v="4"/>
    <n v="8"/>
    <n v="3"/>
    <n v="30"/>
    <n v="15"/>
    <s v="Yes"/>
    <s v="Yes"/>
    <s v="Yes"/>
    <s v="Yes"/>
    <s v="Yes"/>
    <s v="No"/>
    <m/>
    <s v="1+ Failures"/>
    <n v="1"/>
    <s v="0-5 hrs"/>
    <x v="1"/>
  </r>
  <r>
    <n v="1404"/>
    <d v="2024-03-10T00:00:00"/>
    <s v="Basic"/>
    <n v="199"/>
    <n v="3.4"/>
    <n v="2"/>
    <n v="3"/>
    <n v="9"/>
    <n v="46"/>
    <s v="Yes"/>
    <s v="Yes"/>
    <s v="Yes"/>
    <s v="No"/>
    <s v="Yes"/>
    <s v="No"/>
    <m/>
    <s v="1+ Failures"/>
    <n v="1"/>
    <s v="0-5 hrs"/>
    <x v="0"/>
  </r>
  <r>
    <n v="1405"/>
    <d v="2023-06-11T00:00:00"/>
    <s v="Standard"/>
    <n v="399"/>
    <n v="17.7"/>
    <n v="1"/>
    <n v="3"/>
    <n v="4"/>
    <n v="53"/>
    <s v="Yes"/>
    <s v="No"/>
    <s v="Yes"/>
    <s v="No"/>
    <s v="Yes"/>
    <s v="Yes"/>
    <m/>
    <s v="1+ Failures"/>
    <n v="1"/>
    <s v="10-20hrs"/>
    <x v="3"/>
  </r>
  <r>
    <n v="1406"/>
    <d v="2024-03-02T00:00:00"/>
    <s v="Basic"/>
    <n v="199"/>
    <n v="9.4"/>
    <n v="1"/>
    <n v="1"/>
    <n v="10"/>
    <n v="4"/>
    <s v="Yes"/>
    <s v="No"/>
    <s v="Yes"/>
    <s v="No"/>
    <s v="No"/>
    <s v="No"/>
    <m/>
    <s v="1+ Failures"/>
    <n v="1"/>
    <s v="5-10 hrs"/>
    <x v="0"/>
  </r>
  <r>
    <n v="1407"/>
    <d v="2023-11-03T00:00:00"/>
    <s v="Basic"/>
    <n v="199"/>
    <n v="12"/>
    <n v="2"/>
    <n v="5"/>
    <n v="12"/>
    <n v="33"/>
    <s v="No"/>
    <s v="No"/>
    <s v="Yes"/>
    <s v="No"/>
    <s v="Yes"/>
    <s v="No"/>
    <m/>
    <s v="1+ Failures"/>
    <n v="0"/>
    <s v="10-20hrs"/>
    <x v="0"/>
  </r>
  <r>
    <n v="1408"/>
    <d v="2023-04-24T00:00:00"/>
    <s v="Standard"/>
    <n v="399"/>
    <n v="18.2"/>
    <n v="7"/>
    <n v="5"/>
    <n v="27"/>
    <n v="44"/>
    <s v="Yes"/>
    <s v="No"/>
    <s v="Yes"/>
    <s v="Yes"/>
    <s v="Yes"/>
    <s v="No"/>
    <m/>
    <s v="1+ Failures"/>
    <n v="1"/>
    <s v="10-20hrs"/>
    <x v="1"/>
  </r>
  <r>
    <n v="1409"/>
    <d v="2023-06-14T00:00:00"/>
    <s v="Basic"/>
    <n v="199"/>
    <n v="22.1"/>
    <n v="0"/>
    <n v="4"/>
    <n v="4"/>
    <n v="48"/>
    <s v="Yes"/>
    <s v="No"/>
    <s v="Yes"/>
    <s v="No"/>
    <s v="Yes"/>
    <s v="Yes"/>
    <m/>
    <s v="1+ Failures"/>
    <n v="1"/>
    <s v="20+ hrs"/>
    <x v="3"/>
  </r>
  <r>
    <n v="1410"/>
    <d v="2024-08-08T00:00:00"/>
    <s v="Basic"/>
    <n v="199"/>
    <n v="20.9"/>
    <n v="7"/>
    <n v="4"/>
    <n v="26"/>
    <n v="45"/>
    <s v="No"/>
    <s v="No"/>
    <s v="Yes"/>
    <s v="Yes"/>
    <s v="Yes"/>
    <s v="No"/>
    <m/>
    <s v="1+ Failures"/>
    <n v="0"/>
    <s v="20+ hrs"/>
    <x v="1"/>
  </r>
  <r>
    <n v="1411"/>
    <d v="2024-06-18T00:00:00"/>
    <s v="Premium"/>
    <n v="699"/>
    <n v="17.899999999999999"/>
    <n v="6"/>
    <n v="1"/>
    <n v="20"/>
    <n v="17"/>
    <s v="No"/>
    <s v="No"/>
    <s v="Yes"/>
    <s v="Yes"/>
    <s v="Yes"/>
    <s v="No"/>
    <m/>
    <s v="1+ Failures"/>
    <n v="0"/>
    <s v="10-20hrs"/>
    <x v="1"/>
  </r>
  <r>
    <n v="1412"/>
    <d v="2023-07-08T00:00:00"/>
    <s v="Standard"/>
    <n v="399"/>
    <n v="18.7"/>
    <n v="6"/>
    <n v="4"/>
    <n v="9"/>
    <n v="3"/>
    <s v="Yes"/>
    <s v="No"/>
    <s v="Yes"/>
    <s v="Yes"/>
    <s v="No"/>
    <s v="No"/>
    <m/>
    <s v="1+ Failures"/>
    <n v="1"/>
    <s v="10-20hrs"/>
    <x v="0"/>
  </r>
  <r>
    <n v="1413"/>
    <d v="2024-10-30T00:00:00"/>
    <s v="Premium"/>
    <n v="699"/>
    <n v="15.3"/>
    <n v="1"/>
    <n v="5"/>
    <n v="36"/>
    <n v="29"/>
    <s v="Yes"/>
    <s v="No"/>
    <s v="Yes"/>
    <s v="No"/>
    <s v="Yes"/>
    <s v="No"/>
    <m/>
    <s v="1+ Failures"/>
    <n v="1"/>
    <s v="10-20hrs"/>
    <x v="1"/>
  </r>
  <r>
    <n v="1414"/>
    <d v="2024-03-10T00:00:00"/>
    <s v="Premium"/>
    <n v="699"/>
    <n v="20.8"/>
    <n v="2"/>
    <n v="0"/>
    <n v="26"/>
    <n v="51"/>
    <s v="No"/>
    <s v="No"/>
    <s v="No"/>
    <s v="No"/>
    <s v="Yes"/>
    <s v="No"/>
    <m/>
    <s v="0 Failures"/>
    <n v="0"/>
    <s v="20+ hrs"/>
    <x v="1"/>
  </r>
  <r>
    <n v="1415"/>
    <d v="2023-12-10T00:00:00"/>
    <s v="Basic"/>
    <n v="199"/>
    <n v="3.2"/>
    <n v="1"/>
    <n v="2"/>
    <n v="18"/>
    <n v="38"/>
    <s v="Yes"/>
    <s v="Yes"/>
    <s v="Yes"/>
    <s v="No"/>
    <s v="Yes"/>
    <s v="No"/>
    <m/>
    <s v="1+ Failures"/>
    <n v="1"/>
    <s v="0-5 hrs"/>
    <x v="1"/>
  </r>
  <r>
    <n v="1416"/>
    <d v="2023-01-12T00:00:00"/>
    <s v="Basic"/>
    <n v="199"/>
    <n v="7.4"/>
    <n v="8"/>
    <n v="0"/>
    <n v="16"/>
    <n v="4"/>
    <s v="Yes"/>
    <s v="No"/>
    <s v="No"/>
    <s v="Yes"/>
    <s v="No"/>
    <s v="No"/>
    <m/>
    <s v="0 Failures"/>
    <n v="1"/>
    <s v="5-10 hrs"/>
    <x v="1"/>
  </r>
  <r>
    <n v="1417"/>
    <d v="2024-08-06T00:00:00"/>
    <s v="Standard"/>
    <n v="399"/>
    <n v="14"/>
    <n v="0"/>
    <n v="1"/>
    <n v="13"/>
    <n v="17"/>
    <s v="Yes"/>
    <s v="No"/>
    <s v="Yes"/>
    <s v="No"/>
    <s v="Yes"/>
    <s v="No"/>
    <m/>
    <s v="1+ Failures"/>
    <n v="1"/>
    <s v="10-20hrs"/>
    <x v="1"/>
  </r>
  <r>
    <n v="1418"/>
    <d v="2023-11-13T00:00:00"/>
    <s v="Premium"/>
    <n v="699"/>
    <n v="14.3"/>
    <n v="7"/>
    <n v="0"/>
    <n v="3"/>
    <n v="3"/>
    <s v="No"/>
    <s v="No"/>
    <s v="No"/>
    <s v="Yes"/>
    <s v="No"/>
    <s v="Yes"/>
    <m/>
    <s v="0 Failures"/>
    <n v="0"/>
    <s v="10-20hrs"/>
    <x v="2"/>
  </r>
  <r>
    <n v="1419"/>
    <d v="2024-02-05T00:00:00"/>
    <s v="Basic"/>
    <n v="199"/>
    <n v="18.899999999999999"/>
    <n v="6"/>
    <n v="4"/>
    <n v="23"/>
    <n v="12"/>
    <s v="Yes"/>
    <s v="No"/>
    <s v="Yes"/>
    <s v="Yes"/>
    <s v="No"/>
    <s v="No"/>
    <m/>
    <s v="1+ Failures"/>
    <n v="1"/>
    <s v="10-20hrs"/>
    <x v="1"/>
  </r>
  <r>
    <n v="1420"/>
    <d v="2024-05-30T00:00:00"/>
    <s v="Premium"/>
    <n v="699"/>
    <n v="24.4"/>
    <n v="1"/>
    <n v="2"/>
    <n v="23"/>
    <n v="26"/>
    <s v="No"/>
    <s v="No"/>
    <s v="Yes"/>
    <s v="No"/>
    <s v="Yes"/>
    <s v="No"/>
    <m/>
    <s v="1+ Failures"/>
    <n v="0"/>
    <s v="20+ hrs"/>
    <x v="1"/>
  </r>
  <r>
    <n v="1421"/>
    <d v="2024-05-03T00:00:00"/>
    <s v="Basic"/>
    <n v="199"/>
    <n v="20.3"/>
    <n v="2"/>
    <n v="0"/>
    <n v="33"/>
    <n v="37"/>
    <s v="No"/>
    <s v="No"/>
    <s v="No"/>
    <s v="No"/>
    <s v="Yes"/>
    <s v="No"/>
    <m/>
    <s v="0 Failures"/>
    <n v="0"/>
    <s v="20+ hrs"/>
    <x v="1"/>
  </r>
  <r>
    <n v="1422"/>
    <d v="2024-10-02T00:00:00"/>
    <s v="Premium"/>
    <n v="699"/>
    <n v="7.6"/>
    <n v="2"/>
    <n v="5"/>
    <n v="3"/>
    <n v="29"/>
    <s v="Yes"/>
    <s v="No"/>
    <s v="Yes"/>
    <s v="No"/>
    <s v="Yes"/>
    <s v="Yes"/>
    <m/>
    <s v="1+ Failures"/>
    <n v="1"/>
    <s v="5-10 hrs"/>
    <x v="2"/>
  </r>
  <r>
    <n v="1423"/>
    <d v="2024-05-28T00:00:00"/>
    <s v="Basic"/>
    <n v="199"/>
    <n v="22.2"/>
    <n v="2"/>
    <n v="5"/>
    <n v="15"/>
    <n v="10"/>
    <s v="No"/>
    <s v="No"/>
    <s v="Yes"/>
    <s v="No"/>
    <s v="No"/>
    <s v="No"/>
    <m/>
    <s v="1+ Failures"/>
    <n v="0"/>
    <s v="20+ hrs"/>
    <x v="1"/>
  </r>
  <r>
    <n v="1424"/>
    <d v="2023-10-25T00:00:00"/>
    <s v="Premium"/>
    <n v="699"/>
    <n v="23.3"/>
    <n v="5"/>
    <n v="3"/>
    <n v="34"/>
    <n v="50"/>
    <s v="Yes"/>
    <s v="No"/>
    <s v="Yes"/>
    <s v="Yes"/>
    <s v="Yes"/>
    <s v="No"/>
    <m/>
    <s v="1+ Failures"/>
    <n v="1"/>
    <s v="20+ hrs"/>
    <x v="1"/>
  </r>
  <r>
    <n v="1425"/>
    <d v="2024-09-13T00:00:00"/>
    <s v="Standard"/>
    <n v="399"/>
    <n v="1.5"/>
    <n v="6"/>
    <n v="1"/>
    <n v="28"/>
    <n v="13"/>
    <s v="No"/>
    <s v="Yes"/>
    <s v="Yes"/>
    <s v="Yes"/>
    <s v="No"/>
    <s v="No"/>
    <m/>
    <s v="1+ Failures"/>
    <n v="0"/>
    <s v="0-5 hrs"/>
    <x v="1"/>
  </r>
  <r>
    <n v="1426"/>
    <d v="2023-11-13T00:00:00"/>
    <s v="Basic"/>
    <n v="199"/>
    <n v="14.4"/>
    <n v="7"/>
    <n v="0"/>
    <n v="10"/>
    <n v="51"/>
    <s v="Yes"/>
    <s v="No"/>
    <s v="No"/>
    <s v="Yes"/>
    <s v="Yes"/>
    <s v="No"/>
    <m/>
    <s v="0 Failures"/>
    <n v="1"/>
    <s v="10-20hrs"/>
    <x v="0"/>
  </r>
  <r>
    <n v="1427"/>
    <d v="2023-06-15T00:00:00"/>
    <s v="Premium"/>
    <n v="699"/>
    <n v="12.7"/>
    <n v="7"/>
    <n v="2"/>
    <n v="6"/>
    <n v="10"/>
    <s v="No"/>
    <s v="No"/>
    <s v="Yes"/>
    <s v="Yes"/>
    <s v="No"/>
    <s v="No"/>
    <m/>
    <s v="1+ Failures"/>
    <n v="0"/>
    <s v="10-20hrs"/>
    <x v="3"/>
  </r>
  <r>
    <n v="1428"/>
    <d v="2024-04-16T00:00:00"/>
    <s v="Basic"/>
    <n v="199"/>
    <n v="14.6"/>
    <n v="5"/>
    <n v="0"/>
    <n v="18"/>
    <n v="4"/>
    <s v="Yes"/>
    <s v="No"/>
    <s v="No"/>
    <s v="Yes"/>
    <s v="No"/>
    <s v="No"/>
    <m/>
    <s v="0 Failures"/>
    <n v="1"/>
    <s v="10-20hrs"/>
    <x v="1"/>
  </r>
  <r>
    <n v="1429"/>
    <d v="2023-05-07T00:00:00"/>
    <s v="Standard"/>
    <n v="399"/>
    <n v="24.5"/>
    <n v="7"/>
    <n v="5"/>
    <n v="31"/>
    <n v="59"/>
    <s v="Yes"/>
    <s v="No"/>
    <s v="Yes"/>
    <s v="Yes"/>
    <s v="Yes"/>
    <s v="No"/>
    <m/>
    <s v="1+ Failures"/>
    <n v="1"/>
    <s v="20+ hrs"/>
    <x v="1"/>
  </r>
  <r>
    <n v="1430"/>
    <d v="2024-11-27T00:00:00"/>
    <s v="Premium"/>
    <n v="699"/>
    <n v="1.5"/>
    <n v="4"/>
    <n v="3"/>
    <n v="32"/>
    <n v="26"/>
    <s v="Yes"/>
    <s v="Yes"/>
    <s v="Yes"/>
    <s v="No"/>
    <s v="Yes"/>
    <s v="No"/>
    <m/>
    <s v="1+ Failures"/>
    <n v="1"/>
    <s v="0-5 hrs"/>
    <x v="1"/>
  </r>
  <r>
    <n v="1431"/>
    <d v="2024-06-02T00:00:00"/>
    <s v="Basic"/>
    <n v="199"/>
    <n v="9.5"/>
    <n v="5"/>
    <n v="2"/>
    <n v="29"/>
    <n v="5"/>
    <s v="No"/>
    <s v="No"/>
    <s v="Yes"/>
    <s v="Yes"/>
    <s v="No"/>
    <s v="No"/>
    <m/>
    <s v="1+ Failures"/>
    <n v="0"/>
    <s v="5-10 hrs"/>
    <x v="1"/>
  </r>
  <r>
    <n v="1432"/>
    <d v="2023-09-08T00:00:00"/>
    <s v="Standard"/>
    <n v="399"/>
    <n v="22"/>
    <n v="0"/>
    <n v="4"/>
    <n v="17"/>
    <n v="41"/>
    <s v="Yes"/>
    <s v="No"/>
    <s v="Yes"/>
    <s v="No"/>
    <s v="Yes"/>
    <s v="No"/>
    <m/>
    <s v="1+ Failures"/>
    <n v="1"/>
    <s v="20+ hrs"/>
    <x v="1"/>
  </r>
  <r>
    <n v="1433"/>
    <d v="2024-02-13T00:00:00"/>
    <s v="Premium"/>
    <n v="699"/>
    <n v="0.7"/>
    <n v="1"/>
    <n v="2"/>
    <n v="36"/>
    <n v="24"/>
    <s v="Yes"/>
    <s v="Yes"/>
    <s v="Yes"/>
    <s v="No"/>
    <s v="Yes"/>
    <s v="No"/>
    <m/>
    <s v="1+ Failures"/>
    <n v="1"/>
    <s v="0-5 hrs"/>
    <x v="1"/>
  </r>
  <r>
    <n v="1434"/>
    <d v="2024-04-24T00:00:00"/>
    <s v="Basic"/>
    <n v="199"/>
    <n v="10"/>
    <n v="7"/>
    <n v="5"/>
    <n v="15"/>
    <n v="5"/>
    <s v="Yes"/>
    <s v="No"/>
    <s v="Yes"/>
    <s v="Yes"/>
    <s v="No"/>
    <s v="No"/>
    <m/>
    <s v="1+ Failures"/>
    <n v="1"/>
    <s v="5-10 hrs"/>
    <x v="1"/>
  </r>
  <r>
    <n v="1435"/>
    <d v="2023-04-21T00:00:00"/>
    <s v="Premium"/>
    <n v="699"/>
    <n v="22.6"/>
    <n v="7"/>
    <n v="0"/>
    <n v="35"/>
    <n v="5"/>
    <s v="Yes"/>
    <s v="No"/>
    <s v="No"/>
    <s v="Yes"/>
    <s v="No"/>
    <s v="No"/>
    <m/>
    <s v="0 Failures"/>
    <n v="1"/>
    <s v="20+ hrs"/>
    <x v="1"/>
  </r>
  <r>
    <n v="1436"/>
    <d v="2024-09-10T00:00:00"/>
    <s v="Standard"/>
    <n v="399"/>
    <n v="5.4"/>
    <n v="5"/>
    <n v="0"/>
    <n v="28"/>
    <n v="20"/>
    <s v="No"/>
    <s v="No"/>
    <s v="No"/>
    <s v="Yes"/>
    <s v="Yes"/>
    <s v="No"/>
    <m/>
    <s v="0 Failures"/>
    <n v="0"/>
    <s v="5-10 hrs"/>
    <x v="1"/>
  </r>
  <r>
    <n v="1437"/>
    <d v="2024-07-12T00:00:00"/>
    <s v="Standard"/>
    <n v="399"/>
    <n v="17.7"/>
    <n v="7"/>
    <n v="0"/>
    <n v="14"/>
    <n v="17"/>
    <s v="No"/>
    <s v="No"/>
    <s v="No"/>
    <s v="Yes"/>
    <s v="Yes"/>
    <s v="No"/>
    <m/>
    <s v="0 Failures"/>
    <n v="0"/>
    <s v="10-20hrs"/>
    <x v="1"/>
  </r>
  <r>
    <n v="1438"/>
    <d v="2024-09-07T00:00:00"/>
    <s v="Basic"/>
    <n v="199"/>
    <n v="4.0999999999999996"/>
    <n v="3"/>
    <n v="2"/>
    <n v="31"/>
    <n v="36"/>
    <s v="Yes"/>
    <s v="Yes"/>
    <s v="Yes"/>
    <s v="No"/>
    <s v="Yes"/>
    <s v="No"/>
    <m/>
    <s v="1+ Failures"/>
    <n v="1"/>
    <s v="0-5 hrs"/>
    <x v="1"/>
  </r>
  <r>
    <n v="1439"/>
    <d v="2023-08-05T00:00:00"/>
    <s v="Standard"/>
    <n v="399"/>
    <n v="23.4"/>
    <n v="5"/>
    <n v="3"/>
    <n v="4"/>
    <n v="30"/>
    <s v="Yes"/>
    <s v="No"/>
    <s v="Yes"/>
    <s v="Yes"/>
    <s v="Yes"/>
    <s v="Yes"/>
    <m/>
    <s v="1+ Failures"/>
    <n v="1"/>
    <s v="20+ hrs"/>
    <x v="3"/>
  </r>
  <r>
    <n v="1440"/>
    <d v="2024-02-19T00:00:00"/>
    <s v="Basic"/>
    <n v="199"/>
    <n v="7.1"/>
    <n v="2"/>
    <n v="0"/>
    <n v="28"/>
    <n v="9"/>
    <s v="Yes"/>
    <s v="No"/>
    <s v="No"/>
    <s v="No"/>
    <s v="No"/>
    <s v="No"/>
    <m/>
    <s v="0 Failures"/>
    <n v="1"/>
    <s v="5-10 hrs"/>
    <x v="1"/>
  </r>
  <r>
    <n v="1441"/>
    <d v="2023-09-23T00:00:00"/>
    <s v="Basic"/>
    <n v="199"/>
    <n v="21.9"/>
    <n v="7"/>
    <n v="3"/>
    <n v="20"/>
    <n v="33"/>
    <s v="Yes"/>
    <s v="No"/>
    <s v="Yes"/>
    <s v="Yes"/>
    <s v="Yes"/>
    <s v="No"/>
    <m/>
    <s v="1+ Failures"/>
    <n v="1"/>
    <s v="20+ hrs"/>
    <x v="1"/>
  </r>
  <r>
    <n v="1442"/>
    <d v="2023-07-23T00:00:00"/>
    <s v="Basic"/>
    <n v="199"/>
    <n v="2.8"/>
    <n v="6"/>
    <n v="2"/>
    <n v="4"/>
    <n v="48"/>
    <s v="Yes"/>
    <s v="Yes"/>
    <s v="Yes"/>
    <s v="Yes"/>
    <s v="Yes"/>
    <s v="Yes"/>
    <m/>
    <s v="1+ Failures"/>
    <n v="1"/>
    <s v="0-5 hrs"/>
    <x v="3"/>
  </r>
  <r>
    <n v="1443"/>
    <d v="2024-12-14T00:00:00"/>
    <s v="Standard"/>
    <n v="399"/>
    <n v="12.3"/>
    <n v="8"/>
    <n v="5"/>
    <n v="27"/>
    <n v="50"/>
    <s v="Yes"/>
    <s v="No"/>
    <s v="Yes"/>
    <s v="Yes"/>
    <s v="Yes"/>
    <s v="No"/>
    <m/>
    <s v="1+ Failures"/>
    <n v="1"/>
    <s v="10-20hrs"/>
    <x v="1"/>
  </r>
  <r>
    <n v="1444"/>
    <d v="2024-09-03T00:00:00"/>
    <s v="Standard"/>
    <n v="399"/>
    <n v="22.9"/>
    <n v="6"/>
    <n v="0"/>
    <n v="23"/>
    <n v="35"/>
    <s v="No"/>
    <s v="No"/>
    <s v="No"/>
    <s v="Yes"/>
    <s v="Yes"/>
    <s v="No"/>
    <m/>
    <s v="0 Failures"/>
    <n v="0"/>
    <s v="20+ hrs"/>
    <x v="1"/>
  </r>
  <r>
    <n v="1445"/>
    <d v="2023-11-21T00:00:00"/>
    <s v="Basic"/>
    <n v="199"/>
    <n v="18.2"/>
    <n v="2"/>
    <n v="2"/>
    <n v="5"/>
    <n v="42"/>
    <s v="No"/>
    <s v="No"/>
    <s v="Yes"/>
    <s v="No"/>
    <s v="Yes"/>
    <s v="Yes"/>
    <m/>
    <s v="1+ Failures"/>
    <n v="0"/>
    <s v="10-20hrs"/>
    <x v="3"/>
  </r>
  <r>
    <n v="1446"/>
    <d v="2024-11-21T00:00:00"/>
    <s v="Basic"/>
    <n v="199"/>
    <n v="22.5"/>
    <n v="2"/>
    <n v="3"/>
    <n v="10"/>
    <n v="55"/>
    <s v="Yes"/>
    <s v="No"/>
    <s v="Yes"/>
    <s v="No"/>
    <s v="Yes"/>
    <s v="No"/>
    <m/>
    <s v="1+ Failures"/>
    <n v="1"/>
    <s v="20+ hrs"/>
    <x v="0"/>
  </r>
  <r>
    <n v="1447"/>
    <d v="2023-05-09T00:00:00"/>
    <s v="Standard"/>
    <n v="399"/>
    <n v="13.3"/>
    <n v="0"/>
    <n v="3"/>
    <n v="17"/>
    <n v="60"/>
    <s v="No"/>
    <s v="No"/>
    <s v="Yes"/>
    <s v="No"/>
    <s v="Yes"/>
    <s v="No"/>
    <m/>
    <s v="1+ Failures"/>
    <n v="0"/>
    <s v="10-20hrs"/>
    <x v="1"/>
  </r>
  <r>
    <n v="1448"/>
    <d v="2023-07-12T00:00:00"/>
    <s v="Premium"/>
    <n v="699"/>
    <n v="16.2"/>
    <n v="1"/>
    <n v="0"/>
    <n v="29"/>
    <n v="13"/>
    <s v="No"/>
    <s v="No"/>
    <s v="No"/>
    <s v="No"/>
    <s v="No"/>
    <s v="No"/>
    <m/>
    <s v="0 Failures"/>
    <n v="0"/>
    <s v="10-20hrs"/>
    <x v="1"/>
  </r>
  <r>
    <n v="1449"/>
    <d v="2023-07-15T00:00:00"/>
    <s v="Standard"/>
    <n v="399"/>
    <n v="19.5"/>
    <n v="6"/>
    <n v="1"/>
    <n v="35"/>
    <n v="22"/>
    <s v="Yes"/>
    <s v="No"/>
    <s v="Yes"/>
    <s v="Yes"/>
    <s v="Yes"/>
    <s v="No"/>
    <m/>
    <s v="1+ Failures"/>
    <n v="1"/>
    <s v="10-20hrs"/>
    <x v="1"/>
  </r>
  <r>
    <n v="1450"/>
    <d v="2024-05-29T00:00:00"/>
    <s v="Premium"/>
    <n v="699"/>
    <n v="9.6"/>
    <n v="5"/>
    <n v="0"/>
    <n v="1"/>
    <n v="19"/>
    <s v="No"/>
    <s v="No"/>
    <s v="No"/>
    <s v="Yes"/>
    <s v="Yes"/>
    <s v="Yes"/>
    <m/>
    <s v="0 Failures"/>
    <n v="0"/>
    <s v="5-10 hrs"/>
    <x v="2"/>
  </r>
  <r>
    <n v="1451"/>
    <d v="2024-07-09T00:00:00"/>
    <s v="Basic"/>
    <n v="199"/>
    <n v="16.399999999999999"/>
    <n v="7"/>
    <n v="3"/>
    <n v="32"/>
    <n v="26"/>
    <s v="Yes"/>
    <s v="No"/>
    <s v="Yes"/>
    <s v="Yes"/>
    <s v="Yes"/>
    <s v="No"/>
    <m/>
    <s v="1+ Failures"/>
    <n v="1"/>
    <s v="10-20hrs"/>
    <x v="1"/>
  </r>
  <r>
    <n v="1452"/>
    <d v="2024-03-14T00:00:00"/>
    <s v="Standard"/>
    <n v="399"/>
    <n v="24.4"/>
    <n v="5"/>
    <n v="0"/>
    <n v="34"/>
    <n v="59"/>
    <s v="Yes"/>
    <s v="No"/>
    <s v="No"/>
    <s v="Yes"/>
    <s v="Yes"/>
    <s v="No"/>
    <m/>
    <s v="0 Failures"/>
    <n v="1"/>
    <s v="20+ hrs"/>
    <x v="1"/>
  </r>
  <r>
    <n v="1453"/>
    <d v="2024-11-06T00:00:00"/>
    <s v="Standard"/>
    <n v="399"/>
    <n v="14"/>
    <n v="2"/>
    <n v="4"/>
    <n v="12"/>
    <n v="27"/>
    <s v="Yes"/>
    <s v="No"/>
    <s v="Yes"/>
    <s v="No"/>
    <s v="Yes"/>
    <s v="No"/>
    <m/>
    <s v="1+ Failures"/>
    <n v="1"/>
    <s v="10-20hrs"/>
    <x v="0"/>
  </r>
  <r>
    <n v="1454"/>
    <d v="2023-04-02T00:00:00"/>
    <s v="Premium"/>
    <n v="699"/>
    <n v="16"/>
    <n v="1"/>
    <n v="0"/>
    <n v="28"/>
    <n v="51"/>
    <s v="No"/>
    <s v="No"/>
    <s v="No"/>
    <s v="No"/>
    <s v="Yes"/>
    <s v="No"/>
    <m/>
    <s v="0 Failures"/>
    <n v="0"/>
    <s v="10-20hrs"/>
    <x v="1"/>
  </r>
  <r>
    <n v="1455"/>
    <d v="2024-09-30T00:00:00"/>
    <s v="Premium"/>
    <n v="699"/>
    <n v="15.6"/>
    <n v="6"/>
    <n v="0"/>
    <n v="2"/>
    <n v="31"/>
    <s v="No"/>
    <s v="No"/>
    <s v="No"/>
    <s v="Yes"/>
    <s v="Yes"/>
    <s v="Yes"/>
    <m/>
    <s v="0 Failures"/>
    <n v="0"/>
    <s v="10-20hrs"/>
    <x v="2"/>
  </r>
  <r>
    <n v="1456"/>
    <d v="2023-10-24T00:00:00"/>
    <s v="Premium"/>
    <n v="699"/>
    <n v="16"/>
    <n v="8"/>
    <n v="4"/>
    <n v="7"/>
    <n v="51"/>
    <s v="Yes"/>
    <s v="No"/>
    <s v="Yes"/>
    <s v="Yes"/>
    <s v="Yes"/>
    <s v="No"/>
    <m/>
    <s v="1+ Failures"/>
    <n v="1"/>
    <s v="10-20hrs"/>
    <x v="0"/>
  </r>
  <r>
    <n v="1457"/>
    <d v="2024-04-25T00:00:00"/>
    <s v="Standard"/>
    <n v="399"/>
    <n v="6"/>
    <n v="7"/>
    <n v="4"/>
    <n v="14"/>
    <n v="24"/>
    <s v="Yes"/>
    <s v="No"/>
    <s v="Yes"/>
    <s v="Yes"/>
    <s v="Yes"/>
    <s v="No"/>
    <m/>
    <s v="1+ Failures"/>
    <n v="1"/>
    <s v="5-10 hrs"/>
    <x v="1"/>
  </r>
  <r>
    <n v="1458"/>
    <d v="2024-12-21T00:00:00"/>
    <s v="Basic"/>
    <n v="199"/>
    <n v="24.2"/>
    <n v="7"/>
    <n v="3"/>
    <n v="23"/>
    <n v="58"/>
    <s v="No"/>
    <s v="No"/>
    <s v="Yes"/>
    <s v="Yes"/>
    <s v="Yes"/>
    <s v="No"/>
    <m/>
    <s v="1+ Failures"/>
    <n v="0"/>
    <s v="20+ hrs"/>
    <x v="1"/>
  </r>
  <r>
    <n v="1459"/>
    <d v="2024-11-05T00:00:00"/>
    <s v="Premium"/>
    <n v="699"/>
    <n v="0.7"/>
    <n v="5"/>
    <n v="1"/>
    <n v="26"/>
    <n v="32"/>
    <s v="Yes"/>
    <s v="Yes"/>
    <s v="Yes"/>
    <s v="Yes"/>
    <s v="Yes"/>
    <s v="No"/>
    <m/>
    <s v="1+ Failures"/>
    <n v="1"/>
    <s v="0-5 hrs"/>
    <x v="1"/>
  </r>
  <r>
    <n v="1460"/>
    <d v="2024-02-29T00:00:00"/>
    <s v="Standard"/>
    <n v="399"/>
    <n v="21"/>
    <n v="6"/>
    <n v="5"/>
    <n v="20"/>
    <n v="15"/>
    <s v="Yes"/>
    <s v="No"/>
    <s v="Yes"/>
    <s v="Yes"/>
    <s v="Yes"/>
    <s v="No"/>
    <m/>
    <s v="1+ Failures"/>
    <n v="1"/>
    <s v="20+ hrs"/>
    <x v="1"/>
  </r>
  <r>
    <n v="1461"/>
    <d v="2023-11-22T00:00:00"/>
    <s v="Basic"/>
    <n v="199"/>
    <n v="1.1000000000000001"/>
    <n v="5"/>
    <n v="4"/>
    <n v="1"/>
    <n v="52"/>
    <s v="Yes"/>
    <s v="Yes"/>
    <s v="Yes"/>
    <s v="Yes"/>
    <s v="Yes"/>
    <s v="Yes"/>
    <m/>
    <s v="1+ Failures"/>
    <n v="1"/>
    <s v="0-5 hrs"/>
    <x v="2"/>
  </r>
  <r>
    <n v="1462"/>
    <d v="2023-07-17T00:00:00"/>
    <s v="Standard"/>
    <n v="399"/>
    <n v="24"/>
    <n v="6"/>
    <n v="1"/>
    <n v="11"/>
    <n v="35"/>
    <s v="No"/>
    <s v="No"/>
    <s v="Yes"/>
    <s v="Yes"/>
    <s v="Yes"/>
    <s v="No"/>
    <m/>
    <s v="1+ Failures"/>
    <n v="0"/>
    <s v="20+ hrs"/>
    <x v="0"/>
  </r>
  <r>
    <n v="1463"/>
    <d v="2023-06-27T00:00:00"/>
    <s v="Premium"/>
    <n v="699"/>
    <n v="20.8"/>
    <n v="6"/>
    <n v="1"/>
    <n v="26"/>
    <n v="60"/>
    <s v="No"/>
    <s v="No"/>
    <s v="Yes"/>
    <s v="Yes"/>
    <s v="Yes"/>
    <s v="No"/>
    <m/>
    <s v="1+ Failures"/>
    <n v="0"/>
    <s v="20+ hrs"/>
    <x v="1"/>
  </r>
  <r>
    <n v="1464"/>
    <d v="2023-05-10T00:00:00"/>
    <s v="Standard"/>
    <n v="399"/>
    <n v="13.2"/>
    <n v="6"/>
    <n v="1"/>
    <n v="21"/>
    <n v="6"/>
    <s v="No"/>
    <s v="No"/>
    <s v="Yes"/>
    <s v="Yes"/>
    <s v="No"/>
    <s v="No"/>
    <m/>
    <s v="1+ Failures"/>
    <n v="0"/>
    <s v="10-20hrs"/>
    <x v="1"/>
  </r>
  <r>
    <n v="1465"/>
    <d v="2024-07-20T00:00:00"/>
    <s v="Premium"/>
    <n v="699"/>
    <n v="16"/>
    <n v="6"/>
    <n v="5"/>
    <n v="8"/>
    <n v="58"/>
    <s v="Yes"/>
    <s v="No"/>
    <s v="Yes"/>
    <s v="Yes"/>
    <s v="Yes"/>
    <s v="No"/>
    <m/>
    <s v="1+ Failures"/>
    <n v="1"/>
    <s v="10-20hrs"/>
    <x v="0"/>
  </r>
  <r>
    <n v="1466"/>
    <d v="2024-08-30T00:00:00"/>
    <s v="Basic"/>
    <n v="199"/>
    <n v="5.5"/>
    <n v="1"/>
    <n v="0"/>
    <n v="21"/>
    <n v="27"/>
    <s v="Yes"/>
    <s v="No"/>
    <s v="No"/>
    <s v="No"/>
    <s v="Yes"/>
    <s v="No"/>
    <m/>
    <s v="0 Failures"/>
    <n v="1"/>
    <s v="5-10 hrs"/>
    <x v="1"/>
  </r>
  <r>
    <n v="1467"/>
    <d v="2023-05-14T00:00:00"/>
    <s v="Basic"/>
    <n v="199"/>
    <n v="15.6"/>
    <n v="8"/>
    <n v="0"/>
    <n v="2"/>
    <n v="36"/>
    <s v="Yes"/>
    <s v="No"/>
    <s v="No"/>
    <s v="Yes"/>
    <s v="Yes"/>
    <s v="Yes"/>
    <m/>
    <s v="0 Failures"/>
    <n v="1"/>
    <s v="10-20hrs"/>
    <x v="2"/>
  </r>
  <r>
    <n v="1468"/>
    <d v="2023-09-09T00:00:00"/>
    <s v="Standard"/>
    <n v="399"/>
    <n v="5.0999999999999996"/>
    <n v="3"/>
    <n v="2"/>
    <n v="23"/>
    <n v="12"/>
    <s v="No"/>
    <s v="No"/>
    <s v="Yes"/>
    <s v="No"/>
    <s v="No"/>
    <s v="No"/>
    <m/>
    <s v="1+ Failures"/>
    <n v="0"/>
    <s v="5-10 hrs"/>
    <x v="1"/>
  </r>
  <r>
    <n v="1469"/>
    <d v="2024-10-04T00:00:00"/>
    <s v="Premium"/>
    <n v="699"/>
    <n v="19.399999999999999"/>
    <n v="0"/>
    <n v="2"/>
    <n v="25"/>
    <n v="5"/>
    <s v="No"/>
    <s v="No"/>
    <s v="Yes"/>
    <s v="No"/>
    <s v="No"/>
    <s v="No"/>
    <m/>
    <s v="1+ Failures"/>
    <n v="0"/>
    <s v="10-20hrs"/>
    <x v="1"/>
  </r>
  <r>
    <n v="1470"/>
    <d v="2023-07-04T00:00:00"/>
    <s v="Basic"/>
    <n v="199"/>
    <n v="3.2"/>
    <n v="1"/>
    <n v="0"/>
    <n v="7"/>
    <n v="9"/>
    <s v="Yes"/>
    <s v="Yes"/>
    <s v="No"/>
    <s v="No"/>
    <s v="No"/>
    <s v="No"/>
    <m/>
    <s v="0 Failures"/>
    <n v="1"/>
    <s v="0-5 hrs"/>
    <x v="0"/>
  </r>
  <r>
    <n v="1471"/>
    <d v="2023-01-23T00:00:00"/>
    <s v="Basic"/>
    <n v="199"/>
    <n v="12.6"/>
    <n v="5"/>
    <n v="1"/>
    <n v="5"/>
    <n v="25"/>
    <s v="Yes"/>
    <s v="No"/>
    <s v="Yes"/>
    <s v="Yes"/>
    <s v="Yes"/>
    <s v="Yes"/>
    <m/>
    <s v="1+ Failures"/>
    <n v="1"/>
    <s v="10-20hrs"/>
    <x v="3"/>
  </r>
  <r>
    <n v="1472"/>
    <d v="2023-11-18T00:00:00"/>
    <s v="Standard"/>
    <n v="399"/>
    <n v="12.4"/>
    <n v="1"/>
    <n v="1"/>
    <n v="5"/>
    <n v="43"/>
    <s v="No"/>
    <s v="No"/>
    <s v="Yes"/>
    <s v="No"/>
    <s v="Yes"/>
    <s v="Yes"/>
    <m/>
    <s v="1+ Failures"/>
    <n v="0"/>
    <s v="10-20hrs"/>
    <x v="3"/>
  </r>
  <r>
    <n v="1473"/>
    <d v="2024-11-06T00:00:00"/>
    <s v="Premium"/>
    <n v="699"/>
    <n v="20.3"/>
    <n v="2"/>
    <n v="2"/>
    <n v="29"/>
    <n v="0"/>
    <s v="No"/>
    <s v="No"/>
    <s v="Yes"/>
    <s v="No"/>
    <s v="No"/>
    <s v="No"/>
    <m/>
    <s v="1+ Failures"/>
    <n v="0"/>
    <s v="20+ hrs"/>
    <x v="1"/>
  </r>
  <r>
    <n v="1474"/>
    <d v="2024-09-06T00:00:00"/>
    <s v="Premium"/>
    <n v="699"/>
    <n v="3.4"/>
    <n v="5"/>
    <n v="2"/>
    <n v="3"/>
    <n v="30"/>
    <s v="Yes"/>
    <s v="Yes"/>
    <s v="Yes"/>
    <s v="Yes"/>
    <s v="Yes"/>
    <s v="Yes"/>
    <m/>
    <s v="1+ Failures"/>
    <n v="1"/>
    <s v="0-5 hrs"/>
    <x v="2"/>
  </r>
  <r>
    <n v="1475"/>
    <d v="2024-07-02T00:00:00"/>
    <s v="Premium"/>
    <n v="699"/>
    <n v="4.4000000000000004"/>
    <n v="4"/>
    <n v="0"/>
    <n v="1"/>
    <n v="12"/>
    <s v="No"/>
    <s v="Yes"/>
    <s v="No"/>
    <s v="No"/>
    <s v="No"/>
    <s v="Yes"/>
    <m/>
    <s v="0 Failures"/>
    <n v="0"/>
    <s v="0-5 hrs"/>
    <x v="2"/>
  </r>
  <r>
    <n v="1476"/>
    <d v="2023-08-11T00:00:00"/>
    <s v="Basic"/>
    <n v="199"/>
    <n v="13"/>
    <n v="2"/>
    <n v="1"/>
    <n v="34"/>
    <n v="55"/>
    <s v="No"/>
    <s v="No"/>
    <s v="Yes"/>
    <s v="No"/>
    <s v="Yes"/>
    <s v="No"/>
    <m/>
    <s v="1+ Failures"/>
    <n v="0"/>
    <s v="10-20hrs"/>
    <x v="1"/>
  </r>
  <r>
    <n v="1477"/>
    <d v="2023-10-02T00:00:00"/>
    <s v="Basic"/>
    <n v="199"/>
    <n v="3.9"/>
    <n v="1"/>
    <n v="5"/>
    <n v="21"/>
    <n v="44"/>
    <s v="No"/>
    <s v="Yes"/>
    <s v="Yes"/>
    <s v="No"/>
    <s v="Yes"/>
    <s v="No"/>
    <m/>
    <s v="1+ Failures"/>
    <n v="0"/>
    <s v="0-5 hrs"/>
    <x v="1"/>
  </r>
  <r>
    <n v="1478"/>
    <d v="2023-10-29T00:00:00"/>
    <s v="Standard"/>
    <n v="399"/>
    <n v="5.4"/>
    <n v="1"/>
    <n v="2"/>
    <n v="31"/>
    <n v="45"/>
    <s v="Yes"/>
    <s v="No"/>
    <s v="Yes"/>
    <s v="No"/>
    <s v="Yes"/>
    <s v="No"/>
    <m/>
    <s v="1+ Failures"/>
    <n v="1"/>
    <s v="5-10 hrs"/>
    <x v="1"/>
  </r>
  <r>
    <n v="1479"/>
    <d v="2024-12-04T00:00:00"/>
    <s v="Standard"/>
    <n v="399"/>
    <n v="11.2"/>
    <n v="6"/>
    <n v="1"/>
    <n v="32"/>
    <n v="16"/>
    <s v="Yes"/>
    <s v="No"/>
    <s v="Yes"/>
    <s v="Yes"/>
    <s v="Yes"/>
    <s v="No"/>
    <m/>
    <s v="1+ Failures"/>
    <n v="1"/>
    <s v="10-20hrs"/>
    <x v="1"/>
  </r>
  <r>
    <n v="1480"/>
    <d v="2023-11-16T00:00:00"/>
    <s v="Premium"/>
    <n v="699"/>
    <n v="24.1"/>
    <n v="1"/>
    <n v="4"/>
    <n v="18"/>
    <n v="50"/>
    <s v="No"/>
    <s v="No"/>
    <s v="Yes"/>
    <s v="No"/>
    <s v="Yes"/>
    <s v="No"/>
    <m/>
    <s v="1+ Failures"/>
    <n v="0"/>
    <s v="20+ hrs"/>
    <x v="1"/>
  </r>
  <r>
    <n v="1481"/>
    <d v="2024-09-02T00:00:00"/>
    <s v="Basic"/>
    <n v="199"/>
    <n v="23.9"/>
    <n v="7"/>
    <n v="3"/>
    <n v="14"/>
    <n v="56"/>
    <s v="Yes"/>
    <s v="No"/>
    <s v="Yes"/>
    <s v="Yes"/>
    <s v="Yes"/>
    <s v="No"/>
    <m/>
    <s v="1+ Failures"/>
    <n v="1"/>
    <s v="20+ hrs"/>
    <x v="1"/>
  </r>
  <r>
    <n v="1482"/>
    <d v="2024-08-03T00:00:00"/>
    <s v="Premium"/>
    <n v="699"/>
    <n v="20.5"/>
    <n v="1"/>
    <n v="4"/>
    <n v="18"/>
    <n v="24"/>
    <s v="Yes"/>
    <s v="No"/>
    <s v="Yes"/>
    <s v="No"/>
    <s v="Yes"/>
    <s v="No"/>
    <m/>
    <s v="1+ Failures"/>
    <n v="1"/>
    <s v="20+ hrs"/>
    <x v="1"/>
  </r>
  <r>
    <n v="1483"/>
    <d v="2024-06-07T00:00:00"/>
    <s v="Standard"/>
    <n v="399"/>
    <n v="22.5"/>
    <n v="1"/>
    <n v="3"/>
    <n v="24"/>
    <n v="10"/>
    <s v="No"/>
    <s v="No"/>
    <s v="Yes"/>
    <s v="No"/>
    <s v="No"/>
    <s v="No"/>
    <m/>
    <s v="1+ Failures"/>
    <n v="0"/>
    <s v="20+ hrs"/>
    <x v="1"/>
  </r>
  <r>
    <n v="1484"/>
    <d v="2023-07-04T00:00:00"/>
    <s v="Standard"/>
    <n v="399"/>
    <n v="7.7"/>
    <n v="8"/>
    <n v="2"/>
    <n v="27"/>
    <n v="25"/>
    <s v="Yes"/>
    <s v="No"/>
    <s v="Yes"/>
    <s v="Yes"/>
    <s v="Yes"/>
    <s v="No"/>
    <m/>
    <s v="1+ Failures"/>
    <n v="1"/>
    <s v="5-10 hrs"/>
    <x v="1"/>
  </r>
  <r>
    <n v="1485"/>
    <d v="2024-01-16T00:00:00"/>
    <s v="Standard"/>
    <n v="399"/>
    <n v="19.899999999999999"/>
    <n v="5"/>
    <n v="1"/>
    <n v="28"/>
    <n v="4"/>
    <s v="Yes"/>
    <s v="No"/>
    <s v="Yes"/>
    <s v="Yes"/>
    <s v="No"/>
    <s v="No"/>
    <m/>
    <s v="1+ Failures"/>
    <n v="1"/>
    <s v="10-20hrs"/>
    <x v="1"/>
  </r>
  <r>
    <n v="1486"/>
    <d v="2023-12-03T00:00:00"/>
    <s v="Standard"/>
    <n v="399"/>
    <n v="19.600000000000001"/>
    <n v="1"/>
    <n v="0"/>
    <n v="10"/>
    <n v="20"/>
    <s v="No"/>
    <s v="No"/>
    <s v="No"/>
    <s v="No"/>
    <s v="Yes"/>
    <s v="No"/>
    <m/>
    <s v="0 Failures"/>
    <n v="0"/>
    <s v="10-20hrs"/>
    <x v="0"/>
  </r>
  <r>
    <n v="1487"/>
    <d v="2023-10-18T00:00:00"/>
    <s v="Basic"/>
    <n v="199"/>
    <n v="14.4"/>
    <n v="5"/>
    <n v="1"/>
    <n v="30"/>
    <n v="35"/>
    <s v="Yes"/>
    <s v="No"/>
    <s v="Yes"/>
    <s v="Yes"/>
    <s v="Yes"/>
    <s v="No"/>
    <m/>
    <s v="1+ Failures"/>
    <n v="1"/>
    <s v="10-20hrs"/>
    <x v="1"/>
  </r>
  <r>
    <n v="1488"/>
    <d v="2024-11-18T00:00:00"/>
    <s v="Premium"/>
    <n v="699"/>
    <n v="13.4"/>
    <n v="1"/>
    <n v="4"/>
    <n v="14"/>
    <n v="17"/>
    <s v="No"/>
    <s v="No"/>
    <s v="Yes"/>
    <s v="No"/>
    <s v="Yes"/>
    <s v="No"/>
    <m/>
    <s v="1+ Failures"/>
    <n v="0"/>
    <s v="10-20hrs"/>
    <x v="1"/>
  </r>
  <r>
    <n v="1489"/>
    <d v="2023-07-21T00:00:00"/>
    <s v="Basic"/>
    <n v="199"/>
    <n v="17.2"/>
    <n v="6"/>
    <n v="2"/>
    <n v="27"/>
    <n v="52"/>
    <s v="Yes"/>
    <s v="No"/>
    <s v="Yes"/>
    <s v="Yes"/>
    <s v="Yes"/>
    <s v="No"/>
    <m/>
    <s v="1+ Failures"/>
    <n v="1"/>
    <s v="10-20hrs"/>
    <x v="1"/>
  </r>
  <r>
    <n v="1490"/>
    <d v="2023-06-25T00:00:00"/>
    <s v="Basic"/>
    <n v="199"/>
    <n v="12.7"/>
    <n v="4"/>
    <n v="3"/>
    <n v="32"/>
    <n v="7"/>
    <s v="Yes"/>
    <s v="No"/>
    <s v="Yes"/>
    <s v="No"/>
    <s v="No"/>
    <s v="No"/>
    <m/>
    <s v="1+ Failures"/>
    <n v="1"/>
    <s v="10-20hrs"/>
    <x v="1"/>
  </r>
  <r>
    <n v="1491"/>
    <d v="2024-10-21T00:00:00"/>
    <s v="Premium"/>
    <n v="699"/>
    <n v="15"/>
    <n v="3"/>
    <n v="4"/>
    <n v="21"/>
    <n v="1"/>
    <s v="Yes"/>
    <s v="No"/>
    <s v="Yes"/>
    <s v="No"/>
    <s v="No"/>
    <s v="No"/>
    <m/>
    <s v="1+ Failures"/>
    <n v="1"/>
    <s v="10-20hrs"/>
    <x v="1"/>
  </r>
  <r>
    <n v="1492"/>
    <d v="2023-02-07T00:00:00"/>
    <s v="Premium"/>
    <n v="699"/>
    <n v="22.8"/>
    <n v="4"/>
    <n v="1"/>
    <n v="1"/>
    <n v="53"/>
    <s v="No"/>
    <s v="No"/>
    <s v="Yes"/>
    <s v="No"/>
    <s v="Yes"/>
    <s v="Yes"/>
    <m/>
    <s v="1+ Failures"/>
    <n v="0"/>
    <s v="20+ hrs"/>
    <x v="2"/>
  </r>
  <r>
    <n v="1493"/>
    <d v="2024-03-01T00:00:00"/>
    <s v="Premium"/>
    <n v="699"/>
    <n v="1.5"/>
    <n v="0"/>
    <n v="0"/>
    <n v="34"/>
    <n v="30"/>
    <s v="Yes"/>
    <s v="Yes"/>
    <s v="No"/>
    <s v="No"/>
    <s v="Yes"/>
    <s v="No"/>
    <m/>
    <s v="0 Failures"/>
    <n v="1"/>
    <s v="0-5 hrs"/>
    <x v="1"/>
  </r>
  <r>
    <n v="1494"/>
    <d v="2023-11-17T00:00:00"/>
    <s v="Premium"/>
    <n v="699"/>
    <n v="7.2"/>
    <n v="5"/>
    <n v="3"/>
    <n v="20"/>
    <n v="5"/>
    <s v="No"/>
    <s v="No"/>
    <s v="Yes"/>
    <s v="Yes"/>
    <s v="No"/>
    <s v="No"/>
    <m/>
    <s v="1+ Failures"/>
    <n v="0"/>
    <s v="5-10 hrs"/>
    <x v="1"/>
  </r>
  <r>
    <n v="1495"/>
    <d v="2023-05-05T00:00:00"/>
    <s v="Standard"/>
    <n v="399"/>
    <n v="10.1"/>
    <n v="7"/>
    <n v="3"/>
    <n v="4"/>
    <n v="54"/>
    <s v="Yes"/>
    <s v="No"/>
    <s v="Yes"/>
    <s v="Yes"/>
    <s v="Yes"/>
    <s v="Yes"/>
    <m/>
    <s v="1+ Failures"/>
    <n v="1"/>
    <s v="10-20hrs"/>
    <x v="3"/>
  </r>
  <r>
    <n v="1496"/>
    <d v="2023-11-27T00:00:00"/>
    <s v="Standard"/>
    <n v="399"/>
    <n v="1.2"/>
    <n v="0"/>
    <n v="0"/>
    <n v="7"/>
    <n v="8"/>
    <s v="Yes"/>
    <s v="Yes"/>
    <s v="No"/>
    <s v="No"/>
    <s v="No"/>
    <s v="No"/>
    <m/>
    <s v="0 Failures"/>
    <n v="1"/>
    <s v="0-5 hrs"/>
    <x v="0"/>
  </r>
  <r>
    <n v="1497"/>
    <d v="2024-01-13T00:00:00"/>
    <s v="Premium"/>
    <n v="699"/>
    <n v="6"/>
    <n v="1"/>
    <n v="1"/>
    <n v="28"/>
    <n v="46"/>
    <s v="No"/>
    <s v="No"/>
    <s v="Yes"/>
    <s v="No"/>
    <s v="Yes"/>
    <s v="No"/>
    <m/>
    <s v="1+ Failures"/>
    <n v="0"/>
    <s v="5-10 hrs"/>
    <x v="1"/>
  </r>
  <r>
    <n v="1498"/>
    <d v="2023-04-24T00:00:00"/>
    <s v="Premium"/>
    <n v="699"/>
    <n v="23.4"/>
    <n v="0"/>
    <n v="2"/>
    <n v="1"/>
    <n v="56"/>
    <s v="No"/>
    <s v="No"/>
    <s v="Yes"/>
    <s v="No"/>
    <s v="Yes"/>
    <s v="Yes"/>
    <m/>
    <s v="1+ Failures"/>
    <n v="0"/>
    <s v="20+ hrs"/>
    <x v="2"/>
  </r>
  <r>
    <n v="1499"/>
    <d v="2024-01-24T00:00:00"/>
    <s v="Basic"/>
    <n v="199"/>
    <n v="2.2999999999999998"/>
    <n v="5"/>
    <n v="5"/>
    <n v="20"/>
    <n v="39"/>
    <s v="Yes"/>
    <s v="Yes"/>
    <s v="Yes"/>
    <s v="Yes"/>
    <s v="Yes"/>
    <s v="No"/>
    <m/>
    <s v="1+ Failures"/>
    <n v="1"/>
    <s v="0-5 hrs"/>
    <x v="1"/>
  </r>
  <r>
    <n v="1500"/>
    <d v="2023-06-01T00:00:00"/>
    <s v="Standard"/>
    <n v="399"/>
    <n v="23.2"/>
    <n v="7"/>
    <n v="0"/>
    <n v="11"/>
    <n v="8"/>
    <s v="No"/>
    <s v="No"/>
    <s v="No"/>
    <s v="Yes"/>
    <s v="No"/>
    <s v="No"/>
    <m/>
    <s v="0 Failures"/>
    <n v="0"/>
    <s v="20+ hrs"/>
    <x v="0"/>
  </r>
  <r>
    <n v="1501"/>
    <d v="2024-05-04T00:00:00"/>
    <s v="Premium"/>
    <n v="699"/>
    <n v="16.100000000000001"/>
    <n v="1"/>
    <n v="4"/>
    <n v="27"/>
    <n v="33"/>
    <s v="Yes"/>
    <s v="No"/>
    <s v="Yes"/>
    <s v="No"/>
    <s v="Yes"/>
    <s v="No"/>
    <m/>
    <s v="1+ Failures"/>
    <n v="1"/>
    <s v="10-20hrs"/>
    <x v="1"/>
  </r>
  <r>
    <n v="1502"/>
    <d v="2023-09-28T00:00:00"/>
    <s v="Premium"/>
    <n v="699"/>
    <n v="24.4"/>
    <n v="5"/>
    <n v="5"/>
    <n v="32"/>
    <n v="30"/>
    <s v="Yes"/>
    <s v="No"/>
    <s v="Yes"/>
    <s v="Yes"/>
    <s v="Yes"/>
    <s v="No"/>
    <m/>
    <s v="1+ Failures"/>
    <n v="1"/>
    <s v="20+ hrs"/>
    <x v="1"/>
  </r>
  <r>
    <n v="1503"/>
    <d v="2023-07-30T00:00:00"/>
    <s v="Standard"/>
    <n v="399"/>
    <n v="9.1"/>
    <n v="3"/>
    <n v="5"/>
    <n v="6"/>
    <n v="41"/>
    <s v="No"/>
    <s v="No"/>
    <s v="Yes"/>
    <s v="No"/>
    <s v="Yes"/>
    <s v="No"/>
    <m/>
    <s v="1+ Failures"/>
    <n v="0"/>
    <s v="5-10 hrs"/>
    <x v="3"/>
  </r>
  <r>
    <n v="1504"/>
    <d v="2023-08-10T00:00:00"/>
    <s v="Premium"/>
    <n v="699"/>
    <n v="2.2999999999999998"/>
    <n v="7"/>
    <n v="0"/>
    <n v="5"/>
    <n v="13"/>
    <s v="Yes"/>
    <s v="Yes"/>
    <s v="No"/>
    <s v="Yes"/>
    <s v="No"/>
    <s v="Yes"/>
    <m/>
    <s v="0 Failures"/>
    <n v="1"/>
    <s v="0-5 hrs"/>
    <x v="3"/>
  </r>
  <r>
    <n v="1505"/>
    <d v="2024-06-24T00:00:00"/>
    <s v="Standard"/>
    <n v="399"/>
    <n v="5.0999999999999996"/>
    <n v="1"/>
    <n v="2"/>
    <n v="25"/>
    <n v="13"/>
    <s v="No"/>
    <s v="No"/>
    <s v="Yes"/>
    <s v="No"/>
    <s v="No"/>
    <s v="No"/>
    <m/>
    <s v="1+ Failures"/>
    <n v="0"/>
    <s v="5-10 hrs"/>
    <x v="1"/>
  </r>
  <r>
    <n v="1506"/>
    <d v="2024-05-31T00:00:00"/>
    <s v="Premium"/>
    <n v="699"/>
    <n v="19.100000000000001"/>
    <n v="4"/>
    <n v="5"/>
    <n v="21"/>
    <n v="29"/>
    <s v="Yes"/>
    <s v="No"/>
    <s v="Yes"/>
    <s v="No"/>
    <s v="Yes"/>
    <s v="No"/>
    <m/>
    <s v="1+ Failures"/>
    <n v="1"/>
    <s v="10-20hrs"/>
    <x v="1"/>
  </r>
  <r>
    <n v="1507"/>
    <d v="2024-06-09T00:00:00"/>
    <s v="Basic"/>
    <n v="199"/>
    <n v="5.9"/>
    <n v="5"/>
    <n v="3"/>
    <n v="9"/>
    <n v="28"/>
    <s v="No"/>
    <s v="No"/>
    <s v="Yes"/>
    <s v="Yes"/>
    <s v="Yes"/>
    <s v="No"/>
    <m/>
    <s v="1+ Failures"/>
    <n v="0"/>
    <s v="5-10 hrs"/>
    <x v="0"/>
  </r>
  <r>
    <n v="1508"/>
    <d v="2024-08-14T00:00:00"/>
    <s v="Basic"/>
    <n v="199"/>
    <n v="5.0999999999999996"/>
    <n v="4"/>
    <n v="3"/>
    <n v="26"/>
    <n v="10"/>
    <s v="No"/>
    <s v="No"/>
    <s v="Yes"/>
    <s v="No"/>
    <s v="No"/>
    <s v="No"/>
    <m/>
    <s v="1+ Failures"/>
    <n v="0"/>
    <s v="5-10 hrs"/>
    <x v="1"/>
  </r>
  <r>
    <n v="1509"/>
    <d v="2024-04-16T00:00:00"/>
    <s v="Premium"/>
    <n v="699"/>
    <n v="4.0999999999999996"/>
    <n v="1"/>
    <n v="5"/>
    <n v="7"/>
    <n v="7"/>
    <s v="Yes"/>
    <s v="Yes"/>
    <s v="Yes"/>
    <s v="No"/>
    <s v="No"/>
    <s v="No"/>
    <m/>
    <s v="1+ Failures"/>
    <n v="1"/>
    <s v="0-5 hrs"/>
    <x v="0"/>
  </r>
  <r>
    <n v="1510"/>
    <d v="2024-07-17T00:00:00"/>
    <s v="Basic"/>
    <n v="199"/>
    <n v="1.2"/>
    <n v="8"/>
    <n v="3"/>
    <n v="18"/>
    <n v="22"/>
    <s v="Yes"/>
    <s v="Yes"/>
    <s v="Yes"/>
    <s v="Yes"/>
    <s v="Yes"/>
    <s v="No"/>
    <m/>
    <s v="1+ Failures"/>
    <n v="1"/>
    <s v="0-5 hrs"/>
    <x v="1"/>
  </r>
  <r>
    <n v="1511"/>
    <d v="2023-12-08T00:00:00"/>
    <s v="Basic"/>
    <n v="199"/>
    <n v="11.1"/>
    <n v="2"/>
    <n v="3"/>
    <n v="23"/>
    <n v="32"/>
    <s v="Yes"/>
    <s v="No"/>
    <s v="Yes"/>
    <s v="No"/>
    <s v="Yes"/>
    <s v="No"/>
    <m/>
    <s v="1+ Failures"/>
    <n v="1"/>
    <s v="10-20hrs"/>
    <x v="1"/>
  </r>
  <r>
    <n v="1512"/>
    <d v="2024-03-08T00:00:00"/>
    <s v="Basic"/>
    <n v="199"/>
    <n v="7.2"/>
    <n v="1"/>
    <n v="0"/>
    <n v="29"/>
    <n v="41"/>
    <s v="No"/>
    <s v="No"/>
    <s v="No"/>
    <s v="No"/>
    <s v="Yes"/>
    <s v="No"/>
    <m/>
    <s v="0 Failures"/>
    <n v="0"/>
    <s v="5-10 hrs"/>
    <x v="1"/>
  </r>
  <r>
    <n v="1513"/>
    <d v="2024-05-20T00:00:00"/>
    <s v="Basic"/>
    <n v="199"/>
    <n v="5.0999999999999996"/>
    <n v="2"/>
    <n v="4"/>
    <n v="19"/>
    <n v="17"/>
    <s v="No"/>
    <s v="No"/>
    <s v="Yes"/>
    <s v="No"/>
    <s v="Yes"/>
    <s v="No"/>
    <m/>
    <s v="1+ Failures"/>
    <n v="0"/>
    <s v="5-10 hrs"/>
    <x v="1"/>
  </r>
  <r>
    <n v="1514"/>
    <d v="2023-08-13T00:00:00"/>
    <s v="Premium"/>
    <n v="699"/>
    <n v="3.2"/>
    <n v="0"/>
    <n v="5"/>
    <n v="28"/>
    <n v="15"/>
    <s v="No"/>
    <s v="Yes"/>
    <s v="Yes"/>
    <s v="No"/>
    <s v="Yes"/>
    <s v="No"/>
    <m/>
    <s v="1+ Failures"/>
    <n v="0"/>
    <s v="0-5 hrs"/>
    <x v="1"/>
  </r>
  <r>
    <n v="1515"/>
    <d v="2023-10-10T00:00:00"/>
    <s v="Basic"/>
    <n v="199"/>
    <n v="22.4"/>
    <n v="4"/>
    <n v="1"/>
    <n v="4"/>
    <n v="4"/>
    <s v="No"/>
    <s v="No"/>
    <s v="Yes"/>
    <s v="No"/>
    <s v="No"/>
    <s v="Yes"/>
    <m/>
    <s v="1+ Failures"/>
    <n v="0"/>
    <s v="20+ hrs"/>
    <x v="3"/>
  </r>
  <r>
    <n v="1516"/>
    <d v="2024-12-09T00:00:00"/>
    <s v="Basic"/>
    <n v="199"/>
    <n v="10.1"/>
    <n v="1"/>
    <n v="1"/>
    <n v="26"/>
    <n v="46"/>
    <s v="No"/>
    <s v="No"/>
    <s v="Yes"/>
    <s v="No"/>
    <s v="Yes"/>
    <s v="No"/>
    <m/>
    <s v="1+ Failures"/>
    <n v="0"/>
    <s v="10-20hrs"/>
    <x v="1"/>
  </r>
  <r>
    <n v="1517"/>
    <d v="2024-09-02T00:00:00"/>
    <s v="Standard"/>
    <n v="399"/>
    <n v="5.5"/>
    <n v="3"/>
    <n v="2"/>
    <n v="32"/>
    <n v="40"/>
    <s v="Yes"/>
    <s v="No"/>
    <s v="Yes"/>
    <s v="No"/>
    <s v="Yes"/>
    <s v="No"/>
    <m/>
    <s v="1+ Failures"/>
    <n v="1"/>
    <s v="5-10 hrs"/>
    <x v="1"/>
  </r>
  <r>
    <n v="1518"/>
    <d v="2023-11-09T00:00:00"/>
    <s v="Standard"/>
    <n v="399"/>
    <n v="2.8"/>
    <n v="8"/>
    <n v="5"/>
    <n v="1"/>
    <n v="39"/>
    <s v="Yes"/>
    <s v="Yes"/>
    <s v="Yes"/>
    <s v="Yes"/>
    <s v="Yes"/>
    <s v="Yes"/>
    <m/>
    <s v="1+ Failures"/>
    <n v="1"/>
    <s v="0-5 hrs"/>
    <x v="2"/>
  </r>
  <r>
    <n v="1519"/>
    <d v="2024-04-11T00:00:00"/>
    <s v="Premium"/>
    <n v="699"/>
    <n v="4.7"/>
    <n v="1"/>
    <n v="1"/>
    <n v="16"/>
    <n v="11"/>
    <s v="Yes"/>
    <s v="Yes"/>
    <s v="Yes"/>
    <s v="No"/>
    <s v="No"/>
    <s v="No"/>
    <m/>
    <s v="1+ Failures"/>
    <n v="1"/>
    <s v="0-5 hrs"/>
    <x v="1"/>
  </r>
  <r>
    <n v="1520"/>
    <d v="2023-09-28T00:00:00"/>
    <s v="Basic"/>
    <n v="199"/>
    <n v="16.8"/>
    <n v="6"/>
    <n v="2"/>
    <n v="1"/>
    <n v="1"/>
    <s v="Yes"/>
    <s v="No"/>
    <s v="Yes"/>
    <s v="Yes"/>
    <s v="No"/>
    <s v="Yes"/>
    <m/>
    <s v="1+ Failures"/>
    <n v="1"/>
    <s v="10-20hrs"/>
    <x v="2"/>
  </r>
  <r>
    <n v="1521"/>
    <d v="2024-08-20T00:00:00"/>
    <s v="Basic"/>
    <n v="199"/>
    <n v="17.100000000000001"/>
    <n v="0"/>
    <n v="4"/>
    <n v="11"/>
    <n v="22"/>
    <s v="No"/>
    <s v="No"/>
    <s v="Yes"/>
    <s v="No"/>
    <s v="Yes"/>
    <s v="No"/>
    <m/>
    <s v="1+ Failures"/>
    <n v="0"/>
    <s v="10-20hrs"/>
    <x v="0"/>
  </r>
  <r>
    <n v="1522"/>
    <d v="2024-08-03T00:00:00"/>
    <s v="Basic"/>
    <n v="199"/>
    <n v="21.9"/>
    <n v="7"/>
    <n v="0"/>
    <n v="32"/>
    <n v="2"/>
    <s v="No"/>
    <s v="No"/>
    <s v="No"/>
    <s v="Yes"/>
    <s v="No"/>
    <s v="No"/>
    <m/>
    <s v="0 Failures"/>
    <n v="0"/>
    <s v="20+ hrs"/>
    <x v="1"/>
  </r>
  <r>
    <n v="1523"/>
    <d v="2023-04-07T00:00:00"/>
    <s v="Premium"/>
    <n v="699"/>
    <n v="21"/>
    <n v="8"/>
    <n v="4"/>
    <n v="19"/>
    <n v="10"/>
    <s v="No"/>
    <s v="No"/>
    <s v="Yes"/>
    <s v="Yes"/>
    <s v="No"/>
    <s v="No"/>
    <m/>
    <s v="1+ Failures"/>
    <n v="0"/>
    <s v="20+ hrs"/>
    <x v="1"/>
  </r>
  <r>
    <n v="1524"/>
    <d v="2024-07-12T00:00:00"/>
    <s v="Basic"/>
    <n v="199"/>
    <n v="20.2"/>
    <n v="5"/>
    <n v="3"/>
    <n v="20"/>
    <n v="31"/>
    <s v="Yes"/>
    <s v="No"/>
    <s v="Yes"/>
    <s v="Yes"/>
    <s v="Yes"/>
    <s v="No"/>
    <m/>
    <s v="1+ Failures"/>
    <n v="1"/>
    <s v="20+ hrs"/>
    <x v="1"/>
  </r>
  <r>
    <n v="1525"/>
    <d v="2024-12-28T00:00:00"/>
    <s v="Standard"/>
    <n v="399"/>
    <n v="6.7"/>
    <n v="7"/>
    <n v="0"/>
    <n v="32"/>
    <n v="52"/>
    <s v="Yes"/>
    <s v="No"/>
    <s v="No"/>
    <s v="Yes"/>
    <s v="Yes"/>
    <s v="No"/>
    <m/>
    <s v="0 Failures"/>
    <n v="1"/>
    <s v="5-10 hrs"/>
    <x v="1"/>
  </r>
  <r>
    <n v="1526"/>
    <d v="2024-10-17T00:00:00"/>
    <s v="Standard"/>
    <n v="399"/>
    <n v="19.5"/>
    <n v="7"/>
    <n v="0"/>
    <n v="34"/>
    <n v="17"/>
    <s v="No"/>
    <s v="No"/>
    <s v="No"/>
    <s v="Yes"/>
    <s v="Yes"/>
    <s v="No"/>
    <m/>
    <s v="0 Failures"/>
    <n v="0"/>
    <s v="10-20hrs"/>
    <x v="1"/>
  </r>
  <r>
    <n v="1527"/>
    <d v="2023-02-01T00:00:00"/>
    <s v="Basic"/>
    <n v="199"/>
    <n v="24.5"/>
    <n v="3"/>
    <n v="5"/>
    <n v="10"/>
    <n v="9"/>
    <s v="No"/>
    <s v="No"/>
    <s v="Yes"/>
    <s v="No"/>
    <s v="No"/>
    <s v="No"/>
    <m/>
    <s v="1+ Failures"/>
    <n v="0"/>
    <s v="20+ hrs"/>
    <x v="0"/>
  </r>
  <r>
    <n v="1528"/>
    <d v="2024-10-16T00:00:00"/>
    <s v="Basic"/>
    <n v="199"/>
    <n v="9.3000000000000007"/>
    <n v="1"/>
    <n v="1"/>
    <n v="28"/>
    <n v="58"/>
    <s v="No"/>
    <s v="No"/>
    <s v="Yes"/>
    <s v="No"/>
    <s v="Yes"/>
    <s v="No"/>
    <m/>
    <s v="1+ Failures"/>
    <n v="0"/>
    <s v="5-10 hrs"/>
    <x v="1"/>
  </r>
  <r>
    <n v="1529"/>
    <d v="2023-09-29T00:00:00"/>
    <s v="Basic"/>
    <n v="199"/>
    <n v="22"/>
    <n v="8"/>
    <n v="3"/>
    <n v="18"/>
    <n v="56"/>
    <s v="Yes"/>
    <s v="No"/>
    <s v="Yes"/>
    <s v="Yes"/>
    <s v="Yes"/>
    <s v="No"/>
    <m/>
    <s v="1+ Failures"/>
    <n v="1"/>
    <s v="20+ hrs"/>
    <x v="1"/>
  </r>
  <r>
    <n v="1530"/>
    <d v="2023-10-10T00:00:00"/>
    <s v="Premium"/>
    <n v="699"/>
    <n v="22.3"/>
    <n v="6"/>
    <n v="4"/>
    <n v="23"/>
    <n v="26"/>
    <s v="No"/>
    <s v="No"/>
    <s v="Yes"/>
    <s v="Yes"/>
    <s v="Yes"/>
    <s v="No"/>
    <m/>
    <s v="1+ Failures"/>
    <n v="0"/>
    <s v="20+ hrs"/>
    <x v="1"/>
  </r>
  <r>
    <n v="1531"/>
    <d v="2023-05-06T00:00:00"/>
    <s v="Standard"/>
    <n v="399"/>
    <n v="1.5"/>
    <n v="8"/>
    <n v="5"/>
    <n v="13"/>
    <n v="21"/>
    <s v="Yes"/>
    <s v="Yes"/>
    <s v="Yes"/>
    <s v="Yes"/>
    <s v="Yes"/>
    <s v="No"/>
    <m/>
    <s v="1+ Failures"/>
    <n v="1"/>
    <s v="0-5 hrs"/>
    <x v="1"/>
  </r>
  <r>
    <n v="1532"/>
    <d v="2024-05-25T00:00:00"/>
    <s v="Standard"/>
    <n v="399"/>
    <n v="14.4"/>
    <n v="5"/>
    <n v="2"/>
    <n v="30"/>
    <n v="7"/>
    <s v="No"/>
    <s v="No"/>
    <s v="Yes"/>
    <s v="Yes"/>
    <s v="No"/>
    <s v="No"/>
    <m/>
    <s v="1+ Failures"/>
    <n v="0"/>
    <s v="10-20hrs"/>
    <x v="1"/>
  </r>
  <r>
    <n v="1533"/>
    <d v="2024-11-11T00:00:00"/>
    <s v="Premium"/>
    <n v="699"/>
    <n v="11.9"/>
    <n v="2"/>
    <n v="4"/>
    <n v="10"/>
    <n v="18"/>
    <s v="No"/>
    <s v="No"/>
    <s v="Yes"/>
    <s v="No"/>
    <s v="Yes"/>
    <s v="No"/>
    <m/>
    <s v="1+ Failures"/>
    <n v="0"/>
    <s v="10-20hrs"/>
    <x v="0"/>
  </r>
  <r>
    <n v="1534"/>
    <d v="2023-08-11T00:00:00"/>
    <s v="Basic"/>
    <n v="199"/>
    <n v="12.4"/>
    <n v="1"/>
    <n v="2"/>
    <n v="20"/>
    <n v="0"/>
    <s v="No"/>
    <s v="No"/>
    <s v="Yes"/>
    <s v="No"/>
    <s v="No"/>
    <s v="No"/>
    <m/>
    <s v="1+ Failures"/>
    <n v="0"/>
    <s v="10-20hrs"/>
    <x v="1"/>
  </r>
  <r>
    <n v="1535"/>
    <d v="2023-01-01T00:00:00"/>
    <s v="Standard"/>
    <n v="399"/>
    <n v="1.8"/>
    <n v="4"/>
    <n v="0"/>
    <n v="8"/>
    <n v="27"/>
    <s v="Yes"/>
    <s v="Yes"/>
    <s v="No"/>
    <s v="No"/>
    <s v="Yes"/>
    <s v="No"/>
    <m/>
    <s v="0 Failures"/>
    <n v="1"/>
    <s v="0-5 hrs"/>
    <x v="0"/>
  </r>
  <r>
    <n v="1536"/>
    <d v="2024-07-28T00:00:00"/>
    <s v="Basic"/>
    <n v="199"/>
    <n v="3.9"/>
    <n v="4"/>
    <n v="4"/>
    <n v="17"/>
    <n v="42"/>
    <s v="Yes"/>
    <s v="Yes"/>
    <s v="Yes"/>
    <s v="No"/>
    <s v="Yes"/>
    <s v="No"/>
    <m/>
    <s v="1+ Failures"/>
    <n v="1"/>
    <s v="0-5 hrs"/>
    <x v="1"/>
  </r>
  <r>
    <n v="1537"/>
    <d v="2023-03-24T00:00:00"/>
    <s v="Basic"/>
    <n v="199"/>
    <n v="18"/>
    <n v="2"/>
    <n v="5"/>
    <n v="6"/>
    <n v="12"/>
    <s v="No"/>
    <s v="No"/>
    <s v="Yes"/>
    <s v="No"/>
    <s v="No"/>
    <s v="No"/>
    <m/>
    <s v="1+ Failures"/>
    <n v="0"/>
    <s v="10-20hrs"/>
    <x v="3"/>
  </r>
  <r>
    <n v="1538"/>
    <d v="2024-01-31T00:00:00"/>
    <s v="Standard"/>
    <n v="399"/>
    <n v="1.3"/>
    <n v="5"/>
    <n v="1"/>
    <n v="15"/>
    <n v="51"/>
    <s v="Yes"/>
    <s v="Yes"/>
    <s v="Yes"/>
    <s v="Yes"/>
    <s v="Yes"/>
    <s v="No"/>
    <m/>
    <s v="1+ Failures"/>
    <n v="1"/>
    <s v="0-5 hrs"/>
    <x v="1"/>
  </r>
  <r>
    <n v="1539"/>
    <d v="2023-11-15T00:00:00"/>
    <s v="Standard"/>
    <n v="399"/>
    <n v="24.2"/>
    <n v="1"/>
    <n v="2"/>
    <n v="26"/>
    <n v="58"/>
    <s v="Yes"/>
    <s v="No"/>
    <s v="Yes"/>
    <s v="No"/>
    <s v="Yes"/>
    <s v="No"/>
    <m/>
    <s v="1+ Failures"/>
    <n v="1"/>
    <s v="20+ hrs"/>
    <x v="1"/>
  </r>
  <r>
    <n v="1540"/>
    <d v="2023-07-24T00:00:00"/>
    <s v="Basic"/>
    <n v="199"/>
    <n v="17.100000000000001"/>
    <n v="5"/>
    <n v="4"/>
    <n v="28"/>
    <n v="8"/>
    <s v="No"/>
    <s v="No"/>
    <s v="Yes"/>
    <s v="Yes"/>
    <s v="No"/>
    <s v="No"/>
    <m/>
    <s v="1+ Failures"/>
    <n v="0"/>
    <s v="10-20hrs"/>
    <x v="1"/>
  </r>
  <r>
    <n v="1541"/>
    <d v="2024-08-03T00:00:00"/>
    <s v="Standard"/>
    <n v="399"/>
    <n v="10.7"/>
    <n v="3"/>
    <n v="2"/>
    <n v="9"/>
    <n v="19"/>
    <s v="Yes"/>
    <s v="No"/>
    <s v="Yes"/>
    <s v="No"/>
    <s v="Yes"/>
    <s v="No"/>
    <m/>
    <s v="1+ Failures"/>
    <n v="1"/>
    <s v="10-20hrs"/>
    <x v="0"/>
  </r>
  <r>
    <n v="1542"/>
    <d v="2024-03-28T00:00:00"/>
    <s v="Premium"/>
    <n v="699"/>
    <n v="13.9"/>
    <n v="6"/>
    <n v="3"/>
    <n v="30"/>
    <n v="6"/>
    <s v="Yes"/>
    <s v="No"/>
    <s v="Yes"/>
    <s v="Yes"/>
    <s v="No"/>
    <s v="No"/>
    <m/>
    <s v="1+ Failures"/>
    <n v="1"/>
    <s v="10-20hrs"/>
    <x v="1"/>
  </r>
  <r>
    <n v="1543"/>
    <d v="2024-03-06T00:00:00"/>
    <s v="Premium"/>
    <n v="699"/>
    <n v="12.8"/>
    <n v="5"/>
    <n v="3"/>
    <n v="21"/>
    <n v="22"/>
    <s v="Yes"/>
    <s v="No"/>
    <s v="Yes"/>
    <s v="Yes"/>
    <s v="Yes"/>
    <s v="No"/>
    <m/>
    <s v="1+ Failures"/>
    <n v="1"/>
    <s v="10-20hrs"/>
    <x v="1"/>
  </r>
  <r>
    <n v="1544"/>
    <d v="2023-05-24T00:00:00"/>
    <s v="Standard"/>
    <n v="399"/>
    <n v="1.2"/>
    <n v="8"/>
    <n v="0"/>
    <n v="30"/>
    <n v="49"/>
    <s v="Yes"/>
    <s v="Yes"/>
    <s v="No"/>
    <s v="Yes"/>
    <s v="Yes"/>
    <s v="No"/>
    <m/>
    <s v="0 Failures"/>
    <n v="1"/>
    <s v="0-5 hrs"/>
    <x v="1"/>
  </r>
  <r>
    <n v="1545"/>
    <d v="2024-08-02T00:00:00"/>
    <s v="Premium"/>
    <n v="699"/>
    <n v="19.8"/>
    <n v="8"/>
    <n v="2"/>
    <n v="20"/>
    <n v="8"/>
    <s v="No"/>
    <s v="No"/>
    <s v="Yes"/>
    <s v="Yes"/>
    <s v="No"/>
    <s v="No"/>
    <m/>
    <s v="1+ Failures"/>
    <n v="0"/>
    <s v="10-20hrs"/>
    <x v="1"/>
  </r>
  <r>
    <n v="1546"/>
    <d v="2024-04-18T00:00:00"/>
    <s v="Standard"/>
    <n v="399"/>
    <n v="19"/>
    <n v="6"/>
    <n v="1"/>
    <n v="4"/>
    <n v="25"/>
    <s v="No"/>
    <s v="No"/>
    <s v="Yes"/>
    <s v="Yes"/>
    <s v="Yes"/>
    <s v="Yes"/>
    <m/>
    <s v="1+ Failures"/>
    <n v="0"/>
    <s v="10-20hrs"/>
    <x v="3"/>
  </r>
  <r>
    <n v="1547"/>
    <d v="2024-10-27T00:00:00"/>
    <s v="Premium"/>
    <n v="699"/>
    <n v="21.1"/>
    <n v="1"/>
    <n v="0"/>
    <n v="30"/>
    <n v="17"/>
    <s v="No"/>
    <s v="No"/>
    <s v="No"/>
    <s v="No"/>
    <s v="Yes"/>
    <s v="No"/>
    <m/>
    <s v="0 Failures"/>
    <n v="0"/>
    <s v="20+ hrs"/>
    <x v="1"/>
  </r>
  <r>
    <n v="1548"/>
    <d v="2023-03-04T00:00:00"/>
    <s v="Basic"/>
    <n v="199"/>
    <n v="15.1"/>
    <n v="4"/>
    <n v="4"/>
    <n v="22"/>
    <n v="30"/>
    <s v="Yes"/>
    <s v="No"/>
    <s v="Yes"/>
    <s v="No"/>
    <s v="Yes"/>
    <s v="No"/>
    <m/>
    <s v="1+ Failures"/>
    <n v="1"/>
    <s v="10-20hrs"/>
    <x v="1"/>
  </r>
  <r>
    <n v="1549"/>
    <d v="2024-07-29T00:00:00"/>
    <s v="Basic"/>
    <n v="199"/>
    <n v="18.600000000000001"/>
    <n v="0"/>
    <n v="5"/>
    <n v="33"/>
    <n v="13"/>
    <s v="No"/>
    <s v="No"/>
    <s v="Yes"/>
    <s v="No"/>
    <s v="No"/>
    <s v="No"/>
    <m/>
    <s v="1+ Failures"/>
    <n v="0"/>
    <s v="10-20hrs"/>
    <x v="1"/>
  </r>
  <r>
    <n v="1550"/>
    <d v="2023-01-07T00:00:00"/>
    <s v="Premium"/>
    <n v="699"/>
    <n v="3.8"/>
    <n v="2"/>
    <n v="2"/>
    <n v="32"/>
    <n v="40"/>
    <s v="Yes"/>
    <s v="Yes"/>
    <s v="Yes"/>
    <s v="No"/>
    <s v="Yes"/>
    <s v="No"/>
    <m/>
    <s v="1+ Failures"/>
    <n v="1"/>
    <s v="0-5 hrs"/>
    <x v="1"/>
  </r>
  <r>
    <n v="1551"/>
    <d v="2024-06-16T00:00:00"/>
    <s v="Standard"/>
    <n v="399"/>
    <n v="3.3"/>
    <n v="0"/>
    <n v="1"/>
    <n v="13"/>
    <n v="38"/>
    <s v="No"/>
    <s v="Yes"/>
    <s v="Yes"/>
    <s v="No"/>
    <s v="Yes"/>
    <s v="No"/>
    <m/>
    <s v="1+ Failures"/>
    <n v="0"/>
    <s v="0-5 hrs"/>
    <x v="1"/>
  </r>
  <r>
    <n v="1552"/>
    <d v="2024-02-05T00:00:00"/>
    <s v="Basic"/>
    <n v="199"/>
    <n v="5.5"/>
    <n v="7"/>
    <n v="0"/>
    <n v="16"/>
    <n v="53"/>
    <s v="No"/>
    <s v="No"/>
    <s v="No"/>
    <s v="Yes"/>
    <s v="Yes"/>
    <s v="No"/>
    <m/>
    <s v="0 Failures"/>
    <n v="0"/>
    <s v="5-10 hrs"/>
    <x v="1"/>
  </r>
  <r>
    <n v="1553"/>
    <d v="2024-07-13T00:00:00"/>
    <s v="Basic"/>
    <n v="199"/>
    <n v="7.8"/>
    <n v="7"/>
    <n v="1"/>
    <n v="8"/>
    <n v="52"/>
    <s v="Yes"/>
    <s v="No"/>
    <s v="Yes"/>
    <s v="Yes"/>
    <s v="Yes"/>
    <s v="No"/>
    <m/>
    <s v="1+ Failures"/>
    <n v="1"/>
    <s v="5-10 hrs"/>
    <x v="0"/>
  </r>
  <r>
    <n v="1554"/>
    <d v="2023-07-09T00:00:00"/>
    <s v="Standard"/>
    <n v="399"/>
    <n v="21.6"/>
    <n v="1"/>
    <n v="3"/>
    <n v="29"/>
    <n v="9"/>
    <s v="No"/>
    <s v="No"/>
    <s v="Yes"/>
    <s v="No"/>
    <s v="No"/>
    <s v="No"/>
    <m/>
    <s v="1+ Failures"/>
    <n v="0"/>
    <s v="20+ hrs"/>
    <x v="1"/>
  </r>
  <r>
    <n v="1555"/>
    <d v="2023-10-24T00:00:00"/>
    <s v="Basic"/>
    <n v="199"/>
    <n v="4.7"/>
    <n v="8"/>
    <n v="1"/>
    <n v="16"/>
    <n v="30"/>
    <s v="Yes"/>
    <s v="Yes"/>
    <s v="Yes"/>
    <s v="Yes"/>
    <s v="Yes"/>
    <s v="No"/>
    <m/>
    <s v="1+ Failures"/>
    <n v="1"/>
    <s v="0-5 hrs"/>
    <x v="1"/>
  </r>
  <r>
    <n v="1556"/>
    <d v="2024-01-31T00:00:00"/>
    <s v="Premium"/>
    <n v="699"/>
    <n v="24"/>
    <n v="7"/>
    <n v="2"/>
    <n v="7"/>
    <n v="42"/>
    <s v="Yes"/>
    <s v="No"/>
    <s v="Yes"/>
    <s v="Yes"/>
    <s v="Yes"/>
    <s v="No"/>
    <m/>
    <s v="1+ Failures"/>
    <n v="1"/>
    <s v="20+ hrs"/>
    <x v="0"/>
  </r>
  <r>
    <n v="1557"/>
    <d v="2023-05-04T00:00:00"/>
    <s v="Premium"/>
    <n v="699"/>
    <n v="11.9"/>
    <n v="6"/>
    <n v="1"/>
    <n v="7"/>
    <n v="1"/>
    <s v="No"/>
    <s v="No"/>
    <s v="Yes"/>
    <s v="Yes"/>
    <s v="No"/>
    <s v="No"/>
    <m/>
    <s v="1+ Failures"/>
    <n v="0"/>
    <s v="10-20hrs"/>
    <x v="0"/>
  </r>
  <r>
    <n v="1558"/>
    <d v="2024-11-03T00:00:00"/>
    <s v="Premium"/>
    <n v="699"/>
    <n v="0.8"/>
    <n v="4"/>
    <n v="0"/>
    <n v="25"/>
    <n v="41"/>
    <s v="Yes"/>
    <s v="Yes"/>
    <s v="No"/>
    <s v="No"/>
    <s v="Yes"/>
    <s v="No"/>
    <m/>
    <s v="0 Failures"/>
    <n v="1"/>
    <s v="0-5 hrs"/>
    <x v="1"/>
  </r>
  <r>
    <n v="1559"/>
    <d v="2024-04-14T00:00:00"/>
    <s v="Premium"/>
    <n v="699"/>
    <n v="1.5"/>
    <n v="5"/>
    <n v="1"/>
    <n v="29"/>
    <n v="29"/>
    <s v="No"/>
    <s v="Yes"/>
    <s v="Yes"/>
    <s v="Yes"/>
    <s v="Yes"/>
    <s v="No"/>
    <m/>
    <s v="1+ Failures"/>
    <n v="0"/>
    <s v="0-5 hrs"/>
    <x v="1"/>
  </r>
  <r>
    <n v="1560"/>
    <d v="2023-08-04T00:00:00"/>
    <s v="Standard"/>
    <n v="399"/>
    <n v="24.6"/>
    <n v="5"/>
    <n v="4"/>
    <n v="1"/>
    <n v="54"/>
    <s v="No"/>
    <s v="No"/>
    <s v="Yes"/>
    <s v="Yes"/>
    <s v="Yes"/>
    <s v="Yes"/>
    <m/>
    <s v="1+ Failures"/>
    <n v="0"/>
    <s v="20+ hrs"/>
    <x v="2"/>
  </r>
  <r>
    <n v="1561"/>
    <d v="2024-11-02T00:00:00"/>
    <s v="Standard"/>
    <n v="399"/>
    <n v="10.1"/>
    <n v="1"/>
    <n v="1"/>
    <n v="34"/>
    <n v="41"/>
    <s v="Yes"/>
    <s v="No"/>
    <s v="Yes"/>
    <s v="No"/>
    <s v="Yes"/>
    <s v="No"/>
    <m/>
    <s v="1+ Failures"/>
    <n v="1"/>
    <s v="10-20hrs"/>
    <x v="1"/>
  </r>
  <r>
    <n v="1562"/>
    <d v="2023-11-07T00:00:00"/>
    <s v="Premium"/>
    <n v="699"/>
    <n v="11.8"/>
    <n v="2"/>
    <n v="2"/>
    <n v="22"/>
    <n v="50"/>
    <s v="No"/>
    <s v="No"/>
    <s v="Yes"/>
    <s v="No"/>
    <s v="Yes"/>
    <s v="No"/>
    <m/>
    <s v="1+ Failures"/>
    <n v="0"/>
    <s v="10-20hrs"/>
    <x v="1"/>
  </r>
  <r>
    <n v="1563"/>
    <d v="2023-07-04T00:00:00"/>
    <s v="Standard"/>
    <n v="399"/>
    <n v="22.9"/>
    <n v="7"/>
    <n v="3"/>
    <n v="5"/>
    <n v="30"/>
    <s v="Yes"/>
    <s v="No"/>
    <s v="Yes"/>
    <s v="Yes"/>
    <s v="Yes"/>
    <s v="Yes"/>
    <m/>
    <s v="1+ Failures"/>
    <n v="1"/>
    <s v="20+ hrs"/>
    <x v="3"/>
  </r>
  <r>
    <n v="1564"/>
    <d v="2024-08-25T00:00:00"/>
    <s v="Premium"/>
    <n v="699"/>
    <n v="19.5"/>
    <n v="8"/>
    <n v="2"/>
    <n v="33"/>
    <n v="8"/>
    <s v="No"/>
    <s v="No"/>
    <s v="Yes"/>
    <s v="Yes"/>
    <s v="No"/>
    <s v="No"/>
    <m/>
    <s v="1+ Failures"/>
    <n v="0"/>
    <s v="10-20hrs"/>
    <x v="1"/>
  </r>
  <r>
    <n v="1565"/>
    <d v="2023-06-12T00:00:00"/>
    <s v="Premium"/>
    <n v="699"/>
    <n v="14.8"/>
    <n v="6"/>
    <n v="0"/>
    <n v="23"/>
    <n v="2"/>
    <s v="Yes"/>
    <s v="No"/>
    <s v="No"/>
    <s v="Yes"/>
    <s v="No"/>
    <s v="No"/>
    <m/>
    <s v="0 Failures"/>
    <n v="1"/>
    <s v="10-20hrs"/>
    <x v="1"/>
  </r>
  <r>
    <n v="1566"/>
    <d v="2023-08-26T00:00:00"/>
    <s v="Basic"/>
    <n v="199"/>
    <n v="16.8"/>
    <n v="7"/>
    <n v="5"/>
    <n v="7"/>
    <n v="30"/>
    <s v="Yes"/>
    <s v="No"/>
    <s v="Yes"/>
    <s v="Yes"/>
    <s v="Yes"/>
    <s v="No"/>
    <m/>
    <s v="1+ Failures"/>
    <n v="1"/>
    <s v="10-20hrs"/>
    <x v="0"/>
  </r>
  <r>
    <n v="1567"/>
    <d v="2024-03-06T00:00:00"/>
    <s v="Premium"/>
    <n v="699"/>
    <n v="3.1"/>
    <n v="2"/>
    <n v="5"/>
    <n v="16"/>
    <n v="57"/>
    <s v="Yes"/>
    <s v="Yes"/>
    <s v="Yes"/>
    <s v="No"/>
    <s v="Yes"/>
    <s v="No"/>
    <m/>
    <s v="1+ Failures"/>
    <n v="1"/>
    <s v="0-5 hrs"/>
    <x v="1"/>
  </r>
  <r>
    <n v="1568"/>
    <d v="2024-03-28T00:00:00"/>
    <s v="Basic"/>
    <n v="199"/>
    <n v="15.5"/>
    <n v="1"/>
    <n v="0"/>
    <n v="4"/>
    <n v="54"/>
    <s v="No"/>
    <s v="No"/>
    <s v="No"/>
    <s v="No"/>
    <s v="Yes"/>
    <s v="Yes"/>
    <m/>
    <s v="0 Failures"/>
    <n v="0"/>
    <s v="10-20hrs"/>
    <x v="3"/>
  </r>
  <r>
    <n v="1569"/>
    <d v="2023-05-17T00:00:00"/>
    <s v="Standard"/>
    <n v="399"/>
    <n v="23.1"/>
    <n v="5"/>
    <n v="0"/>
    <n v="2"/>
    <n v="44"/>
    <s v="Yes"/>
    <s v="No"/>
    <s v="No"/>
    <s v="Yes"/>
    <s v="Yes"/>
    <s v="Yes"/>
    <m/>
    <s v="0 Failures"/>
    <n v="1"/>
    <s v="20+ hrs"/>
    <x v="2"/>
  </r>
  <r>
    <n v="1570"/>
    <d v="2023-08-19T00:00:00"/>
    <s v="Premium"/>
    <n v="699"/>
    <n v="5.4"/>
    <n v="4"/>
    <n v="3"/>
    <n v="36"/>
    <n v="28"/>
    <s v="Yes"/>
    <s v="No"/>
    <s v="Yes"/>
    <s v="No"/>
    <s v="Yes"/>
    <s v="No"/>
    <m/>
    <s v="1+ Failures"/>
    <n v="1"/>
    <s v="5-10 hrs"/>
    <x v="1"/>
  </r>
  <r>
    <n v="1571"/>
    <d v="2024-10-06T00:00:00"/>
    <s v="Basic"/>
    <n v="199"/>
    <n v="11.1"/>
    <n v="8"/>
    <n v="1"/>
    <n v="11"/>
    <n v="5"/>
    <s v="No"/>
    <s v="No"/>
    <s v="Yes"/>
    <s v="Yes"/>
    <s v="No"/>
    <s v="No"/>
    <m/>
    <s v="1+ Failures"/>
    <n v="0"/>
    <s v="10-20hrs"/>
    <x v="0"/>
  </r>
  <r>
    <n v="1572"/>
    <d v="2024-08-04T00:00:00"/>
    <s v="Premium"/>
    <n v="699"/>
    <n v="5.5"/>
    <n v="2"/>
    <n v="0"/>
    <n v="7"/>
    <n v="23"/>
    <s v="No"/>
    <s v="No"/>
    <s v="No"/>
    <s v="No"/>
    <s v="Yes"/>
    <s v="No"/>
    <m/>
    <s v="0 Failures"/>
    <n v="0"/>
    <s v="5-10 hrs"/>
    <x v="0"/>
  </r>
  <r>
    <n v="1573"/>
    <d v="2024-08-07T00:00:00"/>
    <s v="Premium"/>
    <n v="699"/>
    <n v="8.8000000000000007"/>
    <n v="8"/>
    <n v="3"/>
    <n v="5"/>
    <n v="12"/>
    <s v="No"/>
    <s v="No"/>
    <s v="Yes"/>
    <s v="Yes"/>
    <s v="No"/>
    <s v="Yes"/>
    <m/>
    <s v="1+ Failures"/>
    <n v="0"/>
    <s v="5-10 hrs"/>
    <x v="3"/>
  </r>
  <r>
    <n v="1574"/>
    <d v="2024-03-13T00:00:00"/>
    <s v="Standard"/>
    <n v="399"/>
    <n v="9.1"/>
    <n v="8"/>
    <n v="1"/>
    <n v="33"/>
    <n v="51"/>
    <s v="Yes"/>
    <s v="No"/>
    <s v="Yes"/>
    <s v="Yes"/>
    <s v="Yes"/>
    <s v="No"/>
    <m/>
    <s v="1+ Failures"/>
    <n v="1"/>
    <s v="5-10 hrs"/>
    <x v="1"/>
  </r>
  <r>
    <n v="1575"/>
    <d v="2023-04-14T00:00:00"/>
    <s v="Premium"/>
    <n v="699"/>
    <n v="21.9"/>
    <n v="1"/>
    <n v="1"/>
    <n v="25"/>
    <n v="50"/>
    <s v="No"/>
    <s v="No"/>
    <s v="Yes"/>
    <s v="No"/>
    <s v="Yes"/>
    <s v="No"/>
    <m/>
    <s v="1+ Failures"/>
    <n v="0"/>
    <s v="20+ hrs"/>
    <x v="1"/>
  </r>
  <r>
    <n v="1576"/>
    <d v="2023-10-24T00:00:00"/>
    <s v="Basic"/>
    <n v="199"/>
    <n v="6.1"/>
    <n v="8"/>
    <n v="2"/>
    <n v="32"/>
    <n v="1"/>
    <s v="Yes"/>
    <s v="No"/>
    <s v="Yes"/>
    <s v="Yes"/>
    <s v="No"/>
    <s v="No"/>
    <m/>
    <s v="1+ Failures"/>
    <n v="1"/>
    <s v="5-10 hrs"/>
    <x v="1"/>
  </r>
  <r>
    <n v="1577"/>
    <d v="2024-08-12T00:00:00"/>
    <s v="Standard"/>
    <n v="399"/>
    <n v="17.7"/>
    <n v="1"/>
    <n v="1"/>
    <n v="25"/>
    <n v="18"/>
    <s v="Yes"/>
    <s v="No"/>
    <s v="Yes"/>
    <s v="No"/>
    <s v="Yes"/>
    <s v="No"/>
    <m/>
    <s v="1+ Failures"/>
    <n v="1"/>
    <s v="10-20hrs"/>
    <x v="1"/>
  </r>
  <r>
    <n v="1578"/>
    <d v="2024-07-13T00:00:00"/>
    <s v="Basic"/>
    <n v="199"/>
    <n v="23.3"/>
    <n v="8"/>
    <n v="2"/>
    <n v="34"/>
    <n v="25"/>
    <s v="Yes"/>
    <s v="No"/>
    <s v="Yes"/>
    <s v="Yes"/>
    <s v="Yes"/>
    <s v="No"/>
    <m/>
    <s v="1+ Failures"/>
    <n v="1"/>
    <s v="20+ hrs"/>
    <x v="1"/>
  </r>
  <r>
    <n v="1579"/>
    <d v="2024-03-07T00:00:00"/>
    <s v="Premium"/>
    <n v="699"/>
    <n v="14.8"/>
    <n v="4"/>
    <n v="5"/>
    <n v="8"/>
    <n v="1"/>
    <s v="Yes"/>
    <s v="No"/>
    <s v="Yes"/>
    <s v="No"/>
    <s v="No"/>
    <s v="No"/>
    <m/>
    <s v="1+ Failures"/>
    <n v="1"/>
    <s v="10-20hrs"/>
    <x v="0"/>
  </r>
  <r>
    <n v="1580"/>
    <d v="2023-12-04T00:00:00"/>
    <s v="Standard"/>
    <n v="399"/>
    <n v="8.6999999999999993"/>
    <n v="0"/>
    <n v="1"/>
    <n v="13"/>
    <n v="13"/>
    <s v="No"/>
    <s v="No"/>
    <s v="Yes"/>
    <s v="No"/>
    <s v="No"/>
    <s v="No"/>
    <m/>
    <s v="1+ Failures"/>
    <n v="0"/>
    <s v="5-10 hrs"/>
    <x v="1"/>
  </r>
  <r>
    <n v="1581"/>
    <d v="2023-02-06T00:00:00"/>
    <s v="Premium"/>
    <n v="699"/>
    <n v="6.3"/>
    <n v="1"/>
    <n v="4"/>
    <n v="4"/>
    <n v="57"/>
    <s v="No"/>
    <s v="No"/>
    <s v="Yes"/>
    <s v="No"/>
    <s v="Yes"/>
    <s v="Yes"/>
    <m/>
    <s v="1+ Failures"/>
    <n v="0"/>
    <s v="5-10 hrs"/>
    <x v="3"/>
  </r>
  <r>
    <n v="1582"/>
    <d v="2023-10-05T00:00:00"/>
    <s v="Standard"/>
    <n v="399"/>
    <n v="23.8"/>
    <n v="1"/>
    <n v="4"/>
    <n v="5"/>
    <n v="30"/>
    <s v="No"/>
    <s v="No"/>
    <s v="Yes"/>
    <s v="No"/>
    <s v="Yes"/>
    <s v="Yes"/>
    <m/>
    <s v="1+ Failures"/>
    <n v="0"/>
    <s v="20+ hrs"/>
    <x v="3"/>
  </r>
  <r>
    <n v="1583"/>
    <d v="2024-03-17T00:00:00"/>
    <s v="Premium"/>
    <n v="699"/>
    <n v="3"/>
    <n v="7"/>
    <n v="4"/>
    <n v="3"/>
    <n v="14"/>
    <s v="Yes"/>
    <s v="Yes"/>
    <s v="Yes"/>
    <s v="Yes"/>
    <s v="No"/>
    <s v="Yes"/>
    <m/>
    <s v="1+ Failures"/>
    <n v="1"/>
    <s v="0-5 hrs"/>
    <x v="2"/>
  </r>
  <r>
    <n v="1584"/>
    <d v="2023-07-20T00:00:00"/>
    <s v="Standard"/>
    <n v="399"/>
    <n v="19.600000000000001"/>
    <n v="3"/>
    <n v="0"/>
    <n v="20"/>
    <n v="59"/>
    <s v="Yes"/>
    <s v="No"/>
    <s v="No"/>
    <s v="No"/>
    <s v="Yes"/>
    <s v="No"/>
    <m/>
    <s v="0 Failures"/>
    <n v="1"/>
    <s v="10-20hrs"/>
    <x v="1"/>
  </r>
  <r>
    <n v="1585"/>
    <d v="2024-01-22T00:00:00"/>
    <s v="Premium"/>
    <n v="699"/>
    <n v="17.2"/>
    <n v="0"/>
    <n v="4"/>
    <n v="25"/>
    <n v="30"/>
    <s v="Yes"/>
    <s v="No"/>
    <s v="Yes"/>
    <s v="No"/>
    <s v="Yes"/>
    <s v="No"/>
    <m/>
    <s v="1+ Failures"/>
    <n v="1"/>
    <s v="10-20hrs"/>
    <x v="1"/>
  </r>
  <r>
    <n v="1586"/>
    <d v="2023-05-01T00:00:00"/>
    <s v="Premium"/>
    <n v="699"/>
    <n v="11"/>
    <n v="6"/>
    <n v="4"/>
    <n v="9"/>
    <n v="8"/>
    <s v="Yes"/>
    <s v="No"/>
    <s v="Yes"/>
    <s v="Yes"/>
    <s v="No"/>
    <s v="No"/>
    <m/>
    <s v="1+ Failures"/>
    <n v="1"/>
    <s v="10-20hrs"/>
    <x v="0"/>
  </r>
  <r>
    <n v="1587"/>
    <d v="2023-08-26T00:00:00"/>
    <s v="Premium"/>
    <n v="699"/>
    <n v="9.1"/>
    <n v="5"/>
    <n v="3"/>
    <n v="24"/>
    <n v="58"/>
    <s v="Yes"/>
    <s v="No"/>
    <s v="Yes"/>
    <s v="Yes"/>
    <s v="Yes"/>
    <s v="No"/>
    <m/>
    <s v="1+ Failures"/>
    <n v="1"/>
    <s v="5-10 hrs"/>
    <x v="1"/>
  </r>
  <r>
    <n v="1588"/>
    <d v="2023-01-16T00:00:00"/>
    <s v="Basic"/>
    <n v="199"/>
    <n v="6.1"/>
    <n v="8"/>
    <n v="4"/>
    <n v="1"/>
    <n v="2"/>
    <s v="No"/>
    <s v="No"/>
    <s v="Yes"/>
    <s v="Yes"/>
    <s v="No"/>
    <s v="Yes"/>
    <m/>
    <s v="1+ Failures"/>
    <n v="0"/>
    <s v="5-10 hrs"/>
    <x v="2"/>
  </r>
  <r>
    <n v="1589"/>
    <d v="2023-10-17T00:00:00"/>
    <s v="Premium"/>
    <n v="699"/>
    <n v="20.399999999999999"/>
    <n v="1"/>
    <n v="0"/>
    <n v="16"/>
    <n v="8"/>
    <s v="No"/>
    <s v="No"/>
    <s v="No"/>
    <s v="No"/>
    <s v="No"/>
    <s v="No"/>
    <m/>
    <s v="0 Failures"/>
    <n v="0"/>
    <s v="20+ hrs"/>
    <x v="1"/>
  </r>
  <r>
    <n v="1590"/>
    <d v="2024-05-05T00:00:00"/>
    <s v="Basic"/>
    <n v="199"/>
    <n v="9.1"/>
    <n v="3"/>
    <n v="2"/>
    <n v="21"/>
    <n v="8"/>
    <s v="No"/>
    <s v="No"/>
    <s v="Yes"/>
    <s v="No"/>
    <s v="No"/>
    <s v="No"/>
    <m/>
    <s v="1+ Failures"/>
    <n v="0"/>
    <s v="5-10 hrs"/>
    <x v="1"/>
  </r>
  <r>
    <n v="1591"/>
    <d v="2024-05-21T00:00:00"/>
    <s v="Premium"/>
    <n v="699"/>
    <n v="16.600000000000001"/>
    <n v="1"/>
    <n v="2"/>
    <n v="8"/>
    <n v="60"/>
    <s v="Yes"/>
    <s v="No"/>
    <s v="Yes"/>
    <s v="No"/>
    <s v="Yes"/>
    <s v="No"/>
    <m/>
    <s v="1+ Failures"/>
    <n v="1"/>
    <s v="10-20hrs"/>
    <x v="0"/>
  </r>
  <r>
    <n v="1592"/>
    <d v="2024-01-11T00:00:00"/>
    <s v="Premium"/>
    <n v="699"/>
    <n v="22.5"/>
    <n v="3"/>
    <n v="3"/>
    <n v="23"/>
    <n v="45"/>
    <s v="Yes"/>
    <s v="No"/>
    <s v="Yes"/>
    <s v="No"/>
    <s v="Yes"/>
    <s v="No"/>
    <m/>
    <s v="1+ Failures"/>
    <n v="1"/>
    <s v="20+ hrs"/>
    <x v="1"/>
  </r>
  <r>
    <n v="1593"/>
    <d v="2024-12-15T00:00:00"/>
    <s v="Premium"/>
    <n v="699"/>
    <n v="21.8"/>
    <n v="3"/>
    <n v="4"/>
    <n v="19"/>
    <n v="57"/>
    <s v="Yes"/>
    <s v="No"/>
    <s v="Yes"/>
    <s v="No"/>
    <s v="Yes"/>
    <s v="No"/>
    <m/>
    <s v="1+ Failures"/>
    <n v="1"/>
    <s v="20+ hrs"/>
    <x v="1"/>
  </r>
  <r>
    <n v="1594"/>
    <d v="2024-05-12T00:00:00"/>
    <s v="Premium"/>
    <n v="699"/>
    <n v="3.1"/>
    <n v="5"/>
    <n v="3"/>
    <n v="33"/>
    <n v="45"/>
    <s v="Yes"/>
    <s v="Yes"/>
    <s v="Yes"/>
    <s v="Yes"/>
    <s v="Yes"/>
    <s v="No"/>
    <m/>
    <s v="1+ Failures"/>
    <n v="1"/>
    <s v="0-5 hrs"/>
    <x v="1"/>
  </r>
  <r>
    <n v="1595"/>
    <d v="2024-07-20T00:00:00"/>
    <s v="Standard"/>
    <n v="399"/>
    <n v="5.5"/>
    <n v="2"/>
    <n v="4"/>
    <n v="6"/>
    <n v="14"/>
    <s v="Yes"/>
    <s v="No"/>
    <s v="Yes"/>
    <s v="No"/>
    <s v="No"/>
    <s v="No"/>
    <m/>
    <s v="1+ Failures"/>
    <n v="1"/>
    <s v="5-10 hrs"/>
    <x v="3"/>
  </r>
  <r>
    <n v="1596"/>
    <d v="2024-10-27T00:00:00"/>
    <s v="Basic"/>
    <n v="199"/>
    <n v="9.6"/>
    <n v="2"/>
    <n v="0"/>
    <n v="8"/>
    <n v="15"/>
    <s v="No"/>
    <s v="No"/>
    <s v="No"/>
    <s v="No"/>
    <s v="Yes"/>
    <s v="No"/>
    <m/>
    <s v="0 Failures"/>
    <n v="0"/>
    <s v="5-10 hrs"/>
    <x v="0"/>
  </r>
  <r>
    <n v="1597"/>
    <d v="2023-11-04T00:00:00"/>
    <s v="Standard"/>
    <n v="399"/>
    <n v="1"/>
    <n v="0"/>
    <n v="2"/>
    <n v="8"/>
    <n v="17"/>
    <s v="Yes"/>
    <s v="Yes"/>
    <s v="Yes"/>
    <s v="No"/>
    <s v="Yes"/>
    <s v="No"/>
    <m/>
    <s v="1+ Failures"/>
    <n v="1"/>
    <s v="0-5 hrs"/>
    <x v="0"/>
  </r>
  <r>
    <n v="1598"/>
    <d v="2024-01-29T00:00:00"/>
    <s v="Basic"/>
    <n v="199"/>
    <n v="7.3"/>
    <n v="6"/>
    <n v="3"/>
    <n v="4"/>
    <n v="1"/>
    <s v="No"/>
    <s v="No"/>
    <s v="Yes"/>
    <s v="Yes"/>
    <s v="No"/>
    <s v="Yes"/>
    <m/>
    <s v="1+ Failures"/>
    <n v="0"/>
    <s v="5-10 hrs"/>
    <x v="3"/>
  </r>
  <r>
    <n v="1599"/>
    <d v="2023-02-23T00:00:00"/>
    <s v="Standard"/>
    <n v="399"/>
    <n v="6"/>
    <n v="6"/>
    <n v="1"/>
    <n v="3"/>
    <n v="42"/>
    <s v="Yes"/>
    <s v="No"/>
    <s v="Yes"/>
    <s v="Yes"/>
    <s v="Yes"/>
    <s v="Yes"/>
    <m/>
    <s v="1+ Failures"/>
    <n v="1"/>
    <s v="5-10 hrs"/>
    <x v="2"/>
  </r>
  <r>
    <n v="1600"/>
    <d v="2023-12-11T00:00:00"/>
    <s v="Premium"/>
    <n v="699"/>
    <n v="1.3"/>
    <n v="5"/>
    <n v="0"/>
    <n v="20"/>
    <n v="58"/>
    <s v="Yes"/>
    <s v="Yes"/>
    <s v="No"/>
    <s v="Yes"/>
    <s v="Yes"/>
    <s v="No"/>
    <m/>
    <s v="0 Failures"/>
    <n v="1"/>
    <s v="0-5 hrs"/>
    <x v="1"/>
  </r>
  <r>
    <n v="1601"/>
    <d v="2024-03-13T00:00:00"/>
    <s v="Standard"/>
    <n v="399"/>
    <n v="19.100000000000001"/>
    <n v="5"/>
    <n v="5"/>
    <n v="14"/>
    <n v="53"/>
    <s v="Yes"/>
    <s v="No"/>
    <s v="Yes"/>
    <s v="Yes"/>
    <s v="Yes"/>
    <s v="No"/>
    <m/>
    <s v="1+ Failures"/>
    <n v="1"/>
    <s v="10-20hrs"/>
    <x v="1"/>
  </r>
  <r>
    <n v="1602"/>
    <d v="2024-11-25T00:00:00"/>
    <s v="Premium"/>
    <n v="699"/>
    <n v="20.3"/>
    <n v="8"/>
    <n v="3"/>
    <n v="4"/>
    <n v="60"/>
    <s v="Yes"/>
    <s v="No"/>
    <s v="Yes"/>
    <s v="Yes"/>
    <s v="Yes"/>
    <s v="Yes"/>
    <m/>
    <s v="1+ Failures"/>
    <n v="1"/>
    <s v="20+ hrs"/>
    <x v="3"/>
  </r>
  <r>
    <n v="1603"/>
    <d v="2024-04-23T00:00:00"/>
    <s v="Standard"/>
    <n v="399"/>
    <n v="11.9"/>
    <n v="8"/>
    <n v="2"/>
    <n v="35"/>
    <n v="10"/>
    <s v="No"/>
    <s v="No"/>
    <s v="Yes"/>
    <s v="Yes"/>
    <s v="No"/>
    <s v="No"/>
    <m/>
    <s v="1+ Failures"/>
    <n v="0"/>
    <s v="10-20hrs"/>
    <x v="1"/>
  </r>
  <r>
    <n v="1604"/>
    <d v="2023-10-08T00:00:00"/>
    <s v="Premium"/>
    <n v="699"/>
    <n v="3.7"/>
    <n v="0"/>
    <n v="2"/>
    <n v="16"/>
    <n v="51"/>
    <s v="Yes"/>
    <s v="Yes"/>
    <s v="Yes"/>
    <s v="No"/>
    <s v="Yes"/>
    <s v="No"/>
    <m/>
    <s v="1+ Failures"/>
    <n v="1"/>
    <s v="0-5 hrs"/>
    <x v="1"/>
  </r>
  <r>
    <n v="1605"/>
    <d v="2024-09-22T00:00:00"/>
    <s v="Basic"/>
    <n v="199"/>
    <n v="19.399999999999999"/>
    <n v="4"/>
    <n v="2"/>
    <n v="16"/>
    <n v="36"/>
    <s v="Yes"/>
    <s v="No"/>
    <s v="Yes"/>
    <s v="No"/>
    <s v="Yes"/>
    <s v="No"/>
    <m/>
    <s v="1+ Failures"/>
    <n v="1"/>
    <s v="10-20hrs"/>
    <x v="1"/>
  </r>
  <r>
    <n v="1606"/>
    <d v="2023-01-13T00:00:00"/>
    <s v="Standard"/>
    <n v="399"/>
    <n v="7.1"/>
    <n v="4"/>
    <n v="5"/>
    <n v="24"/>
    <n v="51"/>
    <s v="No"/>
    <s v="No"/>
    <s v="Yes"/>
    <s v="No"/>
    <s v="Yes"/>
    <s v="No"/>
    <m/>
    <s v="1+ Failures"/>
    <n v="0"/>
    <s v="5-10 hrs"/>
    <x v="1"/>
  </r>
  <r>
    <n v="1607"/>
    <d v="2024-04-18T00:00:00"/>
    <s v="Basic"/>
    <n v="199"/>
    <n v="14.4"/>
    <n v="5"/>
    <n v="2"/>
    <n v="20"/>
    <n v="54"/>
    <s v="Yes"/>
    <s v="No"/>
    <s v="Yes"/>
    <s v="Yes"/>
    <s v="Yes"/>
    <s v="No"/>
    <m/>
    <s v="1+ Failures"/>
    <n v="1"/>
    <s v="10-20hrs"/>
    <x v="1"/>
  </r>
  <r>
    <n v="1608"/>
    <d v="2024-07-23T00:00:00"/>
    <s v="Basic"/>
    <n v="199"/>
    <n v="0.7"/>
    <n v="0"/>
    <n v="2"/>
    <n v="29"/>
    <n v="30"/>
    <s v="Yes"/>
    <s v="Yes"/>
    <s v="Yes"/>
    <s v="No"/>
    <s v="Yes"/>
    <s v="No"/>
    <m/>
    <s v="1+ Failures"/>
    <n v="1"/>
    <s v="0-5 hrs"/>
    <x v="1"/>
  </r>
  <r>
    <n v="1609"/>
    <d v="2023-11-18T00:00:00"/>
    <s v="Basic"/>
    <n v="199"/>
    <n v="1.9"/>
    <n v="1"/>
    <n v="2"/>
    <n v="27"/>
    <n v="57"/>
    <s v="Yes"/>
    <s v="Yes"/>
    <s v="Yes"/>
    <s v="No"/>
    <s v="Yes"/>
    <s v="No"/>
    <m/>
    <s v="1+ Failures"/>
    <n v="1"/>
    <s v="0-5 hrs"/>
    <x v="1"/>
  </r>
  <r>
    <n v="1610"/>
    <d v="2023-08-21T00:00:00"/>
    <s v="Basic"/>
    <n v="199"/>
    <n v="4.9000000000000004"/>
    <n v="4"/>
    <n v="2"/>
    <n v="29"/>
    <n v="55"/>
    <s v="Yes"/>
    <s v="Yes"/>
    <s v="Yes"/>
    <s v="No"/>
    <s v="Yes"/>
    <s v="No"/>
    <m/>
    <s v="1+ Failures"/>
    <n v="1"/>
    <s v="0-5 hrs"/>
    <x v="1"/>
  </r>
  <r>
    <n v="1611"/>
    <d v="2023-07-08T00:00:00"/>
    <s v="Premium"/>
    <n v="699"/>
    <n v="4.0999999999999996"/>
    <n v="0"/>
    <n v="1"/>
    <n v="12"/>
    <n v="7"/>
    <s v="No"/>
    <s v="Yes"/>
    <s v="Yes"/>
    <s v="No"/>
    <s v="No"/>
    <s v="No"/>
    <m/>
    <s v="1+ Failures"/>
    <n v="0"/>
    <s v="0-5 hrs"/>
    <x v="0"/>
  </r>
  <r>
    <n v="1612"/>
    <d v="2023-03-04T00:00:00"/>
    <s v="Premium"/>
    <n v="699"/>
    <n v="21.6"/>
    <n v="5"/>
    <n v="0"/>
    <n v="33"/>
    <n v="35"/>
    <s v="No"/>
    <s v="No"/>
    <s v="No"/>
    <s v="Yes"/>
    <s v="Yes"/>
    <s v="No"/>
    <m/>
    <s v="0 Failures"/>
    <n v="0"/>
    <s v="20+ hrs"/>
    <x v="1"/>
  </r>
  <r>
    <n v="1613"/>
    <d v="2023-12-28T00:00:00"/>
    <s v="Premium"/>
    <n v="699"/>
    <n v="24.4"/>
    <n v="0"/>
    <n v="5"/>
    <n v="17"/>
    <n v="54"/>
    <s v="No"/>
    <s v="No"/>
    <s v="Yes"/>
    <s v="No"/>
    <s v="Yes"/>
    <s v="No"/>
    <m/>
    <s v="1+ Failures"/>
    <n v="0"/>
    <s v="20+ hrs"/>
    <x v="1"/>
  </r>
  <r>
    <n v="1614"/>
    <d v="2023-04-26T00:00:00"/>
    <s v="Premium"/>
    <n v="699"/>
    <n v="15.2"/>
    <n v="5"/>
    <n v="0"/>
    <n v="3"/>
    <n v="4"/>
    <s v="No"/>
    <s v="No"/>
    <s v="No"/>
    <s v="Yes"/>
    <s v="No"/>
    <s v="Yes"/>
    <m/>
    <s v="0 Failures"/>
    <n v="0"/>
    <s v="10-20hrs"/>
    <x v="2"/>
  </r>
  <r>
    <n v="1615"/>
    <d v="2024-11-28T00:00:00"/>
    <s v="Premium"/>
    <n v="699"/>
    <n v="6.3"/>
    <n v="5"/>
    <n v="4"/>
    <n v="5"/>
    <n v="23"/>
    <s v="No"/>
    <s v="No"/>
    <s v="Yes"/>
    <s v="Yes"/>
    <s v="Yes"/>
    <s v="Yes"/>
    <m/>
    <s v="1+ Failures"/>
    <n v="0"/>
    <s v="5-10 hrs"/>
    <x v="3"/>
  </r>
  <r>
    <n v="1616"/>
    <d v="2024-01-04T00:00:00"/>
    <s v="Standard"/>
    <n v="399"/>
    <n v="16.2"/>
    <n v="4"/>
    <n v="1"/>
    <n v="5"/>
    <n v="1"/>
    <s v="No"/>
    <s v="No"/>
    <s v="Yes"/>
    <s v="No"/>
    <s v="No"/>
    <s v="Yes"/>
    <m/>
    <s v="1+ Failures"/>
    <n v="0"/>
    <s v="10-20hrs"/>
    <x v="3"/>
  </r>
  <r>
    <n v="1617"/>
    <d v="2024-09-28T00:00:00"/>
    <s v="Standard"/>
    <n v="399"/>
    <n v="22.5"/>
    <n v="5"/>
    <n v="3"/>
    <n v="27"/>
    <n v="60"/>
    <s v="No"/>
    <s v="No"/>
    <s v="Yes"/>
    <s v="Yes"/>
    <s v="Yes"/>
    <s v="No"/>
    <m/>
    <s v="1+ Failures"/>
    <n v="0"/>
    <s v="20+ hrs"/>
    <x v="1"/>
  </r>
  <r>
    <n v="1618"/>
    <d v="2023-04-19T00:00:00"/>
    <s v="Basic"/>
    <n v="199"/>
    <n v="9.5"/>
    <n v="4"/>
    <n v="1"/>
    <n v="11"/>
    <n v="58"/>
    <s v="No"/>
    <s v="No"/>
    <s v="Yes"/>
    <s v="No"/>
    <s v="Yes"/>
    <s v="No"/>
    <m/>
    <s v="1+ Failures"/>
    <n v="0"/>
    <s v="5-10 hrs"/>
    <x v="0"/>
  </r>
  <r>
    <n v="1619"/>
    <d v="2024-08-18T00:00:00"/>
    <s v="Premium"/>
    <n v="699"/>
    <n v="20.3"/>
    <n v="8"/>
    <n v="5"/>
    <n v="14"/>
    <n v="49"/>
    <s v="Yes"/>
    <s v="No"/>
    <s v="Yes"/>
    <s v="Yes"/>
    <s v="Yes"/>
    <s v="No"/>
    <m/>
    <s v="1+ Failures"/>
    <n v="1"/>
    <s v="20+ hrs"/>
    <x v="1"/>
  </r>
  <r>
    <n v="1620"/>
    <d v="2023-06-03T00:00:00"/>
    <s v="Premium"/>
    <n v="699"/>
    <n v="23.5"/>
    <n v="6"/>
    <n v="4"/>
    <n v="23"/>
    <n v="2"/>
    <s v="No"/>
    <s v="No"/>
    <s v="Yes"/>
    <s v="Yes"/>
    <s v="No"/>
    <s v="No"/>
    <m/>
    <s v="1+ Failures"/>
    <n v="0"/>
    <s v="20+ hrs"/>
    <x v="1"/>
  </r>
  <r>
    <n v="1621"/>
    <d v="2024-10-07T00:00:00"/>
    <s v="Standard"/>
    <n v="399"/>
    <n v="23.9"/>
    <n v="3"/>
    <n v="4"/>
    <n v="6"/>
    <n v="32"/>
    <s v="No"/>
    <s v="No"/>
    <s v="Yes"/>
    <s v="No"/>
    <s v="Yes"/>
    <s v="No"/>
    <m/>
    <s v="1+ Failures"/>
    <n v="0"/>
    <s v="20+ hrs"/>
    <x v="3"/>
  </r>
  <r>
    <n v="1622"/>
    <d v="2024-04-28T00:00:00"/>
    <s v="Premium"/>
    <n v="699"/>
    <n v="13.7"/>
    <n v="1"/>
    <n v="4"/>
    <n v="27"/>
    <n v="51"/>
    <s v="Yes"/>
    <s v="No"/>
    <s v="Yes"/>
    <s v="No"/>
    <s v="Yes"/>
    <s v="No"/>
    <m/>
    <s v="1+ Failures"/>
    <n v="1"/>
    <s v="10-20hrs"/>
    <x v="1"/>
  </r>
  <r>
    <n v="1623"/>
    <d v="2023-10-28T00:00:00"/>
    <s v="Premium"/>
    <n v="699"/>
    <n v="13.2"/>
    <n v="5"/>
    <n v="2"/>
    <n v="34"/>
    <n v="12"/>
    <s v="No"/>
    <s v="No"/>
    <s v="Yes"/>
    <s v="Yes"/>
    <s v="No"/>
    <s v="No"/>
    <m/>
    <s v="1+ Failures"/>
    <n v="0"/>
    <s v="10-20hrs"/>
    <x v="1"/>
  </r>
  <r>
    <n v="1624"/>
    <d v="2023-04-29T00:00:00"/>
    <s v="Basic"/>
    <n v="199"/>
    <n v="6.5"/>
    <n v="5"/>
    <n v="1"/>
    <n v="22"/>
    <n v="29"/>
    <s v="Yes"/>
    <s v="No"/>
    <s v="Yes"/>
    <s v="Yes"/>
    <s v="Yes"/>
    <s v="No"/>
    <m/>
    <s v="1+ Failures"/>
    <n v="1"/>
    <s v="5-10 hrs"/>
    <x v="1"/>
  </r>
  <r>
    <n v="1625"/>
    <d v="2024-06-01T00:00:00"/>
    <s v="Premium"/>
    <n v="699"/>
    <n v="11.4"/>
    <n v="6"/>
    <n v="2"/>
    <n v="16"/>
    <n v="5"/>
    <s v="Yes"/>
    <s v="No"/>
    <s v="Yes"/>
    <s v="Yes"/>
    <s v="No"/>
    <s v="No"/>
    <m/>
    <s v="1+ Failures"/>
    <n v="1"/>
    <s v="10-20hrs"/>
    <x v="1"/>
  </r>
  <r>
    <n v="1626"/>
    <d v="2024-08-06T00:00:00"/>
    <s v="Basic"/>
    <n v="199"/>
    <n v="16.5"/>
    <n v="3"/>
    <n v="3"/>
    <n v="24"/>
    <n v="50"/>
    <s v="Yes"/>
    <s v="No"/>
    <s v="Yes"/>
    <s v="No"/>
    <s v="Yes"/>
    <s v="No"/>
    <m/>
    <s v="1+ Failures"/>
    <n v="1"/>
    <s v="10-20hrs"/>
    <x v="1"/>
  </r>
  <r>
    <n v="1627"/>
    <d v="2024-09-12T00:00:00"/>
    <s v="Basic"/>
    <n v="199"/>
    <n v="6.5"/>
    <n v="6"/>
    <n v="5"/>
    <n v="35"/>
    <n v="37"/>
    <s v="Yes"/>
    <s v="No"/>
    <s v="Yes"/>
    <s v="Yes"/>
    <s v="Yes"/>
    <s v="No"/>
    <m/>
    <s v="1+ Failures"/>
    <n v="1"/>
    <s v="5-10 hrs"/>
    <x v="1"/>
  </r>
  <r>
    <n v="1628"/>
    <d v="2023-06-01T00:00:00"/>
    <s v="Standard"/>
    <n v="399"/>
    <n v="8.9"/>
    <n v="1"/>
    <n v="0"/>
    <n v="19"/>
    <n v="26"/>
    <s v="No"/>
    <s v="No"/>
    <s v="No"/>
    <s v="No"/>
    <s v="Yes"/>
    <s v="No"/>
    <m/>
    <s v="0 Failures"/>
    <n v="0"/>
    <s v="5-10 hrs"/>
    <x v="1"/>
  </r>
  <r>
    <n v="1629"/>
    <d v="2023-06-20T00:00:00"/>
    <s v="Premium"/>
    <n v="699"/>
    <n v="16"/>
    <n v="3"/>
    <n v="1"/>
    <n v="32"/>
    <n v="56"/>
    <s v="No"/>
    <s v="No"/>
    <s v="Yes"/>
    <s v="No"/>
    <s v="Yes"/>
    <s v="No"/>
    <m/>
    <s v="1+ Failures"/>
    <n v="0"/>
    <s v="10-20hrs"/>
    <x v="1"/>
  </r>
  <r>
    <n v="1630"/>
    <d v="2023-04-14T00:00:00"/>
    <s v="Basic"/>
    <n v="199"/>
    <n v="7"/>
    <n v="8"/>
    <n v="5"/>
    <n v="27"/>
    <n v="59"/>
    <s v="Yes"/>
    <s v="No"/>
    <s v="Yes"/>
    <s v="Yes"/>
    <s v="Yes"/>
    <s v="No"/>
    <m/>
    <s v="1+ Failures"/>
    <n v="1"/>
    <s v="5-10 hrs"/>
    <x v="1"/>
  </r>
  <r>
    <n v="1631"/>
    <d v="2023-05-16T00:00:00"/>
    <s v="Basic"/>
    <n v="199"/>
    <n v="20.9"/>
    <n v="0"/>
    <n v="5"/>
    <n v="3"/>
    <n v="10"/>
    <s v="No"/>
    <s v="No"/>
    <s v="Yes"/>
    <s v="No"/>
    <s v="No"/>
    <s v="Yes"/>
    <m/>
    <s v="1+ Failures"/>
    <n v="0"/>
    <s v="20+ hrs"/>
    <x v="2"/>
  </r>
  <r>
    <n v="1632"/>
    <d v="2024-07-24T00:00:00"/>
    <s v="Premium"/>
    <n v="699"/>
    <n v="23"/>
    <n v="6"/>
    <n v="2"/>
    <n v="34"/>
    <n v="8"/>
    <s v="Yes"/>
    <s v="No"/>
    <s v="Yes"/>
    <s v="Yes"/>
    <s v="No"/>
    <s v="No"/>
    <m/>
    <s v="1+ Failures"/>
    <n v="1"/>
    <s v="20+ hrs"/>
    <x v="1"/>
  </r>
  <r>
    <n v="1633"/>
    <d v="2023-02-16T00:00:00"/>
    <s v="Basic"/>
    <n v="199"/>
    <n v="3.4"/>
    <n v="5"/>
    <n v="4"/>
    <n v="19"/>
    <n v="38"/>
    <s v="Yes"/>
    <s v="Yes"/>
    <s v="Yes"/>
    <s v="Yes"/>
    <s v="Yes"/>
    <s v="No"/>
    <m/>
    <s v="1+ Failures"/>
    <n v="1"/>
    <s v="0-5 hrs"/>
    <x v="1"/>
  </r>
  <r>
    <n v="1634"/>
    <d v="2024-03-22T00:00:00"/>
    <s v="Basic"/>
    <n v="199"/>
    <n v="23.8"/>
    <n v="6"/>
    <n v="5"/>
    <n v="23"/>
    <n v="28"/>
    <s v="Yes"/>
    <s v="No"/>
    <s v="Yes"/>
    <s v="Yes"/>
    <s v="Yes"/>
    <s v="No"/>
    <m/>
    <s v="1+ Failures"/>
    <n v="1"/>
    <s v="20+ hrs"/>
    <x v="1"/>
  </r>
  <r>
    <n v="1635"/>
    <d v="2024-06-05T00:00:00"/>
    <s v="Standard"/>
    <n v="399"/>
    <n v="17.7"/>
    <n v="2"/>
    <n v="5"/>
    <n v="31"/>
    <n v="49"/>
    <s v="Yes"/>
    <s v="No"/>
    <s v="Yes"/>
    <s v="No"/>
    <s v="Yes"/>
    <s v="No"/>
    <m/>
    <s v="1+ Failures"/>
    <n v="1"/>
    <s v="10-20hrs"/>
    <x v="1"/>
  </r>
  <r>
    <n v="1636"/>
    <d v="2023-11-25T00:00:00"/>
    <s v="Basic"/>
    <n v="199"/>
    <n v="22.4"/>
    <n v="5"/>
    <n v="5"/>
    <n v="10"/>
    <n v="41"/>
    <s v="Yes"/>
    <s v="No"/>
    <s v="Yes"/>
    <s v="Yes"/>
    <s v="Yes"/>
    <s v="No"/>
    <m/>
    <s v="1+ Failures"/>
    <n v="1"/>
    <s v="20+ hrs"/>
    <x v="0"/>
  </r>
  <r>
    <n v="1637"/>
    <d v="2023-12-16T00:00:00"/>
    <s v="Standard"/>
    <n v="399"/>
    <n v="13"/>
    <n v="4"/>
    <n v="0"/>
    <n v="12"/>
    <n v="14"/>
    <s v="No"/>
    <s v="No"/>
    <s v="No"/>
    <s v="No"/>
    <s v="No"/>
    <s v="No"/>
    <m/>
    <s v="0 Failures"/>
    <n v="0"/>
    <s v="10-20hrs"/>
    <x v="0"/>
  </r>
  <r>
    <n v="1638"/>
    <d v="2023-11-23T00:00:00"/>
    <s v="Basic"/>
    <n v="199"/>
    <n v="22.5"/>
    <n v="8"/>
    <n v="3"/>
    <n v="34"/>
    <n v="18"/>
    <s v="Yes"/>
    <s v="No"/>
    <s v="Yes"/>
    <s v="Yes"/>
    <s v="Yes"/>
    <s v="No"/>
    <m/>
    <s v="1+ Failures"/>
    <n v="1"/>
    <s v="20+ hrs"/>
    <x v="1"/>
  </r>
  <r>
    <n v="1639"/>
    <d v="2024-09-22T00:00:00"/>
    <s v="Basic"/>
    <n v="199"/>
    <n v="1.5"/>
    <n v="3"/>
    <n v="3"/>
    <n v="10"/>
    <n v="33"/>
    <s v="Yes"/>
    <s v="Yes"/>
    <s v="Yes"/>
    <s v="No"/>
    <s v="Yes"/>
    <s v="No"/>
    <m/>
    <s v="1+ Failures"/>
    <n v="1"/>
    <s v="0-5 hrs"/>
    <x v="0"/>
  </r>
  <r>
    <n v="1640"/>
    <d v="2024-03-25T00:00:00"/>
    <s v="Standard"/>
    <n v="399"/>
    <n v="9"/>
    <n v="2"/>
    <n v="0"/>
    <n v="7"/>
    <n v="18"/>
    <s v="No"/>
    <s v="No"/>
    <s v="No"/>
    <s v="No"/>
    <s v="Yes"/>
    <s v="No"/>
    <m/>
    <s v="0 Failures"/>
    <n v="0"/>
    <s v="5-10 hrs"/>
    <x v="0"/>
  </r>
  <r>
    <n v="1641"/>
    <d v="2023-08-26T00:00:00"/>
    <s v="Basic"/>
    <n v="199"/>
    <n v="7.6"/>
    <n v="4"/>
    <n v="4"/>
    <n v="11"/>
    <n v="48"/>
    <s v="Yes"/>
    <s v="No"/>
    <s v="Yes"/>
    <s v="No"/>
    <s v="Yes"/>
    <s v="No"/>
    <m/>
    <s v="1+ Failures"/>
    <n v="1"/>
    <s v="5-10 hrs"/>
    <x v="0"/>
  </r>
  <r>
    <n v="1642"/>
    <d v="2023-06-22T00:00:00"/>
    <s v="Premium"/>
    <n v="699"/>
    <n v="4"/>
    <n v="3"/>
    <n v="4"/>
    <n v="18"/>
    <n v="53"/>
    <s v="Yes"/>
    <s v="Yes"/>
    <s v="Yes"/>
    <s v="No"/>
    <s v="Yes"/>
    <s v="No"/>
    <m/>
    <s v="1+ Failures"/>
    <n v="1"/>
    <s v="0-5 hrs"/>
    <x v="1"/>
  </r>
  <r>
    <n v="1643"/>
    <d v="2024-05-15T00:00:00"/>
    <s v="Basic"/>
    <n v="199"/>
    <n v="24"/>
    <n v="8"/>
    <n v="4"/>
    <n v="3"/>
    <n v="51"/>
    <s v="Yes"/>
    <s v="No"/>
    <s v="Yes"/>
    <s v="Yes"/>
    <s v="Yes"/>
    <s v="Yes"/>
    <m/>
    <s v="1+ Failures"/>
    <n v="1"/>
    <s v="20+ hrs"/>
    <x v="2"/>
  </r>
  <r>
    <n v="1644"/>
    <d v="2024-04-09T00:00:00"/>
    <s v="Basic"/>
    <n v="199"/>
    <n v="5.5"/>
    <n v="6"/>
    <n v="5"/>
    <n v="24"/>
    <n v="28"/>
    <s v="Yes"/>
    <s v="No"/>
    <s v="Yes"/>
    <s v="Yes"/>
    <s v="Yes"/>
    <s v="No"/>
    <m/>
    <s v="1+ Failures"/>
    <n v="1"/>
    <s v="5-10 hrs"/>
    <x v="1"/>
  </r>
  <r>
    <n v="1645"/>
    <d v="2023-09-27T00:00:00"/>
    <s v="Standard"/>
    <n v="399"/>
    <n v="18"/>
    <n v="1"/>
    <n v="3"/>
    <n v="8"/>
    <n v="56"/>
    <s v="Yes"/>
    <s v="No"/>
    <s v="Yes"/>
    <s v="No"/>
    <s v="Yes"/>
    <s v="No"/>
    <m/>
    <s v="1+ Failures"/>
    <n v="1"/>
    <s v="10-20hrs"/>
    <x v="0"/>
  </r>
  <r>
    <n v="1646"/>
    <d v="2023-08-16T00:00:00"/>
    <s v="Basic"/>
    <n v="199"/>
    <n v="24.8"/>
    <n v="1"/>
    <n v="2"/>
    <n v="9"/>
    <n v="51"/>
    <s v="Yes"/>
    <s v="No"/>
    <s v="Yes"/>
    <s v="No"/>
    <s v="Yes"/>
    <s v="No"/>
    <m/>
    <s v="1+ Failures"/>
    <n v="1"/>
    <s v="20+ hrs"/>
    <x v="0"/>
  </r>
  <r>
    <n v="1647"/>
    <d v="2024-06-09T00:00:00"/>
    <s v="Premium"/>
    <n v="699"/>
    <n v="8.5"/>
    <n v="8"/>
    <n v="2"/>
    <n v="5"/>
    <n v="17"/>
    <s v="Yes"/>
    <s v="No"/>
    <s v="Yes"/>
    <s v="Yes"/>
    <s v="Yes"/>
    <s v="Yes"/>
    <m/>
    <s v="1+ Failures"/>
    <n v="1"/>
    <s v="5-10 hrs"/>
    <x v="3"/>
  </r>
  <r>
    <n v="1648"/>
    <d v="2024-12-23T00:00:00"/>
    <s v="Premium"/>
    <n v="699"/>
    <n v="17.8"/>
    <n v="5"/>
    <n v="0"/>
    <n v="5"/>
    <n v="27"/>
    <s v="Yes"/>
    <s v="No"/>
    <s v="No"/>
    <s v="Yes"/>
    <s v="Yes"/>
    <s v="Yes"/>
    <m/>
    <s v="0 Failures"/>
    <n v="1"/>
    <s v="10-20hrs"/>
    <x v="3"/>
  </r>
  <r>
    <n v="1649"/>
    <d v="2023-02-06T00:00:00"/>
    <s v="Premium"/>
    <n v="699"/>
    <n v="5.2"/>
    <n v="8"/>
    <n v="5"/>
    <n v="21"/>
    <n v="53"/>
    <s v="No"/>
    <s v="No"/>
    <s v="Yes"/>
    <s v="Yes"/>
    <s v="Yes"/>
    <s v="No"/>
    <m/>
    <s v="1+ Failures"/>
    <n v="0"/>
    <s v="5-10 hrs"/>
    <x v="1"/>
  </r>
  <r>
    <n v="1650"/>
    <d v="2024-04-26T00:00:00"/>
    <s v="Premium"/>
    <n v="699"/>
    <n v="6.5"/>
    <n v="6"/>
    <n v="1"/>
    <n v="1"/>
    <n v="43"/>
    <s v="Yes"/>
    <s v="No"/>
    <s v="Yes"/>
    <s v="Yes"/>
    <s v="Yes"/>
    <s v="Yes"/>
    <m/>
    <s v="1+ Failures"/>
    <n v="1"/>
    <s v="5-10 hrs"/>
    <x v="2"/>
  </r>
  <r>
    <n v="1651"/>
    <d v="2023-04-01T00:00:00"/>
    <s v="Basic"/>
    <n v="199"/>
    <n v="20.399999999999999"/>
    <n v="7"/>
    <n v="2"/>
    <n v="32"/>
    <n v="8"/>
    <s v="Yes"/>
    <s v="No"/>
    <s v="Yes"/>
    <s v="Yes"/>
    <s v="No"/>
    <s v="No"/>
    <m/>
    <s v="1+ Failures"/>
    <n v="1"/>
    <s v="20+ hrs"/>
    <x v="1"/>
  </r>
  <r>
    <n v="1652"/>
    <d v="2024-12-28T00:00:00"/>
    <s v="Premium"/>
    <n v="699"/>
    <n v="0.6"/>
    <n v="1"/>
    <n v="3"/>
    <n v="14"/>
    <n v="35"/>
    <s v="Yes"/>
    <s v="Yes"/>
    <s v="Yes"/>
    <s v="No"/>
    <s v="Yes"/>
    <s v="No"/>
    <m/>
    <s v="1+ Failures"/>
    <n v="1"/>
    <s v="0-5 hrs"/>
    <x v="1"/>
  </r>
  <r>
    <n v="1653"/>
    <d v="2023-08-29T00:00:00"/>
    <s v="Basic"/>
    <n v="199"/>
    <n v="10.7"/>
    <n v="4"/>
    <n v="4"/>
    <n v="3"/>
    <n v="24"/>
    <s v="Yes"/>
    <s v="No"/>
    <s v="Yes"/>
    <s v="No"/>
    <s v="Yes"/>
    <s v="Yes"/>
    <m/>
    <s v="1+ Failures"/>
    <n v="1"/>
    <s v="10-20hrs"/>
    <x v="2"/>
  </r>
  <r>
    <n v="1654"/>
    <d v="2023-10-27T00:00:00"/>
    <s v="Premium"/>
    <n v="699"/>
    <n v="12.4"/>
    <n v="2"/>
    <n v="2"/>
    <n v="23"/>
    <n v="53"/>
    <s v="Yes"/>
    <s v="No"/>
    <s v="Yes"/>
    <s v="No"/>
    <s v="Yes"/>
    <s v="No"/>
    <m/>
    <s v="1+ Failures"/>
    <n v="1"/>
    <s v="10-20hrs"/>
    <x v="1"/>
  </r>
  <r>
    <n v="1655"/>
    <d v="2023-10-30T00:00:00"/>
    <s v="Premium"/>
    <n v="699"/>
    <n v="12.5"/>
    <n v="6"/>
    <n v="4"/>
    <n v="32"/>
    <n v="22"/>
    <s v="Yes"/>
    <s v="No"/>
    <s v="Yes"/>
    <s v="Yes"/>
    <s v="Yes"/>
    <s v="No"/>
    <m/>
    <s v="1+ Failures"/>
    <n v="1"/>
    <s v="10-20hrs"/>
    <x v="1"/>
  </r>
  <r>
    <n v="1656"/>
    <d v="2024-11-09T00:00:00"/>
    <s v="Basic"/>
    <n v="199"/>
    <n v="3.3"/>
    <n v="4"/>
    <n v="3"/>
    <n v="15"/>
    <n v="28"/>
    <s v="Yes"/>
    <s v="Yes"/>
    <s v="Yes"/>
    <s v="No"/>
    <s v="Yes"/>
    <s v="No"/>
    <m/>
    <s v="1+ Failures"/>
    <n v="1"/>
    <s v="0-5 hrs"/>
    <x v="1"/>
  </r>
  <r>
    <n v="1657"/>
    <d v="2024-02-12T00:00:00"/>
    <s v="Standard"/>
    <n v="399"/>
    <n v="4.8"/>
    <n v="5"/>
    <n v="5"/>
    <n v="8"/>
    <n v="7"/>
    <s v="Yes"/>
    <s v="Yes"/>
    <s v="Yes"/>
    <s v="Yes"/>
    <s v="No"/>
    <s v="No"/>
    <m/>
    <s v="1+ Failures"/>
    <n v="1"/>
    <s v="0-5 hrs"/>
    <x v="0"/>
  </r>
  <r>
    <n v="1658"/>
    <d v="2023-08-29T00:00:00"/>
    <s v="Premium"/>
    <n v="699"/>
    <n v="19.5"/>
    <n v="7"/>
    <n v="3"/>
    <n v="9"/>
    <n v="38"/>
    <s v="Yes"/>
    <s v="No"/>
    <s v="Yes"/>
    <s v="Yes"/>
    <s v="Yes"/>
    <s v="No"/>
    <m/>
    <s v="1+ Failures"/>
    <n v="1"/>
    <s v="10-20hrs"/>
    <x v="0"/>
  </r>
  <r>
    <n v="1659"/>
    <d v="2023-11-27T00:00:00"/>
    <s v="Basic"/>
    <n v="199"/>
    <n v="7.1"/>
    <n v="3"/>
    <n v="3"/>
    <n v="19"/>
    <n v="3"/>
    <s v="No"/>
    <s v="No"/>
    <s v="Yes"/>
    <s v="No"/>
    <s v="No"/>
    <s v="No"/>
    <m/>
    <s v="1+ Failures"/>
    <n v="0"/>
    <s v="5-10 hrs"/>
    <x v="1"/>
  </r>
  <r>
    <n v="1660"/>
    <d v="2023-02-25T00:00:00"/>
    <s v="Standard"/>
    <n v="399"/>
    <n v="10.6"/>
    <n v="7"/>
    <n v="3"/>
    <n v="21"/>
    <n v="25"/>
    <s v="Yes"/>
    <s v="No"/>
    <s v="Yes"/>
    <s v="Yes"/>
    <s v="Yes"/>
    <s v="No"/>
    <m/>
    <s v="1+ Failures"/>
    <n v="1"/>
    <s v="10-20hrs"/>
    <x v="1"/>
  </r>
  <r>
    <n v="1661"/>
    <d v="2024-04-03T00:00:00"/>
    <s v="Standard"/>
    <n v="399"/>
    <n v="18.3"/>
    <n v="5"/>
    <n v="5"/>
    <n v="32"/>
    <n v="52"/>
    <s v="Yes"/>
    <s v="No"/>
    <s v="Yes"/>
    <s v="Yes"/>
    <s v="Yes"/>
    <s v="No"/>
    <m/>
    <s v="1+ Failures"/>
    <n v="1"/>
    <s v="10-20hrs"/>
    <x v="1"/>
  </r>
  <r>
    <n v="1662"/>
    <d v="2023-04-23T00:00:00"/>
    <s v="Standard"/>
    <n v="399"/>
    <n v="14.5"/>
    <n v="2"/>
    <n v="4"/>
    <n v="15"/>
    <n v="13"/>
    <s v="No"/>
    <s v="No"/>
    <s v="Yes"/>
    <s v="No"/>
    <s v="No"/>
    <s v="No"/>
    <m/>
    <s v="1+ Failures"/>
    <n v="0"/>
    <s v="10-20hrs"/>
    <x v="1"/>
  </r>
  <r>
    <n v="1663"/>
    <d v="2024-01-24T00:00:00"/>
    <s v="Premium"/>
    <n v="699"/>
    <n v="3.7"/>
    <n v="8"/>
    <n v="0"/>
    <n v="22"/>
    <n v="60"/>
    <s v="Yes"/>
    <s v="Yes"/>
    <s v="No"/>
    <s v="Yes"/>
    <s v="Yes"/>
    <s v="No"/>
    <m/>
    <s v="0 Failures"/>
    <n v="1"/>
    <s v="0-5 hrs"/>
    <x v="1"/>
  </r>
  <r>
    <n v="1664"/>
    <d v="2023-08-04T00:00:00"/>
    <s v="Basic"/>
    <n v="199"/>
    <n v="22.8"/>
    <n v="8"/>
    <n v="0"/>
    <n v="22"/>
    <n v="41"/>
    <s v="Yes"/>
    <s v="No"/>
    <s v="No"/>
    <s v="Yes"/>
    <s v="Yes"/>
    <s v="No"/>
    <m/>
    <s v="0 Failures"/>
    <n v="1"/>
    <s v="20+ hrs"/>
    <x v="1"/>
  </r>
  <r>
    <n v="1665"/>
    <d v="2023-08-23T00:00:00"/>
    <s v="Standard"/>
    <n v="399"/>
    <n v="5.4"/>
    <n v="2"/>
    <n v="4"/>
    <n v="35"/>
    <n v="25"/>
    <s v="No"/>
    <s v="No"/>
    <s v="Yes"/>
    <s v="No"/>
    <s v="Yes"/>
    <s v="No"/>
    <m/>
    <s v="1+ Failures"/>
    <n v="0"/>
    <s v="5-10 hrs"/>
    <x v="1"/>
  </r>
  <r>
    <n v="1666"/>
    <d v="2023-09-12T00:00:00"/>
    <s v="Standard"/>
    <n v="399"/>
    <n v="22.8"/>
    <n v="5"/>
    <n v="3"/>
    <n v="11"/>
    <n v="13"/>
    <s v="No"/>
    <s v="No"/>
    <s v="Yes"/>
    <s v="Yes"/>
    <s v="No"/>
    <s v="No"/>
    <m/>
    <s v="1+ Failures"/>
    <n v="0"/>
    <s v="20+ hrs"/>
    <x v="0"/>
  </r>
  <r>
    <n v="1667"/>
    <d v="2024-05-11T00:00:00"/>
    <s v="Basic"/>
    <n v="199"/>
    <n v="21.2"/>
    <n v="8"/>
    <n v="0"/>
    <n v="3"/>
    <n v="32"/>
    <s v="Yes"/>
    <s v="No"/>
    <s v="No"/>
    <s v="Yes"/>
    <s v="Yes"/>
    <s v="Yes"/>
    <m/>
    <s v="0 Failures"/>
    <n v="1"/>
    <s v="20+ hrs"/>
    <x v="2"/>
  </r>
  <r>
    <n v="1668"/>
    <d v="2023-09-11T00:00:00"/>
    <s v="Basic"/>
    <n v="199"/>
    <n v="7.4"/>
    <n v="0"/>
    <n v="1"/>
    <n v="11"/>
    <n v="40"/>
    <s v="No"/>
    <s v="No"/>
    <s v="Yes"/>
    <s v="No"/>
    <s v="Yes"/>
    <s v="No"/>
    <m/>
    <s v="1+ Failures"/>
    <n v="0"/>
    <s v="5-10 hrs"/>
    <x v="0"/>
  </r>
  <r>
    <n v="1669"/>
    <d v="2023-10-04T00:00:00"/>
    <s v="Basic"/>
    <n v="199"/>
    <n v="18.899999999999999"/>
    <n v="6"/>
    <n v="5"/>
    <n v="18"/>
    <n v="25"/>
    <s v="Yes"/>
    <s v="No"/>
    <s v="Yes"/>
    <s v="Yes"/>
    <s v="Yes"/>
    <s v="No"/>
    <m/>
    <s v="1+ Failures"/>
    <n v="1"/>
    <s v="10-20hrs"/>
    <x v="1"/>
  </r>
  <r>
    <n v="1670"/>
    <d v="2024-07-08T00:00:00"/>
    <s v="Basic"/>
    <n v="199"/>
    <n v="2.2999999999999998"/>
    <n v="6"/>
    <n v="0"/>
    <n v="5"/>
    <n v="0"/>
    <s v="No"/>
    <s v="Yes"/>
    <s v="No"/>
    <s v="Yes"/>
    <s v="No"/>
    <s v="Yes"/>
    <m/>
    <s v="0 Failures"/>
    <n v="0"/>
    <s v="0-5 hrs"/>
    <x v="3"/>
  </r>
  <r>
    <n v="1671"/>
    <d v="2023-11-16T00:00:00"/>
    <s v="Premium"/>
    <n v="699"/>
    <n v="2.8"/>
    <n v="6"/>
    <n v="1"/>
    <n v="10"/>
    <n v="53"/>
    <s v="Yes"/>
    <s v="Yes"/>
    <s v="Yes"/>
    <s v="Yes"/>
    <s v="Yes"/>
    <s v="No"/>
    <m/>
    <s v="1+ Failures"/>
    <n v="1"/>
    <s v="0-5 hrs"/>
    <x v="0"/>
  </r>
  <r>
    <n v="1672"/>
    <d v="2023-04-13T00:00:00"/>
    <s v="Standard"/>
    <n v="399"/>
    <n v="13.1"/>
    <n v="0"/>
    <n v="2"/>
    <n v="28"/>
    <n v="17"/>
    <s v="No"/>
    <s v="No"/>
    <s v="Yes"/>
    <s v="No"/>
    <s v="Yes"/>
    <s v="No"/>
    <m/>
    <s v="1+ Failures"/>
    <n v="0"/>
    <s v="10-20hrs"/>
    <x v="1"/>
  </r>
  <r>
    <n v="1673"/>
    <d v="2024-07-28T00:00:00"/>
    <s v="Standard"/>
    <n v="399"/>
    <n v="9.6999999999999993"/>
    <n v="6"/>
    <n v="0"/>
    <n v="31"/>
    <n v="14"/>
    <s v="No"/>
    <s v="No"/>
    <s v="No"/>
    <s v="Yes"/>
    <s v="No"/>
    <s v="No"/>
    <m/>
    <s v="0 Failures"/>
    <n v="0"/>
    <s v="5-10 hrs"/>
    <x v="1"/>
  </r>
  <r>
    <n v="1674"/>
    <d v="2024-05-23T00:00:00"/>
    <s v="Standard"/>
    <n v="399"/>
    <n v="7.5"/>
    <n v="8"/>
    <n v="4"/>
    <n v="31"/>
    <n v="15"/>
    <s v="Yes"/>
    <s v="No"/>
    <s v="Yes"/>
    <s v="Yes"/>
    <s v="Yes"/>
    <s v="No"/>
    <m/>
    <s v="1+ Failures"/>
    <n v="1"/>
    <s v="5-10 hrs"/>
    <x v="1"/>
  </r>
  <r>
    <n v="1675"/>
    <d v="2024-08-14T00:00:00"/>
    <s v="Premium"/>
    <n v="699"/>
    <n v="23.8"/>
    <n v="8"/>
    <n v="5"/>
    <n v="26"/>
    <n v="6"/>
    <s v="Yes"/>
    <s v="No"/>
    <s v="Yes"/>
    <s v="Yes"/>
    <s v="No"/>
    <s v="No"/>
    <m/>
    <s v="1+ Failures"/>
    <n v="1"/>
    <s v="20+ hrs"/>
    <x v="1"/>
  </r>
  <r>
    <n v="1676"/>
    <d v="2024-10-20T00:00:00"/>
    <s v="Basic"/>
    <n v="199"/>
    <n v="19.399999999999999"/>
    <n v="7"/>
    <n v="2"/>
    <n v="26"/>
    <n v="30"/>
    <s v="Yes"/>
    <s v="No"/>
    <s v="Yes"/>
    <s v="Yes"/>
    <s v="Yes"/>
    <s v="No"/>
    <m/>
    <s v="1+ Failures"/>
    <n v="1"/>
    <s v="10-20hrs"/>
    <x v="1"/>
  </r>
  <r>
    <n v="1677"/>
    <d v="2024-05-16T00:00:00"/>
    <s v="Standard"/>
    <n v="399"/>
    <n v="4"/>
    <n v="1"/>
    <n v="0"/>
    <n v="22"/>
    <n v="35"/>
    <s v="Yes"/>
    <s v="Yes"/>
    <s v="No"/>
    <s v="No"/>
    <s v="Yes"/>
    <s v="No"/>
    <m/>
    <s v="0 Failures"/>
    <n v="1"/>
    <s v="0-5 hrs"/>
    <x v="1"/>
  </r>
  <r>
    <n v="1678"/>
    <d v="2024-08-03T00:00:00"/>
    <s v="Premium"/>
    <n v="699"/>
    <n v="2.6"/>
    <n v="6"/>
    <n v="4"/>
    <n v="16"/>
    <n v="53"/>
    <s v="Yes"/>
    <s v="Yes"/>
    <s v="Yes"/>
    <s v="Yes"/>
    <s v="Yes"/>
    <s v="No"/>
    <m/>
    <s v="1+ Failures"/>
    <n v="1"/>
    <s v="0-5 hrs"/>
    <x v="1"/>
  </r>
  <r>
    <n v="1679"/>
    <d v="2023-06-04T00:00:00"/>
    <s v="Basic"/>
    <n v="199"/>
    <n v="19.3"/>
    <n v="4"/>
    <n v="3"/>
    <n v="4"/>
    <n v="19"/>
    <s v="No"/>
    <s v="No"/>
    <s v="Yes"/>
    <s v="No"/>
    <s v="Yes"/>
    <s v="Yes"/>
    <m/>
    <s v="1+ Failures"/>
    <n v="0"/>
    <s v="10-20hrs"/>
    <x v="3"/>
  </r>
  <r>
    <n v="1680"/>
    <d v="2024-07-29T00:00:00"/>
    <s v="Basic"/>
    <n v="199"/>
    <n v="17.399999999999999"/>
    <n v="6"/>
    <n v="0"/>
    <n v="21"/>
    <n v="17"/>
    <s v="No"/>
    <s v="No"/>
    <s v="No"/>
    <s v="Yes"/>
    <s v="Yes"/>
    <s v="No"/>
    <m/>
    <s v="0 Failures"/>
    <n v="0"/>
    <s v="10-20hrs"/>
    <x v="1"/>
  </r>
  <r>
    <n v="1681"/>
    <d v="2024-06-10T00:00:00"/>
    <s v="Standard"/>
    <n v="399"/>
    <n v="12.7"/>
    <n v="3"/>
    <n v="2"/>
    <n v="35"/>
    <n v="29"/>
    <s v="No"/>
    <s v="No"/>
    <s v="Yes"/>
    <s v="No"/>
    <s v="Yes"/>
    <s v="No"/>
    <m/>
    <s v="1+ Failures"/>
    <n v="0"/>
    <s v="10-20hrs"/>
    <x v="1"/>
  </r>
  <r>
    <n v="1682"/>
    <d v="2023-01-14T00:00:00"/>
    <s v="Premium"/>
    <n v="699"/>
    <n v="23.1"/>
    <n v="6"/>
    <n v="5"/>
    <n v="6"/>
    <n v="4"/>
    <s v="Yes"/>
    <s v="No"/>
    <s v="Yes"/>
    <s v="Yes"/>
    <s v="No"/>
    <s v="No"/>
    <m/>
    <s v="1+ Failures"/>
    <n v="1"/>
    <s v="20+ hrs"/>
    <x v="3"/>
  </r>
  <r>
    <n v="1683"/>
    <d v="2023-04-27T00:00:00"/>
    <s v="Basic"/>
    <n v="199"/>
    <n v="18.8"/>
    <n v="2"/>
    <n v="1"/>
    <n v="34"/>
    <n v="28"/>
    <s v="No"/>
    <s v="No"/>
    <s v="Yes"/>
    <s v="No"/>
    <s v="Yes"/>
    <s v="No"/>
    <m/>
    <s v="1+ Failures"/>
    <n v="0"/>
    <s v="10-20hrs"/>
    <x v="1"/>
  </r>
  <r>
    <n v="1684"/>
    <d v="2024-07-14T00:00:00"/>
    <s v="Basic"/>
    <n v="199"/>
    <n v="12.6"/>
    <n v="8"/>
    <n v="3"/>
    <n v="28"/>
    <n v="8"/>
    <s v="No"/>
    <s v="No"/>
    <s v="Yes"/>
    <s v="Yes"/>
    <s v="No"/>
    <s v="No"/>
    <m/>
    <s v="1+ Failures"/>
    <n v="0"/>
    <s v="10-20hrs"/>
    <x v="1"/>
  </r>
  <r>
    <n v="1685"/>
    <d v="2024-11-23T00:00:00"/>
    <s v="Standard"/>
    <n v="399"/>
    <n v="0.7"/>
    <n v="1"/>
    <n v="3"/>
    <n v="26"/>
    <n v="18"/>
    <s v="No"/>
    <s v="Yes"/>
    <s v="Yes"/>
    <s v="No"/>
    <s v="Yes"/>
    <s v="No"/>
    <m/>
    <s v="1+ Failures"/>
    <n v="0"/>
    <s v="0-5 hrs"/>
    <x v="1"/>
  </r>
  <r>
    <n v="1686"/>
    <d v="2023-10-25T00:00:00"/>
    <s v="Standard"/>
    <n v="399"/>
    <n v="8.4"/>
    <n v="5"/>
    <n v="4"/>
    <n v="34"/>
    <n v="41"/>
    <s v="Yes"/>
    <s v="No"/>
    <s v="Yes"/>
    <s v="Yes"/>
    <s v="Yes"/>
    <s v="No"/>
    <m/>
    <s v="1+ Failures"/>
    <n v="1"/>
    <s v="5-10 hrs"/>
    <x v="1"/>
  </r>
  <r>
    <n v="1687"/>
    <d v="2024-04-18T00:00:00"/>
    <s v="Premium"/>
    <n v="699"/>
    <n v="20.2"/>
    <n v="5"/>
    <n v="4"/>
    <n v="14"/>
    <n v="38"/>
    <s v="Yes"/>
    <s v="No"/>
    <s v="Yes"/>
    <s v="Yes"/>
    <s v="Yes"/>
    <s v="No"/>
    <m/>
    <s v="1+ Failures"/>
    <n v="1"/>
    <s v="20+ hrs"/>
    <x v="1"/>
  </r>
  <r>
    <n v="1688"/>
    <d v="2024-04-30T00:00:00"/>
    <s v="Basic"/>
    <n v="199"/>
    <n v="23.2"/>
    <n v="2"/>
    <n v="1"/>
    <n v="22"/>
    <n v="33"/>
    <s v="No"/>
    <s v="No"/>
    <s v="Yes"/>
    <s v="No"/>
    <s v="Yes"/>
    <s v="No"/>
    <m/>
    <s v="1+ Failures"/>
    <n v="0"/>
    <s v="20+ hrs"/>
    <x v="1"/>
  </r>
  <r>
    <n v="1689"/>
    <d v="2023-01-06T00:00:00"/>
    <s v="Basic"/>
    <n v="199"/>
    <n v="10.7"/>
    <n v="2"/>
    <n v="3"/>
    <n v="21"/>
    <n v="4"/>
    <s v="No"/>
    <s v="No"/>
    <s v="Yes"/>
    <s v="No"/>
    <s v="No"/>
    <s v="No"/>
    <m/>
    <s v="1+ Failures"/>
    <n v="0"/>
    <s v="10-20hrs"/>
    <x v="1"/>
  </r>
  <r>
    <n v="1690"/>
    <d v="2023-03-04T00:00:00"/>
    <s v="Standard"/>
    <n v="399"/>
    <n v="5.4"/>
    <n v="1"/>
    <n v="4"/>
    <n v="13"/>
    <n v="29"/>
    <s v="Yes"/>
    <s v="No"/>
    <s v="Yes"/>
    <s v="No"/>
    <s v="Yes"/>
    <s v="No"/>
    <m/>
    <s v="1+ Failures"/>
    <n v="1"/>
    <s v="5-10 hrs"/>
    <x v="1"/>
  </r>
  <r>
    <n v="1691"/>
    <d v="2023-08-20T00:00:00"/>
    <s v="Premium"/>
    <n v="699"/>
    <n v="15.1"/>
    <n v="1"/>
    <n v="2"/>
    <n v="30"/>
    <n v="40"/>
    <s v="Yes"/>
    <s v="No"/>
    <s v="Yes"/>
    <s v="No"/>
    <s v="Yes"/>
    <s v="No"/>
    <m/>
    <s v="1+ Failures"/>
    <n v="1"/>
    <s v="10-20hrs"/>
    <x v="1"/>
  </r>
  <r>
    <n v="1692"/>
    <d v="2024-03-12T00:00:00"/>
    <s v="Standard"/>
    <n v="399"/>
    <n v="23.2"/>
    <n v="4"/>
    <n v="2"/>
    <n v="1"/>
    <n v="52"/>
    <s v="No"/>
    <s v="No"/>
    <s v="Yes"/>
    <s v="No"/>
    <s v="Yes"/>
    <s v="Yes"/>
    <m/>
    <s v="1+ Failures"/>
    <n v="0"/>
    <s v="20+ hrs"/>
    <x v="2"/>
  </r>
  <r>
    <n v="1693"/>
    <d v="2024-11-06T00:00:00"/>
    <s v="Premium"/>
    <n v="699"/>
    <n v="9.5"/>
    <n v="6"/>
    <n v="2"/>
    <n v="20"/>
    <n v="35"/>
    <s v="Yes"/>
    <s v="No"/>
    <s v="Yes"/>
    <s v="Yes"/>
    <s v="Yes"/>
    <s v="No"/>
    <m/>
    <s v="1+ Failures"/>
    <n v="1"/>
    <s v="5-10 hrs"/>
    <x v="1"/>
  </r>
  <r>
    <n v="1694"/>
    <d v="2023-09-27T00:00:00"/>
    <s v="Basic"/>
    <n v="199"/>
    <n v="15"/>
    <n v="1"/>
    <n v="5"/>
    <n v="5"/>
    <n v="13"/>
    <s v="Yes"/>
    <s v="No"/>
    <s v="Yes"/>
    <s v="No"/>
    <s v="No"/>
    <s v="Yes"/>
    <m/>
    <s v="1+ Failures"/>
    <n v="1"/>
    <s v="10-20hrs"/>
    <x v="3"/>
  </r>
  <r>
    <n v="1695"/>
    <d v="2023-12-05T00:00:00"/>
    <s v="Premium"/>
    <n v="699"/>
    <n v="3.6"/>
    <n v="8"/>
    <n v="4"/>
    <n v="7"/>
    <n v="41"/>
    <s v="Yes"/>
    <s v="Yes"/>
    <s v="Yes"/>
    <s v="Yes"/>
    <s v="Yes"/>
    <s v="No"/>
    <m/>
    <s v="1+ Failures"/>
    <n v="1"/>
    <s v="0-5 hrs"/>
    <x v="0"/>
  </r>
  <r>
    <n v="1696"/>
    <d v="2023-08-26T00:00:00"/>
    <s v="Premium"/>
    <n v="699"/>
    <n v="24.2"/>
    <n v="7"/>
    <n v="1"/>
    <n v="18"/>
    <n v="10"/>
    <s v="Yes"/>
    <s v="No"/>
    <s v="Yes"/>
    <s v="Yes"/>
    <s v="No"/>
    <s v="No"/>
    <m/>
    <s v="1+ Failures"/>
    <n v="1"/>
    <s v="20+ hrs"/>
    <x v="1"/>
  </r>
  <r>
    <n v="1697"/>
    <d v="2023-01-01T00:00:00"/>
    <s v="Basic"/>
    <n v="199"/>
    <n v="23.3"/>
    <n v="2"/>
    <n v="1"/>
    <n v="6"/>
    <n v="10"/>
    <s v="No"/>
    <s v="No"/>
    <s v="Yes"/>
    <s v="No"/>
    <s v="No"/>
    <s v="No"/>
    <m/>
    <s v="1+ Failures"/>
    <n v="0"/>
    <s v="20+ hrs"/>
    <x v="3"/>
  </r>
  <r>
    <n v="1698"/>
    <d v="2024-03-11T00:00:00"/>
    <s v="Standard"/>
    <n v="399"/>
    <n v="22.5"/>
    <n v="0"/>
    <n v="1"/>
    <n v="5"/>
    <n v="32"/>
    <s v="No"/>
    <s v="No"/>
    <s v="Yes"/>
    <s v="No"/>
    <s v="Yes"/>
    <s v="Yes"/>
    <m/>
    <s v="1+ Failures"/>
    <n v="0"/>
    <s v="20+ hrs"/>
    <x v="3"/>
  </r>
  <r>
    <n v="1699"/>
    <d v="2024-01-22T00:00:00"/>
    <s v="Premium"/>
    <n v="699"/>
    <n v="8.5"/>
    <n v="8"/>
    <n v="0"/>
    <n v="31"/>
    <n v="15"/>
    <s v="No"/>
    <s v="No"/>
    <s v="No"/>
    <s v="Yes"/>
    <s v="Yes"/>
    <s v="No"/>
    <m/>
    <s v="0 Failures"/>
    <n v="0"/>
    <s v="5-10 hrs"/>
    <x v="1"/>
  </r>
  <r>
    <n v="1700"/>
    <d v="2024-09-11T00:00:00"/>
    <s v="Standard"/>
    <n v="399"/>
    <n v="9.1999999999999993"/>
    <n v="8"/>
    <n v="2"/>
    <n v="31"/>
    <n v="33"/>
    <s v="Yes"/>
    <s v="No"/>
    <s v="Yes"/>
    <s v="Yes"/>
    <s v="Yes"/>
    <s v="No"/>
    <m/>
    <s v="1+ Failures"/>
    <n v="1"/>
    <s v="5-10 hrs"/>
    <x v="1"/>
  </r>
  <r>
    <n v="1701"/>
    <d v="2024-07-27T00:00:00"/>
    <s v="Basic"/>
    <n v="199"/>
    <n v="23.7"/>
    <n v="4"/>
    <n v="5"/>
    <n v="11"/>
    <n v="9"/>
    <s v="No"/>
    <s v="No"/>
    <s v="Yes"/>
    <s v="No"/>
    <s v="No"/>
    <s v="No"/>
    <m/>
    <s v="1+ Failures"/>
    <n v="0"/>
    <s v="20+ hrs"/>
    <x v="0"/>
  </r>
  <r>
    <n v="1702"/>
    <d v="2024-03-21T00:00:00"/>
    <s v="Standard"/>
    <n v="399"/>
    <n v="17.5"/>
    <n v="4"/>
    <n v="5"/>
    <n v="32"/>
    <n v="7"/>
    <s v="No"/>
    <s v="No"/>
    <s v="Yes"/>
    <s v="No"/>
    <s v="No"/>
    <s v="No"/>
    <m/>
    <s v="1+ Failures"/>
    <n v="0"/>
    <s v="10-20hrs"/>
    <x v="1"/>
  </r>
  <r>
    <n v="1703"/>
    <d v="2024-03-10T00:00:00"/>
    <s v="Premium"/>
    <n v="699"/>
    <n v="4.9000000000000004"/>
    <n v="5"/>
    <n v="3"/>
    <n v="23"/>
    <n v="49"/>
    <s v="Yes"/>
    <s v="Yes"/>
    <s v="Yes"/>
    <s v="Yes"/>
    <s v="Yes"/>
    <s v="No"/>
    <m/>
    <s v="1+ Failures"/>
    <n v="1"/>
    <s v="0-5 hrs"/>
    <x v="1"/>
  </r>
  <r>
    <n v="1704"/>
    <d v="2023-01-11T00:00:00"/>
    <s v="Basic"/>
    <n v="199"/>
    <n v="22"/>
    <n v="3"/>
    <n v="3"/>
    <n v="36"/>
    <n v="23"/>
    <s v="Yes"/>
    <s v="No"/>
    <s v="Yes"/>
    <s v="No"/>
    <s v="Yes"/>
    <s v="No"/>
    <m/>
    <s v="1+ Failures"/>
    <n v="1"/>
    <s v="20+ hrs"/>
    <x v="1"/>
  </r>
  <r>
    <n v="1705"/>
    <d v="2023-04-07T00:00:00"/>
    <s v="Basic"/>
    <n v="199"/>
    <n v="9.3000000000000007"/>
    <n v="3"/>
    <n v="0"/>
    <n v="29"/>
    <n v="37"/>
    <s v="Yes"/>
    <s v="No"/>
    <s v="No"/>
    <s v="No"/>
    <s v="Yes"/>
    <s v="No"/>
    <m/>
    <s v="0 Failures"/>
    <n v="1"/>
    <s v="5-10 hrs"/>
    <x v="1"/>
  </r>
  <r>
    <n v="1706"/>
    <d v="2023-10-09T00:00:00"/>
    <s v="Standard"/>
    <n v="399"/>
    <n v="12.8"/>
    <n v="0"/>
    <n v="4"/>
    <n v="17"/>
    <n v="17"/>
    <s v="Yes"/>
    <s v="No"/>
    <s v="Yes"/>
    <s v="No"/>
    <s v="Yes"/>
    <s v="No"/>
    <m/>
    <s v="1+ Failures"/>
    <n v="1"/>
    <s v="10-20hrs"/>
    <x v="1"/>
  </r>
  <r>
    <n v="1707"/>
    <d v="2024-08-08T00:00:00"/>
    <s v="Premium"/>
    <n v="699"/>
    <n v="10.3"/>
    <n v="4"/>
    <n v="2"/>
    <n v="31"/>
    <n v="40"/>
    <s v="Yes"/>
    <s v="No"/>
    <s v="Yes"/>
    <s v="No"/>
    <s v="Yes"/>
    <s v="No"/>
    <m/>
    <s v="1+ Failures"/>
    <n v="1"/>
    <s v="10-20hrs"/>
    <x v="1"/>
  </r>
  <r>
    <n v="1708"/>
    <d v="2024-10-25T00:00:00"/>
    <s v="Basic"/>
    <n v="199"/>
    <n v="24.9"/>
    <n v="7"/>
    <n v="3"/>
    <n v="31"/>
    <n v="11"/>
    <s v="Yes"/>
    <s v="No"/>
    <s v="Yes"/>
    <s v="Yes"/>
    <s v="No"/>
    <s v="No"/>
    <m/>
    <s v="1+ Failures"/>
    <n v="1"/>
    <s v="20+ hrs"/>
    <x v="1"/>
  </r>
  <r>
    <n v="1709"/>
    <d v="2024-12-23T00:00:00"/>
    <s v="Premium"/>
    <n v="699"/>
    <n v="1.4"/>
    <n v="0"/>
    <n v="4"/>
    <n v="7"/>
    <n v="57"/>
    <s v="Yes"/>
    <s v="Yes"/>
    <s v="Yes"/>
    <s v="No"/>
    <s v="Yes"/>
    <s v="No"/>
    <m/>
    <s v="1+ Failures"/>
    <n v="1"/>
    <s v="0-5 hrs"/>
    <x v="0"/>
  </r>
  <r>
    <n v="1710"/>
    <d v="2023-05-03T00:00:00"/>
    <s v="Premium"/>
    <n v="699"/>
    <n v="21.8"/>
    <n v="2"/>
    <n v="0"/>
    <n v="12"/>
    <n v="26"/>
    <s v="No"/>
    <s v="No"/>
    <s v="No"/>
    <s v="No"/>
    <s v="Yes"/>
    <s v="No"/>
    <m/>
    <s v="0 Failures"/>
    <n v="0"/>
    <s v="20+ hrs"/>
    <x v="0"/>
  </r>
  <r>
    <n v="1711"/>
    <d v="2023-10-12T00:00:00"/>
    <s v="Basic"/>
    <n v="199"/>
    <n v="16.100000000000001"/>
    <n v="0"/>
    <n v="2"/>
    <n v="29"/>
    <n v="6"/>
    <s v="No"/>
    <s v="No"/>
    <s v="Yes"/>
    <s v="No"/>
    <s v="No"/>
    <s v="No"/>
    <m/>
    <s v="1+ Failures"/>
    <n v="0"/>
    <s v="10-20hrs"/>
    <x v="1"/>
  </r>
  <r>
    <n v="1712"/>
    <d v="2024-08-23T00:00:00"/>
    <s v="Basic"/>
    <n v="199"/>
    <n v="8.6999999999999993"/>
    <n v="5"/>
    <n v="5"/>
    <n v="2"/>
    <n v="10"/>
    <s v="No"/>
    <s v="No"/>
    <s v="Yes"/>
    <s v="Yes"/>
    <s v="No"/>
    <s v="Yes"/>
    <m/>
    <s v="1+ Failures"/>
    <n v="0"/>
    <s v="5-10 hrs"/>
    <x v="2"/>
  </r>
  <r>
    <n v="1713"/>
    <d v="2023-03-04T00:00:00"/>
    <s v="Premium"/>
    <n v="699"/>
    <n v="13.2"/>
    <n v="6"/>
    <n v="3"/>
    <n v="24"/>
    <n v="53"/>
    <s v="Yes"/>
    <s v="No"/>
    <s v="Yes"/>
    <s v="Yes"/>
    <s v="Yes"/>
    <s v="No"/>
    <m/>
    <s v="1+ Failures"/>
    <n v="1"/>
    <s v="10-20hrs"/>
    <x v="1"/>
  </r>
  <r>
    <n v="1714"/>
    <d v="2023-06-26T00:00:00"/>
    <s v="Basic"/>
    <n v="199"/>
    <n v="20.7"/>
    <n v="8"/>
    <n v="1"/>
    <n v="13"/>
    <n v="46"/>
    <s v="Yes"/>
    <s v="No"/>
    <s v="Yes"/>
    <s v="Yes"/>
    <s v="Yes"/>
    <s v="No"/>
    <m/>
    <s v="1+ Failures"/>
    <n v="1"/>
    <s v="20+ hrs"/>
    <x v="1"/>
  </r>
  <r>
    <n v="1715"/>
    <d v="2024-10-12T00:00:00"/>
    <s v="Standard"/>
    <n v="399"/>
    <n v="7.3"/>
    <n v="3"/>
    <n v="5"/>
    <n v="3"/>
    <n v="32"/>
    <s v="Yes"/>
    <s v="No"/>
    <s v="Yes"/>
    <s v="No"/>
    <s v="Yes"/>
    <s v="Yes"/>
    <m/>
    <s v="1+ Failures"/>
    <n v="1"/>
    <s v="5-10 hrs"/>
    <x v="2"/>
  </r>
  <r>
    <n v="1716"/>
    <d v="2024-08-04T00:00:00"/>
    <s v="Premium"/>
    <n v="699"/>
    <n v="8.1"/>
    <n v="8"/>
    <n v="2"/>
    <n v="1"/>
    <n v="7"/>
    <s v="Yes"/>
    <s v="No"/>
    <s v="Yes"/>
    <s v="Yes"/>
    <s v="No"/>
    <s v="Yes"/>
    <m/>
    <s v="1+ Failures"/>
    <n v="1"/>
    <s v="5-10 hrs"/>
    <x v="2"/>
  </r>
  <r>
    <n v="1717"/>
    <d v="2023-07-06T00:00:00"/>
    <s v="Premium"/>
    <n v="699"/>
    <n v="14.4"/>
    <n v="7"/>
    <n v="0"/>
    <n v="6"/>
    <n v="7"/>
    <s v="No"/>
    <s v="No"/>
    <s v="No"/>
    <s v="Yes"/>
    <s v="No"/>
    <s v="No"/>
    <m/>
    <s v="0 Failures"/>
    <n v="0"/>
    <s v="10-20hrs"/>
    <x v="3"/>
  </r>
  <r>
    <n v="1718"/>
    <d v="2024-10-15T00:00:00"/>
    <s v="Premium"/>
    <n v="699"/>
    <n v="5"/>
    <n v="0"/>
    <n v="1"/>
    <n v="6"/>
    <n v="50"/>
    <s v="Yes"/>
    <s v="No"/>
    <s v="Yes"/>
    <s v="No"/>
    <s v="Yes"/>
    <s v="No"/>
    <m/>
    <s v="1+ Failures"/>
    <n v="1"/>
    <s v="0-5 hrs"/>
    <x v="3"/>
  </r>
  <r>
    <n v="1719"/>
    <d v="2023-07-15T00:00:00"/>
    <s v="Standard"/>
    <n v="399"/>
    <n v="2.5"/>
    <n v="3"/>
    <n v="2"/>
    <n v="30"/>
    <n v="53"/>
    <s v="Yes"/>
    <s v="Yes"/>
    <s v="Yes"/>
    <s v="No"/>
    <s v="Yes"/>
    <s v="No"/>
    <m/>
    <s v="1+ Failures"/>
    <n v="1"/>
    <s v="0-5 hrs"/>
    <x v="1"/>
  </r>
  <r>
    <n v="1720"/>
    <d v="2023-05-24T00:00:00"/>
    <s v="Premium"/>
    <n v="699"/>
    <n v="8.1"/>
    <n v="6"/>
    <n v="5"/>
    <n v="9"/>
    <n v="18"/>
    <s v="Yes"/>
    <s v="No"/>
    <s v="Yes"/>
    <s v="Yes"/>
    <s v="Yes"/>
    <s v="No"/>
    <m/>
    <s v="1+ Failures"/>
    <n v="1"/>
    <s v="5-10 hrs"/>
    <x v="0"/>
  </r>
  <r>
    <n v="1721"/>
    <d v="2023-10-30T00:00:00"/>
    <s v="Premium"/>
    <n v="699"/>
    <n v="10.6"/>
    <n v="3"/>
    <n v="2"/>
    <n v="21"/>
    <n v="56"/>
    <s v="Yes"/>
    <s v="No"/>
    <s v="Yes"/>
    <s v="No"/>
    <s v="Yes"/>
    <s v="No"/>
    <m/>
    <s v="1+ Failures"/>
    <n v="1"/>
    <s v="10-20hrs"/>
    <x v="1"/>
  </r>
  <r>
    <n v="1722"/>
    <d v="2024-10-19T00:00:00"/>
    <s v="Standard"/>
    <n v="399"/>
    <n v="7"/>
    <n v="7"/>
    <n v="2"/>
    <n v="29"/>
    <n v="37"/>
    <s v="Yes"/>
    <s v="No"/>
    <s v="Yes"/>
    <s v="Yes"/>
    <s v="Yes"/>
    <s v="No"/>
    <m/>
    <s v="1+ Failures"/>
    <n v="1"/>
    <s v="5-10 hrs"/>
    <x v="1"/>
  </r>
  <r>
    <n v="1723"/>
    <d v="2024-01-30T00:00:00"/>
    <s v="Premium"/>
    <n v="699"/>
    <n v="20.8"/>
    <n v="2"/>
    <n v="0"/>
    <n v="29"/>
    <n v="60"/>
    <s v="No"/>
    <s v="No"/>
    <s v="No"/>
    <s v="No"/>
    <s v="Yes"/>
    <s v="No"/>
    <m/>
    <s v="0 Failures"/>
    <n v="0"/>
    <s v="20+ hrs"/>
    <x v="1"/>
  </r>
  <r>
    <n v="1724"/>
    <d v="2023-10-23T00:00:00"/>
    <s v="Basic"/>
    <n v="199"/>
    <n v="14.4"/>
    <n v="6"/>
    <n v="2"/>
    <n v="35"/>
    <n v="41"/>
    <s v="No"/>
    <s v="No"/>
    <s v="Yes"/>
    <s v="Yes"/>
    <s v="Yes"/>
    <s v="No"/>
    <m/>
    <s v="1+ Failures"/>
    <n v="0"/>
    <s v="10-20hrs"/>
    <x v="1"/>
  </r>
  <r>
    <n v="1725"/>
    <d v="2023-10-03T00:00:00"/>
    <s v="Basic"/>
    <n v="199"/>
    <n v="17.600000000000001"/>
    <n v="8"/>
    <n v="4"/>
    <n v="22"/>
    <n v="53"/>
    <s v="Yes"/>
    <s v="No"/>
    <s v="Yes"/>
    <s v="Yes"/>
    <s v="Yes"/>
    <s v="No"/>
    <m/>
    <s v="1+ Failures"/>
    <n v="1"/>
    <s v="10-20hrs"/>
    <x v="1"/>
  </r>
  <r>
    <n v="1726"/>
    <d v="2023-04-29T00:00:00"/>
    <s v="Basic"/>
    <n v="199"/>
    <n v="19.399999999999999"/>
    <n v="4"/>
    <n v="1"/>
    <n v="33"/>
    <n v="29"/>
    <s v="Yes"/>
    <s v="No"/>
    <s v="Yes"/>
    <s v="No"/>
    <s v="Yes"/>
    <s v="No"/>
    <m/>
    <s v="1+ Failures"/>
    <n v="1"/>
    <s v="10-20hrs"/>
    <x v="1"/>
  </r>
  <r>
    <n v="1727"/>
    <d v="2024-01-22T00:00:00"/>
    <s v="Premium"/>
    <n v="699"/>
    <n v="12.1"/>
    <n v="7"/>
    <n v="4"/>
    <n v="12"/>
    <n v="20"/>
    <s v="Yes"/>
    <s v="No"/>
    <s v="Yes"/>
    <s v="Yes"/>
    <s v="Yes"/>
    <s v="No"/>
    <m/>
    <s v="1+ Failures"/>
    <n v="1"/>
    <s v="10-20hrs"/>
    <x v="0"/>
  </r>
  <r>
    <n v="1728"/>
    <d v="2023-01-09T00:00:00"/>
    <s v="Premium"/>
    <n v="699"/>
    <n v="8.4"/>
    <n v="1"/>
    <n v="5"/>
    <n v="3"/>
    <n v="22"/>
    <s v="No"/>
    <s v="No"/>
    <s v="Yes"/>
    <s v="No"/>
    <s v="Yes"/>
    <s v="Yes"/>
    <m/>
    <s v="1+ Failures"/>
    <n v="0"/>
    <s v="5-10 hrs"/>
    <x v="2"/>
  </r>
  <r>
    <n v="1729"/>
    <d v="2024-01-02T00:00:00"/>
    <s v="Basic"/>
    <n v="199"/>
    <n v="12.1"/>
    <n v="5"/>
    <n v="5"/>
    <n v="27"/>
    <n v="57"/>
    <s v="Yes"/>
    <s v="No"/>
    <s v="Yes"/>
    <s v="Yes"/>
    <s v="Yes"/>
    <s v="No"/>
    <m/>
    <s v="1+ Failures"/>
    <n v="1"/>
    <s v="10-20hrs"/>
    <x v="1"/>
  </r>
  <r>
    <n v="1730"/>
    <d v="2024-04-12T00:00:00"/>
    <s v="Standard"/>
    <n v="399"/>
    <n v="11.9"/>
    <n v="2"/>
    <n v="0"/>
    <n v="11"/>
    <n v="28"/>
    <s v="No"/>
    <s v="No"/>
    <s v="No"/>
    <s v="No"/>
    <s v="Yes"/>
    <s v="No"/>
    <m/>
    <s v="0 Failures"/>
    <n v="0"/>
    <s v="10-20hrs"/>
    <x v="0"/>
  </r>
  <r>
    <n v="1731"/>
    <d v="2024-09-07T00:00:00"/>
    <s v="Premium"/>
    <n v="699"/>
    <n v="18.399999999999999"/>
    <n v="7"/>
    <n v="1"/>
    <n v="28"/>
    <n v="16"/>
    <s v="No"/>
    <s v="No"/>
    <s v="Yes"/>
    <s v="Yes"/>
    <s v="Yes"/>
    <s v="No"/>
    <m/>
    <s v="1+ Failures"/>
    <n v="0"/>
    <s v="10-20hrs"/>
    <x v="1"/>
  </r>
  <r>
    <n v="1732"/>
    <d v="2024-06-03T00:00:00"/>
    <s v="Standard"/>
    <n v="399"/>
    <n v="17.100000000000001"/>
    <n v="4"/>
    <n v="0"/>
    <n v="31"/>
    <n v="59"/>
    <s v="No"/>
    <s v="No"/>
    <s v="No"/>
    <s v="No"/>
    <s v="Yes"/>
    <s v="No"/>
    <m/>
    <s v="0 Failures"/>
    <n v="0"/>
    <s v="10-20hrs"/>
    <x v="1"/>
  </r>
  <r>
    <n v="1733"/>
    <d v="2023-06-17T00:00:00"/>
    <s v="Basic"/>
    <n v="199"/>
    <n v="10.9"/>
    <n v="4"/>
    <n v="4"/>
    <n v="27"/>
    <n v="25"/>
    <s v="Yes"/>
    <s v="No"/>
    <s v="Yes"/>
    <s v="No"/>
    <s v="Yes"/>
    <s v="No"/>
    <m/>
    <s v="1+ Failures"/>
    <n v="1"/>
    <s v="10-20hrs"/>
    <x v="1"/>
  </r>
  <r>
    <n v="1734"/>
    <d v="2023-05-23T00:00:00"/>
    <s v="Premium"/>
    <n v="699"/>
    <n v="23.1"/>
    <n v="8"/>
    <n v="1"/>
    <n v="11"/>
    <n v="60"/>
    <s v="No"/>
    <s v="No"/>
    <s v="Yes"/>
    <s v="Yes"/>
    <s v="Yes"/>
    <s v="No"/>
    <m/>
    <s v="1+ Failures"/>
    <n v="0"/>
    <s v="20+ hrs"/>
    <x v="0"/>
  </r>
  <r>
    <n v="1735"/>
    <d v="2023-05-25T00:00:00"/>
    <s v="Basic"/>
    <n v="199"/>
    <n v="19.8"/>
    <n v="0"/>
    <n v="0"/>
    <n v="22"/>
    <n v="19"/>
    <s v="No"/>
    <s v="No"/>
    <s v="No"/>
    <s v="No"/>
    <s v="Yes"/>
    <s v="No"/>
    <m/>
    <s v="0 Failures"/>
    <n v="0"/>
    <s v="10-20hrs"/>
    <x v="1"/>
  </r>
  <r>
    <n v="1736"/>
    <d v="2023-06-26T00:00:00"/>
    <s v="Standard"/>
    <n v="399"/>
    <n v="10.199999999999999"/>
    <n v="7"/>
    <n v="0"/>
    <n v="30"/>
    <n v="42"/>
    <s v="Yes"/>
    <s v="No"/>
    <s v="No"/>
    <s v="Yes"/>
    <s v="Yes"/>
    <s v="No"/>
    <m/>
    <s v="0 Failures"/>
    <n v="1"/>
    <s v="10-20hrs"/>
    <x v="1"/>
  </r>
  <r>
    <n v="1737"/>
    <d v="2023-09-08T00:00:00"/>
    <s v="Standard"/>
    <n v="399"/>
    <n v="2.5"/>
    <n v="3"/>
    <n v="1"/>
    <n v="20"/>
    <n v="27"/>
    <s v="Yes"/>
    <s v="Yes"/>
    <s v="Yes"/>
    <s v="No"/>
    <s v="Yes"/>
    <s v="No"/>
    <m/>
    <s v="1+ Failures"/>
    <n v="1"/>
    <s v="0-5 hrs"/>
    <x v="1"/>
  </r>
  <r>
    <n v="1738"/>
    <d v="2023-04-13T00:00:00"/>
    <s v="Basic"/>
    <n v="199"/>
    <n v="21.2"/>
    <n v="5"/>
    <n v="0"/>
    <n v="36"/>
    <n v="30"/>
    <s v="Yes"/>
    <s v="No"/>
    <s v="No"/>
    <s v="Yes"/>
    <s v="Yes"/>
    <s v="No"/>
    <m/>
    <s v="0 Failures"/>
    <n v="1"/>
    <s v="20+ hrs"/>
    <x v="1"/>
  </r>
  <r>
    <n v="1739"/>
    <d v="2024-04-19T00:00:00"/>
    <s v="Standard"/>
    <n v="399"/>
    <n v="17.3"/>
    <n v="3"/>
    <n v="3"/>
    <n v="36"/>
    <n v="42"/>
    <s v="Yes"/>
    <s v="No"/>
    <s v="Yes"/>
    <s v="No"/>
    <s v="Yes"/>
    <s v="No"/>
    <m/>
    <s v="1+ Failures"/>
    <n v="1"/>
    <s v="10-20hrs"/>
    <x v="1"/>
  </r>
  <r>
    <n v="1740"/>
    <d v="2023-05-17T00:00:00"/>
    <s v="Premium"/>
    <n v="699"/>
    <n v="19.2"/>
    <n v="1"/>
    <n v="3"/>
    <n v="16"/>
    <n v="8"/>
    <s v="Yes"/>
    <s v="No"/>
    <s v="Yes"/>
    <s v="No"/>
    <s v="No"/>
    <s v="No"/>
    <m/>
    <s v="1+ Failures"/>
    <n v="1"/>
    <s v="10-20hrs"/>
    <x v="1"/>
  </r>
  <r>
    <n v="1741"/>
    <d v="2023-12-22T00:00:00"/>
    <s v="Standard"/>
    <n v="399"/>
    <n v="22.5"/>
    <n v="6"/>
    <n v="4"/>
    <n v="21"/>
    <n v="25"/>
    <s v="Yes"/>
    <s v="No"/>
    <s v="Yes"/>
    <s v="Yes"/>
    <s v="Yes"/>
    <s v="No"/>
    <m/>
    <s v="1+ Failures"/>
    <n v="1"/>
    <s v="20+ hrs"/>
    <x v="1"/>
  </r>
  <r>
    <n v="1742"/>
    <d v="2024-05-28T00:00:00"/>
    <s v="Standard"/>
    <n v="399"/>
    <n v="5.9"/>
    <n v="2"/>
    <n v="1"/>
    <n v="2"/>
    <n v="23"/>
    <s v="No"/>
    <s v="No"/>
    <s v="Yes"/>
    <s v="No"/>
    <s v="Yes"/>
    <s v="Yes"/>
    <m/>
    <s v="1+ Failures"/>
    <n v="0"/>
    <s v="5-10 hrs"/>
    <x v="2"/>
  </r>
  <r>
    <n v="1743"/>
    <d v="2023-08-05T00:00:00"/>
    <s v="Basic"/>
    <n v="199"/>
    <n v="22.9"/>
    <n v="3"/>
    <n v="1"/>
    <n v="26"/>
    <n v="31"/>
    <s v="Yes"/>
    <s v="No"/>
    <s v="Yes"/>
    <s v="No"/>
    <s v="Yes"/>
    <s v="No"/>
    <m/>
    <s v="1+ Failures"/>
    <n v="1"/>
    <s v="20+ hrs"/>
    <x v="1"/>
  </r>
  <r>
    <n v="1744"/>
    <d v="2023-10-19T00:00:00"/>
    <s v="Standard"/>
    <n v="399"/>
    <n v="2.8"/>
    <n v="6"/>
    <n v="5"/>
    <n v="28"/>
    <n v="11"/>
    <s v="Yes"/>
    <s v="Yes"/>
    <s v="Yes"/>
    <s v="Yes"/>
    <s v="No"/>
    <s v="No"/>
    <m/>
    <s v="1+ Failures"/>
    <n v="1"/>
    <s v="0-5 hrs"/>
    <x v="1"/>
  </r>
  <r>
    <n v="1745"/>
    <d v="2024-03-07T00:00:00"/>
    <s v="Standard"/>
    <n v="399"/>
    <n v="17"/>
    <n v="7"/>
    <n v="0"/>
    <n v="25"/>
    <n v="16"/>
    <s v="No"/>
    <s v="No"/>
    <s v="No"/>
    <s v="Yes"/>
    <s v="Yes"/>
    <s v="No"/>
    <m/>
    <s v="0 Failures"/>
    <n v="0"/>
    <s v="10-20hrs"/>
    <x v="1"/>
  </r>
  <r>
    <n v="1746"/>
    <d v="2023-12-21T00:00:00"/>
    <s v="Basic"/>
    <n v="199"/>
    <n v="10.3"/>
    <n v="8"/>
    <n v="0"/>
    <n v="11"/>
    <n v="29"/>
    <s v="No"/>
    <s v="No"/>
    <s v="No"/>
    <s v="Yes"/>
    <s v="Yes"/>
    <s v="No"/>
    <m/>
    <s v="0 Failures"/>
    <n v="0"/>
    <s v="10-20hrs"/>
    <x v="0"/>
  </r>
  <r>
    <n v="1747"/>
    <d v="2024-08-11T00:00:00"/>
    <s v="Premium"/>
    <n v="699"/>
    <n v="16.600000000000001"/>
    <n v="6"/>
    <n v="0"/>
    <n v="7"/>
    <n v="10"/>
    <s v="No"/>
    <s v="No"/>
    <s v="No"/>
    <s v="Yes"/>
    <s v="No"/>
    <s v="No"/>
    <m/>
    <s v="0 Failures"/>
    <n v="0"/>
    <s v="10-20hrs"/>
    <x v="0"/>
  </r>
  <r>
    <n v="1748"/>
    <d v="2024-02-16T00:00:00"/>
    <s v="Premium"/>
    <n v="699"/>
    <n v="17.3"/>
    <n v="0"/>
    <n v="3"/>
    <n v="25"/>
    <n v="41"/>
    <s v="No"/>
    <s v="No"/>
    <s v="Yes"/>
    <s v="No"/>
    <s v="Yes"/>
    <s v="No"/>
    <m/>
    <s v="1+ Failures"/>
    <n v="0"/>
    <s v="10-20hrs"/>
    <x v="1"/>
  </r>
  <r>
    <n v="1749"/>
    <d v="2024-04-06T00:00:00"/>
    <s v="Standard"/>
    <n v="399"/>
    <n v="7.9"/>
    <n v="4"/>
    <n v="5"/>
    <n v="4"/>
    <n v="40"/>
    <s v="Yes"/>
    <s v="No"/>
    <s v="Yes"/>
    <s v="No"/>
    <s v="Yes"/>
    <s v="Yes"/>
    <m/>
    <s v="1+ Failures"/>
    <n v="1"/>
    <s v="5-10 hrs"/>
    <x v="3"/>
  </r>
  <r>
    <n v="1750"/>
    <d v="2023-07-03T00:00:00"/>
    <s v="Premium"/>
    <n v="699"/>
    <n v="19.600000000000001"/>
    <n v="5"/>
    <n v="4"/>
    <n v="24"/>
    <n v="23"/>
    <s v="Yes"/>
    <s v="No"/>
    <s v="Yes"/>
    <s v="Yes"/>
    <s v="Yes"/>
    <s v="No"/>
    <m/>
    <s v="1+ Failures"/>
    <n v="1"/>
    <s v="10-20hrs"/>
    <x v="1"/>
  </r>
  <r>
    <n v="1751"/>
    <d v="2024-12-25T00:00:00"/>
    <s v="Standard"/>
    <n v="399"/>
    <n v="19.100000000000001"/>
    <n v="1"/>
    <n v="1"/>
    <n v="35"/>
    <n v="0"/>
    <s v="No"/>
    <s v="No"/>
    <s v="Yes"/>
    <s v="No"/>
    <s v="No"/>
    <s v="No"/>
    <m/>
    <s v="1+ Failures"/>
    <n v="0"/>
    <s v="10-20hrs"/>
    <x v="1"/>
  </r>
  <r>
    <n v="1752"/>
    <d v="2023-02-10T00:00:00"/>
    <s v="Premium"/>
    <n v="699"/>
    <n v="5.3"/>
    <n v="7"/>
    <n v="3"/>
    <n v="17"/>
    <n v="3"/>
    <s v="Yes"/>
    <s v="No"/>
    <s v="Yes"/>
    <s v="Yes"/>
    <s v="No"/>
    <s v="No"/>
    <m/>
    <s v="1+ Failures"/>
    <n v="1"/>
    <s v="5-10 hrs"/>
    <x v="1"/>
  </r>
  <r>
    <n v="1753"/>
    <d v="2024-03-11T00:00:00"/>
    <s v="Basic"/>
    <n v="199"/>
    <n v="11.8"/>
    <n v="0"/>
    <n v="4"/>
    <n v="32"/>
    <n v="43"/>
    <s v="Yes"/>
    <s v="No"/>
    <s v="Yes"/>
    <s v="No"/>
    <s v="Yes"/>
    <s v="No"/>
    <m/>
    <s v="1+ Failures"/>
    <n v="1"/>
    <s v="10-20hrs"/>
    <x v="1"/>
  </r>
  <r>
    <n v="1754"/>
    <d v="2024-01-01T00:00:00"/>
    <s v="Standard"/>
    <n v="399"/>
    <n v="19.3"/>
    <n v="0"/>
    <n v="4"/>
    <n v="19"/>
    <n v="17"/>
    <s v="Yes"/>
    <s v="No"/>
    <s v="Yes"/>
    <s v="No"/>
    <s v="Yes"/>
    <s v="No"/>
    <m/>
    <s v="1+ Failures"/>
    <n v="1"/>
    <s v="10-20hrs"/>
    <x v="1"/>
  </r>
  <r>
    <n v="1755"/>
    <d v="2024-01-01T00:00:00"/>
    <s v="Standard"/>
    <n v="399"/>
    <n v="11.4"/>
    <n v="4"/>
    <n v="5"/>
    <n v="2"/>
    <n v="2"/>
    <s v="No"/>
    <s v="No"/>
    <s v="Yes"/>
    <s v="No"/>
    <s v="No"/>
    <s v="Yes"/>
    <m/>
    <s v="1+ Failures"/>
    <n v="0"/>
    <s v="10-20hrs"/>
    <x v="2"/>
  </r>
  <r>
    <n v="1756"/>
    <d v="2023-04-07T00:00:00"/>
    <s v="Premium"/>
    <n v="699"/>
    <n v="13.5"/>
    <n v="6"/>
    <n v="1"/>
    <n v="3"/>
    <n v="11"/>
    <s v="Yes"/>
    <s v="No"/>
    <s v="Yes"/>
    <s v="Yes"/>
    <s v="No"/>
    <s v="Yes"/>
    <m/>
    <s v="1+ Failures"/>
    <n v="1"/>
    <s v="10-20hrs"/>
    <x v="2"/>
  </r>
  <r>
    <n v="1757"/>
    <d v="2024-12-06T00:00:00"/>
    <s v="Basic"/>
    <n v="199"/>
    <n v="16"/>
    <n v="6"/>
    <n v="2"/>
    <n v="10"/>
    <n v="22"/>
    <s v="No"/>
    <s v="No"/>
    <s v="Yes"/>
    <s v="Yes"/>
    <s v="Yes"/>
    <s v="No"/>
    <m/>
    <s v="1+ Failures"/>
    <n v="0"/>
    <s v="10-20hrs"/>
    <x v="0"/>
  </r>
  <r>
    <n v="1758"/>
    <d v="2023-12-01T00:00:00"/>
    <s v="Premium"/>
    <n v="699"/>
    <n v="23"/>
    <n v="8"/>
    <n v="4"/>
    <n v="16"/>
    <n v="29"/>
    <s v="Yes"/>
    <s v="No"/>
    <s v="Yes"/>
    <s v="Yes"/>
    <s v="Yes"/>
    <s v="No"/>
    <m/>
    <s v="1+ Failures"/>
    <n v="1"/>
    <s v="20+ hrs"/>
    <x v="1"/>
  </r>
  <r>
    <n v="1759"/>
    <d v="2023-03-22T00:00:00"/>
    <s v="Standard"/>
    <n v="399"/>
    <n v="4.0999999999999996"/>
    <n v="1"/>
    <n v="3"/>
    <n v="3"/>
    <n v="32"/>
    <s v="No"/>
    <s v="Yes"/>
    <s v="Yes"/>
    <s v="No"/>
    <s v="Yes"/>
    <s v="Yes"/>
    <m/>
    <s v="1+ Failures"/>
    <n v="0"/>
    <s v="0-5 hrs"/>
    <x v="2"/>
  </r>
  <r>
    <n v="1760"/>
    <d v="2024-10-30T00:00:00"/>
    <s v="Standard"/>
    <n v="399"/>
    <n v="10.9"/>
    <n v="0"/>
    <n v="1"/>
    <n v="20"/>
    <n v="60"/>
    <s v="No"/>
    <s v="No"/>
    <s v="Yes"/>
    <s v="No"/>
    <s v="Yes"/>
    <s v="No"/>
    <m/>
    <s v="1+ Failures"/>
    <n v="0"/>
    <s v="10-20hrs"/>
    <x v="1"/>
  </r>
  <r>
    <n v="1761"/>
    <d v="2023-09-25T00:00:00"/>
    <s v="Premium"/>
    <n v="699"/>
    <n v="21"/>
    <n v="6"/>
    <n v="0"/>
    <n v="6"/>
    <n v="50"/>
    <s v="Yes"/>
    <s v="No"/>
    <s v="No"/>
    <s v="Yes"/>
    <s v="Yes"/>
    <s v="No"/>
    <m/>
    <s v="0 Failures"/>
    <n v="1"/>
    <s v="20+ hrs"/>
    <x v="3"/>
  </r>
  <r>
    <n v="1762"/>
    <d v="2024-08-10T00:00:00"/>
    <s v="Standard"/>
    <n v="399"/>
    <n v="13.7"/>
    <n v="3"/>
    <n v="5"/>
    <n v="33"/>
    <n v="51"/>
    <s v="Yes"/>
    <s v="No"/>
    <s v="Yes"/>
    <s v="No"/>
    <s v="Yes"/>
    <s v="No"/>
    <m/>
    <s v="1+ Failures"/>
    <n v="1"/>
    <s v="10-20hrs"/>
    <x v="1"/>
  </r>
  <r>
    <n v="1763"/>
    <d v="2023-07-10T00:00:00"/>
    <s v="Standard"/>
    <n v="399"/>
    <n v="19.100000000000001"/>
    <n v="6"/>
    <n v="2"/>
    <n v="14"/>
    <n v="47"/>
    <s v="Yes"/>
    <s v="No"/>
    <s v="Yes"/>
    <s v="Yes"/>
    <s v="Yes"/>
    <s v="No"/>
    <m/>
    <s v="1+ Failures"/>
    <n v="1"/>
    <s v="10-20hrs"/>
    <x v="1"/>
  </r>
  <r>
    <n v="1764"/>
    <d v="2023-01-06T00:00:00"/>
    <s v="Standard"/>
    <n v="399"/>
    <n v="17"/>
    <n v="6"/>
    <n v="1"/>
    <n v="33"/>
    <n v="43"/>
    <s v="Yes"/>
    <s v="No"/>
    <s v="Yes"/>
    <s v="Yes"/>
    <s v="Yes"/>
    <s v="No"/>
    <m/>
    <s v="1+ Failures"/>
    <n v="1"/>
    <s v="10-20hrs"/>
    <x v="1"/>
  </r>
  <r>
    <n v="1765"/>
    <d v="2024-04-18T00:00:00"/>
    <s v="Standard"/>
    <n v="399"/>
    <n v="1"/>
    <n v="6"/>
    <n v="5"/>
    <n v="14"/>
    <n v="8"/>
    <s v="Yes"/>
    <s v="Yes"/>
    <s v="Yes"/>
    <s v="Yes"/>
    <s v="No"/>
    <s v="No"/>
    <m/>
    <s v="1+ Failures"/>
    <n v="1"/>
    <s v="0-5 hrs"/>
    <x v="1"/>
  </r>
  <r>
    <n v="1766"/>
    <d v="2023-03-07T00:00:00"/>
    <s v="Premium"/>
    <n v="699"/>
    <n v="2.9"/>
    <n v="3"/>
    <n v="0"/>
    <n v="21"/>
    <n v="45"/>
    <s v="Yes"/>
    <s v="Yes"/>
    <s v="No"/>
    <s v="No"/>
    <s v="Yes"/>
    <s v="No"/>
    <m/>
    <s v="0 Failures"/>
    <n v="1"/>
    <s v="0-5 hrs"/>
    <x v="1"/>
  </r>
  <r>
    <n v="1767"/>
    <d v="2023-12-03T00:00:00"/>
    <s v="Premium"/>
    <n v="699"/>
    <n v="18.3"/>
    <n v="7"/>
    <n v="4"/>
    <n v="19"/>
    <n v="26"/>
    <s v="Yes"/>
    <s v="No"/>
    <s v="Yes"/>
    <s v="Yes"/>
    <s v="Yes"/>
    <s v="No"/>
    <m/>
    <s v="1+ Failures"/>
    <n v="1"/>
    <s v="10-20hrs"/>
    <x v="1"/>
  </r>
  <r>
    <n v="1768"/>
    <d v="2023-12-21T00:00:00"/>
    <s v="Premium"/>
    <n v="699"/>
    <n v="12.2"/>
    <n v="8"/>
    <n v="0"/>
    <n v="25"/>
    <n v="21"/>
    <s v="Yes"/>
    <s v="No"/>
    <s v="No"/>
    <s v="Yes"/>
    <s v="Yes"/>
    <s v="No"/>
    <m/>
    <s v="0 Failures"/>
    <n v="1"/>
    <s v="10-20hrs"/>
    <x v="1"/>
  </r>
  <r>
    <n v="1769"/>
    <d v="2024-11-20T00:00:00"/>
    <s v="Standard"/>
    <n v="399"/>
    <n v="11.8"/>
    <n v="7"/>
    <n v="1"/>
    <n v="10"/>
    <n v="34"/>
    <s v="No"/>
    <s v="No"/>
    <s v="Yes"/>
    <s v="Yes"/>
    <s v="Yes"/>
    <s v="No"/>
    <m/>
    <s v="1+ Failures"/>
    <n v="0"/>
    <s v="10-20hrs"/>
    <x v="0"/>
  </r>
  <r>
    <n v="1770"/>
    <d v="2023-12-20T00:00:00"/>
    <s v="Standard"/>
    <n v="399"/>
    <n v="10.4"/>
    <n v="1"/>
    <n v="5"/>
    <n v="17"/>
    <n v="31"/>
    <s v="Yes"/>
    <s v="No"/>
    <s v="Yes"/>
    <s v="No"/>
    <s v="Yes"/>
    <s v="No"/>
    <m/>
    <s v="1+ Failures"/>
    <n v="1"/>
    <s v="10-20hrs"/>
    <x v="1"/>
  </r>
  <r>
    <n v="1771"/>
    <d v="2023-11-19T00:00:00"/>
    <s v="Basic"/>
    <n v="199"/>
    <n v="18.8"/>
    <n v="8"/>
    <n v="2"/>
    <n v="14"/>
    <n v="19"/>
    <s v="Yes"/>
    <s v="No"/>
    <s v="Yes"/>
    <s v="Yes"/>
    <s v="Yes"/>
    <s v="No"/>
    <m/>
    <s v="1+ Failures"/>
    <n v="1"/>
    <s v="10-20hrs"/>
    <x v="1"/>
  </r>
  <r>
    <n v="1772"/>
    <d v="2024-03-01T00:00:00"/>
    <s v="Standard"/>
    <n v="399"/>
    <n v="1.2"/>
    <n v="2"/>
    <n v="4"/>
    <n v="30"/>
    <n v="22"/>
    <s v="Yes"/>
    <s v="Yes"/>
    <s v="Yes"/>
    <s v="No"/>
    <s v="Yes"/>
    <s v="No"/>
    <m/>
    <s v="1+ Failures"/>
    <n v="1"/>
    <s v="0-5 hrs"/>
    <x v="1"/>
  </r>
  <r>
    <n v="1773"/>
    <d v="2023-05-15T00:00:00"/>
    <s v="Basic"/>
    <n v="199"/>
    <n v="14.1"/>
    <n v="7"/>
    <n v="1"/>
    <n v="19"/>
    <n v="24"/>
    <s v="No"/>
    <s v="No"/>
    <s v="Yes"/>
    <s v="Yes"/>
    <s v="Yes"/>
    <s v="No"/>
    <m/>
    <s v="1+ Failures"/>
    <n v="0"/>
    <s v="10-20hrs"/>
    <x v="1"/>
  </r>
  <r>
    <n v="1774"/>
    <d v="2023-07-02T00:00:00"/>
    <s v="Standard"/>
    <n v="399"/>
    <n v="2.9"/>
    <n v="3"/>
    <n v="1"/>
    <n v="8"/>
    <n v="7"/>
    <s v="No"/>
    <s v="Yes"/>
    <s v="Yes"/>
    <s v="No"/>
    <s v="No"/>
    <s v="No"/>
    <m/>
    <s v="1+ Failures"/>
    <n v="0"/>
    <s v="0-5 hrs"/>
    <x v="0"/>
  </r>
  <r>
    <n v="1775"/>
    <d v="2023-10-13T00:00:00"/>
    <s v="Basic"/>
    <n v="199"/>
    <n v="14"/>
    <n v="5"/>
    <n v="1"/>
    <n v="26"/>
    <n v="26"/>
    <s v="No"/>
    <s v="No"/>
    <s v="Yes"/>
    <s v="Yes"/>
    <s v="Yes"/>
    <s v="No"/>
    <m/>
    <s v="1+ Failures"/>
    <n v="0"/>
    <s v="10-20hrs"/>
    <x v="1"/>
  </r>
  <r>
    <n v="1776"/>
    <d v="2023-08-19T00:00:00"/>
    <s v="Standard"/>
    <n v="399"/>
    <n v="15.9"/>
    <n v="5"/>
    <n v="4"/>
    <n v="24"/>
    <n v="34"/>
    <s v="Yes"/>
    <s v="No"/>
    <s v="Yes"/>
    <s v="Yes"/>
    <s v="Yes"/>
    <s v="No"/>
    <m/>
    <s v="1+ Failures"/>
    <n v="1"/>
    <s v="10-20hrs"/>
    <x v="1"/>
  </r>
  <r>
    <n v="1777"/>
    <d v="2023-07-01T00:00:00"/>
    <s v="Standard"/>
    <n v="399"/>
    <n v="19"/>
    <n v="4"/>
    <n v="3"/>
    <n v="32"/>
    <n v="10"/>
    <s v="No"/>
    <s v="No"/>
    <s v="Yes"/>
    <s v="No"/>
    <s v="No"/>
    <s v="No"/>
    <m/>
    <s v="1+ Failures"/>
    <n v="0"/>
    <s v="10-20hrs"/>
    <x v="1"/>
  </r>
  <r>
    <n v="1778"/>
    <d v="2023-04-11T00:00:00"/>
    <s v="Standard"/>
    <n v="399"/>
    <n v="0.6"/>
    <n v="5"/>
    <n v="3"/>
    <n v="19"/>
    <n v="41"/>
    <s v="Yes"/>
    <s v="Yes"/>
    <s v="Yes"/>
    <s v="Yes"/>
    <s v="Yes"/>
    <s v="No"/>
    <m/>
    <s v="1+ Failures"/>
    <n v="1"/>
    <s v="0-5 hrs"/>
    <x v="1"/>
  </r>
  <r>
    <n v="1779"/>
    <d v="2023-08-18T00:00:00"/>
    <s v="Standard"/>
    <n v="399"/>
    <n v="24.4"/>
    <n v="6"/>
    <n v="1"/>
    <n v="27"/>
    <n v="40"/>
    <s v="Yes"/>
    <s v="No"/>
    <s v="Yes"/>
    <s v="Yes"/>
    <s v="Yes"/>
    <s v="No"/>
    <m/>
    <s v="1+ Failures"/>
    <n v="1"/>
    <s v="20+ hrs"/>
    <x v="1"/>
  </r>
  <r>
    <n v="1780"/>
    <d v="2023-06-20T00:00:00"/>
    <s v="Basic"/>
    <n v="199"/>
    <n v="25"/>
    <n v="6"/>
    <n v="0"/>
    <n v="33"/>
    <n v="20"/>
    <s v="No"/>
    <s v="No"/>
    <s v="No"/>
    <s v="Yes"/>
    <s v="Yes"/>
    <s v="No"/>
    <m/>
    <s v="0 Failures"/>
    <n v="0"/>
    <s v="20+ hrs"/>
    <x v="1"/>
  </r>
  <r>
    <n v="1781"/>
    <d v="2024-10-31T00:00:00"/>
    <s v="Premium"/>
    <n v="699"/>
    <n v="17.3"/>
    <n v="5"/>
    <n v="0"/>
    <n v="31"/>
    <n v="47"/>
    <s v="No"/>
    <s v="No"/>
    <s v="No"/>
    <s v="Yes"/>
    <s v="Yes"/>
    <s v="No"/>
    <m/>
    <s v="0 Failures"/>
    <n v="0"/>
    <s v="10-20hrs"/>
    <x v="1"/>
  </r>
  <r>
    <n v="1782"/>
    <d v="2023-09-03T00:00:00"/>
    <s v="Standard"/>
    <n v="399"/>
    <n v="13"/>
    <n v="3"/>
    <n v="1"/>
    <n v="36"/>
    <n v="29"/>
    <s v="No"/>
    <s v="No"/>
    <s v="Yes"/>
    <s v="No"/>
    <s v="Yes"/>
    <s v="No"/>
    <m/>
    <s v="1+ Failures"/>
    <n v="0"/>
    <s v="10-20hrs"/>
    <x v="1"/>
  </r>
  <r>
    <n v="1783"/>
    <d v="2023-02-01T00:00:00"/>
    <s v="Basic"/>
    <n v="199"/>
    <n v="23.5"/>
    <n v="3"/>
    <n v="2"/>
    <n v="31"/>
    <n v="8"/>
    <s v="Yes"/>
    <s v="No"/>
    <s v="Yes"/>
    <s v="No"/>
    <s v="No"/>
    <s v="No"/>
    <m/>
    <s v="1+ Failures"/>
    <n v="1"/>
    <s v="20+ hrs"/>
    <x v="1"/>
  </r>
  <r>
    <n v="1784"/>
    <d v="2024-04-17T00:00:00"/>
    <s v="Basic"/>
    <n v="199"/>
    <n v="11.8"/>
    <n v="7"/>
    <n v="1"/>
    <n v="30"/>
    <n v="50"/>
    <s v="Yes"/>
    <s v="No"/>
    <s v="Yes"/>
    <s v="Yes"/>
    <s v="Yes"/>
    <s v="No"/>
    <m/>
    <s v="1+ Failures"/>
    <n v="1"/>
    <s v="10-20hrs"/>
    <x v="1"/>
  </r>
  <r>
    <n v="1785"/>
    <d v="2023-03-13T00:00:00"/>
    <s v="Premium"/>
    <n v="699"/>
    <n v="20.2"/>
    <n v="5"/>
    <n v="1"/>
    <n v="8"/>
    <n v="15"/>
    <s v="No"/>
    <s v="No"/>
    <s v="Yes"/>
    <s v="Yes"/>
    <s v="Yes"/>
    <s v="No"/>
    <m/>
    <s v="1+ Failures"/>
    <n v="0"/>
    <s v="20+ hrs"/>
    <x v="0"/>
  </r>
  <r>
    <n v="1786"/>
    <d v="2023-03-14T00:00:00"/>
    <s v="Basic"/>
    <n v="199"/>
    <n v="17.2"/>
    <n v="6"/>
    <n v="4"/>
    <n v="3"/>
    <n v="30"/>
    <s v="No"/>
    <s v="No"/>
    <s v="Yes"/>
    <s v="Yes"/>
    <s v="Yes"/>
    <s v="Yes"/>
    <m/>
    <s v="1+ Failures"/>
    <n v="0"/>
    <s v="10-20hrs"/>
    <x v="2"/>
  </r>
  <r>
    <n v="1787"/>
    <d v="2024-10-24T00:00:00"/>
    <s v="Standard"/>
    <n v="399"/>
    <n v="22.1"/>
    <n v="8"/>
    <n v="0"/>
    <n v="17"/>
    <n v="45"/>
    <s v="No"/>
    <s v="No"/>
    <s v="No"/>
    <s v="Yes"/>
    <s v="Yes"/>
    <s v="No"/>
    <m/>
    <s v="0 Failures"/>
    <n v="0"/>
    <s v="20+ hrs"/>
    <x v="1"/>
  </r>
  <r>
    <n v="1788"/>
    <d v="2023-02-10T00:00:00"/>
    <s v="Premium"/>
    <n v="699"/>
    <n v="11.2"/>
    <n v="0"/>
    <n v="2"/>
    <n v="2"/>
    <n v="51"/>
    <s v="Yes"/>
    <s v="No"/>
    <s v="Yes"/>
    <s v="No"/>
    <s v="Yes"/>
    <s v="Yes"/>
    <m/>
    <s v="1+ Failures"/>
    <n v="1"/>
    <s v="10-20hrs"/>
    <x v="2"/>
  </r>
  <r>
    <n v="1789"/>
    <d v="2023-05-08T00:00:00"/>
    <s v="Standard"/>
    <n v="399"/>
    <n v="18.100000000000001"/>
    <n v="8"/>
    <n v="5"/>
    <n v="26"/>
    <n v="41"/>
    <s v="Yes"/>
    <s v="No"/>
    <s v="Yes"/>
    <s v="Yes"/>
    <s v="Yes"/>
    <s v="No"/>
    <m/>
    <s v="1+ Failures"/>
    <n v="1"/>
    <s v="10-20hrs"/>
    <x v="1"/>
  </r>
  <r>
    <n v="1790"/>
    <d v="2024-11-03T00:00:00"/>
    <s v="Basic"/>
    <n v="199"/>
    <n v="21.3"/>
    <n v="1"/>
    <n v="5"/>
    <n v="10"/>
    <n v="10"/>
    <s v="No"/>
    <s v="No"/>
    <s v="Yes"/>
    <s v="No"/>
    <s v="No"/>
    <s v="No"/>
    <m/>
    <s v="1+ Failures"/>
    <n v="0"/>
    <s v="20+ hrs"/>
    <x v="0"/>
  </r>
  <r>
    <n v="1791"/>
    <d v="2024-10-19T00:00:00"/>
    <s v="Standard"/>
    <n v="399"/>
    <n v="22.9"/>
    <n v="7"/>
    <n v="1"/>
    <n v="10"/>
    <n v="16"/>
    <s v="Yes"/>
    <s v="No"/>
    <s v="Yes"/>
    <s v="Yes"/>
    <s v="Yes"/>
    <s v="No"/>
    <m/>
    <s v="1+ Failures"/>
    <n v="1"/>
    <s v="20+ hrs"/>
    <x v="0"/>
  </r>
  <r>
    <n v="1792"/>
    <d v="2023-10-30T00:00:00"/>
    <s v="Premium"/>
    <n v="699"/>
    <n v="11.7"/>
    <n v="7"/>
    <n v="1"/>
    <n v="5"/>
    <n v="48"/>
    <s v="Yes"/>
    <s v="No"/>
    <s v="Yes"/>
    <s v="Yes"/>
    <s v="Yes"/>
    <s v="Yes"/>
    <m/>
    <s v="1+ Failures"/>
    <n v="1"/>
    <s v="10-20hrs"/>
    <x v="3"/>
  </r>
  <r>
    <n v="1793"/>
    <d v="2024-08-31T00:00:00"/>
    <s v="Premium"/>
    <n v="699"/>
    <n v="8.6"/>
    <n v="7"/>
    <n v="5"/>
    <n v="29"/>
    <n v="16"/>
    <s v="No"/>
    <s v="No"/>
    <s v="Yes"/>
    <s v="Yes"/>
    <s v="Yes"/>
    <s v="No"/>
    <m/>
    <s v="1+ Failures"/>
    <n v="0"/>
    <s v="5-10 hrs"/>
    <x v="1"/>
  </r>
  <r>
    <n v="1794"/>
    <d v="2024-07-31T00:00:00"/>
    <s v="Basic"/>
    <n v="199"/>
    <n v="4.0999999999999996"/>
    <n v="4"/>
    <n v="0"/>
    <n v="9"/>
    <n v="14"/>
    <s v="No"/>
    <s v="Yes"/>
    <s v="No"/>
    <s v="No"/>
    <s v="No"/>
    <s v="No"/>
    <m/>
    <s v="0 Failures"/>
    <n v="0"/>
    <s v="0-5 hrs"/>
    <x v="0"/>
  </r>
  <r>
    <n v="1795"/>
    <d v="2024-12-31T00:00:00"/>
    <s v="Standard"/>
    <n v="399"/>
    <n v="8"/>
    <n v="2"/>
    <n v="4"/>
    <n v="19"/>
    <n v="40"/>
    <s v="Yes"/>
    <s v="No"/>
    <s v="Yes"/>
    <s v="No"/>
    <s v="Yes"/>
    <s v="No"/>
    <m/>
    <s v="1+ Failures"/>
    <n v="1"/>
    <s v="5-10 hrs"/>
    <x v="1"/>
  </r>
  <r>
    <n v="1796"/>
    <d v="2024-01-29T00:00:00"/>
    <s v="Standard"/>
    <n v="399"/>
    <n v="4.3"/>
    <n v="2"/>
    <n v="1"/>
    <n v="19"/>
    <n v="38"/>
    <s v="Yes"/>
    <s v="Yes"/>
    <s v="Yes"/>
    <s v="No"/>
    <s v="Yes"/>
    <s v="No"/>
    <m/>
    <s v="1+ Failures"/>
    <n v="1"/>
    <s v="0-5 hrs"/>
    <x v="1"/>
  </r>
  <r>
    <n v="1797"/>
    <d v="2023-01-13T00:00:00"/>
    <s v="Standard"/>
    <n v="399"/>
    <n v="1.2"/>
    <n v="3"/>
    <n v="4"/>
    <n v="15"/>
    <n v="19"/>
    <s v="Yes"/>
    <s v="Yes"/>
    <s v="Yes"/>
    <s v="No"/>
    <s v="Yes"/>
    <s v="No"/>
    <m/>
    <s v="1+ Failures"/>
    <n v="1"/>
    <s v="0-5 hrs"/>
    <x v="1"/>
  </r>
  <r>
    <n v="1798"/>
    <d v="2023-06-24T00:00:00"/>
    <s v="Standard"/>
    <n v="399"/>
    <n v="18.2"/>
    <n v="8"/>
    <n v="3"/>
    <n v="24"/>
    <n v="30"/>
    <s v="Yes"/>
    <s v="No"/>
    <s v="Yes"/>
    <s v="Yes"/>
    <s v="Yes"/>
    <s v="No"/>
    <m/>
    <s v="1+ Failures"/>
    <n v="1"/>
    <s v="10-20hrs"/>
    <x v="1"/>
  </r>
  <r>
    <n v="1799"/>
    <d v="2024-05-11T00:00:00"/>
    <s v="Standard"/>
    <n v="399"/>
    <n v="14.9"/>
    <n v="8"/>
    <n v="2"/>
    <n v="10"/>
    <n v="33"/>
    <s v="Yes"/>
    <s v="No"/>
    <s v="Yes"/>
    <s v="Yes"/>
    <s v="Yes"/>
    <s v="No"/>
    <m/>
    <s v="1+ Failures"/>
    <n v="1"/>
    <s v="10-20hrs"/>
    <x v="0"/>
  </r>
  <r>
    <n v="1800"/>
    <d v="2023-01-15T00:00:00"/>
    <s v="Premium"/>
    <n v="699"/>
    <n v="21.8"/>
    <n v="7"/>
    <n v="1"/>
    <n v="11"/>
    <n v="30"/>
    <s v="No"/>
    <s v="No"/>
    <s v="Yes"/>
    <s v="Yes"/>
    <s v="Yes"/>
    <s v="No"/>
    <m/>
    <s v="1+ Failures"/>
    <n v="0"/>
    <s v="20+ hrs"/>
    <x v="0"/>
  </r>
  <r>
    <n v="1801"/>
    <d v="2024-09-15T00:00:00"/>
    <s v="Premium"/>
    <n v="699"/>
    <n v="8.9"/>
    <n v="4"/>
    <n v="1"/>
    <n v="5"/>
    <n v="14"/>
    <s v="Yes"/>
    <s v="No"/>
    <s v="Yes"/>
    <s v="No"/>
    <s v="No"/>
    <s v="Yes"/>
    <m/>
    <s v="1+ Failures"/>
    <n v="1"/>
    <s v="5-10 hrs"/>
    <x v="3"/>
  </r>
  <r>
    <n v="1802"/>
    <d v="2024-10-15T00:00:00"/>
    <s v="Premium"/>
    <n v="699"/>
    <n v="16.399999999999999"/>
    <n v="5"/>
    <n v="3"/>
    <n v="8"/>
    <n v="29"/>
    <s v="Yes"/>
    <s v="No"/>
    <s v="Yes"/>
    <s v="Yes"/>
    <s v="Yes"/>
    <s v="No"/>
    <m/>
    <s v="1+ Failures"/>
    <n v="1"/>
    <s v="10-20hrs"/>
    <x v="0"/>
  </r>
  <r>
    <n v="1803"/>
    <d v="2024-10-03T00:00:00"/>
    <s v="Basic"/>
    <n v="199"/>
    <n v="22.5"/>
    <n v="3"/>
    <n v="2"/>
    <n v="34"/>
    <n v="42"/>
    <s v="Yes"/>
    <s v="No"/>
    <s v="Yes"/>
    <s v="No"/>
    <s v="Yes"/>
    <s v="No"/>
    <m/>
    <s v="1+ Failures"/>
    <n v="1"/>
    <s v="20+ hrs"/>
    <x v="1"/>
  </r>
  <r>
    <n v="1804"/>
    <d v="2024-07-04T00:00:00"/>
    <s v="Basic"/>
    <n v="199"/>
    <n v="12.9"/>
    <n v="4"/>
    <n v="4"/>
    <n v="22"/>
    <n v="34"/>
    <s v="No"/>
    <s v="No"/>
    <s v="Yes"/>
    <s v="No"/>
    <s v="Yes"/>
    <s v="No"/>
    <m/>
    <s v="1+ Failures"/>
    <n v="0"/>
    <s v="10-20hrs"/>
    <x v="1"/>
  </r>
  <r>
    <n v="1805"/>
    <d v="2023-07-07T00:00:00"/>
    <s v="Basic"/>
    <n v="199"/>
    <n v="11.4"/>
    <n v="8"/>
    <n v="1"/>
    <n v="4"/>
    <n v="15"/>
    <s v="No"/>
    <s v="No"/>
    <s v="Yes"/>
    <s v="Yes"/>
    <s v="Yes"/>
    <s v="Yes"/>
    <m/>
    <s v="1+ Failures"/>
    <n v="0"/>
    <s v="10-20hrs"/>
    <x v="3"/>
  </r>
  <r>
    <n v="1806"/>
    <d v="2023-09-30T00:00:00"/>
    <s v="Premium"/>
    <n v="699"/>
    <n v="6.1"/>
    <n v="7"/>
    <n v="1"/>
    <n v="16"/>
    <n v="2"/>
    <s v="No"/>
    <s v="No"/>
    <s v="Yes"/>
    <s v="Yes"/>
    <s v="No"/>
    <s v="No"/>
    <m/>
    <s v="1+ Failures"/>
    <n v="0"/>
    <s v="5-10 hrs"/>
    <x v="1"/>
  </r>
  <r>
    <n v="1807"/>
    <d v="2023-05-16T00:00:00"/>
    <s v="Premium"/>
    <n v="699"/>
    <n v="2.7"/>
    <n v="3"/>
    <n v="5"/>
    <n v="18"/>
    <n v="53"/>
    <s v="No"/>
    <s v="Yes"/>
    <s v="Yes"/>
    <s v="No"/>
    <s v="Yes"/>
    <s v="No"/>
    <m/>
    <s v="1+ Failures"/>
    <n v="0"/>
    <s v="0-5 hrs"/>
    <x v="1"/>
  </r>
  <r>
    <n v="1808"/>
    <d v="2024-05-03T00:00:00"/>
    <s v="Premium"/>
    <n v="699"/>
    <n v="2"/>
    <n v="3"/>
    <n v="1"/>
    <n v="20"/>
    <n v="37"/>
    <s v="No"/>
    <s v="Yes"/>
    <s v="Yes"/>
    <s v="No"/>
    <s v="Yes"/>
    <s v="No"/>
    <m/>
    <s v="1+ Failures"/>
    <n v="0"/>
    <s v="0-5 hrs"/>
    <x v="1"/>
  </r>
  <r>
    <n v="1809"/>
    <d v="2023-07-21T00:00:00"/>
    <s v="Standard"/>
    <n v="399"/>
    <n v="13.7"/>
    <n v="0"/>
    <n v="2"/>
    <n v="7"/>
    <n v="50"/>
    <s v="No"/>
    <s v="No"/>
    <s v="Yes"/>
    <s v="No"/>
    <s v="Yes"/>
    <s v="No"/>
    <m/>
    <s v="1+ Failures"/>
    <n v="0"/>
    <s v="10-20hrs"/>
    <x v="0"/>
  </r>
  <r>
    <n v="1810"/>
    <d v="2023-08-09T00:00:00"/>
    <s v="Standard"/>
    <n v="399"/>
    <n v="11.3"/>
    <n v="7"/>
    <n v="1"/>
    <n v="8"/>
    <n v="6"/>
    <s v="No"/>
    <s v="No"/>
    <s v="Yes"/>
    <s v="Yes"/>
    <s v="No"/>
    <s v="No"/>
    <m/>
    <s v="1+ Failures"/>
    <n v="0"/>
    <s v="10-20hrs"/>
    <x v="0"/>
  </r>
  <r>
    <n v="1811"/>
    <d v="2023-04-25T00:00:00"/>
    <s v="Premium"/>
    <n v="699"/>
    <n v="7.8"/>
    <n v="0"/>
    <n v="4"/>
    <n v="32"/>
    <n v="27"/>
    <s v="No"/>
    <s v="No"/>
    <s v="Yes"/>
    <s v="No"/>
    <s v="Yes"/>
    <s v="No"/>
    <m/>
    <s v="1+ Failures"/>
    <n v="0"/>
    <s v="5-10 hrs"/>
    <x v="1"/>
  </r>
  <r>
    <n v="1812"/>
    <d v="2024-04-12T00:00:00"/>
    <s v="Premium"/>
    <n v="699"/>
    <n v="19.5"/>
    <n v="3"/>
    <n v="4"/>
    <n v="29"/>
    <n v="51"/>
    <s v="No"/>
    <s v="No"/>
    <s v="Yes"/>
    <s v="No"/>
    <s v="Yes"/>
    <s v="No"/>
    <m/>
    <s v="1+ Failures"/>
    <n v="0"/>
    <s v="10-20hrs"/>
    <x v="1"/>
  </r>
  <r>
    <n v="1813"/>
    <d v="2024-06-03T00:00:00"/>
    <s v="Basic"/>
    <n v="199"/>
    <n v="19"/>
    <n v="4"/>
    <n v="3"/>
    <n v="17"/>
    <n v="40"/>
    <s v="Yes"/>
    <s v="No"/>
    <s v="Yes"/>
    <s v="No"/>
    <s v="Yes"/>
    <s v="No"/>
    <m/>
    <s v="1+ Failures"/>
    <n v="1"/>
    <s v="10-20hrs"/>
    <x v="1"/>
  </r>
  <r>
    <n v="1814"/>
    <d v="2023-12-16T00:00:00"/>
    <s v="Standard"/>
    <n v="399"/>
    <n v="7.5"/>
    <n v="4"/>
    <n v="2"/>
    <n v="33"/>
    <n v="55"/>
    <s v="Yes"/>
    <s v="No"/>
    <s v="Yes"/>
    <s v="No"/>
    <s v="Yes"/>
    <s v="No"/>
    <m/>
    <s v="1+ Failures"/>
    <n v="1"/>
    <s v="5-10 hrs"/>
    <x v="1"/>
  </r>
  <r>
    <n v="1815"/>
    <d v="2024-05-14T00:00:00"/>
    <s v="Standard"/>
    <n v="399"/>
    <n v="12.8"/>
    <n v="7"/>
    <n v="0"/>
    <n v="36"/>
    <n v="48"/>
    <s v="No"/>
    <s v="No"/>
    <s v="No"/>
    <s v="Yes"/>
    <s v="Yes"/>
    <s v="No"/>
    <m/>
    <s v="0 Failures"/>
    <n v="0"/>
    <s v="10-20hrs"/>
    <x v="1"/>
  </r>
  <r>
    <n v="1816"/>
    <d v="2023-03-09T00:00:00"/>
    <s v="Basic"/>
    <n v="199"/>
    <n v="22.4"/>
    <n v="8"/>
    <n v="3"/>
    <n v="21"/>
    <n v="31"/>
    <s v="Yes"/>
    <s v="No"/>
    <s v="Yes"/>
    <s v="Yes"/>
    <s v="Yes"/>
    <s v="No"/>
    <m/>
    <s v="1+ Failures"/>
    <n v="1"/>
    <s v="20+ hrs"/>
    <x v="1"/>
  </r>
  <r>
    <n v="1817"/>
    <d v="2023-07-07T00:00:00"/>
    <s v="Standard"/>
    <n v="399"/>
    <n v="2.8"/>
    <n v="7"/>
    <n v="2"/>
    <n v="20"/>
    <n v="40"/>
    <s v="Yes"/>
    <s v="Yes"/>
    <s v="Yes"/>
    <s v="Yes"/>
    <s v="Yes"/>
    <s v="No"/>
    <m/>
    <s v="1+ Failures"/>
    <n v="1"/>
    <s v="0-5 hrs"/>
    <x v="1"/>
  </r>
  <r>
    <n v="1818"/>
    <d v="2024-06-27T00:00:00"/>
    <s v="Basic"/>
    <n v="199"/>
    <n v="19.2"/>
    <n v="3"/>
    <n v="2"/>
    <n v="7"/>
    <n v="32"/>
    <s v="Yes"/>
    <s v="No"/>
    <s v="Yes"/>
    <s v="No"/>
    <s v="Yes"/>
    <s v="No"/>
    <m/>
    <s v="1+ Failures"/>
    <n v="1"/>
    <s v="10-20hrs"/>
    <x v="0"/>
  </r>
  <r>
    <n v="1819"/>
    <d v="2023-06-10T00:00:00"/>
    <s v="Standard"/>
    <n v="399"/>
    <n v="17.3"/>
    <n v="3"/>
    <n v="4"/>
    <n v="7"/>
    <n v="43"/>
    <s v="Yes"/>
    <s v="No"/>
    <s v="Yes"/>
    <s v="No"/>
    <s v="Yes"/>
    <s v="No"/>
    <m/>
    <s v="1+ Failures"/>
    <n v="1"/>
    <s v="10-20hrs"/>
    <x v="0"/>
  </r>
  <r>
    <n v="1820"/>
    <d v="2024-06-12T00:00:00"/>
    <s v="Basic"/>
    <n v="199"/>
    <n v="19.8"/>
    <n v="2"/>
    <n v="4"/>
    <n v="26"/>
    <n v="42"/>
    <s v="Yes"/>
    <s v="No"/>
    <s v="Yes"/>
    <s v="No"/>
    <s v="Yes"/>
    <s v="No"/>
    <m/>
    <s v="1+ Failures"/>
    <n v="1"/>
    <s v="10-20hrs"/>
    <x v="1"/>
  </r>
  <r>
    <n v="1821"/>
    <d v="2023-11-07T00:00:00"/>
    <s v="Standard"/>
    <n v="399"/>
    <n v="19.600000000000001"/>
    <n v="4"/>
    <n v="1"/>
    <n v="27"/>
    <n v="59"/>
    <s v="Yes"/>
    <s v="No"/>
    <s v="Yes"/>
    <s v="No"/>
    <s v="Yes"/>
    <s v="No"/>
    <m/>
    <s v="1+ Failures"/>
    <n v="1"/>
    <s v="10-20hrs"/>
    <x v="1"/>
  </r>
  <r>
    <n v="1822"/>
    <d v="2024-03-11T00:00:00"/>
    <s v="Standard"/>
    <n v="399"/>
    <n v="8"/>
    <n v="5"/>
    <n v="5"/>
    <n v="10"/>
    <n v="20"/>
    <s v="Yes"/>
    <s v="No"/>
    <s v="Yes"/>
    <s v="Yes"/>
    <s v="Yes"/>
    <s v="No"/>
    <m/>
    <s v="1+ Failures"/>
    <n v="1"/>
    <s v="5-10 hrs"/>
    <x v="0"/>
  </r>
  <r>
    <n v="1823"/>
    <d v="2023-12-29T00:00:00"/>
    <s v="Premium"/>
    <n v="699"/>
    <n v="19.2"/>
    <n v="0"/>
    <n v="3"/>
    <n v="26"/>
    <n v="3"/>
    <s v="No"/>
    <s v="No"/>
    <s v="Yes"/>
    <s v="No"/>
    <s v="No"/>
    <s v="No"/>
    <m/>
    <s v="1+ Failures"/>
    <n v="0"/>
    <s v="10-20hrs"/>
    <x v="1"/>
  </r>
  <r>
    <n v="1824"/>
    <d v="2023-08-02T00:00:00"/>
    <s v="Premium"/>
    <n v="699"/>
    <n v="24.4"/>
    <n v="4"/>
    <n v="0"/>
    <n v="9"/>
    <n v="52"/>
    <s v="No"/>
    <s v="No"/>
    <s v="No"/>
    <s v="No"/>
    <s v="Yes"/>
    <s v="No"/>
    <m/>
    <s v="0 Failures"/>
    <n v="0"/>
    <s v="20+ hrs"/>
    <x v="0"/>
  </r>
  <r>
    <n v="1825"/>
    <d v="2024-01-27T00:00:00"/>
    <s v="Premium"/>
    <n v="699"/>
    <n v="7.7"/>
    <n v="5"/>
    <n v="0"/>
    <n v="17"/>
    <n v="20"/>
    <s v="No"/>
    <s v="No"/>
    <s v="No"/>
    <s v="Yes"/>
    <s v="Yes"/>
    <s v="No"/>
    <m/>
    <s v="0 Failures"/>
    <n v="0"/>
    <s v="5-10 hrs"/>
    <x v="1"/>
  </r>
  <r>
    <n v="1826"/>
    <d v="2023-10-08T00:00:00"/>
    <s v="Standard"/>
    <n v="399"/>
    <n v="14.2"/>
    <n v="3"/>
    <n v="1"/>
    <n v="36"/>
    <n v="39"/>
    <s v="No"/>
    <s v="No"/>
    <s v="Yes"/>
    <s v="No"/>
    <s v="Yes"/>
    <s v="No"/>
    <m/>
    <s v="1+ Failures"/>
    <n v="0"/>
    <s v="10-20hrs"/>
    <x v="1"/>
  </r>
  <r>
    <n v="1827"/>
    <d v="2024-08-30T00:00:00"/>
    <s v="Basic"/>
    <n v="199"/>
    <n v="6.5"/>
    <n v="5"/>
    <n v="5"/>
    <n v="5"/>
    <n v="30"/>
    <s v="No"/>
    <s v="No"/>
    <s v="Yes"/>
    <s v="Yes"/>
    <s v="Yes"/>
    <s v="Yes"/>
    <m/>
    <s v="1+ Failures"/>
    <n v="0"/>
    <s v="5-10 hrs"/>
    <x v="3"/>
  </r>
  <r>
    <n v="1828"/>
    <d v="2023-09-13T00:00:00"/>
    <s v="Standard"/>
    <n v="399"/>
    <n v="19.600000000000001"/>
    <n v="6"/>
    <n v="5"/>
    <n v="3"/>
    <n v="58"/>
    <s v="Yes"/>
    <s v="No"/>
    <s v="Yes"/>
    <s v="Yes"/>
    <s v="Yes"/>
    <s v="Yes"/>
    <m/>
    <s v="1+ Failures"/>
    <n v="1"/>
    <s v="10-20hrs"/>
    <x v="2"/>
  </r>
  <r>
    <n v="1829"/>
    <d v="2024-01-14T00:00:00"/>
    <s v="Standard"/>
    <n v="399"/>
    <n v="2"/>
    <n v="0"/>
    <n v="5"/>
    <n v="25"/>
    <n v="21"/>
    <s v="Yes"/>
    <s v="Yes"/>
    <s v="Yes"/>
    <s v="No"/>
    <s v="Yes"/>
    <s v="No"/>
    <m/>
    <s v="1+ Failures"/>
    <n v="1"/>
    <s v="0-5 hrs"/>
    <x v="1"/>
  </r>
  <r>
    <n v="1830"/>
    <d v="2024-02-28T00:00:00"/>
    <s v="Standard"/>
    <n v="399"/>
    <n v="3.2"/>
    <n v="2"/>
    <n v="5"/>
    <n v="19"/>
    <n v="4"/>
    <s v="Yes"/>
    <s v="Yes"/>
    <s v="Yes"/>
    <s v="No"/>
    <s v="No"/>
    <s v="No"/>
    <m/>
    <s v="1+ Failures"/>
    <n v="1"/>
    <s v="0-5 hrs"/>
    <x v="1"/>
  </r>
  <r>
    <n v="1831"/>
    <d v="2023-12-02T00:00:00"/>
    <s v="Basic"/>
    <n v="199"/>
    <n v="15"/>
    <n v="3"/>
    <n v="4"/>
    <n v="10"/>
    <n v="5"/>
    <s v="No"/>
    <s v="No"/>
    <s v="Yes"/>
    <s v="No"/>
    <s v="No"/>
    <s v="No"/>
    <m/>
    <s v="1+ Failures"/>
    <n v="0"/>
    <s v="10-20hrs"/>
    <x v="0"/>
  </r>
  <r>
    <n v="1832"/>
    <d v="2024-12-07T00:00:00"/>
    <s v="Premium"/>
    <n v="699"/>
    <n v="19.2"/>
    <n v="4"/>
    <n v="4"/>
    <n v="35"/>
    <n v="33"/>
    <s v="No"/>
    <s v="No"/>
    <s v="Yes"/>
    <s v="No"/>
    <s v="Yes"/>
    <s v="No"/>
    <m/>
    <s v="1+ Failures"/>
    <n v="0"/>
    <s v="10-20hrs"/>
    <x v="1"/>
  </r>
  <r>
    <n v="1833"/>
    <d v="2024-01-05T00:00:00"/>
    <s v="Basic"/>
    <n v="199"/>
    <n v="19.399999999999999"/>
    <n v="1"/>
    <n v="5"/>
    <n v="9"/>
    <n v="45"/>
    <s v="No"/>
    <s v="No"/>
    <s v="Yes"/>
    <s v="No"/>
    <s v="Yes"/>
    <s v="No"/>
    <m/>
    <s v="1+ Failures"/>
    <n v="0"/>
    <s v="10-20hrs"/>
    <x v="0"/>
  </r>
  <r>
    <n v="1834"/>
    <d v="2023-07-23T00:00:00"/>
    <s v="Standard"/>
    <n v="399"/>
    <n v="5"/>
    <n v="7"/>
    <n v="1"/>
    <n v="14"/>
    <n v="29"/>
    <s v="Yes"/>
    <s v="No"/>
    <s v="Yes"/>
    <s v="Yes"/>
    <s v="Yes"/>
    <s v="No"/>
    <m/>
    <s v="1+ Failures"/>
    <n v="1"/>
    <s v="0-5 hrs"/>
    <x v="1"/>
  </r>
  <r>
    <n v="1835"/>
    <d v="2024-03-13T00:00:00"/>
    <s v="Premium"/>
    <n v="699"/>
    <n v="6.8"/>
    <n v="0"/>
    <n v="1"/>
    <n v="17"/>
    <n v="7"/>
    <s v="No"/>
    <s v="No"/>
    <s v="Yes"/>
    <s v="No"/>
    <s v="No"/>
    <s v="No"/>
    <m/>
    <s v="1+ Failures"/>
    <n v="0"/>
    <s v="5-10 hrs"/>
    <x v="1"/>
  </r>
  <r>
    <n v="1836"/>
    <d v="2024-01-18T00:00:00"/>
    <s v="Standard"/>
    <n v="399"/>
    <n v="20.100000000000001"/>
    <n v="8"/>
    <n v="0"/>
    <n v="32"/>
    <n v="58"/>
    <s v="No"/>
    <s v="No"/>
    <s v="No"/>
    <s v="Yes"/>
    <s v="Yes"/>
    <s v="No"/>
    <m/>
    <s v="0 Failures"/>
    <n v="0"/>
    <s v="20+ hrs"/>
    <x v="1"/>
  </r>
  <r>
    <n v="1837"/>
    <d v="2023-10-17T00:00:00"/>
    <s v="Basic"/>
    <n v="199"/>
    <n v="24.9"/>
    <n v="8"/>
    <n v="2"/>
    <n v="28"/>
    <n v="50"/>
    <s v="Yes"/>
    <s v="No"/>
    <s v="Yes"/>
    <s v="Yes"/>
    <s v="Yes"/>
    <s v="No"/>
    <m/>
    <s v="1+ Failures"/>
    <n v="1"/>
    <s v="20+ hrs"/>
    <x v="1"/>
  </r>
  <r>
    <n v="1838"/>
    <d v="2023-04-26T00:00:00"/>
    <s v="Premium"/>
    <n v="699"/>
    <n v="16"/>
    <n v="1"/>
    <n v="4"/>
    <n v="22"/>
    <n v="5"/>
    <s v="No"/>
    <s v="No"/>
    <s v="Yes"/>
    <s v="No"/>
    <s v="No"/>
    <s v="No"/>
    <m/>
    <s v="1+ Failures"/>
    <n v="0"/>
    <s v="10-20hrs"/>
    <x v="1"/>
  </r>
  <r>
    <n v="1839"/>
    <d v="2024-10-27T00:00:00"/>
    <s v="Premium"/>
    <n v="699"/>
    <n v="20.100000000000001"/>
    <n v="1"/>
    <n v="4"/>
    <n v="11"/>
    <n v="59"/>
    <s v="Yes"/>
    <s v="No"/>
    <s v="Yes"/>
    <s v="No"/>
    <s v="Yes"/>
    <s v="No"/>
    <m/>
    <s v="1+ Failures"/>
    <n v="1"/>
    <s v="20+ hrs"/>
    <x v="0"/>
  </r>
  <r>
    <n v="1840"/>
    <d v="2023-06-05T00:00:00"/>
    <s v="Basic"/>
    <n v="199"/>
    <n v="19.3"/>
    <n v="6"/>
    <n v="2"/>
    <n v="5"/>
    <n v="29"/>
    <s v="Yes"/>
    <s v="No"/>
    <s v="Yes"/>
    <s v="Yes"/>
    <s v="Yes"/>
    <s v="Yes"/>
    <m/>
    <s v="1+ Failures"/>
    <n v="1"/>
    <s v="10-20hrs"/>
    <x v="3"/>
  </r>
  <r>
    <n v="1841"/>
    <d v="2024-03-18T00:00:00"/>
    <s v="Premium"/>
    <n v="699"/>
    <n v="2.2999999999999998"/>
    <n v="5"/>
    <n v="3"/>
    <n v="22"/>
    <n v="33"/>
    <s v="Yes"/>
    <s v="Yes"/>
    <s v="Yes"/>
    <s v="Yes"/>
    <s v="Yes"/>
    <s v="No"/>
    <m/>
    <s v="1+ Failures"/>
    <n v="1"/>
    <s v="0-5 hrs"/>
    <x v="1"/>
  </r>
  <r>
    <n v="1842"/>
    <d v="2023-01-09T00:00:00"/>
    <s v="Basic"/>
    <n v="199"/>
    <n v="14.6"/>
    <n v="0"/>
    <n v="4"/>
    <n v="26"/>
    <n v="53"/>
    <s v="Yes"/>
    <s v="No"/>
    <s v="Yes"/>
    <s v="No"/>
    <s v="Yes"/>
    <s v="No"/>
    <m/>
    <s v="1+ Failures"/>
    <n v="1"/>
    <s v="10-20hrs"/>
    <x v="1"/>
  </r>
  <r>
    <n v="1843"/>
    <d v="2023-12-01T00:00:00"/>
    <s v="Basic"/>
    <n v="199"/>
    <n v="11"/>
    <n v="4"/>
    <n v="1"/>
    <n v="21"/>
    <n v="37"/>
    <s v="No"/>
    <s v="No"/>
    <s v="Yes"/>
    <s v="No"/>
    <s v="Yes"/>
    <s v="No"/>
    <m/>
    <s v="1+ Failures"/>
    <n v="0"/>
    <s v="10-20hrs"/>
    <x v="1"/>
  </r>
  <r>
    <n v="1844"/>
    <d v="2024-08-13T00:00:00"/>
    <s v="Premium"/>
    <n v="699"/>
    <n v="16.5"/>
    <n v="3"/>
    <n v="4"/>
    <n v="30"/>
    <n v="59"/>
    <s v="Yes"/>
    <s v="No"/>
    <s v="Yes"/>
    <s v="No"/>
    <s v="Yes"/>
    <s v="No"/>
    <m/>
    <s v="1+ Failures"/>
    <n v="1"/>
    <s v="10-20hrs"/>
    <x v="1"/>
  </r>
  <r>
    <n v="1845"/>
    <d v="2024-06-30T00:00:00"/>
    <s v="Basic"/>
    <n v="199"/>
    <n v="19.399999999999999"/>
    <n v="3"/>
    <n v="2"/>
    <n v="13"/>
    <n v="11"/>
    <s v="Yes"/>
    <s v="No"/>
    <s v="Yes"/>
    <s v="No"/>
    <s v="No"/>
    <s v="No"/>
    <m/>
    <s v="1+ Failures"/>
    <n v="1"/>
    <s v="10-20hrs"/>
    <x v="1"/>
  </r>
  <r>
    <n v="1846"/>
    <d v="2023-11-19T00:00:00"/>
    <s v="Premium"/>
    <n v="699"/>
    <n v="19.600000000000001"/>
    <n v="8"/>
    <n v="2"/>
    <n v="3"/>
    <n v="4"/>
    <s v="Yes"/>
    <s v="No"/>
    <s v="Yes"/>
    <s v="Yes"/>
    <s v="No"/>
    <s v="Yes"/>
    <m/>
    <s v="1+ Failures"/>
    <n v="1"/>
    <s v="10-20hrs"/>
    <x v="2"/>
  </r>
  <r>
    <n v="1847"/>
    <d v="2023-08-11T00:00:00"/>
    <s v="Basic"/>
    <n v="199"/>
    <n v="5.4"/>
    <n v="2"/>
    <n v="3"/>
    <n v="14"/>
    <n v="17"/>
    <s v="Yes"/>
    <s v="No"/>
    <s v="Yes"/>
    <s v="No"/>
    <s v="Yes"/>
    <s v="No"/>
    <m/>
    <s v="1+ Failures"/>
    <n v="1"/>
    <s v="5-10 hrs"/>
    <x v="1"/>
  </r>
  <r>
    <n v="1848"/>
    <d v="2023-01-27T00:00:00"/>
    <s v="Standard"/>
    <n v="399"/>
    <n v="3.9"/>
    <n v="7"/>
    <n v="0"/>
    <n v="2"/>
    <n v="53"/>
    <s v="No"/>
    <s v="Yes"/>
    <s v="No"/>
    <s v="Yes"/>
    <s v="Yes"/>
    <s v="Yes"/>
    <m/>
    <s v="0 Failures"/>
    <n v="0"/>
    <s v="0-5 hrs"/>
    <x v="2"/>
  </r>
  <r>
    <n v="1849"/>
    <d v="2024-01-25T00:00:00"/>
    <s v="Standard"/>
    <n v="399"/>
    <n v="9.8000000000000007"/>
    <n v="7"/>
    <n v="3"/>
    <n v="14"/>
    <n v="25"/>
    <s v="Yes"/>
    <s v="No"/>
    <s v="Yes"/>
    <s v="Yes"/>
    <s v="Yes"/>
    <s v="No"/>
    <m/>
    <s v="1+ Failures"/>
    <n v="1"/>
    <s v="5-10 hrs"/>
    <x v="1"/>
  </r>
  <r>
    <n v="1850"/>
    <d v="2024-06-12T00:00:00"/>
    <s v="Premium"/>
    <n v="699"/>
    <n v="2.8"/>
    <n v="2"/>
    <n v="4"/>
    <n v="8"/>
    <n v="58"/>
    <s v="Yes"/>
    <s v="Yes"/>
    <s v="Yes"/>
    <s v="No"/>
    <s v="Yes"/>
    <s v="No"/>
    <m/>
    <s v="1+ Failures"/>
    <n v="1"/>
    <s v="0-5 hrs"/>
    <x v="0"/>
  </r>
  <r>
    <n v="1851"/>
    <d v="2023-11-21T00:00:00"/>
    <s v="Basic"/>
    <n v="199"/>
    <n v="19"/>
    <n v="1"/>
    <n v="3"/>
    <n v="11"/>
    <n v="47"/>
    <s v="No"/>
    <s v="No"/>
    <s v="Yes"/>
    <s v="No"/>
    <s v="Yes"/>
    <s v="No"/>
    <m/>
    <s v="1+ Failures"/>
    <n v="0"/>
    <s v="10-20hrs"/>
    <x v="0"/>
  </r>
  <r>
    <n v="1852"/>
    <d v="2024-06-04T00:00:00"/>
    <s v="Standard"/>
    <n v="399"/>
    <n v="5.7"/>
    <n v="1"/>
    <n v="4"/>
    <n v="13"/>
    <n v="23"/>
    <s v="Yes"/>
    <s v="No"/>
    <s v="Yes"/>
    <s v="No"/>
    <s v="Yes"/>
    <s v="No"/>
    <m/>
    <s v="1+ Failures"/>
    <n v="1"/>
    <s v="5-10 hrs"/>
    <x v="1"/>
  </r>
  <r>
    <n v="1853"/>
    <d v="2023-04-13T00:00:00"/>
    <s v="Basic"/>
    <n v="199"/>
    <n v="0.9"/>
    <n v="6"/>
    <n v="3"/>
    <n v="30"/>
    <n v="25"/>
    <s v="Yes"/>
    <s v="Yes"/>
    <s v="Yes"/>
    <s v="Yes"/>
    <s v="Yes"/>
    <s v="No"/>
    <m/>
    <s v="1+ Failures"/>
    <n v="1"/>
    <s v="0-5 hrs"/>
    <x v="1"/>
  </r>
  <r>
    <n v="1854"/>
    <d v="2023-11-04T00:00:00"/>
    <s v="Standard"/>
    <n v="399"/>
    <n v="23.7"/>
    <n v="1"/>
    <n v="3"/>
    <n v="24"/>
    <n v="60"/>
    <s v="No"/>
    <s v="No"/>
    <s v="Yes"/>
    <s v="No"/>
    <s v="Yes"/>
    <s v="No"/>
    <m/>
    <s v="1+ Failures"/>
    <n v="0"/>
    <s v="20+ hrs"/>
    <x v="1"/>
  </r>
  <r>
    <n v="1855"/>
    <d v="2023-10-09T00:00:00"/>
    <s v="Basic"/>
    <n v="199"/>
    <n v="16.399999999999999"/>
    <n v="6"/>
    <n v="3"/>
    <n v="6"/>
    <n v="1"/>
    <s v="No"/>
    <s v="No"/>
    <s v="Yes"/>
    <s v="Yes"/>
    <s v="No"/>
    <s v="No"/>
    <m/>
    <s v="1+ Failures"/>
    <n v="0"/>
    <s v="10-20hrs"/>
    <x v="3"/>
  </r>
  <r>
    <n v="1856"/>
    <d v="2024-06-15T00:00:00"/>
    <s v="Premium"/>
    <n v="699"/>
    <n v="1.6"/>
    <n v="3"/>
    <n v="1"/>
    <n v="21"/>
    <n v="36"/>
    <s v="Yes"/>
    <s v="Yes"/>
    <s v="Yes"/>
    <s v="No"/>
    <s v="Yes"/>
    <s v="No"/>
    <m/>
    <s v="1+ Failures"/>
    <n v="1"/>
    <s v="0-5 hrs"/>
    <x v="1"/>
  </r>
  <r>
    <n v="1857"/>
    <d v="2024-11-07T00:00:00"/>
    <s v="Basic"/>
    <n v="199"/>
    <n v="17.5"/>
    <n v="0"/>
    <n v="0"/>
    <n v="9"/>
    <n v="38"/>
    <s v="No"/>
    <s v="No"/>
    <s v="No"/>
    <s v="No"/>
    <s v="Yes"/>
    <s v="No"/>
    <m/>
    <s v="0 Failures"/>
    <n v="0"/>
    <s v="10-20hrs"/>
    <x v="0"/>
  </r>
  <r>
    <n v="1858"/>
    <d v="2024-06-15T00:00:00"/>
    <s v="Standard"/>
    <n v="399"/>
    <n v="15.6"/>
    <n v="2"/>
    <n v="3"/>
    <n v="24"/>
    <n v="11"/>
    <s v="Yes"/>
    <s v="No"/>
    <s v="Yes"/>
    <s v="No"/>
    <s v="No"/>
    <s v="No"/>
    <m/>
    <s v="1+ Failures"/>
    <n v="1"/>
    <s v="10-20hrs"/>
    <x v="1"/>
  </r>
  <r>
    <n v="1859"/>
    <d v="2023-11-10T00:00:00"/>
    <s v="Basic"/>
    <n v="199"/>
    <n v="9.4"/>
    <n v="1"/>
    <n v="1"/>
    <n v="12"/>
    <n v="1"/>
    <s v="No"/>
    <s v="No"/>
    <s v="Yes"/>
    <s v="No"/>
    <s v="No"/>
    <s v="No"/>
    <m/>
    <s v="1+ Failures"/>
    <n v="0"/>
    <s v="5-10 hrs"/>
    <x v="0"/>
  </r>
  <r>
    <n v="1860"/>
    <d v="2023-01-27T00:00:00"/>
    <s v="Standard"/>
    <n v="399"/>
    <n v="22.8"/>
    <n v="4"/>
    <n v="4"/>
    <n v="24"/>
    <n v="20"/>
    <s v="Yes"/>
    <s v="No"/>
    <s v="Yes"/>
    <s v="No"/>
    <s v="Yes"/>
    <s v="No"/>
    <m/>
    <s v="1+ Failures"/>
    <n v="1"/>
    <s v="20+ hrs"/>
    <x v="1"/>
  </r>
  <r>
    <n v="1861"/>
    <d v="2024-02-22T00:00:00"/>
    <s v="Standard"/>
    <n v="399"/>
    <n v="22.3"/>
    <n v="0"/>
    <n v="5"/>
    <n v="2"/>
    <n v="55"/>
    <s v="Yes"/>
    <s v="No"/>
    <s v="Yes"/>
    <s v="No"/>
    <s v="Yes"/>
    <s v="Yes"/>
    <m/>
    <s v="1+ Failures"/>
    <n v="1"/>
    <s v="20+ hrs"/>
    <x v="2"/>
  </r>
  <r>
    <n v="1862"/>
    <d v="2023-12-24T00:00:00"/>
    <s v="Basic"/>
    <n v="199"/>
    <n v="9.6999999999999993"/>
    <n v="8"/>
    <n v="1"/>
    <n v="35"/>
    <n v="10"/>
    <s v="Yes"/>
    <s v="No"/>
    <s v="Yes"/>
    <s v="Yes"/>
    <s v="No"/>
    <s v="No"/>
    <m/>
    <s v="1+ Failures"/>
    <n v="1"/>
    <s v="5-10 hrs"/>
    <x v="1"/>
  </r>
  <r>
    <n v="1863"/>
    <d v="2024-03-01T00:00:00"/>
    <s v="Basic"/>
    <n v="199"/>
    <n v="10.8"/>
    <n v="1"/>
    <n v="0"/>
    <n v="6"/>
    <n v="30"/>
    <s v="No"/>
    <s v="No"/>
    <s v="No"/>
    <s v="No"/>
    <s v="Yes"/>
    <s v="No"/>
    <m/>
    <s v="0 Failures"/>
    <n v="0"/>
    <s v="10-20hrs"/>
    <x v="3"/>
  </r>
  <r>
    <n v="1864"/>
    <d v="2023-09-21T00:00:00"/>
    <s v="Premium"/>
    <n v="699"/>
    <n v="3.8"/>
    <n v="0"/>
    <n v="2"/>
    <n v="29"/>
    <n v="30"/>
    <s v="Yes"/>
    <s v="Yes"/>
    <s v="Yes"/>
    <s v="No"/>
    <s v="Yes"/>
    <s v="No"/>
    <m/>
    <s v="1+ Failures"/>
    <n v="1"/>
    <s v="0-5 hrs"/>
    <x v="1"/>
  </r>
  <r>
    <n v="1865"/>
    <d v="2024-05-04T00:00:00"/>
    <s v="Basic"/>
    <n v="199"/>
    <n v="16.600000000000001"/>
    <n v="5"/>
    <n v="4"/>
    <n v="21"/>
    <n v="42"/>
    <s v="Yes"/>
    <s v="No"/>
    <s v="Yes"/>
    <s v="Yes"/>
    <s v="Yes"/>
    <s v="No"/>
    <m/>
    <s v="1+ Failures"/>
    <n v="1"/>
    <s v="10-20hrs"/>
    <x v="1"/>
  </r>
  <r>
    <n v="1866"/>
    <d v="2023-08-19T00:00:00"/>
    <s v="Standard"/>
    <n v="399"/>
    <n v="3.6"/>
    <n v="8"/>
    <n v="1"/>
    <n v="13"/>
    <n v="51"/>
    <s v="No"/>
    <s v="Yes"/>
    <s v="Yes"/>
    <s v="Yes"/>
    <s v="Yes"/>
    <s v="No"/>
    <m/>
    <s v="1+ Failures"/>
    <n v="0"/>
    <s v="0-5 hrs"/>
    <x v="1"/>
  </r>
  <r>
    <n v="1867"/>
    <d v="2023-09-13T00:00:00"/>
    <s v="Premium"/>
    <n v="699"/>
    <n v="18.7"/>
    <n v="6"/>
    <n v="2"/>
    <n v="6"/>
    <n v="56"/>
    <s v="Yes"/>
    <s v="No"/>
    <s v="Yes"/>
    <s v="Yes"/>
    <s v="Yes"/>
    <s v="No"/>
    <m/>
    <s v="1+ Failures"/>
    <n v="1"/>
    <s v="10-20hrs"/>
    <x v="3"/>
  </r>
  <r>
    <n v="1868"/>
    <d v="2024-11-15T00:00:00"/>
    <s v="Basic"/>
    <n v="199"/>
    <n v="5"/>
    <n v="4"/>
    <n v="2"/>
    <n v="17"/>
    <n v="45"/>
    <s v="No"/>
    <s v="No"/>
    <s v="Yes"/>
    <s v="No"/>
    <s v="Yes"/>
    <s v="No"/>
    <m/>
    <s v="1+ Failures"/>
    <n v="0"/>
    <s v="0-5 hrs"/>
    <x v="1"/>
  </r>
  <r>
    <n v="1869"/>
    <d v="2024-11-08T00:00:00"/>
    <s v="Premium"/>
    <n v="699"/>
    <n v="13.2"/>
    <n v="4"/>
    <n v="1"/>
    <n v="34"/>
    <n v="20"/>
    <s v="No"/>
    <s v="No"/>
    <s v="Yes"/>
    <s v="No"/>
    <s v="Yes"/>
    <s v="No"/>
    <m/>
    <s v="1+ Failures"/>
    <n v="0"/>
    <s v="10-20hrs"/>
    <x v="1"/>
  </r>
  <r>
    <n v="1870"/>
    <d v="2023-07-06T00:00:00"/>
    <s v="Basic"/>
    <n v="199"/>
    <n v="18.8"/>
    <n v="6"/>
    <n v="5"/>
    <n v="3"/>
    <n v="3"/>
    <s v="No"/>
    <s v="No"/>
    <s v="Yes"/>
    <s v="Yes"/>
    <s v="No"/>
    <s v="Yes"/>
    <m/>
    <s v="1+ Failures"/>
    <n v="0"/>
    <s v="10-20hrs"/>
    <x v="2"/>
  </r>
  <r>
    <n v="1871"/>
    <d v="2024-08-08T00:00:00"/>
    <s v="Basic"/>
    <n v="199"/>
    <n v="16"/>
    <n v="3"/>
    <n v="1"/>
    <n v="10"/>
    <n v="25"/>
    <s v="Yes"/>
    <s v="No"/>
    <s v="Yes"/>
    <s v="No"/>
    <s v="Yes"/>
    <s v="No"/>
    <m/>
    <s v="1+ Failures"/>
    <n v="1"/>
    <s v="10-20hrs"/>
    <x v="0"/>
  </r>
  <r>
    <n v="1872"/>
    <d v="2024-08-14T00:00:00"/>
    <s v="Standard"/>
    <n v="399"/>
    <n v="21.5"/>
    <n v="3"/>
    <n v="5"/>
    <n v="31"/>
    <n v="55"/>
    <s v="No"/>
    <s v="No"/>
    <s v="Yes"/>
    <s v="No"/>
    <s v="Yes"/>
    <s v="No"/>
    <m/>
    <s v="1+ Failures"/>
    <n v="0"/>
    <s v="20+ hrs"/>
    <x v="1"/>
  </r>
  <r>
    <n v="1873"/>
    <d v="2023-05-01T00:00:00"/>
    <s v="Standard"/>
    <n v="399"/>
    <n v="24.8"/>
    <n v="7"/>
    <n v="4"/>
    <n v="29"/>
    <n v="16"/>
    <s v="No"/>
    <s v="No"/>
    <s v="Yes"/>
    <s v="Yes"/>
    <s v="Yes"/>
    <s v="No"/>
    <m/>
    <s v="1+ Failures"/>
    <n v="0"/>
    <s v="20+ hrs"/>
    <x v="1"/>
  </r>
  <r>
    <n v="1874"/>
    <d v="2023-07-10T00:00:00"/>
    <s v="Premium"/>
    <n v="699"/>
    <n v="16.600000000000001"/>
    <n v="8"/>
    <n v="2"/>
    <n v="18"/>
    <n v="21"/>
    <s v="No"/>
    <s v="No"/>
    <s v="Yes"/>
    <s v="Yes"/>
    <s v="Yes"/>
    <s v="No"/>
    <m/>
    <s v="1+ Failures"/>
    <n v="0"/>
    <s v="10-20hrs"/>
    <x v="1"/>
  </r>
  <r>
    <n v="1875"/>
    <d v="2024-11-15T00:00:00"/>
    <s v="Standard"/>
    <n v="399"/>
    <n v="20.3"/>
    <n v="7"/>
    <n v="4"/>
    <n v="22"/>
    <n v="29"/>
    <s v="Yes"/>
    <s v="No"/>
    <s v="Yes"/>
    <s v="Yes"/>
    <s v="Yes"/>
    <s v="No"/>
    <m/>
    <s v="1+ Failures"/>
    <n v="1"/>
    <s v="20+ hrs"/>
    <x v="1"/>
  </r>
  <r>
    <n v="1876"/>
    <d v="2024-07-10T00:00:00"/>
    <s v="Standard"/>
    <n v="399"/>
    <n v="6.9"/>
    <n v="5"/>
    <n v="3"/>
    <n v="34"/>
    <n v="41"/>
    <s v="Yes"/>
    <s v="No"/>
    <s v="Yes"/>
    <s v="Yes"/>
    <s v="Yes"/>
    <s v="No"/>
    <m/>
    <s v="1+ Failures"/>
    <n v="1"/>
    <s v="5-10 hrs"/>
    <x v="1"/>
  </r>
  <r>
    <n v="1877"/>
    <d v="2023-10-30T00:00:00"/>
    <s v="Basic"/>
    <n v="199"/>
    <n v="6.1"/>
    <n v="7"/>
    <n v="0"/>
    <n v="7"/>
    <n v="7"/>
    <s v="No"/>
    <s v="No"/>
    <s v="No"/>
    <s v="Yes"/>
    <s v="No"/>
    <s v="No"/>
    <m/>
    <s v="0 Failures"/>
    <n v="0"/>
    <s v="5-10 hrs"/>
    <x v="0"/>
  </r>
  <r>
    <n v="1878"/>
    <d v="2024-05-31T00:00:00"/>
    <s v="Basic"/>
    <n v="199"/>
    <n v="8"/>
    <n v="6"/>
    <n v="4"/>
    <n v="23"/>
    <n v="60"/>
    <s v="Yes"/>
    <s v="No"/>
    <s v="Yes"/>
    <s v="Yes"/>
    <s v="Yes"/>
    <s v="No"/>
    <m/>
    <s v="1+ Failures"/>
    <n v="1"/>
    <s v="5-10 hrs"/>
    <x v="1"/>
  </r>
  <r>
    <n v="1879"/>
    <d v="2023-08-16T00:00:00"/>
    <s v="Basic"/>
    <n v="199"/>
    <n v="20.6"/>
    <n v="8"/>
    <n v="1"/>
    <n v="26"/>
    <n v="9"/>
    <s v="No"/>
    <s v="No"/>
    <s v="Yes"/>
    <s v="Yes"/>
    <s v="No"/>
    <s v="No"/>
    <m/>
    <s v="1+ Failures"/>
    <n v="0"/>
    <s v="20+ hrs"/>
    <x v="1"/>
  </r>
  <r>
    <n v="1880"/>
    <d v="2024-07-30T00:00:00"/>
    <s v="Basic"/>
    <n v="199"/>
    <n v="18.5"/>
    <n v="5"/>
    <n v="4"/>
    <n v="13"/>
    <n v="38"/>
    <s v="No"/>
    <s v="No"/>
    <s v="Yes"/>
    <s v="Yes"/>
    <s v="Yes"/>
    <s v="No"/>
    <m/>
    <s v="1+ Failures"/>
    <n v="0"/>
    <s v="10-20hrs"/>
    <x v="1"/>
  </r>
  <r>
    <n v="1881"/>
    <d v="2024-06-27T00:00:00"/>
    <s v="Premium"/>
    <n v="699"/>
    <n v="1.7"/>
    <n v="8"/>
    <n v="2"/>
    <n v="34"/>
    <n v="34"/>
    <s v="Yes"/>
    <s v="Yes"/>
    <s v="Yes"/>
    <s v="Yes"/>
    <s v="Yes"/>
    <s v="No"/>
    <m/>
    <s v="1+ Failures"/>
    <n v="1"/>
    <s v="0-5 hrs"/>
    <x v="1"/>
  </r>
  <r>
    <n v="1882"/>
    <d v="2023-08-20T00:00:00"/>
    <s v="Basic"/>
    <n v="199"/>
    <n v="4.4000000000000004"/>
    <n v="2"/>
    <n v="5"/>
    <n v="24"/>
    <n v="40"/>
    <s v="No"/>
    <s v="Yes"/>
    <s v="Yes"/>
    <s v="No"/>
    <s v="Yes"/>
    <s v="No"/>
    <m/>
    <s v="1+ Failures"/>
    <n v="0"/>
    <s v="0-5 hrs"/>
    <x v="1"/>
  </r>
  <r>
    <n v="1883"/>
    <d v="2024-02-15T00:00:00"/>
    <s v="Premium"/>
    <n v="699"/>
    <n v="13.8"/>
    <n v="6"/>
    <n v="1"/>
    <n v="10"/>
    <n v="17"/>
    <s v="Yes"/>
    <s v="No"/>
    <s v="Yes"/>
    <s v="Yes"/>
    <s v="Yes"/>
    <s v="No"/>
    <m/>
    <s v="1+ Failures"/>
    <n v="1"/>
    <s v="10-20hrs"/>
    <x v="0"/>
  </r>
  <r>
    <n v="1884"/>
    <d v="2023-11-04T00:00:00"/>
    <s v="Standard"/>
    <n v="399"/>
    <n v="22.6"/>
    <n v="6"/>
    <n v="3"/>
    <n v="25"/>
    <n v="29"/>
    <s v="Yes"/>
    <s v="No"/>
    <s v="Yes"/>
    <s v="Yes"/>
    <s v="Yes"/>
    <s v="No"/>
    <m/>
    <s v="1+ Failures"/>
    <n v="1"/>
    <s v="20+ hrs"/>
    <x v="1"/>
  </r>
  <r>
    <n v="1885"/>
    <d v="2024-09-19T00:00:00"/>
    <s v="Basic"/>
    <n v="199"/>
    <n v="6.7"/>
    <n v="8"/>
    <n v="5"/>
    <n v="5"/>
    <n v="19"/>
    <s v="Yes"/>
    <s v="No"/>
    <s v="Yes"/>
    <s v="Yes"/>
    <s v="Yes"/>
    <s v="Yes"/>
    <m/>
    <s v="1+ Failures"/>
    <n v="1"/>
    <s v="5-10 hrs"/>
    <x v="3"/>
  </r>
  <r>
    <n v="1886"/>
    <d v="2023-06-14T00:00:00"/>
    <s v="Premium"/>
    <n v="699"/>
    <n v="2"/>
    <n v="6"/>
    <n v="1"/>
    <n v="5"/>
    <n v="9"/>
    <s v="Yes"/>
    <s v="Yes"/>
    <s v="Yes"/>
    <s v="Yes"/>
    <s v="No"/>
    <s v="Yes"/>
    <m/>
    <s v="1+ Failures"/>
    <n v="1"/>
    <s v="0-5 hrs"/>
    <x v="3"/>
  </r>
  <r>
    <n v="1887"/>
    <d v="2023-12-25T00:00:00"/>
    <s v="Basic"/>
    <n v="199"/>
    <n v="19.8"/>
    <n v="6"/>
    <n v="3"/>
    <n v="26"/>
    <n v="37"/>
    <s v="Yes"/>
    <s v="No"/>
    <s v="Yes"/>
    <s v="Yes"/>
    <s v="Yes"/>
    <s v="No"/>
    <m/>
    <s v="1+ Failures"/>
    <n v="1"/>
    <s v="10-20hrs"/>
    <x v="1"/>
  </r>
  <r>
    <n v="1888"/>
    <d v="2024-08-22T00:00:00"/>
    <s v="Basic"/>
    <n v="199"/>
    <n v="24.1"/>
    <n v="4"/>
    <n v="1"/>
    <n v="15"/>
    <n v="57"/>
    <s v="Yes"/>
    <s v="No"/>
    <s v="Yes"/>
    <s v="No"/>
    <s v="Yes"/>
    <s v="No"/>
    <m/>
    <s v="1+ Failures"/>
    <n v="1"/>
    <s v="20+ hrs"/>
    <x v="1"/>
  </r>
  <r>
    <n v="1889"/>
    <d v="2023-01-12T00:00:00"/>
    <s v="Premium"/>
    <n v="699"/>
    <n v="5.5"/>
    <n v="2"/>
    <n v="5"/>
    <n v="10"/>
    <n v="17"/>
    <s v="No"/>
    <s v="No"/>
    <s v="Yes"/>
    <s v="No"/>
    <s v="Yes"/>
    <s v="No"/>
    <m/>
    <s v="1+ Failures"/>
    <n v="0"/>
    <s v="5-10 hrs"/>
    <x v="0"/>
  </r>
  <r>
    <n v="1890"/>
    <d v="2024-04-27T00:00:00"/>
    <s v="Premium"/>
    <n v="699"/>
    <n v="13.3"/>
    <n v="8"/>
    <n v="0"/>
    <n v="8"/>
    <n v="49"/>
    <s v="No"/>
    <s v="No"/>
    <s v="No"/>
    <s v="Yes"/>
    <s v="Yes"/>
    <s v="No"/>
    <m/>
    <s v="0 Failures"/>
    <n v="0"/>
    <s v="10-20hrs"/>
    <x v="0"/>
  </r>
  <r>
    <n v="1891"/>
    <d v="2023-06-07T00:00:00"/>
    <s v="Basic"/>
    <n v="199"/>
    <n v="7.8"/>
    <n v="1"/>
    <n v="4"/>
    <n v="29"/>
    <n v="47"/>
    <s v="No"/>
    <s v="No"/>
    <s v="Yes"/>
    <s v="No"/>
    <s v="Yes"/>
    <s v="No"/>
    <m/>
    <s v="1+ Failures"/>
    <n v="0"/>
    <s v="5-10 hrs"/>
    <x v="1"/>
  </r>
  <r>
    <n v="1892"/>
    <d v="2023-04-26T00:00:00"/>
    <s v="Basic"/>
    <n v="199"/>
    <n v="21.9"/>
    <n v="0"/>
    <n v="3"/>
    <n v="22"/>
    <n v="53"/>
    <s v="No"/>
    <s v="No"/>
    <s v="Yes"/>
    <s v="No"/>
    <s v="Yes"/>
    <s v="No"/>
    <m/>
    <s v="1+ Failures"/>
    <n v="0"/>
    <s v="20+ hrs"/>
    <x v="1"/>
  </r>
  <r>
    <n v="1893"/>
    <d v="2024-05-13T00:00:00"/>
    <s v="Premium"/>
    <n v="699"/>
    <n v="10.9"/>
    <n v="2"/>
    <n v="5"/>
    <n v="30"/>
    <n v="44"/>
    <s v="No"/>
    <s v="No"/>
    <s v="Yes"/>
    <s v="No"/>
    <s v="Yes"/>
    <s v="No"/>
    <m/>
    <s v="1+ Failures"/>
    <n v="0"/>
    <s v="10-20hrs"/>
    <x v="1"/>
  </r>
  <r>
    <n v="1894"/>
    <d v="2024-01-07T00:00:00"/>
    <s v="Standard"/>
    <n v="399"/>
    <n v="13.3"/>
    <n v="1"/>
    <n v="5"/>
    <n v="15"/>
    <n v="38"/>
    <s v="No"/>
    <s v="No"/>
    <s v="Yes"/>
    <s v="No"/>
    <s v="Yes"/>
    <s v="No"/>
    <m/>
    <s v="1+ Failures"/>
    <n v="0"/>
    <s v="10-20hrs"/>
    <x v="1"/>
  </r>
  <r>
    <n v="1895"/>
    <d v="2023-10-14T00:00:00"/>
    <s v="Basic"/>
    <n v="199"/>
    <n v="21"/>
    <n v="6"/>
    <n v="3"/>
    <n v="32"/>
    <n v="3"/>
    <s v="No"/>
    <s v="No"/>
    <s v="Yes"/>
    <s v="Yes"/>
    <s v="No"/>
    <s v="No"/>
    <m/>
    <s v="1+ Failures"/>
    <n v="0"/>
    <s v="20+ hrs"/>
    <x v="1"/>
  </r>
  <r>
    <n v="1896"/>
    <d v="2023-09-15T00:00:00"/>
    <s v="Premium"/>
    <n v="699"/>
    <n v="22.7"/>
    <n v="8"/>
    <n v="2"/>
    <n v="18"/>
    <n v="26"/>
    <s v="Yes"/>
    <s v="No"/>
    <s v="Yes"/>
    <s v="Yes"/>
    <s v="Yes"/>
    <s v="No"/>
    <m/>
    <s v="1+ Failures"/>
    <n v="1"/>
    <s v="20+ hrs"/>
    <x v="1"/>
  </r>
  <r>
    <n v="1897"/>
    <d v="2024-08-28T00:00:00"/>
    <s v="Standard"/>
    <n v="399"/>
    <n v="0.8"/>
    <n v="7"/>
    <n v="1"/>
    <n v="6"/>
    <n v="37"/>
    <s v="Yes"/>
    <s v="Yes"/>
    <s v="Yes"/>
    <s v="Yes"/>
    <s v="Yes"/>
    <s v="No"/>
    <m/>
    <s v="1+ Failures"/>
    <n v="1"/>
    <s v="0-5 hrs"/>
    <x v="3"/>
  </r>
  <r>
    <n v="1898"/>
    <d v="2024-01-20T00:00:00"/>
    <s v="Standard"/>
    <n v="399"/>
    <n v="3"/>
    <n v="7"/>
    <n v="4"/>
    <n v="18"/>
    <n v="38"/>
    <s v="Yes"/>
    <s v="Yes"/>
    <s v="Yes"/>
    <s v="Yes"/>
    <s v="Yes"/>
    <s v="No"/>
    <m/>
    <s v="1+ Failures"/>
    <n v="1"/>
    <s v="0-5 hrs"/>
    <x v="1"/>
  </r>
  <r>
    <n v="1899"/>
    <d v="2024-10-20T00:00:00"/>
    <s v="Premium"/>
    <n v="699"/>
    <n v="21.8"/>
    <n v="6"/>
    <n v="0"/>
    <n v="34"/>
    <n v="38"/>
    <s v="Yes"/>
    <s v="No"/>
    <s v="No"/>
    <s v="Yes"/>
    <s v="Yes"/>
    <s v="No"/>
    <m/>
    <s v="0 Failures"/>
    <n v="1"/>
    <s v="20+ hrs"/>
    <x v="1"/>
  </r>
  <r>
    <n v="1900"/>
    <d v="2024-09-10T00:00:00"/>
    <s v="Basic"/>
    <n v="199"/>
    <n v="3.4"/>
    <n v="3"/>
    <n v="2"/>
    <n v="7"/>
    <n v="37"/>
    <s v="Yes"/>
    <s v="Yes"/>
    <s v="Yes"/>
    <s v="No"/>
    <s v="Yes"/>
    <s v="No"/>
    <m/>
    <s v="1+ Failures"/>
    <n v="1"/>
    <s v="0-5 hrs"/>
    <x v="0"/>
  </r>
  <r>
    <n v="1901"/>
    <d v="2024-04-16T00:00:00"/>
    <s v="Standard"/>
    <n v="399"/>
    <n v="18.100000000000001"/>
    <n v="0"/>
    <n v="2"/>
    <n v="26"/>
    <n v="41"/>
    <s v="No"/>
    <s v="No"/>
    <s v="Yes"/>
    <s v="No"/>
    <s v="Yes"/>
    <s v="No"/>
    <m/>
    <s v="1+ Failures"/>
    <n v="0"/>
    <s v="10-20hrs"/>
    <x v="1"/>
  </r>
  <r>
    <n v="1902"/>
    <d v="2024-11-16T00:00:00"/>
    <s v="Premium"/>
    <n v="699"/>
    <n v="1.4"/>
    <n v="6"/>
    <n v="5"/>
    <n v="34"/>
    <n v="47"/>
    <s v="Yes"/>
    <s v="Yes"/>
    <s v="Yes"/>
    <s v="Yes"/>
    <s v="Yes"/>
    <s v="No"/>
    <m/>
    <s v="1+ Failures"/>
    <n v="1"/>
    <s v="0-5 hrs"/>
    <x v="1"/>
  </r>
  <r>
    <n v="1903"/>
    <d v="2023-10-27T00:00:00"/>
    <s v="Basic"/>
    <n v="199"/>
    <n v="14.4"/>
    <n v="0"/>
    <n v="5"/>
    <n v="14"/>
    <n v="60"/>
    <s v="Yes"/>
    <s v="No"/>
    <s v="Yes"/>
    <s v="No"/>
    <s v="Yes"/>
    <s v="No"/>
    <m/>
    <s v="1+ Failures"/>
    <n v="1"/>
    <s v="10-20hrs"/>
    <x v="1"/>
  </r>
  <r>
    <n v="1904"/>
    <d v="2023-12-27T00:00:00"/>
    <s v="Standard"/>
    <n v="399"/>
    <n v="18.399999999999999"/>
    <n v="4"/>
    <n v="2"/>
    <n v="2"/>
    <n v="52"/>
    <s v="Yes"/>
    <s v="No"/>
    <s v="Yes"/>
    <s v="No"/>
    <s v="Yes"/>
    <s v="Yes"/>
    <m/>
    <s v="1+ Failures"/>
    <n v="1"/>
    <s v="10-20hrs"/>
    <x v="2"/>
  </r>
  <r>
    <n v="1905"/>
    <d v="2024-10-12T00:00:00"/>
    <s v="Basic"/>
    <n v="199"/>
    <n v="11.4"/>
    <n v="0"/>
    <n v="2"/>
    <n v="18"/>
    <n v="29"/>
    <s v="No"/>
    <s v="No"/>
    <s v="Yes"/>
    <s v="No"/>
    <s v="Yes"/>
    <s v="No"/>
    <m/>
    <s v="1+ Failures"/>
    <n v="0"/>
    <s v="10-20hrs"/>
    <x v="1"/>
  </r>
  <r>
    <n v="1906"/>
    <d v="2023-12-23T00:00:00"/>
    <s v="Standard"/>
    <n v="399"/>
    <n v="5.6"/>
    <n v="8"/>
    <n v="5"/>
    <n v="11"/>
    <n v="20"/>
    <s v="No"/>
    <s v="No"/>
    <s v="Yes"/>
    <s v="Yes"/>
    <s v="Yes"/>
    <s v="No"/>
    <m/>
    <s v="1+ Failures"/>
    <n v="0"/>
    <s v="5-10 hrs"/>
    <x v="0"/>
  </r>
  <r>
    <n v="1907"/>
    <d v="2023-08-22T00:00:00"/>
    <s v="Basic"/>
    <n v="199"/>
    <n v="21.5"/>
    <n v="5"/>
    <n v="2"/>
    <n v="32"/>
    <n v="39"/>
    <s v="Yes"/>
    <s v="No"/>
    <s v="Yes"/>
    <s v="Yes"/>
    <s v="Yes"/>
    <s v="No"/>
    <m/>
    <s v="1+ Failures"/>
    <n v="1"/>
    <s v="20+ hrs"/>
    <x v="1"/>
  </r>
  <r>
    <n v="1908"/>
    <d v="2024-05-24T00:00:00"/>
    <s v="Standard"/>
    <n v="399"/>
    <n v="3"/>
    <n v="1"/>
    <n v="5"/>
    <n v="20"/>
    <n v="25"/>
    <s v="Yes"/>
    <s v="Yes"/>
    <s v="Yes"/>
    <s v="No"/>
    <s v="Yes"/>
    <s v="No"/>
    <m/>
    <s v="1+ Failures"/>
    <n v="1"/>
    <s v="0-5 hrs"/>
    <x v="1"/>
  </r>
  <r>
    <n v="1909"/>
    <d v="2023-12-26T00:00:00"/>
    <s v="Premium"/>
    <n v="699"/>
    <n v="19"/>
    <n v="3"/>
    <n v="2"/>
    <n v="12"/>
    <n v="54"/>
    <s v="No"/>
    <s v="No"/>
    <s v="Yes"/>
    <s v="No"/>
    <s v="Yes"/>
    <s v="No"/>
    <m/>
    <s v="1+ Failures"/>
    <n v="0"/>
    <s v="10-20hrs"/>
    <x v="0"/>
  </r>
  <r>
    <n v="1910"/>
    <d v="2023-07-14T00:00:00"/>
    <s v="Standard"/>
    <n v="399"/>
    <n v="22.4"/>
    <n v="2"/>
    <n v="1"/>
    <n v="29"/>
    <n v="20"/>
    <s v="Yes"/>
    <s v="No"/>
    <s v="Yes"/>
    <s v="No"/>
    <s v="Yes"/>
    <s v="No"/>
    <m/>
    <s v="1+ Failures"/>
    <n v="1"/>
    <s v="20+ hrs"/>
    <x v="1"/>
  </r>
  <r>
    <n v="1911"/>
    <d v="2023-07-02T00:00:00"/>
    <s v="Premium"/>
    <n v="699"/>
    <n v="22.8"/>
    <n v="8"/>
    <n v="2"/>
    <n v="20"/>
    <n v="48"/>
    <s v="Yes"/>
    <s v="No"/>
    <s v="Yes"/>
    <s v="Yes"/>
    <s v="Yes"/>
    <s v="No"/>
    <m/>
    <s v="1+ Failures"/>
    <n v="1"/>
    <s v="20+ hrs"/>
    <x v="1"/>
  </r>
  <r>
    <n v="1912"/>
    <d v="2024-11-10T00:00:00"/>
    <s v="Standard"/>
    <n v="399"/>
    <n v="5.4"/>
    <n v="1"/>
    <n v="5"/>
    <n v="5"/>
    <n v="38"/>
    <s v="No"/>
    <s v="No"/>
    <s v="Yes"/>
    <s v="No"/>
    <s v="Yes"/>
    <s v="Yes"/>
    <m/>
    <s v="1+ Failures"/>
    <n v="0"/>
    <s v="5-10 hrs"/>
    <x v="3"/>
  </r>
  <r>
    <n v="1913"/>
    <d v="2024-01-30T00:00:00"/>
    <s v="Standard"/>
    <n v="399"/>
    <n v="4.0999999999999996"/>
    <n v="5"/>
    <n v="4"/>
    <n v="17"/>
    <n v="22"/>
    <s v="Yes"/>
    <s v="Yes"/>
    <s v="Yes"/>
    <s v="Yes"/>
    <s v="Yes"/>
    <s v="No"/>
    <m/>
    <s v="1+ Failures"/>
    <n v="1"/>
    <s v="0-5 hrs"/>
    <x v="1"/>
  </r>
  <r>
    <n v="1914"/>
    <d v="2023-02-11T00:00:00"/>
    <s v="Basic"/>
    <n v="199"/>
    <n v="15.5"/>
    <n v="1"/>
    <n v="2"/>
    <n v="19"/>
    <n v="14"/>
    <s v="No"/>
    <s v="No"/>
    <s v="Yes"/>
    <s v="No"/>
    <s v="No"/>
    <s v="No"/>
    <m/>
    <s v="1+ Failures"/>
    <n v="0"/>
    <s v="10-20hrs"/>
    <x v="1"/>
  </r>
  <r>
    <n v="1915"/>
    <d v="2024-12-12T00:00:00"/>
    <s v="Basic"/>
    <n v="199"/>
    <n v="4.3"/>
    <n v="4"/>
    <n v="0"/>
    <n v="36"/>
    <n v="31"/>
    <s v="Yes"/>
    <s v="Yes"/>
    <s v="No"/>
    <s v="No"/>
    <s v="Yes"/>
    <s v="No"/>
    <m/>
    <s v="0 Failures"/>
    <n v="1"/>
    <s v="0-5 hrs"/>
    <x v="1"/>
  </r>
  <r>
    <n v="1916"/>
    <d v="2023-01-13T00:00:00"/>
    <s v="Basic"/>
    <n v="199"/>
    <n v="21.9"/>
    <n v="7"/>
    <n v="5"/>
    <n v="16"/>
    <n v="51"/>
    <s v="Yes"/>
    <s v="No"/>
    <s v="Yes"/>
    <s v="Yes"/>
    <s v="Yes"/>
    <s v="No"/>
    <m/>
    <s v="1+ Failures"/>
    <n v="1"/>
    <s v="20+ hrs"/>
    <x v="1"/>
  </r>
  <r>
    <n v="1917"/>
    <d v="2024-08-04T00:00:00"/>
    <s v="Standard"/>
    <n v="399"/>
    <n v="24.1"/>
    <n v="7"/>
    <n v="3"/>
    <n v="16"/>
    <n v="26"/>
    <s v="Yes"/>
    <s v="No"/>
    <s v="Yes"/>
    <s v="Yes"/>
    <s v="Yes"/>
    <s v="No"/>
    <m/>
    <s v="1+ Failures"/>
    <n v="1"/>
    <s v="20+ hrs"/>
    <x v="1"/>
  </r>
  <r>
    <n v="1918"/>
    <d v="2024-02-01T00:00:00"/>
    <s v="Basic"/>
    <n v="199"/>
    <n v="5.0999999999999996"/>
    <n v="8"/>
    <n v="4"/>
    <n v="27"/>
    <n v="25"/>
    <s v="Yes"/>
    <s v="No"/>
    <s v="Yes"/>
    <s v="Yes"/>
    <s v="Yes"/>
    <s v="No"/>
    <m/>
    <s v="1+ Failures"/>
    <n v="1"/>
    <s v="5-10 hrs"/>
    <x v="1"/>
  </r>
  <r>
    <n v="1919"/>
    <d v="2023-08-29T00:00:00"/>
    <s v="Premium"/>
    <n v="699"/>
    <n v="17.8"/>
    <n v="5"/>
    <n v="2"/>
    <n v="17"/>
    <n v="27"/>
    <s v="Yes"/>
    <s v="No"/>
    <s v="Yes"/>
    <s v="Yes"/>
    <s v="Yes"/>
    <s v="No"/>
    <m/>
    <s v="1+ Failures"/>
    <n v="1"/>
    <s v="10-20hrs"/>
    <x v="1"/>
  </r>
  <r>
    <n v="1920"/>
    <d v="2024-12-20T00:00:00"/>
    <s v="Standard"/>
    <n v="399"/>
    <n v="9.1999999999999993"/>
    <n v="2"/>
    <n v="2"/>
    <n v="35"/>
    <n v="55"/>
    <s v="No"/>
    <s v="No"/>
    <s v="Yes"/>
    <s v="No"/>
    <s v="Yes"/>
    <s v="No"/>
    <m/>
    <s v="1+ Failures"/>
    <n v="0"/>
    <s v="5-10 hrs"/>
    <x v="1"/>
  </r>
  <r>
    <n v="1921"/>
    <d v="2023-11-18T00:00:00"/>
    <s v="Basic"/>
    <n v="199"/>
    <n v="14.7"/>
    <n v="1"/>
    <n v="4"/>
    <n v="35"/>
    <n v="45"/>
    <s v="Yes"/>
    <s v="No"/>
    <s v="Yes"/>
    <s v="No"/>
    <s v="Yes"/>
    <s v="No"/>
    <m/>
    <s v="1+ Failures"/>
    <n v="1"/>
    <s v="10-20hrs"/>
    <x v="1"/>
  </r>
  <r>
    <n v="1922"/>
    <d v="2023-02-24T00:00:00"/>
    <s v="Basic"/>
    <n v="199"/>
    <n v="18.100000000000001"/>
    <n v="8"/>
    <n v="1"/>
    <n v="15"/>
    <n v="29"/>
    <s v="Yes"/>
    <s v="No"/>
    <s v="Yes"/>
    <s v="Yes"/>
    <s v="Yes"/>
    <s v="No"/>
    <m/>
    <s v="1+ Failures"/>
    <n v="1"/>
    <s v="10-20hrs"/>
    <x v="1"/>
  </r>
  <r>
    <n v="1923"/>
    <d v="2024-04-04T00:00:00"/>
    <s v="Standard"/>
    <n v="399"/>
    <n v="12.7"/>
    <n v="6"/>
    <n v="0"/>
    <n v="29"/>
    <n v="10"/>
    <s v="Yes"/>
    <s v="No"/>
    <s v="No"/>
    <s v="Yes"/>
    <s v="No"/>
    <s v="No"/>
    <m/>
    <s v="0 Failures"/>
    <n v="1"/>
    <s v="10-20hrs"/>
    <x v="1"/>
  </r>
  <r>
    <n v="1924"/>
    <d v="2023-12-29T00:00:00"/>
    <s v="Premium"/>
    <n v="699"/>
    <n v="22.4"/>
    <n v="7"/>
    <n v="5"/>
    <n v="4"/>
    <n v="9"/>
    <s v="Yes"/>
    <s v="No"/>
    <s v="Yes"/>
    <s v="Yes"/>
    <s v="No"/>
    <s v="Yes"/>
    <m/>
    <s v="1+ Failures"/>
    <n v="1"/>
    <s v="20+ hrs"/>
    <x v="3"/>
  </r>
  <r>
    <n v="1925"/>
    <d v="2024-12-22T00:00:00"/>
    <s v="Basic"/>
    <n v="199"/>
    <n v="14.5"/>
    <n v="0"/>
    <n v="5"/>
    <n v="18"/>
    <n v="38"/>
    <s v="Yes"/>
    <s v="No"/>
    <s v="Yes"/>
    <s v="No"/>
    <s v="Yes"/>
    <s v="No"/>
    <m/>
    <s v="1+ Failures"/>
    <n v="1"/>
    <s v="10-20hrs"/>
    <x v="1"/>
  </r>
  <r>
    <n v="1926"/>
    <d v="2023-11-08T00:00:00"/>
    <s v="Basic"/>
    <n v="199"/>
    <n v="5.8"/>
    <n v="7"/>
    <n v="2"/>
    <n v="26"/>
    <n v="34"/>
    <s v="Yes"/>
    <s v="No"/>
    <s v="Yes"/>
    <s v="Yes"/>
    <s v="Yes"/>
    <s v="No"/>
    <m/>
    <s v="1+ Failures"/>
    <n v="1"/>
    <s v="5-10 hrs"/>
    <x v="1"/>
  </r>
  <r>
    <n v="1927"/>
    <d v="2024-11-28T00:00:00"/>
    <s v="Standard"/>
    <n v="399"/>
    <n v="14.5"/>
    <n v="8"/>
    <n v="3"/>
    <n v="15"/>
    <n v="9"/>
    <s v="No"/>
    <s v="No"/>
    <s v="Yes"/>
    <s v="Yes"/>
    <s v="No"/>
    <s v="No"/>
    <m/>
    <s v="1+ Failures"/>
    <n v="0"/>
    <s v="10-20hrs"/>
    <x v="1"/>
  </r>
  <r>
    <n v="1928"/>
    <d v="2023-05-03T00:00:00"/>
    <s v="Premium"/>
    <n v="699"/>
    <n v="21.6"/>
    <n v="0"/>
    <n v="5"/>
    <n v="21"/>
    <n v="48"/>
    <s v="Yes"/>
    <s v="No"/>
    <s v="Yes"/>
    <s v="No"/>
    <s v="Yes"/>
    <s v="No"/>
    <m/>
    <s v="1+ Failures"/>
    <n v="1"/>
    <s v="20+ hrs"/>
    <x v="1"/>
  </r>
  <r>
    <n v="1929"/>
    <d v="2024-09-07T00:00:00"/>
    <s v="Basic"/>
    <n v="199"/>
    <n v="13.5"/>
    <n v="2"/>
    <n v="5"/>
    <n v="5"/>
    <n v="12"/>
    <s v="Yes"/>
    <s v="No"/>
    <s v="Yes"/>
    <s v="No"/>
    <s v="No"/>
    <s v="Yes"/>
    <m/>
    <s v="1+ Failures"/>
    <n v="1"/>
    <s v="10-20hrs"/>
    <x v="3"/>
  </r>
  <r>
    <n v="1930"/>
    <d v="2023-04-07T00:00:00"/>
    <s v="Basic"/>
    <n v="199"/>
    <n v="1.2"/>
    <n v="7"/>
    <n v="5"/>
    <n v="12"/>
    <n v="7"/>
    <s v="Yes"/>
    <s v="Yes"/>
    <s v="Yes"/>
    <s v="Yes"/>
    <s v="No"/>
    <s v="No"/>
    <m/>
    <s v="1+ Failures"/>
    <n v="1"/>
    <s v="0-5 hrs"/>
    <x v="0"/>
  </r>
  <r>
    <n v="1931"/>
    <d v="2023-12-18T00:00:00"/>
    <s v="Standard"/>
    <n v="399"/>
    <n v="20.2"/>
    <n v="6"/>
    <n v="5"/>
    <n v="25"/>
    <n v="30"/>
    <s v="Yes"/>
    <s v="No"/>
    <s v="Yes"/>
    <s v="Yes"/>
    <s v="Yes"/>
    <s v="No"/>
    <m/>
    <s v="1+ Failures"/>
    <n v="1"/>
    <s v="20+ hrs"/>
    <x v="1"/>
  </r>
  <r>
    <n v="1932"/>
    <d v="2024-05-26T00:00:00"/>
    <s v="Basic"/>
    <n v="199"/>
    <n v="8.1"/>
    <n v="2"/>
    <n v="5"/>
    <n v="7"/>
    <n v="27"/>
    <s v="No"/>
    <s v="No"/>
    <s v="Yes"/>
    <s v="No"/>
    <s v="Yes"/>
    <s v="No"/>
    <m/>
    <s v="1+ Failures"/>
    <n v="0"/>
    <s v="5-10 hrs"/>
    <x v="0"/>
  </r>
  <r>
    <n v="1933"/>
    <d v="2024-10-10T00:00:00"/>
    <s v="Basic"/>
    <n v="199"/>
    <n v="6.9"/>
    <n v="3"/>
    <n v="1"/>
    <n v="12"/>
    <n v="22"/>
    <s v="No"/>
    <s v="No"/>
    <s v="Yes"/>
    <s v="No"/>
    <s v="Yes"/>
    <s v="No"/>
    <m/>
    <s v="1+ Failures"/>
    <n v="0"/>
    <s v="5-10 hrs"/>
    <x v="0"/>
  </r>
  <r>
    <n v="1934"/>
    <d v="2024-09-12T00:00:00"/>
    <s v="Basic"/>
    <n v="199"/>
    <n v="11.6"/>
    <n v="1"/>
    <n v="4"/>
    <n v="22"/>
    <n v="16"/>
    <s v="Yes"/>
    <s v="No"/>
    <s v="Yes"/>
    <s v="No"/>
    <s v="Yes"/>
    <s v="No"/>
    <m/>
    <s v="1+ Failures"/>
    <n v="1"/>
    <s v="10-20hrs"/>
    <x v="1"/>
  </r>
  <r>
    <n v="1935"/>
    <d v="2024-06-25T00:00:00"/>
    <s v="Basic"/>
    <n v="199"/>
    <n v="1.9"/>
    <n v="5"/>
    <n v="0"/>
    <n v="36"/>
    <n v="10"/>
    <s v="Yes"/>
    <s v="Yes"/>
    <s v="No"/>
    <s v="Yes"/>
    <s v="No"/>
    <s v="No"/>
    <m/>
    <s v="0 Failures"/>
    <n v="1"/>
    <s v="0-5 hrs"/>
    <x v="1"/>
  </r>
  <r>
    <n v="1936"/>
    <d v="2024-07-30T00:00:00"/>
    <s v="Basic"/>
    <n v="199"/>
    <n v="8.5"/>
    <n v="4"/>
    <n v="0"/>
    <n v="1"/>
    <n v="51"/>
    <s v="No"/>
    <s v="No"/>
    <s v="No"/>
    <s v="No"/>
    <s v="Yes"/>
    <s v="Yes"/>
    <m/>
    <s v="0 Failures"/>
    <n v="0"/>
    <s v="5-10 hrs"/>
    <x v="2"/>
  </r>
  <r>
    <n v="1937"/>
    <d v="2024-07-02T00:00:00"/>
    <s v="Standard"/>
    <n v="399"/>
    <n v="23.9"/>
    <n v="3"/>
    <n v="5"/>
    <n v="5"/>
    <n v="39"/>
    <s v="Yes"/>
    <s v="No"/>
    <s v="Yes"/>
    <s v="No"/>
    <s v="Yes"/>
    <s v="Yes"/>
    <m/>
    <s v="1+ Failures"/>
    <n v="1"/>
    <s v="20+ hrs"/>
    <x v="3"/>
  </r>
  <r>
    <n v="1938"/>
    <d v="2024-03-27T00:00:00"/>
    <s v="Basic"/>
    <n v="199"/>
    <n v="2.9"/>
    <n v="2"/>
    <n v="4"/>
    <n v="23"/>
    <n v="23"/>
    <s v="Yes"/>
    <s v="Yes"/>
    <s v="Yes"/>
    <s v="No"/>
    <s v="Yes"/>
    <s v="No"/>
    <m/>
    <s v="1+ Failures"/>
    <n v="1"/>
    <s v="0-5 hrs"/>
    <x v="1"/>
  </r>
  <r>
    <n v="1939"/>
    <d v="2024-07-04T00:00:00"/>
    <s v="Premium"/>
    <n v="699"/>
    <n v="12.9"/>
    <n v="7"/>
    <n v="0"/>
    <n v="12"/>
    <n v="39"/>
    <s v="Yes"/>
    <s v="No"/>
    <s v="No"/>
    <s v="Yes"/>
    <s v="Yes"/>
    <s v="No"/>
    <m/>
    <s v="0 Failures"/>
    <n v="1"/>
    <s v="10-20hrs"/>
    <x v="0"/>
  </r>
  <r>
    <n v="1940"/>
    <d v="2024-06-14T00:00:00"/>
    <s v="Basic"/>
    <n v="199"/>
    <n v="23.4"/>
    <n v="1"/>
    <n v="2"/>
    <n v="20"/>
    <n v="43"/>
    <s v="Yes"/>
    <s v="No"/>
    <s v="Yes"/>
    <s v="No"/>
    <s v="Yes"/>
    <s v="No"/>
    <m/>
    <s v="1+ Failures"/>
    <n v="1"/>
    <s v="20+ hrs"/>
    <x v="1"/>
  </r>
  <r>
    <n v="1941"/>
    <d v="2024-04-10T00:00:00"/>
    <s v="Basic"/>
    <n v="199"/>
    <n v="12.7"/>
    <n v="2"/>
    <n v="4"/>
    <n v="7"/>
    <n v="58"/>
    <s v="Yes"/>
    <s v="No"/>
    <s v="Yes"/>
    <s v="No"/>
    <s v="Yes"/>
    <s v="No"/>
    <m/>
    <s v="1+ Failures"/>
    <n v="1"/>
    <s v="10-20hrs"/>
    <x v="0"/>
  </r>
  <r>
    <n v="1942"/>
    <d v="2023-12-13T00:00:00"/>
    <s v="Premium"/>
    <n v="699"/>
    <n v="20.9"/>
    <n v="7"/>
    <n v="0"/>
    <n v="36"/>
    <n v="42"/>
    <s v="No"/>
    <s v="No"/>
    <s v="No"/>
    <s v="Yes"/>
    <s v="Yes"/>
    <s v="No"/>
    <m/>
    <s v="0 Failures"/>
    <n v="0"/>
    <s v="20+ hrs"/>
    <x v="1"/>
  </r>
  <r>
    <n v="1943"/>
    <d v="2024-01-02T00:00:00"/>
    <s v="Basic"/>
    <n v="199"/>
    <n v="4"/>
    <n v="7"/>
    <n v="1"/>
    <n v="24"/>
    <n v="50"/>
    <s v="Yes"/>
    <s v="Yes"/>
    <s v="Yes"/>
    <s v="Yes"/>
    <s v="Yes"/>
    <s v="No"/>
    <m/>
    <s v="1+ Failures"/>
    <n v="1"/>
    <s v="0-5 hrs"/>
    <x v="1"/>
  </r>
  <r>
    <n v="1944"/>
    <d v="2023-11-25T00:00:00"/>
    <s v="Basic"/>
    <n v="199"/>
    <n v="20.399999999999999"/>
    <n v="1"/>
    <n v="4"/>
    <n v="31"/>
    <n v="5"/>
    <s v="No"/>
    <s v="No"/>
    <s v="Yes"/>
    <s v="No"/>
    <s v="No"/>
    <s v="No"/>
    <m/>
    <s v="1+ Failures"/>
    <n v="0"/>
    <s v="20+ hrs"/>
    <x v="1"/>
  </r>
  <r>
    <n v="1945"/>
    <d v="2023-05-19T00:00:00"/>
    <s v="Premium"/>
    <n v="699"/>
    <n v="13.3"/>
    <n v="8"/>
    <n v="5"/>
    <n v="35"/>
    <n v="12"/>
    <s v="Yes"/>
    <s v="No"/>
    <s v="Yes"/>
    <s v="Yes"/>
    <s v="No"/>
    <s v="No"/>
    <m/>
    <s v="1+ Failures"/>
    <n v="1"/>
    <s v="10-20hrs"/>
    <x v="1"/>
  </r>
  <r>
    <n v="1946"/>
    <d v="2024-05-17T00:00:00"/>
    <s v="Standard"/>
    <n v="399"/>
    <n v="7.7"/>
    <n v="6"/>
    <n v="3"/>
    <n v="13"/>
    <n v="27"/>
    <s v="Yes"/>
    <s v="No"/>
    <s v="Yes"/>
    <s v="Yes"/>
    <s v="Yes"/>
    <s v="No"/>
    <m/>
    <s v="1+ Failures"/>
    <n v="1"/>
    <s v="5-10 hrs"/>
    <x v="1"/>
  </r>
  <r>
    <n v="1947"/>
    <d v="2024-05-24T00:00:00"/>
    <s v="Basic"/>
    <n v="199"/>
    <n v="3.1"/>
    <n v="8"/>
    <n v="3"/>
    <n v="32"/>
    <n v="39"/>
    <s v="Yes"/>
    <s v="Yes"/>
    <s v="Yes"/>
    <s v="Yes"/>
    <s v="Yes"/>
    <s v="No"/>
    <m/>
    <s v="1+ Failures"/>
    <n v="1"/>
    <s v="0-5 hrs"/>
    <x v="1"/>
  </r>
  <r>
    <n v="1948"/>
    <d v="2024-08-24T00:00:00"/>
    <s v="Standard"/>
    <n v="399"/>
    <n v="13.4"/>
    <n v="0"/>
    <n v="1"/>
    <n v="4"/>
    <n v="60"/>
    <s v="Yes"/>
    <s v="No"/>
    <s v="Yes"/>
    <s v="No"/>
    <s v="Yes"/>
    <s v="Yes"/>
    <m/>
    <s v="1+ Failures"/>
    <n v="1"/>
    <s v="10-20hrs"/>
    <x v="3"/>
  </r>
  <r>
    <n v="1949"/>
    <d v="2023-02-18T00:00:00"/>
    <s v="Premium"/>
    <n v="699"/>
    <n v="4.7"/>
    <n v="5"/>
    <n v="5"/>
    <n v="35"/>
    <n v="3"/>
    <s v="Yes"/>
    <s v="Yes"/>
    <s v="Yes"/>
    <s v="Yes"/>
    <s v="No"/>
    <s v="No"/>
    <m/>
    <s v="1+ Failures"/>
    <n v="1"/>
    <s v="0-5 hrs"/>
    <x v="1"/>
  </r>
  <r>
    <n v="1950"/>
    <d v="2024-03-20T00:00:00"/>
    <s v="Standard"/>
    <n v="399"/>
    <n v="5.0999999999999996"/>
    <n v="8"/>
    <n v="0"/>
    <n v="25"/>
    <n v="52"/>
    <s v="No"/>
    <s v="No"/>
    <s v="No"/>
    <s v="Yes"/>
    <s v="Yes"/>
    <s v="No"/>
    <m/>
    <s v="0 Failures"/>
    <n v="0"/>
    <s v="5-10 hrs"/>
    <x v="1"/>
  </r>
  <r>
    <n v="1951"/>
    <d v="2023-02-15T00:00:00"/>
    <s v="Premium"/>
    <n v="699"/>
    <n v="13.3"/>
    <n v="2"/>
    <n v="4"/>
    <n v="33"/>
    <n v="23"/>
    <s v="No"/>
    <s v="No"/>
    <s v="Yes"/>
    <s v="No"/>
    <s v="Yes"/>
    <s v="No"/>
    <m/>
    <s v="1+ Failures"/>
    <n v="0"/>
    <s v="10-20hrs"/>
    <x v="1"/>
  </r>
  <r>
    <n v="1952"/>
    <d v="2023-07-28T00:00:00"/>
    <s v="Basic"/>
    <n v="199"/>
    <n v="11.7"/>
    <n v="2"/>
    <n v="1"/>
    <n v="7"/>
    <n v="45"/>
    <s v="Yes"/>
    <s v="No"/>
    <s v="Yes"/>
    <s v="No"/>
    <s v="Yes"/>
    <s v="No"/>
    <m/>
    <s v="1+ Failures"/>
    <n v="1"/>
    <s v="10-20hrs"/>
    <x v="0"/>
  </r>
  <r>
    <n v="1953"/>
    <d v="2024-12-06T00:00:00"/>
    <s v="Standard"/>
    <n v="399"/>
    <n v="14.5"/>
    <n v="0"/>
    <n v="0"/>
    <n v="14"/>
    <n v="59"/>
    <s v="No"/>
    <s v="No"/>
    <s v="No"/>
    <s v="No"/>
    <s v="Yes"/>
    <s v="No"/>
    <m/>
    <s v="0 Failures"/>
    <n v="0"/>
    <s v="10-20hrs"/>
    <x v="1"/>
  </r>
  <r>
    <n v="1954"/>
    <d v="2023-12-05T00:00:00"/>
    <s v="Basic"/>
    <n v="199"/>
    <n v="0.6"/>
    <n v="3"/>
    <n v="5"/>
    <n v="19"/>
    <n v="52"/>
    <s v="No"/>
    <s v="Yes"/>
    <s v="Yes"/>
    <s v="No"/>
    <s v="Yes"/>
    <s v="No"/>
    <m/>
    <s v="1+ Failures"/>
    <n v="0"/>
    <s v="0-5 hrs"/>
    <x v="1"/>
  </r>
  <r>
    <n v="1955"/>
    <d v="2024-09-05T00:00:00"/>
    <s v="Basic"/>
    <n v="199"/>
    <n v="20.8"/>
    <n v="5"/>
    <n v="3"/>
    <n v="25"/>
    <n v="2"/>
    <s v="Yes"/>
    <s v="No"/>
    <s v="Yes"/>
    <s v="Yes"/>
    <s v="No"/>
    <s v="No"/>
    <m/>
    <s v="1+ Failures"/>
    <n v="1"/>
    <s v="20+ hrs"/>
    <x v="1"/>
  </r>
  <r>
    <n v="1956"/>
    <d v="2024-10-03T00:00:00"/>
    <s v="Basic"/>
    <n v="199"/>
    <n v="22.1"/>
    <n v="6"/>
    <n v="5"/>
    <n v="17"/>
    <n v="36"/>
    <s v="Yes"/>
    <s v="No"/>
    <s v="Yes"/>
    <s v="Yes"/>
    <s v="Yes"/>
    <s v="No"/>
    <m/>
    <s v="1+ Failures"/>
    <n v="1"/>
    <s v="20+ hrs"/>
    <x v="1"/>
  </r>
  <r>
    <n v="1957"/>
    <d v="2024-02-28T00:00:00"/>
    <s v="Standard"/>
    <n v="399"/>
    <n v="23.5"/>
    <n v="4"/>
    <n v="3"/>
    <n v="14"/>
    <n v="44"/>
    <s v="Yes"/>
    <s v="No"/>
    <s v="Yes"/>
    <s v="No"/>
    <s v="Yes"/>
    <s v="No"/>
    <m/>
    <s v="1+ Failures"/>
    <n v="1"/>
    <s v="20+ hrs"/>
    <x v="1"/>
  </r>
  <r>
    <n v="1958"/>
    <d v="2024-10-03T00:00:00"/>
    <s v="Standard"/>
    <n v="399"/>
    <n v="21.1"/>
    <n v="3"/>
    <n v="3"/>
    <n v="18"/>
    <n v="16"/>
    <s v="No"/>
    <s v="No"/>
    <s v="Yes"/>
    <s v="No"/>
    <s v="Yes"/>
    <s v="No"/>
    <m/>
    <s v="1+ Failures"/>
    <n v="0"/>
    <s v="20+ hrs"/>
    <x v="1"/>
  </r>
  <r>
    <n v="1959"/>
    <d v="2023-03-14T00:00:00"/>
    <s v="Premium"/>
    <n v="699"/>
    <n v="1.5"/>
    <n v="7"/>
    <n v="1"/>
    <n v="26"/>
    <n v="42"/>
    <s v="Yes"/>
    <s v="Yes"/>
    <s v="Yes"/>
    <s v="Yes"/>
    <s v="Yes"/>
    <s v="No"/>
    <m/>
    <s v="1+ Failures"/>
    <n v="1"/>
    <s v="0-5 hrs"/>
    <x v="1"/>
  </r>
  <r>
    <n v="1960"/>
    <d v="2023-06-21T00:00:00"/>
    <s v="Premium"/>
    <n v="699"/>
    <n v="3.3"/>
    <n v="7"/>
    <n v="0"/>
    <n v="8"/>
    <n v="11"/>
    <s v="No"/>
    <s v="Yes"/>
    <s v="No"/>
    <s v="Yes"/>
    <s v="No"/>
    <s v="No"/>
    <m/>
    <s v="0 Failures"/>
    <n v="0"/>
    <s v="0-5 hrs"/>
    <x v="0"/>
  </r>
  <r>
    <n v="1961"/>
    <d v="2024-08-06T00:00:00"/>
    <s v="Premium"/>
    <n v="699"/>
    <n v="23.9"/>
    <n v="6"/>
    <n v="2"/>
    <n v="17"/>
    <n v="34"/>
    <s v="Yes"/>
    <s v="No"/>
    <s v="Yes"/>
    <s v="Yes"/>
    <s v="Yes"/>
    <s v="No"/>
    <m/>
    <s v="1+ Failures"/>
    <n v="1"/>
    <s v="20+ hrs"/>
    <x v="1"/>
  </r>
  <r>
    <n v="1962"/>
    <d v="2024-05-24T00:00:00"/>
    <s v="Standard"/>
    <n v="399"/>
    <n v="19.100000000000001"/>
    <n v="6"/>
    <n v="1"/>
    <n v="7"/>
    <n v="60"/>
    <s v="Yes"/>
    <s v="No"/>
    <s v="Yes"/>
    <s v="Yes"/>
    <s v="Yes"/>
    <s v="No"/>
    <m/>
    <s v="1+ Failures"/>
    <n v="1"/>
    <s v="10-20hrs"/>
    <x v="0"/>
  </r>
  <r>
    <n v="1963"/>
    <d v="2023-08-23T00:00:00"/>
    <s v="Basic"/>
    <n v="199"/>
    <n v="13.2"/>
    <n v="0"/>
    <n v="3"/>
    <n v="9"/>
    <n v="30"/>
    <s v="Yes"/>
    <s v="No"/>
    <s v="Yes"/>
    <s v="No"/>
    <s v="Yes"/>
    <s v="No"/>
    <m/>
    <s v="1+ Failures"/>
    <n v="1"/>
    <s v="10-20hrs"/>
    <x v="0"/>
  </r>
  <r>
    <n v="1964"/>
    <d v="2024-03-24T00:00:00"/>
    <s v="Basic"/>
    <n v="199"/>
    <n v="5"/>
    <n v="1"/>
    <n v="1"/>
    <n v="25"/>
    <n v="27"/>
    <s v="No"/>
    <s v="No"/>
    <s v="Yes"/>
    <s v="No"/>
    <s v="Yes"/>
    <s v="No"/>
    <m/>
    <s v="1+ Failures"/>
    <n v="0"/>
    <s v="0-5 hrs"/>
    <x v="1"/>
  </r>
  <r>
    <n v="1965"/>
    <d v="2023-07-13T00:00:00"/>
    <s v="Premium"/>
    <n v="699"/>
    <n v="11.3"/>
    <n v="0"/>
    <n v="5"/>
    <n v="10"/>
    <n v="59"/>
    <s v="Yes"/>
    <s v="No"/>
    <s v="Yes"/>
    <s v="No"/>
    <s v="Yes"/>
    <s v="No"/>
    <m/>
    <s v="1+ Failures"/>
    <n v="1"/>
    <s v="10-20hrs"/>
    <x v="0"/>
  </r>
  <r>
    <n v="1966"/>
    <d v="2023-09-14T00:00:00"/>
    <s v="Basic"/>
    <n v="199"/>
    <n v="1.6"/>
    <n v="0"/>
    <n v="1"/>
    <n v="21"/>
    <n v="21"/>
    <s v="No"/>
    <s v="Yes"/>
    <s v="Yes"/>
    <s v="No"/>
    <s v="Yes"/>
    <s v="No"/>
    <m/>
    <s v="1+ Failures"/>
    <n v="0"/>
    <s v="0-5 hrs"/>
    <x v="1"/>
  </r>
  <r>
    <n v="1967"/>
    <d v="2023-10-26T00:00:00"/>
    <s v="Basic"/>
    <n v="199"/>
    <n v="11.8"/>
    <n v="0"/>
    <n v="3"/>
    <n v="23"/>
    <n v="24"/>
    <s v="Yes"/>
    <s v="No"/>
    <s v="Yes"/>
    <s v="No"/>
    <s v="Yes"/>
    <s v="No"/>
    <m/>
    <s v="1+ Failures"/>
    <n v="1"/>
    <s v="10-20hrs"/>
    <x v="1"/>
  </r>
  <r>
    <n v="1968"/>
    <d v="2023-01-26T00:00:00"/>
    <s v="Premium"/>
    <n v="699"/>
    <n v="6"/>
    <n v="3"/>
    <n v="2"/>
    <n v="5"/>
    <n v="42"/>
    <s v="No"/>
    <s v="No"/>
    <s v="Yes"/>
    <s v="No"/>
    <s v="Yes"/>
    <s v="Yes"/>
    <m/>
    <s v="1+ Failures"/>
    <n v="0"/>
    <s v="5-10 hrs"/>
    <x v="3"/>
  </r>
  <r>
    <n v="1969"/>
    <d v="2024-07-14T00:00:00"/>
    <s v="Standard"/>
    <n v="399"/>
    <n v="21.2"/>
    <n v="8"/>
    <n v="2"/>
    <n v="5"/>
    <n v="35"/>
    <s v="Yes"/>
    <s v="No"/>
    <s v="Yes"/>
    <s v="Yes"/>
    <s v="Yes"/>
    <s v="Yes"/>
    <m/>
    <s v="1+ Failures"/>
    <n v="1"/>
    <s v="20+ hrs"/>
    <x v="3"/>
  </r>
  <r>
    <n v="1970"/>
    <d v="2024-09-25T00:00:00"/>
    <s v="Standard"/>
    <n v="399"/>
    <n v="3.2"/>
    <n v="1"/>
    <n v="3"/>
    <n v="4"/>
    <n v="33"/>
    <s v="Yes"/>
    <s v="Yes"/>
    <s v="Yes"/>
    <s v="No"/>
    <s v="Yes"/>
    <s v="Yes"/>
    <m/>
    <s v="1+ Failures"/>
    <n v="1"/>
    <s v="0-5 hrs"/>
    <x v="3"/>
  </r>
  <r>
    <n v="1971"/>
    <d v="2023-04-17T00:00:00"/>
    <s v="Premium"/>
    <n v="699"/>
    <n v="18.2"/>
    <n v="5"/>
    <n v="2"/>
    <n v="11"/>
    <n v="2"/>
    <s v="Yes"/>
    <s v="No"/>
    <s v="Yes"/>
    <s v="Yes"/>
    <s v="No"/>
    <s v="No"/>
    <m/>
    <s v="1+ Failures"/>
    <n v="1"/>
    <s v="10-20hrs"/>
    <x v="0"/>
  </r>
  <r>
    <n v="1972"/>
    <d v="2024-08-03T00:00:00"/>
    <s v="Premium"/>
    <n v="699"/>
    <n v="0.6"/>
    <n v="0"/>
    <n v="4"/>
    <n v="15"/>
    <n v="3"/>
    <s v="No"/>
    <s v="Yes"/>
    <s v="Yes"/>
    <s v="No"/>
    <s v="No"/>
    <s v="No"/>
    <m/>
    <s v="1+ Failures"/>
    <n v="0"/>
    <s v="0-5 hrs"/>
    <x v="1"/>
  </r>
  <r>
    <n v="1973"/>
    <d v="2024-10-26T00:00:00"/>
    <s v="Basic"/>
    <n v="199"/>
    <n v="19.2"/>
    <n v="0"/>
    <n v="4"/>
    <n v="15"/>
    <n v="34"/>
    <s v="Yes"/>
    <s v="No"/>
    <s v="Yes"/>
    <s v="No"/>
    <s v="Yes"/>
    <s v="No"/>
    <m/>
    <s v="1+ Failures"/>
    <n v="1"/>
    <s v="10-20hrs"/>
    <x v="1"/>
  </r>
  <r>
    <n v="1974"/>
    <d v="2024-11-30T00:00:00"/>
    <s v="Standard"/>
    <n v="399"/>
    <n v="7.4"/>
    <n v="6"/>
    <n v="3"/>
    <n v="25"/>
    <n v="58"/>
    <s v="Yes"/>
    <s v="No"/>
    <s v="Yes"/>
    <s v="Yes"/>
    <s v="Yes"/>
    <s v="No"/>
    <m/>
    <s v="1+ Failures"/>
    <n v="1"/>
    <s v="5-10 hrs"/>
    <x v="1"/>
  </r>
  <r>
    <n v="1975"/>
    <d v="2024-04-10T00:00:00"/>
    <s v="Standard"/>
    <n v="399"/>
    <n v="9"/>
    <n v="7"/>
    <n v="3"/>
    <n v="17"/>
    <n v="58"/>
    <s v="No"/>
    <s v="No"/>
    <s v="Yes"/>
    <s v="Yes"/>
    <s v="Yes"/>
    <s v="No"/>
    <m/>
    <s v="1+ Failures"/>
    <n v="0"/>
    <s v="5-10 hrs"/>
    <x v="1"/>
  </r>
  <r>
    <n v="1976"/>
    <d v="2024-02-02T00:00:00"/>
    <s v="Premium"/>
    <n v="699"/>
    <n v="6"/>
    <n v="4"/>
    <n v="5"/>
    <n v="24"/>
    <n v="46"/>
    <s v="Yes"/>
    <s v="No"/>
    <s v="Yes"/>
    <s v="No"/>
    <s v="Yes"/>
    <s v="No"/>
    <m/>
    <s v="1+ Failures"/>
    <n v="1"/>
    <s v="5-10 hrs"/>
    <x v="1"/>
  </r>
  <r>
    <n v="1977"/>
    <d v="2023-02-13T00:00:00"/>
    <s v="Standard"/>
    <n v="399"/>
    <n v="9.5"/>
    <n v="0"/>
    <n v="3"/>
    <n v="11"/>
    <n v="51"/>
    <s v="Yes"/>
    <s v="No"/>
    <s v="Yes"/>
    <s v="No"/>
    <s v="Yes"/>
    <s v="No"/>
    <m/>
    <s v="1+ Failures"/>
    <n v="1"/>
    <s v="5-10 hrs"/>
    <x v="0"/>
  </r>
  <r>
    <n v="1978"/>
    <d v="2024-10-03T00:00:00"/>
    <s v="Standard"/>
    <n v="399"/>
    <n v="17.899999999999999"/>
    <n v="8"/>
    <n v="1"/>
    <n v="27"/>
    <n v="25"/>
    <s v="Yes"/>
    <s v="No"/>
    <s v="Yes"/>
    <s v="Yes"/>
    <s v="Yes"/>
    <s v="No"/>
    <m/>
    <s v="1+ Failures"/>
    <n v="1"/>
    <s v="10-20hrs"/>
    <x v="1"/>
  </r>
  <r>
    <n v="1979"/>
    <d v="2024-03-30T00:00:00"/>
    <s v="Standard"/>
    <n v="399"/>
    <n v="23.6"/>
    <n v="6"/>
    <n v="3"/>
    <n v="14"/>
    <n v="29"/>
    <s v="Yes"/>
    <s v="No"/>
    <s v="Yes"/>
    <s v="Yes"/>
    <s v="Yes"/>
    <s v="No"/>
    <m/>
    <s v="1+ Failures"/>
    <n v="1"/>
    <s v="20+ hrs"/>
    <x v="1"/>
  </r>
  <r>
    <n v="1980"/>
    <d v="2024-06-26T00:00:00"/>
    <s v="Standard"/>
    <n v="399"/>
    <n v="9.4"/>
    <n v="5"/>
    <n v="5"/>
    <n v="30"/>
    <n v="25"/>
    <s v="Yes"/>
    <s v="No"/>
    <s v="Yes"/>
    <s v="Yes"/>
    <s v="Yes"/>
    <s v="No"/>
    <m/>
    <s v="1+ Failures"/>
    <n v="1"/>
    <s v="5-10 hrs"/>
    <x v="1"/>
  </r>
  <r>
    <n v="1981"/>
    <d v="2024-11-06T00:00:00"/>
    <s v="Basic"/>
    <n v="199"/>
    <n v="5.8"/>
    <n v="3"/>
    <n v="4"/>
    <n v="16"/>
    <n v="12"/>
    <s v="No"/>
    <s v="No"/>
    <s v="Yes"/>
    <s v="No"/>
    <s v="No"/>
    <s v="No"/>
    <m/>
    <s v="1+ Failures"/>
    <n v="0"/>
    <s v="5-10 hrs"/>
    <x v="1"/>
  </r>
  <r>
    <n v="1982"/>
    <d v="2023-08-07T00:00:00"/>
    <s v="Premium"/>
    <n v="699"/>
    <n v="22.6"/>
    <n v="8"/>
    <n v="3"/>
    <n v="24"/>
    <n v="23"/>
    <s v="Yes"/>
    <s v="No"/>
    <s v="Yes"/>
    <s v="Yes"/>
    <s v="Yes"/>
    <s v="No"/>
    <m/>
    <s v="1+ Failures"/>
    <n v="1"/>
    <s v="20+ hrs"/>
    <x v="1"/>
  </r>
  <r>
    <n v="1983"/>
    <d v="2024-09-30T00:00:00"/>
    <s v="Standard"/>
    <n v="399"/>
    <n v="12"/>
    <n v="8"/>
    <n v="5"/>
    <n v="10"/>
    <n v="28"/>
    <s v="Yes"/>
    <s v="No"/>
    <s v="Yes"/>
    <s v="Yes"/>
    <s v="Yes"/>
    <s v="No"/>
    <m/>
    <s v="1+ Failures"/>
    <n v="1"/>
    <s v="10-20hrs"/>
    <x v="0"/>
  </r>
  <r>
    <n v="1984"/>
    <d v="2024-01-29T00:00:00"/>
    <s v="Standard"/>
    <n v="399"/>
    <n v="5.4"/>
    <n v="5"/>
    <n v="4"/>
    <n v="4"/>
    <n v="56"/>
    <s v="Yes"/>
    <s v="No"/>
    <s v="Yes"/>
    <s v="Yes"/>
    <s v="Yes"/>
    <s v="Yes"/>
    <m/>
    <s v="1+ Failures"/>
    <n v="1"/>
    <s v="5-10 hrs"/>
    <x v="3"/>
  </r>
  <r>
    <n v="1985"/>
    <d v="2024-08-04T00:00:00"/>
    <s v="Premium"/>
    <n v="699"/>
    <n v="4.9000000000000004"/>
    <n v="7"/>
    <n v="0"/>
    <n v="28"/>
    <n v="44"/>
    <s v="Yes"/>
    <s v="Yes"/>
    <s v="No"/>
    <s v="Yes"/>
    <s v="Yes"/>
    <s v="No"/>
    <m/>
    <s v="0 Failures"/>
    <n v="1"/>
    <s v="0-5 hrs"/>
    <x v="1"/>
  </r>
  <r>
    <n v="1986"/>
    <d v="2023-07-22T00:00:00"/>
    <s v="Premium"/>
    <n v="699"/>
    <n v="7.2"/>
    <n v="2"/>
    <n v="5"/>
    <n v="12"/>
    <n v="25"/>
    <s v="Yes"/>
    <s v="No"/>
    <s v="Yes"/>
    <s v="No"/>
    <s v="Yes"/>
    <s v="No"/>
    <m/>
    <s v="1+ Failures"/>
    <n v="1"/>
    <s v="5-10 hrs"/>
    <x v="0"/>
  </r>
  <r>
    <n v="1987"/>
    <d v="2024-05-13T00:00:00"/>
    <s v="Basic"/>
    <n v="199"/>
    <n v="8.3000000000000007"/>
    <n v="3"/>
    <n v="5"/>
    <n v="27"/>
    <n v="8"/>
    <s v="No"/>
    <s v="No"/>
    <s v="Yes"/>
    <s v="No"/>
    <s v="No"/>
    <s v="No"/>
    <m/>
    <s v="1+ Failures"/>
    <n v="0"/>
    <s v="5-10 hrs"/>
    <x v="1"/>
  </r>
  <r>
    <n v="1988"/>
    <d v="2023-03-29T00:00:00"/>
    <s v="Standard"/>
    <n v="399"/>
    <n v="18.5"/>
    <n v="0"/>
    <n v="5"/>
    <n v="34"/>
    <n v="6"/>
    <s v="No"/>
    <s v="No"/>
    <s v="Yes"/>
    <s v="No"/>
    <s v="No"/>
    <s v="No"/>
    <m/>
    <s v="1+ Failures"/>
    <n v="0"/>
    <s v="10-20hrs"/>
    <x v="1"/>
  </r>
  <r>
    <n v="1989"/>
    <d v="2024-01-01T00:00:00"/>
    <s v="Basic"/>
    <n v="199"/>
    <n v="23"/>
    <n v="0"/>
    <n v="2"/>
    <n v="1"/>
    <n v="54"/>
    <s v="Yes"/>
    <s v="No"/>
    <s v="Yes"/>
    <s v="No"/>
    <s v="Yes"/>
    <s v="Yes"/>
    <m/>
    <s v="1+ Failures"/>
    <n v="1"/>
    <s v="20+ hrs"/>
    <x v="2"/>
  </r>
  <r>
    <n v="1990"/>
    <d v="2023-11-20T00:00:00"/>
    <s v="Basic"/>
    <n v="199"/>
    <n v="24"/>
    <n v="4"/>
    <n v="0"/>
    <n v="10"/>
    <n v="23"/>
    <s v="No"/>
    <s v="No"/>
    <s v="No"/>
    <s v="No"/>
    <s v="Yes"/>
    <s v="No"/>
    <m/>
    <s v="0 Failures"/>
    <n v="0"/>
    <s v="20+ hrs"/>
    <x v="0"/>
  </r>
  <r>
    <n v="1991"/>
    <d v="2024-07-29T00:00:00"/>
    <s v="Premium"/>
    <n v="699"/>
    <n v="12.1"/>
    <n v="2"/>
    <n v="2"/>
    <n v="29"/>
    <n v="19"/>
    <s v="Yes"/>
    <s v="No"/>
    <s v="Yes"/>
    <s v="No"/>
    <s v="Yes"/>
    <s v="No"/>
    <m/>
    <s v="1+ Failures"/>
    <n v="1"/>
    <s v="10-20hrs"/>
    <x v="1"/>
  </r>
  <r>
    <n v="1992"/>
    <d v="2023-06-12T00:00:00"/>
    <s v="Basic"/>
    <n v="199"/>
    <n v="4.5"/>
    <n v="1"/>
    <n v="4"/>
    <n v="10"/>
    <n v="58"/>
    <s v="Yes"/>
    <s v="Yes"/>
    <s v="Yes"/>
    <s v="No"/>
    <s v="Yes"/>
    <s v="No"/>
    <m/>
    <s v="1+ Failures"/>
    <n v="1"/>
    <s v="0-5 hrs"/>
    <x v="0"/>
  </r>
  <r>
    <n v="1993"/>
    <d v="2023-04-27T00:00:00"/>
    <s v="Premium"/>
    <n v="699"/>
    <n v="15.9"/>
    <n v="4"/>
    <n v="5"/>
    <n v="36"/>
    <n v="54"/>
    <s v="No"/>
    <s v="No"/>
    <s v="Yes"/>
    <s v="No"/>
    <s v="Yes"/>
    <s v="No"/>
    <m/>
    <s v="1+ Failures"/>
    <n v="0"/>
    <s v="10-20hrs"/>
    <x v="1"/>
  </r>
  <r>
    <n v="1994"/>
    <d v="2024-04-29T00:00:00"/>
    <s v="Premium"/>
    <n v="699"/>
    <n v="22.8"/>
    <n v="1"/>
    <n v="0"/>
    <n v="10"/>
    <n v="8"/>
    <s v="No"/>
    <s v="No"/>
    <s v="No"/>
    <s v="No"/>
    <s v="No"/>
    <s v="No"/>
    <m/>
    <s v="0 Failures"/>
    <n v="0"/>
    <s v="20+ hrs"/>
    <x v="0"/>
  </r>
  <r>
    <n v="1995"/>
    <d v="2024-01-07T00:00:00"/>
    <s v="Standard"/>
    <n v="399"/>
    <n v="4.7"/>
    <n v="0"/>
    <n v="4"/>
    <n v="31"/>
    <n v="44"/>
    <s v="No"/>
    <s v="Yes"/>
    <s v="Yes"/>
    <s v="No"/>
    <s v="Yes"/>
    <s v="No"/>
    <m/>
    <s v="1+ Failures"/>
    <n v="0"/>
    <s v="0-5 hrs"/>
    <x v="1"/>
  </r>
  <r>
    <n v="1996"/>
    <d v="2023-12-19T00:00:00"/>
    <s v="Standard"/>
    <n v="399"/>
    <n v="11.5"/>
    <n v="0"/>
    <n v="3"/>
    <n v="12"/>
    <n v="60"/>
    <s v="No"/>
    <s v="No"/>
    <s v="Yes"/>
    <s v="No"/>
    <s v="Yes"/>
    <s v="No"/>
    <m/>
    <s v="1+ Failures"/>
    <n v="0"/>
    <s v="10-20hrs"/>
    <x v="0"/>
  </r>
  <r>
    <n v="1997"/>
    <d v="2024-11-24T00:00:00"/>
    <s v="Standard"/>
    <n v="399"/>
    <n v="22.2"/>
    <n v="1"/>
    <n v="1"/>
    <n v="6"/>
    <n v="8"/>
    <s v="No"/>
    <s v="No"/>
    <s v="Yes"/>
    <s v="No"/>
    <s v="No"/>
    <s v="No"/>
    <m/>
    <s v="1+ Failures"/>
    <n v="0"/>
    <s v="20+ hrs"/>
    <x v="3"/>
  </r>
  <r>
    <n v="1998"/>
    <d v="2023-03-27T00:00:00"/>
    <s v="Standard"/>
    <n v="399"/>
    <n v="3.2"/>
    <n v="3"/>
    <n v="5"/>
    <n v="10"/>
    <n v="20"/>
    <s v="Yes"/>
    <s v="Yes"/>
    <s v="Yes"/>
    <s v="No"/>
    <s v="Yes"/>
    <s v="No"/>
    <m/>
    <s v="1+ Failures"/>
    <n v="1"/>
    <s v="0-5 hrs"/>
    <x v="0"/>
  </r>
  <r>
    <n v="1999"/>
    <d v="2023-07-16T00:00:00"/>
    <s v="Standard"/>
    <n v="399"/>
    <n v="0.9"/>
    <n v="6"/>
    <n v="1"/>
    <n v="32"/>
    <n v="23"/>
    <s v="No"/>
    <s v="Yes"/>
    <s v="Yes"/>
    <s v="Yes"/>
    <s v="Yes"/>
    <s v="No"/>
    <m/>
    <s v="1+ Failures"/>
    <n v="0"/>
    <s v="0-5 hrs"/>
    <x v="1"/>
  </r>
  <r>
    <n v="2000"/>
    <d v="2023-02-23T00:00:00"/>
    <s v="Premium"/>
    <n v="699"/>
    <n v="24.6"/>
    <n v="0"/>
    <n v="3"/>
    <n v="18"/>
    <n v="20"/>
    <s v="No"/>
    <s v="No"/>
    <s v="Yes"/>
    <s v="No"/>
    <s v="Yes"/>
    <s v="No"/>
    <m/>
    <s v="1+ Failures"/>
    <n v="0"/>
    <s v="20+ hrs"/>
    <x v="1"/>
  </r>
  <r>
    <n v="2001"/>
    <d v="2023-10-07T00:00:00"/>
    <s v="Premium"/>
    <n v="699"/>
    <n v="17.7"/>
    <n v="4"/>
    <n v="3"/>
    <n v="16"/>
    <n v="27"/>
    <s v="Yes"/>
    <s v="No"/>
    <s v="Yes"/>
    <s v="No"/>
    <s v="Yes"/>
    <s v="No"/>
    <m/>
    <s v="1+ Failures"/>
    <n v="1"/>
    <s v="10-20hrs"/>
    <x v="1"/>
  </r>
  <r>
    <n v="2002"/>
    <d v="2024-10-01T00:00:00"/>
    <s v="Premium"/>
    <n v="699"/>
    <n v="16.7"/>
    <n v="5"/>
    <n v="4"/>
    <n v="30"/>
    <n v="2"/>
    <s v="Yes"/>
    <s v="No"/>
    <s v="Yes"/>
    <s v="Yes"/>
    <s v="No"/>
    <s v="No"/>
    <m/>
    <s v="1+ Failures"/>
    <n v="1"/>
    <s v="10-20hrs"/>
    <x v="1"/>
  </r>
  <r>
    <n v="2003"/>
    <d v="2024-12-12T00:00:00"/>
    <s v="Basic"/>
    <n v="199"/>
    <n v="7.9"/>
    <n v="3"/>
    <n v="3"/>
    <n v="2"/>
    <n v="24"/>
    <s v="Yes"/>
    <s v="No"/>
    <s v="Yes"/>
    <s v="No"/>
    <s v="Yes"/>
    <s v="Yes"/>
    <m/>
    <s v="1+ Failures"/>
    <n v="1"/>
    <s v="5-10 hrs"/>
    <x v="2"/>
  </r>
  <r>
    <n v="2004"/>
    <d v="2024-03-10T00:00:00"/>
    <s v="Premium"/>
    <n v="699"/>
    <n v="17.600000000000001"/>
    <n v="5"/>
    <n v="2"/>
    <n v="18"/>
    <n v="51"/>
    <s v="Yes"/>
    <s v="No"/>
    <s v="Yes"/>
    <s v="Yes"/>
    <s v="Yes"/>
    <s v="No"/>
    <m/>
    <s v="1+ Failures"/>
    <n v="1"/>
    <s v="10-20hrs"/>
    <x v="1"/>
  </r>
  <r>
    <n v="2005"/>
    <d v="2024-05-15T00:00:00"/>
    <s v="Standard"/>
    <n v="399"/>
    <n v="3.7"/>
    <n v="5"/>
    <n v="5"/>
    <n v="22"/>
    <n v="16"/>
    <s v="Yes"/>
    <s v="Yes"/>
    <s v="Yes"/>
    <s v="Yes"/>
    <s v="Yes"/>
    <s v="No"/>
    <m/>
    <s v="1+ Failures"/>
    <n v="1"/>
    <s v="0-5 hrs"/>
    <x v="1"/>
  </r>
  <r>
    <n v="2006"/>
    <d v="2023-11-23T00:00:00"/>
    <s v="Standard"/>
    <n v="399"/>
    <n v="2.5"/>
    <n v="7"/>
    <n v="5"/>
    <n v="18"/>
    <n v="5"/>
    <s v="No"/>
    <s v="Yes"/>
    <s v="Yes"/>
    <s v="Yes"/>
    <s v="No"/>
    <s v="No"/>
    <m/>
    <s v="1+ Failures"/>
    <n v="0"/>
    <s v="0-5 hrs"/>
    <x v="1"/>
  </r>
  <r>
    <n v="2007"/>
    <d v="2024-01-18T00:00:00"/>
    <s v="Premium"/>
    <n v="699"/>
    <n v="1.1000000000000001"/>
    <n v="2"/>
    <n v="0"/>
    <n v="8"/>
    <n v="15"/>
    <s v="Yes"/>
    <s v="Yes"/>
    <s v="No"/>
    <s v="No"/>
    <s v="Yes"/>
    <s v="No"/>
    <m/>
    <s v="0 Failures"/>
    <n v="1"/>
    <s v="0-5 hrs"/>
    <x v="0"/>
  </r>
  <r>
    <n v="2008"/>
    <d v="2023-01-14T00:00:00"/>
    <s v="Basic"/>
    <n v="199"/>
    <n v="14.5"/>
    <n v="3"/>
    <n v="0"/>
    <n v="10"/>
    <n v="55"/>
    <s v="Yes"/>
    <s v="No"/>
    <s v="No"/>
    <s v="No"/>
    <s v="Yes"/>
    <s v="No"/>
    <m/>
    <s v="0 Failures"/>
    <n v="1"/>
    <s v="10-20hrs"/>
    <x v="0"/>
  </r>
  <r>
    <n v="2009"/>
    <d v="2024-04-16T00:00:00"/>
    <s v="Premium"/>
    <n v="699"/>
    <n v="21.8"/>
    <n v="1"/>
    <n v="1"/>
    <n v="22"/>
    <n v="37"/>
    <s v="No"/>
    <s v="No"/>
    <s v="Yes"/>
    <s v="No"/>
    <s v="Yes"/>
    <s v="No"/>
    <m/>
    <s v="1+ Failures"/>
    <n v="0"/>
    <s v="20+ hrs"/>
    <x v="1"/>
  </r>
  <r>
    <n v="2010"/>
    <d v="2023-05-23T00:00:00"/>
    <s v="Premium"/>
    <n v="699"/>
    <n v="19.8"/>
    <n v="1"/>
    <n v="4"/>
    <n v="22"/>
    <n v="7"/>
    <s v="Yes"/>
    <s v="No"/>
    <s v="Yes"/>
    <s v="No"/>
    <s v="No"/>
    <s v="No"/>
    <m/>
    <s v="1+ Failures"/>
    <n v="1"/>
    <s v="10-20hrs"/>
    <x v="1"/>
  </r>
  <r>
    <n v="2011"/>
    <d v="2023-08-27T00:00:00"/>
    <s v="Basic"/>
    <n v="199"/>
    <n v="5"/>
    <n v="1"/>
    <n v="0"/>
    <n v="6"/>
    <n v="27"/>
    <s v="No"/>
    <s v="No"/>
    <s v="No"/>
    <s v="No"/>
    <s v="Yes"/>
    <s v="No"/>
    <m/>
    <s v="0 Failures"/>
    <n v="0"/>
    <s v="0-5 hrs"/>
    <x v="3"/>
  </r>
  <r>
    <n v="2012"/>
    <d v="2024-05-02T00:00:00"/>
    <s v="Basic"/>
    <n v="199"/>
    <n v="18.100000000000001"/>
    <n v="6"/>
    <n v="2"/>
    <n v="4"/>
    <n v="40"/>
    <s v="Yes"/>
    <s v="No"/>
    <s v="Yes"/>
    <s v="Yes"/>
    <s v="Yes"/>
    <s v="Yes"/>
    <m/>
    <s v="1+ Failures"/>
    <n v="1"/>
    <s v="10-20hrs"/>
    <x v="3"/>
  </r>
  <r>
    <n v="2013"/>
    <d v="2024-08-29T00:00:00"/>
    <s v="Basic"/>
    <n v="199"/>
    <n v="15.3"/>
    <n v="2"/>
    <n v="3"/>
    <n v="32"/>
    <n v="18"/>
    <s v="No"/>
    <s v="No"/>
    <s v="Yes"/>
    <s v="No"/>
    <s v="Yes"/>
    <s v="No"/>
    <m/>
    <s v="1+ Failures"/>
    <n v="0"/>
    <s v="10-20hrs"/>
    <x v="1"/>
  </r>
  <r>
    <n v="2014"/>
    <d v="2023-09-27T00:00:00"/>
    <s v="Basic"/>
    <n v="199"/>
    <n v="5"/>
    <n v="0"/>
    <n v="0"/>
    <n v="29"/>
    <n v="11"/>
    <s v="No"/>
    <s v="No"/>
    <s v="No"/>
    <s v="No"/>
    <s v="No"/>
    <s v="No"/>
    <m/>
    <s v="0 Failures"/>
    <n v="0"/>
    <s v="0-5 hrs"/>
    <x v="1"/>
  </r>
  <r>
    <n v="2015"/>
    <d v="2023-03-19T00:00:00"/>
    <s v="Basic"/>
    <n v="199"/>
    <n v="14.6"/>
    <n v="3"/>
    <n v="5"/>
    <n v="35"/>
    <n v="7"/>
    <s v="No"/>
    <s v="No"/>
    <s v="Yes"/>
    <s v="No"/>
    <s v="No"/>
    <s v="No"/>
    <m/>
    <s v="1+ Failures"/>
    <n v="0"/>
    <s v="10-20hrs"/>
    <x v="1"/>
  </r>
  <r>
    <n v="2016"/>
    <d v="2024-08-29T00:00:00"/>
    <s v="Basic"/>
    <n v="199"/>
    <n v="21.3"/>
    <n v="3"/>
    <n v="1"/>
    <n v="12"/>
    <n v="25"/>
    <s v="No"/>
    <s v="No"/>
    <s v="Yes"/>
    <s v="No"/>
    <s v="Yes"/>
    <s v="No"/>
    <m/>
    <s v="1+ Failures"/>
    <n v="0"/>
    <s v="20+ hrs"/>
    <x v="0"/>
  </r>
  <r>
    <n v="2017"/>
    <d v="2023-12-20T00:00:00"/>
    <s v="Standard"/>
    <n v="399"/>
    <n v="12.9"/>
    <n v="4"/>
    <n v="1"/>
    <n v="27"/>
    <n v="27"/>
    <s v="Yes"/>
    <s v="No"/>
    <s v="Yes"/>
    <s v="No"/>
    <s v="Yes"/>
    <s v="No"/>
    <m/>
    <s v="1+ Failures"/>
    <n v="1"/>
    <s v="10-20hrs"/>
    <x v="1"/>
  </r>
  <r>
    <n v="2018"/>
    <d v="2023-03-05T00:00:00"/>
    <s v="Premium"/>
    <n v="699"/>
    <n v="13.5"/>
    <n v="4"/>
    <n v="2"/>
    <n v="16"/>
    <n v="48"/>
    <s v="Yes"/>
    <s v="No"/>
    <s v="Yes"/>
    <s v="No"/>
    <s v="Yes"/>
    <s v="No"/>
    <m/>
    <s v="1+ Failures"/>
    <n v="1"/>
    <s v="10-20hrs"/>
    <x v="1"/>
  </r>
  <r>
    <n v="2019"/>
    <d v="2023-03-23T00:00:00"/>
    <s v="Basic"/>
    <n v="199"/>
    <n v="8.9"/>
    <n v="0"/>
    <n v="4"/>
    <n v="32"/>
    <n v="48"/>
    <s v="No"/>
    <s v="No"/>
    <s v="Yes"/>
    <s v="No"/>
    <s v="Yes"/>
    <s v="No"/>
    <m/>
    <s v="1+ Failures"/>
    <n v="0"/>
    <s v="5-10 hrs"/>
    <x v="1"/>
  </r>
  <r>
    <n v="2020"/>
    <d v="2024-01-06T00:00:00"/>
    <s v="Premium"/>
    <n v="699"/>
    <n v="0.8"/>
    <n v="1"/>
    <n v="2"/>
    <n v="29"/>
    <n v="37"/>
    <s v="Yes"/>
    <s v="Yes"/>
    <s v="Yes"/>
    <s v="No"/>
    <s v="Yes"/>
    <s v="No"/>
    <m/>
    <s v="1+ Failures"/>
    <n v="1"/>
    <s v="0-5 hrs"/>
    <x v="1"/>
  </r>
  <r>
    <n v="2021"/>
    <d v="2024-05-06T00:00:00"/>
    <s v="Premium"/>
    <n v="699"/>
    <n v="14.4"/>
    <n v="5"/>
    <n v="3"/>
    <n v="5"/>
    <n v="22"/>
    <s v="Yes"/>
    <s v="No"/>
    <s v="Yes"/>
    <s v="Yes"/>
    <s v="Yes"/>
    <s v="Yes"/>
    <m/>
    <s v="1+ Failures"/>
    <n v="1"/>
    <s v="10-20hrs"/>
    <x v="3"/>
  </r>
  <r>
    <n v="2022"/>
    <d v="2023-07-14T00:00:00"/>
    <s v="Standard"/>
    <n v="399"/>
    <n v="7.9"/>
    <n v="7"/>
    <n v="2"/>
    <n v="32"/>
    <n v="34"/>
    <s v="No"/>
    <s v="No"/>
    <s v="Yes"/>
    <s v="Yes"/>
    <s v="Yes"/>
    <s v="No"/>
    <m/>
    <s v="1+ Failures"/>
    <n v="0"/>
    <s v="5-10 hrs"/>
    <x v="1"/>
  </r>
  <r>
    <n v="2023"/>
    <d v="2023-11-29T00:00:00"/>
    <s v="Basic"/>
    <n v="199"/>
    <n v="1.5"/>
    <n v="5"/>
    <n v="3"/>
    <n v="11"/>
    <n v="29"/>
    <s v="Yes"/>
    <s v="Yes"/>
    <s v="Yes"/>
    <s v="Yes"/>
    <s v="Yes"/>
    <s v="No"/>
    <m/>
    <s v="1+ Failures"/>
    <n v="1"/>
    <s v="0-5 hrs"/>
    <x v="0"/>
  </r>
  <r>
    <n v="2024"/>
    <d v="2024-01-30T00:00:00"/>
    <s v="Standard"/>
    <n v="399"/>
    <n v="21.8"/>
    <n v="7"/>
    <n v="3"/>
    <n v="30"/>
    <n v="9"/>
    <s v="Yes"/>
    <s v="No"/>
    <s v="Yes"/>
    <s v="Yes"/>
    <s v="No"/>
    <s v="No"/>
    <m/>
    <s v="1+ Failures"/>
    <n v="1"/>
    <s v="20+ hrs"/>
    <x v="1"/>
  </r>
  <r>
    <n v="2025"/>
    <d v="2024-02-14T00:00:00"/>
    <s v="Standard"/>
    <n v="399"/>
    <n v="21.9"/>
    <n v="5"/>
    <n v="3"/>
    <n v="2"/>
    <n v="55"/>
    <s v="Yes"/>
    <s v="No"/>
    <s v="Yes"/>
    <s v="Yes"/>
    <s v="Yes"/>
    <s v="Yes"/>
    <m/>
    <s v="1+ Failures"/>
    <n v="1"/>
    <s v="20+ hrs"/>
    <x v="2"/>
  </r>
  <r>
    <n v="2026"/>
    <d v="2023-08-11T00:00:00"/>
    <s v="Standard"/>
    <n v="399"/>
    <n v="11.1"/>
    <n v="2"/>
    <n v="1"/>
    <n v="1"/>
    <n v="37"/>
    <s v="No"/>
    <s v="No"/>
    <s v="Yes"/>
    <s v="No"/>
    <s v="Yes"/>
    <s v="Yes"/>
    <m/>
    <s v="1+ Failures"/>
    <n v="0"/>
    <s v="10-20hrs"/>
    <x v="2"/>
  </r>
  <r>
    <n v="2027"/>
    <d v="2024-05-24T00:00:00"/>
    <s v="Basic"/>
    <n v="199"/>
    <n v="10.1"/>
    <n v="2"/>
    <n v="2"/>
    <n v="2"/>
    <n v="21"/>
    <s v="Yes"/>
    <s v="No"/>
    <s v="Yes"/>
    <s v="No"/>
    <s v="Yes"/>
    <s v="Yes"/>
    <m/>
    <s v="1+ Failures"/>
    <n v="1"/>
    <s v="10-20hrs"/>
    <x v="2"/>
  </r>
  <r>
    <n v="2028"/>
    <d v="2024-09-13T00:00:00"/>
    <s v="Standard"/>
    <n v="399"/>
    <n v="7.9"/>
    <n v="8"/>
    <n v="2"/>
    <n v="11"/>
    <n v="14"/>
    <s v="Yes"/>
    <s v="No"/>
    <s v="Yes"/>
    <s v="Yes"/>
    <s v="No"/>
    <s v="No"/>
    <m/>
    <s v="1+ Failures"/>
    <n v="1"/>
    <s v="5-10 hrs"/>
    <x v="0"/>
  </r>
  <r>
    <n v="2029"/>
    <d v="2023-04-19T00:00:00"/>
    <s v="Premium"/>
    <n v="699"/>
    <n v="11.1"/>
    <n v="2"/>
    <n v="3"/>
    <n v="32"/>
    <n v="42"/>
    <s v="Yes"/>
    <s v="No"/>
    <s v="Yes"/>
    <s v="No"/>
    <s v="Yes"/>
    <s v="No"/>
    <m/>
    <s v="1+ Failures"/>
    <n v="1"/>
    <s v="10-20hrs"/>
    <x v="1"/>
  </r>
  <r>
    <n v="2030"/>
    <d v="2024-05-21T00:00:00"/>
    <s v="Basic"/>
    <n v="199"/>
    <n v="17.8"/>
    <n v="4"/>
    <n v="1"/>
    <n v="21"/>
    <n v="15"/>
    <s v="No"/>
    <s v="No"/>
    <s v="Yes"/>
    <s v="No"/>
    <s v="Yes"/>
    <s v="No"/>
    <m/>
    <s v="1+ Failures"/>
    <n v="0"/>
    <s v="10-20hrs"/>
    <x v="1"/>
  </r>
  <r>
    <n v="2031"/>
    <d v="2023-11-15T00:00:00"/>
    <s v="Basic"/>
    <n v="199"/>
    <n v="12.5"/>
    <n v="4"/>
    <n v="5"/>
    <n v="27"/>
    <n v="10"/>
    <s v="Yes"/>
    <s v="No"/>
    <s v="Yes"/>
    <s v="No"/>
    <s v="No"/>
    <s v="No"/>
    <m/>
    <s v="1+ Failures"/>
    <n v="1"/>
    <s v="10-20hrs"/>
    <x v="1"/>
  </r>
  <r>
    <n v="2032"/>
    <d v="2024-01-18T00:00:00"/>
    <s v="Premium"/>
    <n v="699"/>
    <n v="15.5"/>
    <n v="2"/>
    <n v="4"/>
    <n v="28"/>
    <n v="18"/>
    <s v="Yes"/>
    <s v="No"/>
    <s v="Yes"/>
    <s v="No"/>
    <s v="Yes"/>
    <s v="No"/>
    <m/>
    <s v="1+ Failures"/>
    <n v="1"/>
    <s v="10-20hrs"/>
    <x v="1"/>
  </r>
  <r>
    <n v="2033"/>
    <d v="2024-03-03T00:00:00"/>
    <s v="Premium"/>
    <n v="699"/>
    <n v="9.6"/>
    <n v="7"/>
    <n v="0"/>
    <n v="9"/>
    <n v="1"/>
    <s v="No"/>
    <s v="No"/>
    <s v="No"/>
    <s v="Yes"/>
    <s v="No"/>
    <s v="No"/>
    <m/>
    <s v="0 Failures"/>
    <n v="0"/>
    <s v="5-10 hrs"/>
    <x v="0"/>
  </r>
  <r>
    <n v="2034"/>
    <d v="2024-05-02T00:00:00"/>
    <s v="Basic"/>
    <n v="199"/>
    <n v="23.6"/>
    <n v="3"/>
    <n v="2"/>
    <n v="14"/>
    <n v="40"/>
    <s v="No"/>
    <s v="No"/>
    <s v="Yes"/>
    <s v="No"/>
    <s v="Yes"/>
    <s v="No"/>
    <m/>
    <s v="1+ Failures"/>
    <n v="0"/>
    <s v="20+ hrs"/>
    <x v="1"/>
  </r>
  <r>
    <n v="2035"/>
    <d v="2023-11-26T00:00:00"/>
    <s v="Standard"/>
    <n v="399"/>
    <n v="8.8000000000000007"/>
    <n v="5"/>
    <n v="5"/>
    <n v="36"/>
    <n v="12"/>
    <s v="No"/>
    <s v="No"/>
    <s v="Yes"/>
    <s v="Yes"/>
    <s v="No"/>
    <s v="No"/>
    <m/>
    <s v="1+ Failures"/>
    <n v="0"/>
    <s v="5-10 hrs"/>
    <x v="1"/>
  </r>
  <r>
    <n v="2036"/>
    <d v="2023-01-20T00:00:00"/>
    <s v="Premium"/>
    <n v="699"/>
    <n v="17.8"/>
    <n v="3"/>
    <n v="1"/>
    <n v="15"/>
    <n v="31"/>
    <s v="No"/>
    <s v="No"/>
    <s v="Yes"/>
    <s v="No"/>
    <s v="Yes"/>
    <s v="No"/>
    <m/>
    <s v="1+ Failures"/>
    <n v="0"/>
    <s v="10-20hrs"/>
    <x v="1"/>
  </r>
  <r>
    <n v="2037"/>
    <d v="2024-06-25T00:00:00"/>
    <s v="Standard"/>
    <n v="399"/>
    <n v="22.1"/>
    <n v="6"/>
    <n v="1"/>
    <n v="33"/>
    <n v="39"/>
    <s v="Yes"/>
    <s v="No"/>
    <s v="Yes"/>
    <s v="Yes"/>
    <s v="Yes"/>
    <s v="No"/>
    <m/>
    <s v="1+ Failures"/>
    <n v="1"/>
    <s v="20+ hrs"/>
    <x v="1"/>
  </r>
  <r>
    <n v="2038"/>
    <d v="2023-07-17T00:00:00"/>
    <s v="Standard"/>
    <n v="399"/>
    <n v="15.3"/>
    <n v="4"/>
    <n v="0"/>
    <n v="30"/>
    <n v="28"/>
    <s v="Yes"/>
    <s v="No"/>
    <s v="No"/>
    <s v="No"/>
    <s v="Yes"/>
    <s v="No"/>
    <m/>
    <s v="0 Failures"/>
    <n v="1"/>
    <s v="10-20hrs"/>
    <x v="1"/>
  </r>
  <r>
    <n v="2039"/>
    <d v="2023-01-04T00:00:00"/>
    <s v="Standard"/>
    <n v="399"/>
    <n v="9.4"/>
    <n v="0"/>
    <n v="3"/>
    <n v="10"/>
    <n v="15"/>
    <s v="Yes"/>
    <s v="No"/>
    <s v="Yes"/>
    <s v="No"/>
    <s v="Yes"/>
    <s v="No"/>
    <m/>
    <s v="1+ Failures"/>
    <n v="1"/>
    <s v="5-10 hrs"/>
    <x v="0"/>
  </r>
  <r>
    <n v="2040"/>
    <d v="2023-11-24T00:00:00"/>
    <s v="Standard"/>
    <n v="399"/>
    <n v="20.7"/>
    <n v="7"/>
    <n v="4"/>
    <n v="23"/>
    <n v="9"/>
    <s v="No"/>
    <s v="No"/>
    <s v="Yes"/>
    <s v="Yes"/>
    <s v="No"/>
    <s v="No"/>
    <m/>
    <s v="1+ Failures"/>
    <n v="0"/>
    <s v="20+ hrs"/>
    <x v="1"/>
  </r>
  <r>
    <n v="2041"/>
    <d v="2023-07-12T00:00:00"/>
    <s v="Standard"/>
    <n v="399"/>
    <n v="15.3"/>
    <n v="8"/>
    <n v="1"/>
    <n v="21"/>
    <n v="52"/>
    <s v="No"/>
    <s v="No"/>
    <s v="Yes"/>
    <s v="Yes"/>
    <s v="Yes"/>
    <s v="No"/>
    <m/>
    <s v="1+ Failures"/>
    <n v="0"/>
    <s v="10-20hrs"/>
    <x v="1"/>
  </r>
  <r>
    <n v="2042"/>
    <d v="2024-05-31T00:00:00"/>
    <s v="Premium"/>
    <n v="699"/>
    <n v="7.7"/>
    <n v="0"/>
    <n v="5"/>
    <n v="8"/>
    <n v="56"/>
    <s v="Yes"/>
    <s v="No"/>
    <s v="Yes"/>
    <s v="No"/>
    <s v="Yes"/>
    <s v="No"/>
    <m/>
    <s v="1+ Failures"/>
    <n v="1"/>
    <s v="5-10 hrs"/>
    <x v="0"/>
  </r>
  <r>
    <n v="2043"/>
    <d v="2023-11-02T00:00:00"/>
    <s v="Standard"/>
    <n v="399"/>
    <n v="19.899999999999999"/>
    <n v="6"/>
    <n v="5"/>
    <n v="16"/>
    <n v="52"/>
    <s v="No"/>
    <s v="No"/>
    <s v="Yes"/>
    <s v="Yes"/>
    <s v="Yes"/>
    <s v="No"/>
    <m/>
    <s v="1+ Failures"/>
    <n v="0"/>
    <s v="10-20hrs"/>
    <x v="1"/>
  </r>
  <r>
    <n v="2044"/>
    <d v="2024-03-07T00:00:00"/>
    <s v="Standard"/>
    <n v="399"/>
    <n v="4"/>
    <n v="0"/>
    <n v="0"/>
    <n v="14"/>
    <n v="41"/>
    <s v="No"/>
    <s v="Yes"/>
    <s v="No"/>
    <s v="No"/>
    <s v="Yes"/>
    <s v="No"/>
    <m/>
    <s v="0 Failures"/>
    <n v="0"/>
    <s v="0-5 hrs"/>
    <x v="1"/>
  </r>
  <r>
    <n v="2045"/>
    <d v="2023-06-10T00:00:00"/>
    <s v="Basic"/>
    <n v="199"/>
    <n v="11.9"/>
    <n v="2"/>
    <n v="3"/>
    <n v="24"/>
    <n v="40"/>
    <s v="Yes"/>
    <s v="No"/>
    <s v="Yes"/>
    <s v="No"/>
    <s v="Yes"/>
    <s v="No"/>
    <m/>
    <s v="1+ Failures"/>
    <n v="1"/>
    <s v="10-20hrs"/>
    <x v="1"/>
  </r>
  <r>
    <n v="2046"/>
    <d v="2024-12-24T00:00:00"/>
    <s v="Premium"/>
    <n v="699"/>
    <n v="19.100000000000001"/>
    <n v="1"/>
    <n v="2"/>
    <n v="29"/>
    <n v="29"/>
    <s v="Yes"/>
    <s v="No"/>
    <s v="Yes"/>
    <s v="No"/>
    <s v="Yes"/>
    <s v="No"/>
    <m/>
    <s v="1+ Failures"/>
    <n v="1"/>
    <s v="10-20hrs"/>
    <x v="1"/>
  </r>
  <r>
    <n v="2047"/>
    <d v="2023-12-01T00:00:00"/>
    <s v="Premium"/>
    <n v="699"/>
    <n v="7.5"/>
    <n v="2"/>
    <n v="2"/>
    <n v="30"/>
    <n v="1"/>
    <s v="Yes"/>
    <s v="No"/>
    <s v="Yes"/>
    <s v="No"/>
    <s v="No"/>
    <s v="No"/>
    <m/>
    <s v="1+ Failures"/>
    <n v="1"/>
    <s v="5-10 hrs"/>
    <x v="1"/>
  </r>
  <r>
    <n v="2048"/>
    <d v="2024-10-05T00:00:00"/>
    <s v="Premium"/>
    <n v="699"/>
    <n v="9.5"/>
    <n v="5"/>
    <n v="5"/>
    <n v="31"/>
    <n v="24"/>
    <s v="Yes"/>
    <s v="No"/>
    <s v="Yes"/>
    <s v="Yes"/>
    <s v="Yes"/>
    <s v="No"/>
    <m/>
    <s v="1+ Failures"/>
    <n v="1"/>
    <s v="5-10 hrs"/>
    <x v="1"/>
  </r>
  <r>
    <n v="2049"/>
    <d v="2024-10-21T00:00:00"/>
    <s v="Standard"/>
    <n v="399"/>
    <n v="10.199999999999999"/>
    <n v="5"/>
    <n v="4"/>
    <n v="21"/>
    <n v="53"/>
    <s v="No"/>
    <s v="No"/>
    <s v="Yes"/>
    <s v="Yes"/>
    <s v="Yes"/>
    <s v="No"/>
    <m/>
    <s v="1+ Failures"/>
    <n v="0"/>
    <s v="10-20hrs"/>
    <x v="1"/>
  </r>
  <r>
    <n v="2050"/>
    <d v="2024-12-31T00:00:00"/>
    <s v="Standard"/>
    <n v="399"/>
    <n v="14.4"/>
    <n v="0"/>
    <n v="4"/>
    <n v="21"/>
    <n v="3"/>
    <s v="No"/>
    <s v="No"/>
    <s v="Yes"/>
    <s v="No"/>
    <s v="No"/>
    <s v="No"/>
    <m/>
    <s v="1+ Failures"/>
    <n v="0"/>
    <s v="10-20hrs"/>
    <x v="1"/>
  </r>
  <r>
    <n v="2051"/>
    <d v="2023-06-17T00:00:00"/>
    <s v="Basic"/>
    <n v="199"/>
    <n v="2.1"/>
    <n v="1"/>
    <n v="1"/>
    <n v="32"/>
    <n v="9"/>
    <s v="Yes"/>
    <s v="Yes"/>
    <s v="Yes"/>
    <s v="No"/>
    <s v="No"/>
    <s v="No"/>
    <m/>
    <s v="1+ Failures"/>
    <n v="1"/>
    <s v="0-5 hrs"/>
    <x v="1"/>
  </r>
  <r>
    <n v="2052"/>
    <d v="2023-12-18T00:00:00"/>
    <s v="Premium"/>
    <n v="699"/>
    <n v="2.8"/>
    <n v="5"/>
    <n v="2"/>
    <n v="16"/>
    <n v="21"/>
    <s v="Yes"/>
    <s v="Yes"/>
    <s v="Yes"/>
    <s v="Yes"/>
    <s v="Yes"/>
    <s v="No"/>
    <m/>
    <s v="1+ Failures"/>
    <n v="1"/>
    <s v="0-5 hrs"/>
    <x v="1"/>
  </r>
  <r>
    <n v="2053"/>
    <d v="2024-02-10T00:00:00"/>
    <s v="Basic"/>
    <n v="199"/>
    <n v="10.3"/>
    <n v="0"/>
    <n v="4"/>
    <n v="32"/>
    <n v="26"/>
    <s v="No"/>
    <s v="No"/>
    <s v="Yes"/>
    <s v="No"/>
    <s v="Yes"/>
    <s v="No"/>
    <m/>
    <s v="1+ Failures"/>
    <n v="0"/>
    <s v="10-20hrs"/>
    <x v="1"/>
  </r>
  <r>
    <n v="2054"/>
    <d v="2023-09-25T00:00:00"/>
    <s v="Premium"/>
    <n v="699"/>
    <n v="13.9"/>
    <n v="1"/>
    <n v="1"/>
    <n v="10"/>
    <n v="28"/>
    <s v="Yes"/>
    <s v="No"/>
    <s v="Yes"/>
    <s v="No"/>
    <s v="Yes"/>
    <s v="No"/>
    <m/>
    <s v="1+ Failures"/>
    <n v="1"/>
    <s v="10-20hrs"/>
    <x v="0"/>
  </r>
  <r>
    <n v="2055"/>
    <d v="2024-12-15T00:00:00"/>
    <s v="Basic"/>
    <n v="199"/>
    <n v="1.9"/>
    <n v="8"/>
    <n v="0"/>
    <n v="16"/>
    <n v="3"/>
    <s v="No"/>
    <s v="Yes"/>
    <s v="No"/>
    <s v="Yes"/>
    <s v="No"/>
    <s v="No"/>
    <m/>
    <s v="0 Failures"/>
    <n v="0"/>
    <s v="0-5 hrs"/>
    <x v="1"/>
  </r>
  <r>
    <n v="2056"/>
    <d v="2023-05-21T00:00:00"/>
    <s v="Basic"/>
    <n v="199"/>
    <n v="1.5"/>
    <n v="3"/>
    <n v="1"/>
    <n v="31"/>
    <n v="60"/>
    <s v="Yes"/>
    <s v="Yes"/>
    <s v="Yes"/>
    <s v="No"/>
    <s v="Yes"/>
    <s v="No"/>
    <m/>
    <s v="1+ Failures"/>
    <n v="1"/>
    <s v="0-5 hrs"/>
    <x v="1"/>
  </r>
  <r>
    <n v="2057"/>
    <d v="2024-05-19T00:00:00"/>
    <s v="Premium"/>
    <n v="699"/>
    <n v="8.4"/>
    <n v="6"/>
    <n v="0"/>
    <n v="21"/>
    <n v="32"/>
    <s v="No"/>
    <s v="No"/>
    <s v="No"/>
    <s v="Yes"/>
    <s v="Yes"/>
    <s v="No"/>
    <m/>
    <s v="0 Failures"/>
    <n v="0"/>
    <s v="5-10 hrs"/>
    <x v="1"/>
  </r>
  <r>
    <n v="2058"/>
    <d v="2023-08-24T00:00:00"/>
    <s v="Basic"/>
    <n v="199"/>
    <n v="14"/>
    <n v="0"/>
    <n v="1"/>
    <n v="27"/>
    <n v="37"/>
    <s v="Yes"/>
    <s v="No"/>
    <s v="Yes"/>
    <s v="No"/>
    <s v="Yes"/>
    <s v="No"/>
    <m/>
    <s v="1+ Failures"/>
    <n v="1"/>
    <s v="10-20hrs"/>
    <x v="1"/>
  </r>
  <r>
    <n v="2059"/>
    <d v="2023-06-18T00:00:00"/>
    <s v="Premium"/>
    <n v="699"/>
    <n v="0.7"/>
    <n v="1"/>
    <n v="4"/>
    <n v="32"/>
    <n v="56"/>
    <s v="Yes"/>
    <s v="Yes"/>
    <s v="Yes"/>
    <s v="No"/>
    <s v="Yes"/>
    <s v="No"/>
    <m/>
    <s v="1+ Failures"/>
    <n v="1"/>
    <s v="0-5 hrs"/>
    <x v="1"/>
  </r>
  <r>
    <n v="2060"/>
    <d v="2023-09-30T00:00:00"/>
    <s v="Standard"/>
    <n v="399"/>
    <n v="4.2"/>
    <n v="0"/>
    <n v="5"/>
    <n v="14"/>
    <n v="47"/>
    <s v="Yes"/>
    <s v="Yes"/>
    <s v="Yes"/>
    <s v="No"/>
    <s v="Yes"/>
    <s v="No"/>
    <m/>
    <s v="1+ Failures"/>
    <n v="1"/>
    <s v="0-5 hrs"/>
    <x v="1"/>
  </r>
  <r>
    <n v="2061"/>
    <d v="2023-12-09T00:00:00"/>
    <s v="Premium"/>
    <n v="699"/>
    <n v="13"/>
    <n v="2"/>
    <n v="1"/>
    <n v="24"/>
    <n v="48"/>
    <s v="No"/>
    <s v="No"/>
    <s v="Yes"/>
    <s v="No"/>
    <s v="Yes"/>
    <s v="No"/>
    <m/>
    <s v="1+ Failures"/>
    <n v="0"/>
    <s v="10-20hrs"/>
    <x v="1"/>
  </r>
  <r>
    <n v="2062"/>
    <d v="2023-01-30T00:00:00"/>
    <s v="Basic"/>
    <n v="199"/>
    <n v="22.5"/>
    <n v="6"/>
    <n v="0"/>
    <n v="21"/>
    <n v="41"/>
    <s v="Yes"/>
    <s v="No"/>
    <s v="No"/>
    <s v="Yes"/>
    <s v="Yes"/>
    <s v="No"/>
    <m/>
    <s v="0 Failures"/>
    <n v="1"/>
    <s v="20+ hrs"/>
    <x v="1"/>
  </r>
  <r>
    <n v="2063"/>
    <d v="2023-04-20T00:00:00"/>
    <s v="Standard"/>
    <n v="399"/>
    <n v="19.399999999999999"/>
    <n v="3"/>
    <n v="1"/>
    <n v="33"/>
    <n v="7"/>
    <s v="Yes"/>
    <s v="No"/>
    <s v="Yes"/>
    <s v="No"/>
    <s v="No"/>
    <s v="No"/>
    <m/>
    <s v="1+ Failures"/>
    <n v="1"/>
    <s v="10-20hrs"/>
    <x v="1"/>
  </r>
  <r>
    <n v="2064"/>
    <d v="2024-08-30T00:00:00"/>
    <s v="Premium"/>
    <n v="699"/>
    <n v="5.4"/>
    <n v="4"/>
    <n v="5"/>
    <n v="14"/>
    <n v="43"/>
    <s v="Yes"/>
    <s v="No"/>
    <s v="Yes"/>
    <s v="No"/>
    <s v="Yes"/>
    <s v="No"/>
    <m/>
    <s v="1+ Failures"/>
    <n v="1"/>
    <s v="5-10 hrs"/>
    <x v="1"/>
  </r>
  <r>
    <n v="2065"/>
    <d v="2023-09-16T00:00:00"/>
    <s v="Standard"/>
    <n v="399"/>
    <n v="11.9"/>
    <n v="3"/>
    <n v="4"/>
    <n v="24"/>
    <n v="56"/>
    <s v="No"/>
    <s v="No"/>
    <s v="Yes"/>
    <s v="No"/>
    <s v="Yes"/>
    <s v="No"/>
    <m/>
    <s v="1+ Failures"/>
    <n v="0"/>
    <s v="10-20hrs"/>
    <x v="1"/>
  </r>
  <r>
    <n v="2066"/>
    <d v="2023-12-08T00:00:00"/>
    <s v="Basic"/>
    <n v="199"/>
    <n v="1.1000000000000001"/>
    <n v="0"/>
    <n v="1"/>
    <n v="33"/>
    <n v="53"/>
    <s v="Yes"/>
    <s v="Yes"/>
    <s v="Yes"/>
    <s v="No"/>
    <s v="Yes"/>
    <s v="No"/>
    <m/>
    <s v="1+ Failures"/>
    <n v="1"/>
    <s v="0-5 hrs"/>
    <x v="1"/>
  </r>
  <r>
    <n v="2067"/>
    <d v="2024-02-05T00:00:00"/>
    <s v="Basic"/>
    <n v="199"/>
    <n v="23.7"/>
    <n v="6"/>
    <n v="5"/>
    <n v="32"/>
    <n v="20"/>
    <s v="Yes"/>
    <s v="No"/>
    <s v="Yes"/>
    <s v="Yes"/>
    <s v="Yes"/>
    <s v="No"/>
    <m/>
    <s v="1+ Failures"/>
    <n v="1"/>
    <s v="20+ hrs"/>
    <x v="1"/>
  </r>
  <r>
    <n v="2068"/>
    <d v="2024-11-14T00:00:00"/>
    <s v="Premium"/>
    <n v="699"/>
    <n v="23.1"/>
    <n v="7"/>
    <n v="4"/>
    <n v="11"/>
    <n v="38"/>
    <s v="Yes"/>
    <s v="No"/>
    <s v="Yes"/>
    <s v="Yes"/>
    <s v="Yes"/>
    <s v="No"/>
    <m/>
    <s v="1+ Failures"/>
    <n v="1"/>
    <s v="20+ hrs"/>
    <x v="0"/>
  </r>
  <r>
    <n v="2069"/>
    <d v="2023-01-12T00:00:00"/>
    <s v="Basic"/>
    <n v="199"/>
    <n v="15.6"/>
    <n v="0"/>
    <n v="0"/>
    <n v="5"/>
    <n v="39"/>
    <s v="Yes"/>
    <s v="No"/>
    <s v="No"/>
    <s v="No"/>
    <s v="Yes"/>
    <s v="Yes"/>
    <m/>
    <s v="0 Failures"/>
    <n v="1"/>
    <s v="10-20hrs"/>
    <x v="3"/>
  </r>
  <r>
    <n v="2070"/>
    <d v="2023-04-10T00:00:00"/>
    <s v="Standard"/>
    <n v="399"/>
    <n v="7.9"/>
    <n v="6"/>
    <n v="5"/>
    <n v="1"/>
    <n v="36"/>
    <s v="No"/>
    <s v="No"/>
    <s v="Yes"/>
    <s v="Yes"/>
    <s v="Yes"/>
    <s v="Yes"/>
    <m/>
    <s v="1+ Failures"/>
    <n v="0"/>
    <s v="5-10 hrs"/>
    <x v="2"/>
  </r>
  <r>
    <n v="2071"/>
    <d v="2023-03-19T00:00:00"/>
    <s v="Basic"/>
    <n v="199"/>
    <n v="5.8"/>
    <n v="3"/>
    <n v="3"/>
    <n v="24"/>
    <n v="47"/>
    <s v="No"/>
    <s v="No"/>
    <s v="Yes"/>
    <s v="No"/>
    <s v="Yes"/>
    <s v="No"/>
    <m/>
    <s v="1+ Failures"/>
    <n v="0"/>
    <s v="5-10 hrs"/>
    <x v="1"/>
  </r>
  <r>
    <n v="2072"/>
    <d v="2023-05-26T00:00:00"/>
    <s v="Standard"/>
    <n v="399"/>
    <n v="16.5"/>
    <n v="4"/>
    <n v="0"/>
    <n v="27"/>
    <n v="57"/>
    <s v="Yes"/>
    <s v="No"/>
    <s v="No"/>
    <s v="No"/>
    <s v="Yes"/>
    <s v="No"/>
    <m/>
    <s v="0 Failures"/>
    <n v="1"/>
    <s v="10-20hrs"/>
    <x v="1"/>
  </r>
  <r>
    <n v="2073"/>
    <d v="2024-11-29T00:00:00"/>
    <s v="Standard"/>
    <n v="399"/>
    <n v="23.3"/>
    <n v="3"/>
    <n v="0"/>
    <n v="30"/>
    <n v="58"/>
    <s v="No"/>
    <s v="No"/>
    <s v="No"/>
    <s v="No"/>
    <s v="Yes"/>
    <s v="No"/>
    <m/>
    <s v="0 Failures"/>
    <n v="0"/>
    <s v="20+ hrs"/>
    <x v="1"/>
  </r>
  <r>
    <n v="2074"/>
    <d v="2024-08-16T00:00:00"/>
    <s v="Basic"/>
    <n v="199"/>
    <n v="4.8"/>
    <n v="1"/>
    <n v="0"/>
    <n v="31"/>
    <n v="46"/>
    <s v="Yes"/>
    <s v="Yes"/>
    <s v="No"/>
    <s v="No"/>
    <s v="Yes"/>
    <s v="No"/>
    <m/>
    <s v="0 Failures"/>
    <n v="1"/>
    <s v="0-5 hrs"/>
    <x v="1"/>
  </r>
  <r>
    <n v="2075"/>
    <d v="2024-12-09T00:00:00"/>
    <s v="Premium"/>
    <n v="699"/>
    <n v="7.2"/>
    <n v="0"/>
    <n v="5"/>
    <n v="36"/>
    <n v="36"/>
    <s v="Yes"/>
    <s v="No"/>
    <s v="Yes"/>
    <s v="No"/>
    <s v="Yes"/>
    <s v="No"/>
    <m/>
    <s v="1+ Failures"/>
    <n v="1"/>
    <s v="5-10 hrs"/>
    <x v="1"/>
  </r>
  <r>
    <n v="2076"/>
    <d v="2024-04-21T00:00:00"/>
    <s v="Basic"/>
    <n v="199"/>
    <n v="2.1"/>
    <n v="6"/>
    <n v="0"/>
    <n v="14"/>
    <n v="2"/>
    <s v="Yes"/>
    <s v="Yes"/>
    <s v="No"/>
    <s v="Yes"/>
    <s v="No"/>
    <s v="No"/>
    <m/>
    <s v="0 Failures"/>
    <n v="1"/>
    <s v="0-5 hrs"/>
    <x v="1"/>
  </r>
  <r>
    <n v="2077"/>
    <d v="2023-10-15T00:00:00"/>
    <s v="Standard"/>
    <n v="399"/>
    <n v="24.3"/>
    <n v="0"/>
    <n v="5"/>
    <n v="12"/>
    <n v="4"/>
    <s v="No"/>
    <s v="No"/>
    <s v="Yes"/>
    <s v="No"/>
    <s v="No"/>
    <s v="No"/>
    <m/>
    <s v="1+ Failures"/>
    <n v="0"/>
    <s v="20+ hrs"/>
    <x v="0"/>
  </r>
  <r>
    <n v="2078"/>
    <d v="2023-07-12T00:00:00"/>
    <s v="Premium"/>
    <n v="699"/>
    <n v="18.100000000000001"/>
    <n v="3"/>
    <n v="2"/>
    <n v="19"/>
    <n v="1"/>
    <s v="No"/>
    <s v="No"/>
    <s v="Yes"/>
    <s v="No"/>
    <s v="No"/>
    <s v="No"/>
    <m/>
    <s v="1+ Failures"/>
    <n v="0"/>
    <s v="10-20hrs"/>
    <x v="1"/>
  </r>
  <r>
    <n v="2079"/>
    <d v="2024-07-26T00:00:00"/>
    <s v="Basic"/>
    <n v="199"/>
    <n v="20.399999999999999"/>
    <n v="0"/>
    <n v="4"/>
    <n v="29"/>
    <n v="53"/>
    <s v="No"/>
    <s v="No"/>
    <s v="Yes"/>
    <s v="No"/>
    <s v="Yes"/>
    <s v="No"/>
    <m/>
    <s v="1+ Failures"/>
    <n v="0"/>
    <s v="20+ hrs"/>
    <x v="1"/>
  </r>
  <r>
    <n v="2080"/>
    <d v="2024-01-12T00:00:00"/>
    <s v="Premium"/>
    <n v="699"/>
    <n v="19.899999999999999"/>
    <n v="0"/>
    <n v="2"/>
    <n v="32"/>
    <n v="23"/>
    <s v="Yes"/>
    <s v="No"/>
    <s v="Yes"/>
    <s v="No"/>
    <s v="Yes"/>
    <s v="No"/>
    <m/>
    <s v="1+ Failures"/>
    <n v="1"/>
    <s v="10-20hrs"/>
    <x v="1"/>
  </r>
  <r>
    <n v="2081"/>
    <d v="2024-07-18T00:00:00"/>
    <s v="Standard"/>
    <n v="399"/>
    <n v="13.8"/>
    <n v="5"/>
    <n v="5"/>
    <n v="31"/>
    <n v="57"/>
    <s v="Yes"/>
    <s v="No"/>
    <s v="Yes"/>
    <s v="Yes"/>
    <s v="Yes"/>
    <s v="No"/>
    <m/>
    <s v="1+ Failures"/>
    <n v="1"/>
    <s v="10-20hrs"/>
    <x v="1"/>
  </r>
  <r>
    <n v="2082"/>
    <d v="2024-01-17T00:00:00"/>
    <s v="Premium"/>
    <n v="699"/>
    <n v="8.4"/>
    <n v="5"/>
    <n v="3"/>
    <n v="10"/>
    <n v="11"/>
    <s v="No"/>
    <s v="No"/>
    <s v="Yes"/>
    <s v="Yes"/>
    <s v="No"/>
    <s v="No"/>
    <m/>
    <s v="1+ Failures"/>
    <n v="0"/>
    <s v="5-10 hrs"/>
    <x v="0"/>
  </r>
  <r>
    <n v="2083"/>
    <d v="2024-11-22T00:00:00"/>
    <s v="Standard"/>
    <n v="399"/>
    <n v="19.3"/>
    <n v="2"/>
    <n v="5"/>
    <n v="23"/>
    <n v="48"/>
    <s v="No"/>
    <s v="No"/>
    <s v="Yes"/>
    <s v="No"/>
    <s v="Yes"/>
    <s v="No"/>
    <m/>
    <s v="1+ Failures"/>
    <n v="0"/>
    <s v="10-20hrs"/>
    <x v="1"/>
  </r>
  <r>
    <n v="2084"/>
    <d v="2023-05-21T00:00:00"/>
    <s v="Premium"/>
    <n v="699"/>
    <n v="9.3000000000000007"/>
    <n v="6"/>
    <n v="0"/>
    <n v="27"/>
    <n v="38"/>
    <s v="Yes"/>
    <s v="No"/>
    <s v="No"/>
    <s v="Yes"/>
    <s v="Yes"/>
    <s v="No"/>
    <m/>
    <s v="0 Failures"/>
    <n v="1"/>
    <s v="5-10 hrs"/>
    <x v="1"/>
  </r>
  <r>
    <n v="2085"/>
    <d v="2023-02-13T00:00:00"/>
    <s v="Standard"/>
    <n v="399"/>
    <n v="16.3"/>
    <n v="7"/>
    <n v="4"/>
    <n v="23"/>
    <n v="55"/>
    <s v="Yes"/>
    <s v="No"/>
    <s v="Yes"/>
    <s v="Yes"/>
    <s v="Yes"/>
    <s v="No"/>
    <m/>
    <s v="1+ Failures"/>
    <n v="1"/>
    <s v="10-20hrs"/>
    <x v="1"/>
  </r>
  <r>
    <n v="2086"/>
    <d v="2023-06-13T00:00:00"/>
    <s v="Standard"/>
    <n v="399"/>
    <n v="23"/>
    <n v="2"/>
    <n v="4"/>
    <n v="33"/>
    <n v="21"/>
    <s v="Yes"/>
    <s v="No"/>
    <s v="Yes"/>
    <s v="No"/>
    <s v="Yes"/>
    <s v="No"/>
    <m/>
    <s v="1+ Failures"/>
    <n v="1"/>
    <s v="20+ hrs"/>
    <x v="1"/>
  </r>
  <r>
    <n v="2087"/>
    <d v="2024-03-05T00:00:00"/>
    <s v="Premium"/>
    <n v="699"/>
    <n v="24.4"/>
    <n v="3"/>
    <n v="5"/>
    <n v="9"/>
    <n v="25"/>
    <s v="Yes"/>
    <s v="No"/>
    <s v="Yes"/>
    <s v="No"/>
    <s v="Yes"/>
    <s v="No"/>
    <m/>
    <s v="1+ Failures"/>
    <n v="1"/>
    <s v="20+ hrs"/>
    <x v="0"/>
  </r>
  <r>
    <n v="2088"/>
    <d v="2024-07-17T00:00:00"/>
    <s v="Basic"/>
    <n v="199"/>
    <n v="13.8"/>
    <n v="8"/>
    <n v="0"/>
    <n v="33"/>
    <n v="36"/>
    <s v="Yes"/>
    <s v="No"/>
    <s v="No"/>
    <s v="Yes"/>
    <s v="Yes"/>
    <s v="No"/>
    <m/>
    <s v="0 Failures"/>
    <n v="1"/>
    <s v="10-20hrs"/>
    <x v="1"/>
  </r>
  <r>
    <n v="2089"/>
    <d v="2024-01-18T00:00:00"/>
    <s v="Premium"/>
    <n v="699"/>
    <n v="18.600000000000001"/>
    <n v="5"/>
    <n v="3"/>
    <n v="11"/>
    <n v="7"/>
    <s v="Yes"/>
    <s v="No"/>
    <s v="Yes"/>
    <s v="Yes"/>
    <s v="No"/>
    <s v="No"/>
    <m/>
    <s v="1+ Failures"/>
    <n v="1"/>
    <s v="10-20hrs"/>
    <x v="0"/>
  </r>
  <r>
    <n v="2090"/>
    <d v="2024-02-22T00:00:00"/>
    <s v="Premium"/>
    <n v="699"/>
    <n v="13.3"/>
    <n v="6"/>
    <n v="1"/>
    <n v="26"/>
    <n v="36"/>
    <s v="Yes"/>
    <s v="No"/>
    <s v="Yes"/>
    <s v="Yes"/>
    <s v="Yes"/>
    <s v="No"/>
    <m/>
    <s v="1+ Failures"/>
    <n v="1"/>
    <s v="10-20hrs"/>
    <x v="1"/>
  </r>
  <r>
    <n v="2091"/>
    <d v="2023-07-12T00:00:00"/>
    <s v="Premium"/>
    <n v="699"/>
    <n v="6"/>
    <n v="7"/>
    <n v="1"/>
    <n v="7"/>
    <n v="53"/>
    <s v="No"/>
    <s v="No"/>
    <s v="Yes"/>
    <s v="Yes"/>
    <s v="Yes"/>
    <s v="No"/>
    <m/>
    <s v="1+ Failures"/>
    <n v="0"/>
    <s v="5-10 hrs"/>
    <x v="0"/>
  </r>
  <r>
    <n v="2092"/>
    <d v="2023-03-15T00:00:00"/>
    <s v="Premium"/>
    <n v="699"/>
    <n v="22.4"/>
    <n v="8"/>
    <n v="0"/>
    <n v="1"/>
    <n v="31"/>
    <s v="Yes"/>
    <s v="No"/>
    <s v="No"/>
    <s v="Yes"/>
    <s v="Yes"/>
    <s v="Yes"/>
    <m/>
    <s v="0 Failures"/>
    <n v="1"/>
    <s v="20+ hrs"/>
    <x v="2"/>
  </r>
  <r>
    <n v="2093"/>
    <d v="2024-10-15T00:00:00"/>
    <s v="Premium"/>
    <n v="699"/>
    <n v="6.4"/>
    <n v="6"/>
    <n v="2"/>
    <n v="20"/>
    <n v="52"/>
    <s v="Yes"/>
    <s v="No"/>
    <s v="Yes"/>
    <s v="Yes"/>
    <s v="Yes"/>
    <s v="No"/>
    <m/>
    <s v="1+ Failures"/>
    <n v="1"/>
    <s v="5-10 hrs"/>
    <x v="1"/>
  </r>
  <r>
    <n v="2094"/>
    <d v="2024-11-27T00:00:00"/>
    <s v="Basic"/>
    <n v="199"/>
    <n v="1.1000000000000001"/>
    <n v="0"/>
    <n v="2"/>
    <n v="13"/>
    <n v="7"/>
    <s v="Yes"/>
    <s v="Yes"/>
    <s v="Yes"/>
    <s v="No"/>
    <s v="No"/>
    <s v="No"/>
    <m/>
    <s v="1+ Failures"/>
    <n v="1"/>
    <s v="0-5 hrs"/>
    <x v="1"/>
  </r>
  <r>
    <n v="2095"/>
    <d v="2024-02-17T00:00:00"/>
    <s v="Basic"/>
    <n v="199"/>
    <n v="6.7"/>
    <n v="1"/>
    <n v="3"/>
    <n v="5"/>
    <n v="60"/>
    <s v="Yes"/>
    <s v="No"/>
    <s v="Yes"/>
    <s v="No"/>
    <s v="Yes"/>
    <s v="Yes"/>
    <m/>
    <s v="1+ Failures"/>
    <n v="1"/>
    <s v="5-10 hrs"/>
    <x v="3"/>
  </r>
  <r>
    <n v="2096"/>
    <d v="2024-08-26T00:00:00"/>
    <s v="Basic"/>
    <n v="199"/>
    <n v="8.9"/>
    <n v="5"/>
    <n v="1"/>
    <n v="20"/>
    <n v="19"/>
    <s v="No"/>
    <s v="No"/>
    <s v="Yes"/>
    <s v="Yes"/>
    <s v="Yes"/>
    <s v="No"/>
    <m/>
    <s v="1+ Failures"/>
    <n v="0"/>
    <s v="5-10 hrs"/>
    <x v="1"/>
  </r>
  <r>
    <n v="2097"/>
    <d v="2023-09-19T00:00:00"/>
    <s v="Standard"/>
    <n v="399"/>
    <n v="17.100000000000001"/>
    <n v="0"/>
    <n v="3"/>
    <n v="3"/>
    <n v="20"/>
    <s v="No"/>
    <s v="No"/>
    <s v="Yes"/>
    <s v="No"/>
    <s v="Yes"/>
    <s v="Yes"/>
    <m/>
    <s v="1+ Failures"/>
    <n v="0"/>
    <s v="10-20hrs"/>
    <x v="2"/>
  </r>
  <r>
    <n v="2098"/>
    <d v="2024-12-06T00:00:00"/>
    <s v="Premium"/>
    <n v="699"/>
    <n v="21.6"/>
    <n v="6"/>
    <n v="4"/>
    <n v="31"/>
    <n v="49"/>
    <s v="Yes"/>
    <s v="No"/>
    <s v="Yes"/>
    <s v="Yes"/>
    <s v="Yes"/>
    <s v="No"/>
    <m/>
    <s v="1+ Failures"/>
    <n v="1"/>
    <s v="20+ hrs"/>
    <x v="1"/>
  </r>
  <r>
    <n v="2099"/>
    <d v="2024-05-14T00:00:00"/>
    <s v="Premium"/>
    <n v="699"/>
    <n v="23.8"/>
    <n v="7"/>
    <n v="0"/>
    <n v="23"/>
    <n v="24"/>
    <s v="Yes"/>
    <s v="No"/>
    <s v="No"/>
    <s v="Yes"/>
    <s v="Yes"/>
    <s v="No"/>
    <m/>
    <s v="0 Failures"/>
    <n v="1"/>
    <s v="20+ hrs"/>
    <x v="1"/>
  </r>
  <r>
    <n v="2100"/>
    <d v="2024-10-08T00:00:00"/>
    <s v="Basic"/>
    <n v="199"/>
    <n v="6.7"/>
    <n v="1"/>
    <n v="0"/>
    <n v="31"/>
    <n v="15"/>
    <s v="No"/>
    <s v="No"/>
    <s v="No"/>
    <s v="No"/>
    <s v="Yes"/>
    <s v="No"/>
    <m/>
    <s v="0 Failures"/>
    <n v="0"/>
    <s v="5-10 hrs"/>
    <x v="1"/>
  </r>
  <r>
    <n v="2101"/>
    <d v="2023-02-05T00:00:00"/>
    <s v="Basic"/>
    <n v="199"/>
    <n v="9.8000000000000007"/>
    <n v="5"/>
    <n v="1"/>
    <n v="30"/>
    <n v="38"/>
    <s v="No"/>
    <s v="No"/>
    <s v="Yes"/>
    <s v="Yes"/>
    <s v="Yes"/>
    <s v="No"/>
    <m/>
    <s v="1+ Failures"/>
    <n v="0"/>
    <s v="5-10 hrs"/>
    <x v="1"/>
  </r>
  <r>
    <n v="2102"/>
    <d v="2023-01-11T00:00:00"/>
    <s v="Standard"/>
    <n v="399"/>
    <n v="14"/>
    <n v="7"/>
    <n v="1"/>
    <n v="20"/>
    <n v="39"/>
    <s v="Yes"/>
    <s v="No"/>
    <s v="Yes"/>
    <s v="Yes"/>
    <s v="Yes"/>
    <s v="No"/>
    <m/>
    <s v="1+ Failures"/>
    <n v="1"/>
    <s v="10-20hrs"/>
    <x v="1"/>
  </r>
  <r>
    <n v="2103"/>
    <d v="2023-07-05T00:00:00"/>
    <s v="Premium"/>
    <n v="699"/>
    <n v="15"/>
    <n v="0"/>
    <n v="4"/>
    <n v="9"/>
    <n v="28"/>
    <s v="Yes"/>
    <s v="No"/>
    <s v="Yes"/>
    <s v="No"/>
    <s v="Yes"/>
    <s v="No"/>
    <m/>
    <s v="1+ Failures"/>
    <n v="1"/>
    <s v="10-20hrs"/>
    <x v="0"/>
  </r>
  <r>
    <n v="2104"/>
    <d v="2023-09-17T00:00:00"/>
    <s v="Standard"/>
    <n v="399"/>
    <n v="17.600000000000001"/>
    <n v="6"/>
    <n v="4"/>
    <n v="18"/>
    <n v="41"/>
    <s v="Yes"/>
    <s v="No"/>
    <s v="Yes"/>
    <s v="Yes"/>
    <s v="Yes"/>
    <s v="No"/>
    <m/>
    <s v="1+ Failures"/>
    <n v="1"/>
    <s v="10-20hrs"/>
    <x v="1"/>
  </r>
  <r>
    <n v="2105"/>
    <d v="2023-06-16T00:00:00"/>
    <s v="Premium"/>
    <n v="699"/>
    <n v="17.600000000000001"/>
    <n v="7"/>
    <n v="1"/>
    <n v="8"/>
    <n v="57"/>
    <s v="Yes"/>
    <s v="No"/>
    <s v="Yes"/>
    <s v="Yes"/>
    <s v="Yes"/>
    <s v="No"/>
    <m/>
    <s v="1+ Failures"/>
    <n v="1"/>
    <s v="10-20hrs"/>
    <x v="0"/>
  </r>
  <r>
    <n v="2106"/>
    <d v="2023-03-20T00:00:00"/>
    <s v="Basic"/>
    <n v="199"/>
    <n v="15.2"/>
    <n v="6"/>
    <n v="0"/>
    <n v="19"/>
    <n v="43"/>
    <s v="Yes"/>
    <s v="No"/>
    <s v="No"/>
    <s v="Yes"/>
    <s v="Yes"/>
    <s v="No"/>
    <m/>
    <s v="0 Failures"/>
    <n v="1"/>
    <s v="10-20hrs"/>
    <x v="1"/>
  </r>
  <r>
    <n v="2107"/>
    <d v="2024-10-31T00:00:00"/>
    <s v="Basic"/>
    <n v="199"/>
    <n v="12.4"/>
    <n v="0"/>
    <n v="3"/>
    <n v="31"/>
    <n v="49"/>
    <s v="No"/>
    <s v="No"/>
    <s v="Yes"/>
    <s v="No"/>
    <s v="Yes"/>
    <s v="No"/>
    <m/>
    <s v="1+ Failures"/>
    <n v="0"/>
    <s v="10-20hrs"/>
    <x v="1"/>
  </r>
  <r>
    <n v="2108"/>
    <d v="2024-08-20T00:00:00"/>
    <s v="Basic"/>
    <n v="199"/>
    <n v="1.6"/>
    <n v="2"/>
    <n v="1"/>
    <n v="25"/>
    <n v="21"/>
    <s v="No"/>
    <s v="Yes"/>
    <s v="Yes"/>
    <s v="No"/>
    <s v="Yes"/>
    <s v="No"/>
    <m/>
    <s v="1+ Failures"/>
    <n v="0"/>
    <s v="0-5 hrs"/>
    <x v="1"/>
  </r>
  <r>
    <n v="2109"/>
    <d v="2024-09-11T00:00:00"/>
    <s v="Standard"/>
    <n v="399"/>
    <n v="18"/>
    <n v="1"/>
    <n v="0"/>
    <n v="15"/>
    <n v="10"/>
    <s v="No"/>
    <s v="No"/>
    <s v="No"/>
    <s v="No"/>
    <s v="No"/>
    <s v="No"/>
    <m/>
    <s v="0 Failures"/>
    <n v="0"/>
    <s v="10-20hrs"/>
    <x v="1"/>
  </r>
  <r>
    <n v="2110"/>
    <d v="2024-06-21T00:00:00"/>
    <s v="Premium"/>
    <n v="699"/>
    <n v="11.2"/>
    <n v="5"/>
    <n v="5"/>
    <n v="2"/>
    <n v="27"/>
    <s v="Yes"/>
    <s v="No"/>
    <s v="Yes"/>
    <s v="Yes"/>
    <s v="Yes"/>
    <s v="Yes"/>
    <m/>
    <s v="1+ Failures"/>
    <n v="1"/>
    <s v="10-20hrs"/>
    <x v="2"/>
  </r>
  <r>
    <n v="2111"/>
    <d v="2024-03-22T00:00:00"/>
    <s v="Premium"/>
    <n v="699"/>
    <n v="16.100000000000001"/>
    <n v="1"/>
    <n v="3"/>
    <n v="24"/>
    <n v="30"/>
    <s v="Yes"/>
    <s v="No"/>
    <s v="Yes"/>
    <s v="No"/>
    <s v="Yes"/>
    <s v="No"/>
    <m/>
    <s v="1+ Failures"/>
    <n v="1"/>
    <s v="10-20hrs"/>
    <x v="1"/>
  </r>
  <r>
    <n v="2112"/>
    <d v="2024-01-02T00:00:00"/>
    <s v="Premium"/>
    <n v="699"/>
    <n v="2.1"/>
    <n v="1"/>
    <n v="2"/>
    <n v="28"/>
    <n v="56"/>
    <s v="No"/>
    <s v="Yes"/>
    <s v="Yes"/>
    <s v="No"/>
    <s v="Yes"/>
    <s v="No"/>
    <m/>
    <s v="1+ Failures"/>
    <n v="0"/>
    <s v="0-5 hrs"/>
    <x v="1"/>
  </r>
  <r>
    <n v="2113"/>
    <d v="2023-03-30T00:00:00"/>
    <s v="Standard"/>
    <n v="399"/>
    <n v="12.9"/>
    <n v="3"/>
    <n v="1"/>
    <n v="26"/>
    <n v="7"/>
    <s v="Yes"/>
    <s v="No"/>
    <s v="Yes"/>
    <s v="No"/>
    <s v="No"/>
    <s v="No"/>
    <m/>
    <s v="1+ Failures"/>
    <n v="1"/>
    <s v="10-20hrs"/>
    <x v="1"/>
  </r>
  <r>
    <n v="2114"/>
    <d v="2023-09-27T00:00:00"/>
    <s v="Premium"/>
    <n v="699"/>
    <n v="16.8"/>
    <n v="7"/>
    <n v="5"/>
    <n v="12"/>
    <n v="34"/>
    <s v="Yes"/>
    <s v="No"/>
    <s v="Yes"/>
    <s v="Yes"/>
    <s v="Yes"/>
    <s v="No"/>
    <m/>
    <s v="1+ Failures"/>
    <n v="1"/>
    <s v="10-20hrs"/>
    <x v="0"/>
  </r>
  <r>
    <n v="2115"/>
    <d v="2023-02-10T00:00:00"/>
    <s v="Standard"/>
    <n v="399"/>
    <n v="24.3"/>
    <n v="2"/>
    <n v="4"/>
    <n v="5"/>
    <n v="26"/>
    <s v="Yes"/>
    <s v="No"/>
    <s v="Yes"/>
    <s v="No"/>
    <s v="Yes"/>
    <s v="Yes"/>
    <m/>
    <s v="1+ Failures"/>
    <n v="1"/>
    <s v="20+ hrs"/>
    <x v="3"/>
  </r>
  <r>
    <n v="2116"/>
    <d v="2024-01-16T00:00:00"/>
    <s v="Basic"/>
    <n v="199"/>
    <n v="4.0999999999999996"/>
    <n v="2"/>
    <n v="5"/>
    <n v="13"/>
    <n v="44"/>
    <s v="Yes"/>
    <s v="Yes"/>
    <s v="Yes"/>
    <s v="No"/>
    <s v="Yes"/>
    <s v="No"/>
    <m/>
    <s v="1+ Failures"/>
    <n v="1"/>
    <s v="0-5 hrs"/>
    <x v="1"/>
  </r>
  <r>
    <n v="2117"/>
    <d v="2024-06-27T00:00:00"/>
    <s v="Basic"/>
    <n v="199"/>
    <n v="19.8"/>
    <n v="1"/>
    <n v="4"/>
    <n v="33"/>
    <n v="42"/>
    <s v="Yes"/>
    <s v="No"/>
    <s v="Yes"/>
    <s v="No"/>
    <s v="Yes"/>
    <s v="No"/>
    <m/>
    <s v="1+ Failures"/>
    <n v="1"/>
    <s v="10-20hrs"/>
    <x v="1"/>
  </r>
  <r>
    <n v="2118"/>
    <d v="2024-05-06T00:00:00"/>
    <s v="Basic"/>
    <n v="199"/>
    <n v="22.1"/>
    <n v="2"/>
    <n v="2"/>
    <n v="20"/>
    <n v="58"/>
    <s v="Yes"/>
    <s v="No"/>
    <s v="Yes"/>
    <s v="No"/>
    <s v="Yes"/>
    <s v="No"/>
    <m/>
    <s v="1+ Failures"/>
    <n v="1"/>
    <s v="20+ hrs"/>
    <x v="1"/>
  </r>
  <r>
    <n v="2119"/>
    <d v="2024-02-02T00:00:00"/>
    <s v="Basic"/>
    <n v="199"/>
    <n v="16.8"/>
    <n v="7"/>
    <n v="3"/>
    <n v="13"/>
    <n v="13"/>
    <s v="Yes"/>
    <s v="No"/>
    <s v="Yes"/>
    <s v="Yes"/>
    <s v="No"/>
    <s v="No"/>
    <m/>
    <s v="1+ Failures"/>
    <n v="1"/>
    <s v="10-20hrs"/>
    <x v="1"/>
  </r>
  <r>
    <n v="2120"/>
    <d v="2024-06-06T00:00:00"/>
    <s v="Premium"/>
    <n v="699"/>
    <n v="21.5"/>
    <n v="1"/>
    <n v="1"/>
    <n v="35"/>
    <n v="42"/>
    <s v="Yes"/>
    <s v="No"/>
    <s v="Yes"/>
    <s v="No"/>
    <s v="Yes"/>
    <s v="No"/>
    <m/>
    <s v="1+ Failures"/>
    <n v="1"/>
    <s v="20+ hrs"/>
    <x v="1"/>
  </r>
  <r>
    <n v="2121"/>
    <d v="2024-02-28T00:00:00"/>
    <s v="Basic"/>
    <n v="199"/>
    <n v="12.2"/>
    <n v="1"/>
    <n v="4"/>
    <n v="5"/>
    <n v="10"/>
    <s v="Yes"/>
    <s v="No"/>
    <s v="Yes"/>
    <s v="No"/>
    <s v="No"/>
    <s v="Yes"/>
    <m/>
    <s v="1+ Failures"/>
    <n v="1"/>
    <s v="10-20hrs"/>
    <x v="3"/>
  </r>
  <r>
    <n v="2122"/>
    <d v="2023-02-13T00:00:00"/>
    <s v="Premium"/>
    <n v="699"/>
    <n v="23.5"/>
    <n v="4"/>
    <n v="3"/>
    <n v="24"/>
    <n v="3"/>
    <s v="No"/>
    <s v="No"/>
    <s v="Yes"/>
    <s v="No"/>
    <s v="No"/>
    <s v="No"/>
    <m/>
    <s v="1+ Failures"/>
    <n v="0"/>
    <s v="20+ hrs"/>
    <x v="1"/>
  </r>
  <r>
    <n v="2123"/>
    <d v="2023-08-19T00:00:00"/>
    <s v="Standard"/>
    <n v="399"/>
    <n v="1.2"/>
    <n v="5"/>
    <n v="3"/>
    <n v="26"/>
    <n v="28"/>
    <s v="Yes"/>
    <s v="Yes"/>
    <s v="Yes"/>
    <s v="Yes"/>
    <s v="Yes"/>
    <s v="No"/>
    <m/>
    <s v="1+ Failures"/>
    <n v="1"/>
    <s v="0-5 hrs"/>
    <x v="1"/>
  </r>
  <r>
    <n v="2124"/>
    <d v="2024-10-12T00:00:00"/>
    <s v="Premium"/>
    <n v="699"/>
    <n v="12.2"/>
    <n v="8"/>
    <n v="3"/>
    <n v="9"/>
    <n v="41"/>
    <s v="No"/>
    <s v="No"/>
    <s v="Yes"/>
    <s v="Yes"/>
    <s v="Yes"/>
    <s v="No"/>
    <m/>
    <s v="1+ Failures"/>
    <n v="0"/>
    <s v="10-20hrs"/>
    <x v="0"/>
  </r>
  <r>
    <n v="2125"/>
    <d v="2024-09-06T00:00:00"/>
    <s v="Basic"/>
    <n v="199"/>
    <n v="15.2"/>
    <n v="4"/>
    <n v="3"/>
    <n v="16"/>
    <n v="49"/>
    <s v="Yes"/>
    <s v="No"/>
    <s v="Yes"/>
    <s v="No"/>
    <s v="Yes"/>
    <s v="No"/>
    <m/>
    <s v="1+ Failures"/>
    <n v="1"/>
    <s v="10-20hrs"/>
    <x v="1"/>
  </r>
  <r>
    <n v="2126"/>
    <d v="2024-10-18T00:00:00"/>
    <s v="Basic"/>
    <n v="199"/>
    <n v="2.1"/>
    <n v="1"/>
    <n v="5"/>
    <n v="27"/>
    <n v="57"/>
    <s v="Yes"/>
    <s v="Yes"/>
    <s v="Yes"/>
    <s v="No"/>
    <s v="Yes"/>
    <s v="No"/>
    <m/>
    <s v="1+ Failures"/>
    <n v="1"/>
    <s v="0-5 hrs"/>
    <x v="1"/>
  </r>
  <r>
    <n v="2127"/>
    <d v="2023-12-16T00:00:00"/>
    <s v="Basic"/>
    <n v="199"/>
    <n v="7.3"/>
    <n v="4"/>
    <n v="3"/>
    <n v="24"/>
    <n v="41"/>
    <s v="No"/>
    <s v="No"/>
    <s v="Yes"/>
    <s v="No"/>
    <s v="Yes"/>
    <s v="No"/>
    <m/>
    <s v="1+ Failures"/>
    <n v="0"/>
    <s v="5-10 hrs"/>
    <x v="1"/>
  </r>
  <r>
    <n v="2128"/>
    <d v="2024-12-05T00:00:00"/>
    <s v="Standard"/>
    <n v="399"/>
    <n v="15.3"/>
    <n v="4"/>
    <n v="3"/>
    <n v="35"/>
    <n v="32"/>
    <s v="Yes"/>
    <s v="No"/>
    <s v="Yes"/>
    <s v="No"/>
    <s v="Yes"/>
    <s v="No"/>
    <m/>
    <s v="1+ Failures"/>
    <n v="1"/>
    <s v="10-20hrs"/>
    <x v="1"/>
  </r>
  <r>
    <n v="2129"/>
    <d v="2024-05-16T00:00:00"/>
    <s v="Premium"/>
    <n v="699"/>
    <n v="23.1"/>
    <n v="2"/>
    <n v="3"/>
    <n v="36"/>
    <n v="21"/>
    <s v="Yes"/>
    <s v="No"/>
    <s v="Yes"/>
    <s v="No"/>
    <s v="Yes"/>
    <s v="No"/>
    <m/>
    <s v="1+ Failures"/>
    <n v="1"/>
    <s v="20+ hrs"/>
    <x v="1"/>
  </r>
  <r>
    <n v="2130"/>
    <d v="2023-10-05T00:00:00"/>
    <s v="Standard"/>
    <n v="399"/>
    <n v="13.2"/>
    <n v="1"/>
    <n v="2"/>
    <n v="35"/>
    <n v="40"/>
    <s v="Yes"/>
    <s v="No"/>
    <s v="Yes"/>
    <s v="No"/>
    <s v="Yes"/>
    <s v="No"/>
    <m/>
    <s v="1+ Failures"/>
    <n v="1"/>
    <s v="10-20hrs"/>
    <x v="1"/>
  </r>
  <r>
    <n v="2131"/>
    <d v="2023-11-10T00:00:00"/>
    <s v="Standard"/>
    <n v="399"/>
    <n v="6.1"/>
    <n v="5"/>
    <n v="1"/>
    <n v="33"/>
    <n v="36"/>
    <s v="Yes"/>
    <s v="No"/>
    <s v="Yes"/>
    <s v="Yes"/>
    <s v="Yes"/>
    <s v="No"/>
    <m/>
    <s v="1+ Failures"/>
    <n v="1"/>
    <s v="5-10 hrs"/>
    <x v="1"/>
  </r>
  <r>
    <n v="2132"/>
    <d v="2024-11-16T00:00:00"/>
    <s v="Basic"/>
    <n v="199"/>
    <n v="13.2"/>
    <n v="6"/>
    <n v="2"/>
    <n v="22"/>
    <n v="16"/>
    <s v="No"/>
    <s v="No"/>
    <s v="Yes"/>
    <s v="Yes"/>
    <s v="Yes"/>
    <s v="No"/>
    <m/>
    <s v="1+ Failures"/>
    <n v="0"/>
    <s v="10-20hrs"/>
    <x v="1"/>
  </r>
  <r>
    <n v="2133"/>
    <d v="2024-12-03T00:00:00"/>
    <s v="Premium"/>
    <n v="699"/>
    <n v="19.3"/>
    <n v="2"/>
    <n v="5"/>
    <n v="13"/>
    <n v="18"/>
    <s v="Yes"/>
    <s v="No"/>
    <s v="Yes"/>
    <s v="No"/>
    <s v="Yes"/>
    <s v="No"/>
    <m/>
    <s v="1+ Failures"/>
    <n v="1"/>
    <s v="10-20hrs"/>
    <x v="1"/>
  </r>
  <r>
    <n v="2134"/>
    <d v="2023-05-01T00:00:00"/>
    <s v="Standard"/>
    <n v="399"/>
    <n v="14"/>
    <n v="3"/>
    <n v="3"/>
    <n v="35"/>
    <n v="37"/>
    <s v="Yes"/>
    <s v="No"/>
    <s v="Yes"/>
    <s v="No"/>
    <s v="Yes"/>
    <s v="No"/>
    <m/>
    <s v="1+ Failures"/>
    <n v="1"/>
    <s v="10-20hrs"/>
    <x v="1"/>
  </r>
  <r>
    <n v="2135"/>
    <d v="2023-12-12T00:00:00"/>
    <s v="Premium"/>
    <n v="699"/>
    <n v="16.100000000000001"/>
    <n v="3"/>
    <n v="4"/>
    <n v="19"/>
    <n v="50"/>
    <s v="No"/>
    <s v="No"/>
    <s v="Yes"/>
    <s v="No"/>
    <s v="Yes"/>
    <s v="No"/>
    <m/>
    <s v="1+ Failures"/>
    <n v="0"/>
    <s v="10-20hrs"/>
    <x v="1"/>
  </r>
  <r>
    <n v="2136"/>
    <d v="2024-08-04T00:00:00"/>
    <s v="Basic"/>
    <n v="199"/>
    <n v="9.6999999999999993"/>
    <n v="6"/>
    <n v="3"/>
    <n v="32"/>
    <n v="45"/>
    <s v="Yes"/>
    <s v="No"/>
    <s v="Yes"/>
    <s v="Yes"/>
    <s v="Yes"/>
    <s v="No"/>
    <m/>
    <s v="1+ Failures"/>
    <n v="1"/>
    <s v="5-10 hrs"/>
    <x v="1"/>
  </r>
  <r>
    <n v="2137"/>
    <d v="2024-01-21T00:00:00"/>
    <s v="Standard"/>
    <n v="399"/>
    <n v="8.9"/>
    <n v="4"/>
    <n v="4"/>
    <n v="35"/>
    <n v="4"/>
    <s v="Yes"/>
    <s v="No"/>
    <s v="Yes"/>
    <s v="No"/>
    <s v="No"/>
    <s v="No"/>
    <m/>
    <s v="1+ Failures"/>
    <n v="1"/>
    <s v="5-10 hrs"/>
    <x v="1"/>
  </r>
  <r>
    <n v="2138"/>
    <d v="2024-07-17T00:00:00"/>
    <s v="Premium"/>
    <n v="699"/>
    <n v="0.6"/>
    <n v="3"/>
    <n v="2"/>
    <n v="26"/>
    <n v="59"/>
    <s v="Yes"/>
    <s v="Yes"/>
    <s v="Yes"/>
    <s v="No"/>
    <s v="Yes"/>
    <s v="No"/>
    <m/>
    <s v="1+ Failures"/>
    <n v="1"/>
    <s v="0-5 hrs"/>
    <x v="1"/>
  </r>
  <r>
    <n v="2139"/>
    <d v="2024-03-13T00:00:00"/>
    <s v="Premium"/>
    <n v="699"/>
    <n v="13"/>
    <n v="6"/>
    <n v="1"/>
    <n v="18"/>
    <n v="17"/>
    <s v="Yes"/>
    <s v="No"/>
    <s v="Yes"/>
    <s v="Yes"/>
    <s v="Yes"/>
    <s v="No"/>
    <m/>
    <s v="1+ Failures"/>
    <n v="1"/>
    <s v="10-20hrs"/>
    <x v="1"/>
  </r>
  <r>
    <n v="2140"/>
    <d v="2023-05-24T00:00:00"/>
    <s v="Premium"/>
    <n v="699"/>
    <n v="15.1"/>
    <n v="7"/>
    <n v="3"/>
    <n v="32"/>
    <n v="24"/>
    <s v="Yes"/>
    <s v="No"/>
    <s v="Yes"/>
    <s v="Yes"/>
    <s v="Yes"/>
    <s v="No"/>
    <m/>
    <s v="1+ Failures"/>
    <n v="1"/>
    <s v="10-20hrs"/>
    <x v="1"/>
  </r>
  <r>
    <n v="2141"/>
    <d v="2023-04-21T00:00:00"/>
    <s v="Basic"/>
    <n v="199"/>
    <n v="9.4"/>
    <n v="0"/>
    <n v="0"/>
    <n v="8"/>
    <n v="54"/>
    <s v="Yes"/>
    <s v="No"/>
    <s v="No"/>
    <s v="No"/>
    <s v="Yes"/>
    <s v="No"/>
    <m/>
    <s v="0 Failures"/>
    <n v="1"/>
    <s v="5-10 hrs"/>
    <x v="0"/>
  </r>
  <r>
    <n v="2142"/>
    <d v="2023-02-10T00:00:00"/>
    <s v="Premium"/>
    <n v="699"/>
    <n v="7.1"/>
    <n v="1"/>
    <n v="5"/>
    <n v="35"/>
    <n v="43"/>
    <s v="Yes"/>
    <s v="No"/>
    <s v="Yes"/>
    <s v="No"/>
    <s v="Yes"/>
    <s v="No"/>
    <m/>
    <s v="1+ Failures"/>
    <n v="1"/>
    <s v="5-10 hrs"/>
    <x v="1"/>
  </r>
  <r>
    <n v="2143"/>
    <d v="2024-03-16T00:00:00"/>
    <s v="Premium"/>
    <n v="699"/>
    <n v="0.7"/>
    <n v="5"/>
    <n v="4"/>
    <n v="4"/>
    <n v="46"/>
    <s v="Yes"/>
    <s v="Yes"/>
    <s v="Yes"/>
    <s v="Yes"/>
    <s v="Yes"/>
    <s v="Yes"/>
    <m/>
    <s v="1+ Failures"/>
    <n v="1"/>
    <s v="0-5 hrs"/>
    <x v="3"/>
  </r>
  <r>
    <n v="2144"/>
    <d v="2023-06-05T00:00:00"/>
    <s v="Basic"/>
    <n v="199"/>
    <n v="5.9"/>
    <n v="4"/>
    <n v="4"/>
    <n v="15"/>
    <n v="22"/>
    <s v="No"/>
    <s v="No"/>
    <s v="Yes"/>
    <s v="No"/>
    <s v="Yes"/>
    <s v="No"/>
    <m/>
    <s v="1+ Failures"/>
    <n v="0"/>
    <s v="5-10 hrs"/>
    <x v="1"/>
  </r>
  <r>
    <n v="2145"/>
    <d v="2024-01-28T00:00:00"/>
    <s v="Basic"/>
    <n v="199"/>
    <n v="14.8"/>
    <n v="3"/>
    <n v="1"/>
    <n v="36"/>
    <n v="51"/>
    <s v="No"/>
    <s v="No"/>
    <s v="Yes"/>
    <s v="No"/>
    <s v="Yes"/>
    <s v="No"/>
    <m/>
    <s v="1+ Failures"/>
    <n v="0"/>
    <s v="10-20hrs"/>
    <x v="1"/>
  </r>
  <r>
    <n v="2146"/>
    <d v="2023-10-04T00:00:00"/>
    <s v="Basic"/>
    <n v="199"/>
    <n v="15.6"/>
    <n v="2"/>
    <n v="0"/>
    <n v="35"/>
    <n v="36"/>
    <s v="No"/>
    <s v="No"/>
    <s v="No"/>
    <s v="No"/>
    <s v="Yes"/>
    <s v="No"/>
    <m/>
    <s v="0 Failures"/>
    <n v="0"/>
    <s v="10-20hrs"/>
    <x v="1"/>
  </r>
  <r>
    <n v="2147"/>
    <d v="2023-06-19T00:00:00"/>
    <s v="Standard"/>
    <n v="399"/>
    <n v="2.8"/>
    <n v="6"/>
    <n v="1"/>
    <n v="8"/>
    <n v="15"/>
    <s v="Yes"/>
    <s v="Yes"/>
    <s v="Yes"/>
    <s v="Yes"/>
    <s v="Yes"/>
    <s v="No"/>
    <m/>
    <s v="1+ Failures"/>
    <n v="1"/>
    <s v="0-5 hrs"/>
    <x v="0"/>
  </r>
  <r>
    <n v="2148"/>
    <d v="2024-08-16T00:00:00"/>
    <s v="Basic"/>
    <n v="199"/>
    <n v="7.3"/>
    <n v="0"/>
    <n v="1"/>
    <n v="15"/>
    <n v="42"/>
    <s v="Yes"/>
    <s v="No"/>
    <s v="Yes"/>
    <s v="No"/>
    <s v="Yes"/>
    <s v="No"/>
    <m/>
    <s v="1+ Failures"/>
    <n v="1"/>
    <s v="5-10 hrs"/>
    <x v="1"/>
  </r>
  <r>
    <n v="2149"/>
    <d v="2024-12-30T00:00:00"/>
    <s v="Premium"/>
    <n v="699"/>
    <n v="11.4"/>
    <n v="3"/>
    <n v="0"/>
    <n v="25"/>
    <n v="54"/>
    <s v="Yes"/>
    <s v="No"/>
    <s v="No"/>
    <s v="No"/>
    <s v="Yes"/>
    <s v="No"/>
    <m/>
    <s v="0 Failures"/>
    <n v="1"/>
    <s v="10-20hrs"/>
    <x v="1"/>
  </r>
  <r>
    <n v="2150"/>
    <d v="2024-07-08T00:00:00"/>
    <s v="Standard"/>
    <n v="399"/>
    <n v="4.2"/>
    <n v="6"/>
    <n v="4"/>
    <n v="29"/>
    <n v="48"/>
    <s v="Yes"/>
    <s v="Yes"/>
    <s v="Yes"/>
    <s v="Yes"/>
    <s v="Yes"/>
    <s v="No"/>
    <m/>
    <s v="1+ Failures"/>
    <n v="1"/>
    <s v="0-5 hrs"/>
    <x v="1"/>
  </r>
  <r>
    <n v="2151"/>
    <d v="2023-12-17T00:00:00"/>
    <s v="Standard"/>
    <n v="399"/>
    <n v="22.1"/>
    <n v="7"/>
    <n v="3"/>
    <n v="14"/>
    <n v="50"/>
    <s v="No"/>
    <s v="No"/>
    <s v="Yes"/>
    <s v="Yes"/>
    <s v="Yes"/>
    <s v="No"/>
    <m/>
    <s v="1+ Failures"/>
    <n v="0"/>
    <s v="20+ hrs"/>
    <x v="1"/>
  </r>
  <r>
    <n v="2152"/>
    <d v="2023-05-28T00:00:00"/>
    <s v="Standard"/>
    <n v="399"/>
    <n v="12.7"/>
    <n v="6"/>
    <n v="3"/>
    <n v="2"/>
    <n v="38"/>
    <s v="Yes"/>
    <s v="No"/>
    <s v="Yes"/>
    <s v="Yes"/>
    <s v="Yes"/>
    <s v="Yes"/>
    <m/>
    <s v="1+ Failures"/>
    <n v="1"/>
    <s v="10-20hrs"/>
    <x v="2"/>
  </r>
  <r>
    <n v="2153"/>
    <d v="2023-08-12T00:00:00"/>
    <s v="Premium"/>
    <n v="699"/>
    <n v="15.2"/>
    <n v="6"/>
    <n v="1"/>
    <n v="5"/>
    <n v="50"/>
    <s v="Yes"/>
    <s v="No"/>
    <s v="Yes"/>
    <s v="Yes"/>
    <s v="Yes"/>
    <s v="Yes"/>
    <m/>
    <s v="1+ Failures"/>
    <n v="1"/>
    <s v="10-20hrs"/>
    <x v="3"/>
  </r>
  <r>
    <n v="2154"/>
    <d v="2024-01-24T00:00:00"/>
    <s v="Standard"/>
    <n v="399"/>
    <n v="10.4"/>
    <n v="3"/>
    <n v="5"/>
    <n v="23"/>
    <n v="18"/>
    <s v="No"/>
    <s v="No"/>
    <s v="Yes"/>
    <s v="No"/>
    <s v="Yes"/>
    <s v="No"/>
    <m/>
    <s v="1+ Failures"/>
    <n v="0"/>
    <s v="10-20hrs"/>
    <x v="1"/>
  </r>
  <r>
    <n v="2155"/>
    <d v="2024-12-31T00:00:00"/>
    <s v="Premium"/>
    <n v="699"/>
    <n v="24"/>
    <n v="3"/>
    <n v="5"/>
    <n v="31"/>
    <n v="44"/>
    <s v="Yes"/>
    <s v="No"/>
    <s v="Yes"/>
    <s v="No"/>
    <s v="Yes"/>
    <s v="No"/>
    <m/>
    <s v="1+ Failures"/>
    <n v="1"/>
    <s v="20+ hrs"/>
    <x v="1"/>
  </r>
  <r>
    <n v="2156"/>
    <d v="2024-04-01T00:00:00"/>
    <s v="Basic"/>
    <n v="199"/>
    <n v="14.5"/>
    <n v="5"/>
    <n v="3"/>
    <n v="25"/>
    <n v="1"/>
    <s v="Yes"/>
    <s v="No"/>
    <s v="Yes"/>
    <s v="Yes"/>
    <s v="No"/>
    <s v="No"/>
    <m/>
    <s v="1+ Failures"/>
    <n v="1"/>
    <s v="10-20hrs"/>
    <x v="1"/>
  </r>
  <r>
    <n v="2157"/>
    <d v="2023-09-24T00:00:00"/>
    <s v="Standard"/>
    <n v="399"/>
    <n v="11.2"/>
    <n v="5"/>
    <n v="1"/>
    <n v="6"/>
    <n v="17"/>
    <s v="No"/>
    <s v="No"/>
    <s v="Yes"/>
    <s v="Yes"/>
    <s v="Yes"/>
    <s v="No"/>
    <m/>
    <s v="1+ Failures"/>
    <n v="0"/>
    <s v="10-20hrs"/>
    <x v="3"/>
  </r>
  <r>
    <n v="2158"/>
    <d v="2023-02-07T00:00:00"/>
    <s v="Standard"/>
    <n v="399"/>
    <n v="4.5999999999999996"/>
    <n v="8"/>
    <n v="4"/>
    <n v="11"/>
    <n v="33"/>
    <s v="Yes"/>
    <s v="Yes"/>
    <s v="Yes"/>
    <s v="Yes"/>
    <s v="Yes"/>
    <s v="No"/>
    <m/>
    <s v="1+ Failures"/>
    <n v="1"/>
    <s v="0-5 hrs"/>
    <x v="0"/>
  </r>
  <r>
    <n v="2159"/>
    <d v="2023-04-05T00:00:00"/>
    <s v="Standard"/>
    <n v="399"/>
    <n v="1.7"/>
    <n v="3"/>
    <n v="0"/>
    <n v="24"/>
    <n v="45"/>
    <s v="No"/>
    <s v="Yes"/>
    <s v="No"/>
    <s v="No"/>
    <s v="Yes"/>
    <s v="No"/>
    <m/>
    <s v="0 Failures"/>
    <n v="0"/>
    <s v="0-5 hrs"/>
    <x v="1"/>
  </r>
  <r>
    <n v="2160"/>
    <d v="2023-06-02T00:00:00"/>
    <s v="Premium"/>
    <n v="699"/>
    <n v="1.7"/>
    <n v="1"/>
    <n v="4"/>
    <n v="36"/>
    <n v="59"/>
    <s v="Yes"/>
    <s v="Yes"/>
    <s v="Yes"/>
    <s v="No"/>
    <s v="Yes"/>
    <s v="No"/>
    <m/>
    <s v="1+ Failures"/>
    <n v="1"/>
    <s v="0-5 hrs"/>
    <x v="1"/>
  </r>
  <r>
    <n v="2161"/>
    <d v="2023-06-20T00:00:00"/>
    <s v="Standard"/>
    <n v="399"/>
    <n v="21.5"/>
    <n v="4"/>
    <n v="1"/>
    <n v="10"/>
    <n v="14"/>
    <s v="No"/>
    <s v="No"/>
    <s v="Yes"/>
    <s v="No"/>
    <s v="No"/>
    <s v="No"/>
    <m/>
    <s v="1+ Failures"/>
    <n v="0"/>
    <s v="20+ hrs"/>
    <x v="0"/>
  </r>
  <r>
    <n v="2162"/>
    <d v="2023-06-30T00:00:00"/>
    <s v="Premium"/>
    <n v="699"/>
    <n v="6.2"/>
    <n v="1"/>
    <n v="4"/>
    <n v="5"/>
    <n v="3"/>
    <s v="No"/>
    <s v="No"/>
    <s v="Yes"/>
    <s v="No"/>
    <s v="No"/>
    <s v="Yes"/>
    <m/>
    <s v="1+ Failures"/>
    <n v="0"/>
    <s v="5-10 hrs"/>
    <x v="3"/>
  </r>
  <r>
    <n v="2163"/>
    <d v="2023-07-20T00:00:00"/>
    <s v="Standard"/>
    <n v="399"/>
    <n v="12"/>
    <n v="6"/>
    <n v="1"/>
    <n v="36"/>
    <n v="15"/>
    <s v="Yes"/>
    <s v="No"/>
    <s v="Yes"/>
    <s v="Yes"/>
    <s v="Yes"/>
    <s v="No"/>
    <m/>
    <s v="1+ Failures"/>
    <n v="1"/>
    <s v="10-20hrs"/>
    <x v="1"/>
  </r>
  <r>
    <n v="2164"/>
    <d v="2024-06-30T00:00:00"/>
    <s v="Premium"/>
    <n v="699"/>
    <n v="2.2000000000000002"/>
    <n v="1"/>
    <n v="2"/>
    <n v="5"/>
    <n v="52"/>
    <s v="Yes"/>
    <s v="Yes"/>
    <s v="Yes"/>
    <s v="No"/>
    <s v="Yes"/>
    <s v="Yes"/>
    <m/>
    <s v="1+ Failures"/>
    <n v="1"/>
    <s v="0-5 hrs"/>
    <x v="3"/>
  </r>
  <r>
    <n v="2165"/>
    <d v="2023-07-11T00:00:00"/>
    <s v="Basic"/>
    <n v="199"/>
    <n v="14.1"/>
    <n v="5"/>
    <n v="5"/>
    <n v="30"/>
    <n v="11"/>
    <s v="Yes"/>
    <s v="No"/>
    <s v="Yes"/>
    <s v="Yes"/>
    <s v="No"/>
    <s v="No"/>
    <m/>
    <s v="1+ Failures"/>
    <n v="1"/>
    <s v="10-20hrs"/>
    <x v="1"/>
  </r>
  <r>
    <n v="2166"/>
    <d v="2024-05-27T00:00:00"/>
    <s v="Basic"/>
    <n v="199"/>
    <n v="8.5"/>
    <n v="2"/>
    <n v="2"/>
    <n v="1"/>
    <n v="32"/>
    <s v="No"/>
    <s v="No"/>
    <s v="Yes"/>
    <s v="No"/>
    <s v="Yes"/>
    <s v="Yes"/>
    <m/>
    <s v="1+ Failures"/>
    <n v="0"/>
    <s v="5-10 hrs"/>
    <x v="2"/>
  </r>
  <r>
    <n v="2167"/>
    <d v="2023-05-16T00:00:00"/>
    <s v="Premium"/>
    <n v="699"/>
    <n v="10.1"/>
    <n v="2"/>
    <n v="0"/>
    <n v="4"/>
    <n v="30"/>
    <s v="Yes"/>
    <s v="No"/>
    <s v="No"/>
    <s v="No"/>
    <s v="Yes"/>
    <s v="Yes"/>
    <m/>
    <s v="0 Failures"/>
    <n v="1"/>
    <s v="10-20hrs"/>
    <x v="3"/>
  </r>
  <r>
    <n v="2168"/>
    <d v="2024-12-28T00:00:00"/>
    <s v="Basic"/>
    <n v="199"/>
    <n v="14.6"/>
    <n v="4"/>
    <n v="3"/>
    <n v="24"/>
    <n v="15"/>
    <s v="Yes"/>
    <s v="No"/>
    <s v="Yes"/>
    <s v="No"/>
    <s v="Yes"/>
    <s v="No"/>
    <m/>
    <s v="1+ Failures"/>
    <n v="1"/>
    <s v="10-20hrs"/>
    <x v="1"/>
  </r>
  <r>
    <n v="2169"/>
    <d v="2023-10-22T00:00:00"/>
    <s v="Basic"/>
    <n v="199"/>
    <n v="4.5"/>
    <n v="0"/>
    <n v="0"/>
    <n v="16"/>
    <n v="24"/>
    <s v="Yes"/>
    <s v="Yes"/>
    <s v="No"/>
    <s v="No"/>
    <s v="Yes"/>
    <s v="No"/>
    <m/>
    <s v="0 Failures"/>
    <n v="1"/>
    <s v="0-5 hrs"/>
    <x v="1"/>
  </r>
  <r>
    <n v="2170"/>
    <d v="2024-06-21T00:00:00"/>
    <s v="Standard"/>
    <n v="399"/>
    <n v="20.100000000000001"/>
    <n v="6"/>
    <n v="4"/>
    <n v="34"/>
    <n v="34"/>
    <s v="Yes"/>
    <s v="No"/>
    <s v="Yes"/>
    <s v="Yes"/>
    <s v="Yes"/>
    <s v="No"/>
    <m/>
    <s v="1+ Failures"/>
    <n v="1"/>
    <s v="20+ hrs"/>
    <x v="1"/>
  </r>
  <r>
    <n v="2171"/>
    <d v="2023-06-20T00:00:00"/>
    <s v="Standard"/>
    <n v="399"/>
    <n v="9.1999999999999993"/>
    <n v="6"/>
    <n v="2"/>
    <n v="34"/>
    <n v="33"/>
    <s v="No"/>
    <s v="No"/>
    <s v="Yes"/>
    <s v="Yes"/>
    <s v="Yes"/>
    <s v="No"/>
    <m/>
    <s v="1+ Failures"/>
    <n v="0"/>
    <s v="5-10 hrs"/>
    <x v="1"/>
  </r>
  <r>
    <n v="2172"/>
    <d v="2024-01-12T00:00:00"/>
    <s v="Premium"/>
    <n v="699"/>
    <n v="3.6"/>
    <n v="0"/>
    <n v="1"/>
    <n v="32"/>
    <n v="4"/>
    <s v="No"/>
    <s v="Yes"/>
    <s v="Yes"/>
    <s v="No"/>
    <s v="No"/>
    <s v="No"/>
    <m/>
    <s v="1+ Failures"/>
    <n v="0"/>
    <s v="0-5 hrs"/>
    <x v="1"/>
  </r>
  <r>
    <n v="2173"/>
    <d v="2023-01-25T00:00:00"/>
    <s v="Standard"/>
    <n v="399"/>
    <n v="15.3"/>
    <n v="6"/>
    <n v="3"/>
    <n v="8"/>
    <n v="24"/>
    <s v="Yes"/>
    <s v="No"/>
    <s v="Yes"/>
    <s v="Yes"/>
    <s v="Yes"/>
    <s v="No"/>
    <m/>
    <s v="1+ Failures"/>
    <n v="1"/>
    <s v="10-20hrs"/>
    <x v="0"/>
  </r>
  <r>
    <n v="2174"/>
    <d v="2023-05-31T00:00:00"/>
    <s v="Standard"/>
    <n v="399"/>
    <n v="5.4"/>
    <n v="0"/>
    <n v="1"/>
    <n v="32"/>
    <n v="27"/>
    <s v="No"/>
    <s v="No"/>
    <s v="Yes"/>
    <s v="No"/>
    <s v="Yes"/>
    <s v="No"/>
    <m/>
    <s v="1+ Failures"/>
    <n v="0"/>
    <s v="5-10 hrs"/>
    <x v="1"/>
  </r>
  <r>
    <n v="2175"/>
    <d v="2023-08-21T00:00:00"/>
    <s v="Standard"/>
    <n v="399"/>
    <n v="16.399999999999999"/>
    <n v="4"/>
    <n v="3"/>
    <n v="9"/>
    <n v="15"/>
    <s v="Yes"/>
    <s v="No"/>
    <s v="Yes"/>
    <s v="No"/>
    <s v="Yes"/>
    <s v="No"/>
    <m/>
    <s v="1+ Failures"/>
    <n v="1"/>
    <s v="10-20hrs"/>
    <x v="0"/>
  </r>
  <r>
    <n v="2176"/>
    <d v="2023-07-29T00:00:00"/>
    <s v="Standard"/>
    <n v="399"/>
    <n v="12.4"/>
    <n v="7"/>
    <n v="5"/>
    <n v="17"/>
    <n v="29"/>
    <s v="Yes"/>
    <s v="No"/>
    <s v="Yes"/>
    <s v="Yes"/>
    <s v="Yes"/>
    <s v="No"/>
    <m/>
    <s v="1+ Failures"/>
    <n v="1"/>
    <s v="10-20hrs"/>
    <x v="1"/>
  </r>
  <r>
    <n v="2177"/>
    <d v="2024-10-17T00:00:00"/>
    <s v="Standard"/>
    <n v="399"/>
    <n v="10.7"/>
    <n v="0"/>
    <n v="1"/>
    <n v="9"/>
    <n v="60"/>
    <s v="Yes"/>
    <s v="No"/>
    <s v="Yes"/>
    <s v="No"/>
    <s v="Yes"/>
    <s v="No"/>
    <m/>
    <s v="1+ Failures"/>
    <n v="1"/>
    <s v="10-20hrs"/>
    <x v="0"/>
  </r>
  <r>
    <n v="2178"/>
    <d v="2024-10-31T00:00:00"/>
    <s v="Basic"/>
    <n v="199"/>
    <n v="9.6999999999999993"/>
    <n v="5"/>
    <n v="3"/>
    <n v="19"/>
    <n v="58"/>
    <s v="Yes"/>
    <s v="No"/>
    <s v="Yes"/>
    <s v="Yes"/>
    <s v="Yes"/>
    <s v="No"/>
    <m/>
    <s v="1+ Failures"/>
    <n v="1"/>
    <s v="5-10 hrs"/>
    <x v="1"/>
  </r>
  <r>
    <n v="2179"/>
    <d v="2024-05-05T00:00:00"/>
    <s v="Standard"/>
    <n v="399"/>
    <n v="15.2"/>
    <n v="5"/>
    <n v="4"/>
    <n v="5"/>
    <n v="35"/>
    <s v="Yes"/>
    <s v="No"/>
    <s v="Yes"/>
    <s v="Yes"/>
    <s v="Yes"/>
    <s v="Yes"/>
    <m/>
    <s v="1+ Failures"/>
    <n v="1"/>
    <s v="10-20hrs"/>
    <x v="3"/>
  </r>
  <r>
    <n v="2180"/>
    <d v="2023-04-14T00:00:00"/>
    <s v="Basic"/>
    <n v="199"/>
    <n v="8.6"/>
    <n v="4"/>
    <n v="4"/>
    <n v="23"/>
    <n v="10"/>
    <s v="Yes"/>
    <s v="No"/>
    <s v="Yes"/>
    <s v="No"/>
    <s v="No"/>
    <s v="No"/>
    <m/>
    <s v="1+ Failures"/>
    <n v="1"/>
    <s v="5-10 hrs"/>
    <x v="1"/>
  </r>
  <r>
    <n v="2181"/>
    <d v="2024-01-16T00:00:00"/>
    <s v="Basic"/>
    <n v="199"/>
    <n v="7.1"/>
    <n v="0"/>
    <n v="4"/>
    <n v="36"/>
    <n v="13"/>
    <s v="No"/>
    <s v="No"/>
    <s v="Yes"/>
    <s v="No"/>
    <s v="No"/>
    <s v="No"/>
    <m/>
    <s v="1+ Failures"/>
    <n v="0"/>
    <s v="5-10 hrs"/>
    <x v="1"/>
  </r>
  <r>
    <n v="2182"/>
    <d v="2024-01-12T00:00:00"/>
    <s v="Basic"/>
    <n v="199"/>
    <n v="10.4"/>
    <n v="7"/>
    <n v="2"/>
    <n v="29"/>
    <n v="39"/>
    <s v="Yes"/>
    <s v="No"/>
    <s v="Yes"/>
    <s v="Yes"/>
    <s v="Yes"/>
    <s v="No"/>
    <m/>
    <s v="1+ Failures"/>
    <n v="1"/>
    <s v="10-20hrs"/>
    <x v="1"/>
  </r>
  <r>
    <n v="2183"/>
    <d v="2023-02-07T00:00:00"/>
    <s v="Basic"/>
    <n v="199"/>
    <n v="14.8"/>
    <n v="7"/>
    <n v="3"/>
    <n v="34"/>
    <n v="27"/>
    <s v="No"/>
    <s v="No"/>
    <s v="Yes"/>
    <s v="Yes"/>
    <s v="Yes"/>
    <s v="No"/>
    <m/>
    <s v="1+ Failures"/>
    <n v="0"/>
    <s v="10-20hrs"/>
    <x v="1"/>
  </r>
  <r>
    <n v="2184"/>
    <d v="2024-01-22T00:00:00"/>
    <s v="Premium"/>
    <n v="699"/>
    <n v="18.399999999999999"/>
    <n v="8"/>
    <n v="0"/>
    <n v="36"/>
    <n v="9"/>
    <s v="No"/>
    <s v="No"/>
    <s v="No"/>
    <s v="Yes"/>
    <s v="No"/>
    <s v="No"/>
    <m/>
    <s v="0 Failures"/>
    <n v="0"/>
    <s v="10-20hrs"/>
    <x v="1"/>
  </r>
  <r>
    <n v="2185"/>
    <d v="2023-07-21T00:00:00"/>
    <s v="Standard"/>
    <n v="399"/>
    <n v="18.399999999999999"/>
    <n v="4"/>
    <n v="1"/>
    <n v="29"/>
    <n v="9"/>
    <s v="No"/>
    <s v="No"/>
    <s v="Yes"/>
    <s v="No"/>
    <s v="No"/>
    <s v="No"/>
    <m/>
    <s v="1+ Failures"/>
    <n v="0"/>
    <s v="10-20hrs"/>
    <x v="1"/>
  </r>
  <r>
    <n v="2186"/>
    <d v="2023-05-17T00:00:00"/>
    <s v="Basic"/>
    <n v="199"/>
    <n v="7.3"/>
    <n v="3"/>
    <n v="0"/>
    <n v="25"/>
    <n v="2"/>
    <s v="No"/>
    <s v="No"/>
    <s v="No"/>
    <s v="No"/>
    <s v="No"/>
    <s v="No"/>
    <m/>
    <s v="0 Failures"/>
    <n v="0"/>
    <s v="5-10 hrs"/>
    <x v="1"/>
  </r>
  <r>
    <n v="2187"/>
    <d v="2023-09-19T00:00:00"/>
    <s v="Basic"/>
    <n v="199"/>
    <n v="14.4"/>
    <n v="6"/>
    <n v="1"/>
    <n v="27"/>
    <n v="27"/>
    <s v="No"/>
    <s v="No"/>
    <s v="Yes"/>
    <s v="Yes"/>
    <s v="Yes"/>
    <s v="No"/>
    <m/>
    <s v="1+ Failures"/>
    <n v="0"/>
    <s v="10-20hrs"/>
    <x v="1"/>
  </r>
  <r>
    <n v="2188"/>
    <d v="2023-03-09T00:00:00"/>
    <s v="Basic"/>
    <n v="199"/>
    <n v="24.8"/>
    <n v="2"/>
    <n v="0"/>
    <n v="1"/>
    <n v="16"/>
    <s v="No"/>
    <s v="No"/>
    <s v="No"/>
    <s v="No"/>
    <s v="Yes"/>
    <s v="Yes"/>
    <m/>
    <s v="0 Failures"/>
    <n v="0"/>
    <s v="20+ hrs"/>
    <x v="2"/>
  </r>
  <r>
    <n v="2189"/>
    <d v="2024-11-16T00:00:00"/>
    <s v="Basic"/>
    <n v="199"/>
    <n v="22.9"/>
    <n v="2"/>
    <n v="5"/>
    <n v="30"/>
    <n v="31"/>
    <s v="Yes"/>
    <s v="No"/>
    <s v="Yes"/>
    <s v="No"/>
    <s v="Yes"/>
    <s v="No"/>
    <m/>
    <s v="1+ Failures"/>
    <n v="1"/>
    <s v="20+ hrs"/>
    <x v="1"/>
  </r>
  <r>
    <n v="2190"/>
    <d v="2024-07-15T00:00:00"/>
    <s v="Standard"/>
    <n v="399"/>
    <n v="15.6"/>
    <n v="5"/>
    <n v="3"/>
    <n v="22"/>
    <n v="16"/>
    <s v="No"/>
    <s v="No"/>
    <s v="Yes"/>
    <s v="Yes"/>
    <s v="Yes"/>
    <s v="No"/>
    <m/>
    <s v="1+ Failures"/>
    <n v="0"/>
    <s v="10-20hrs"/>
    <x v="1"/>
  </r>
  <r>
    <n v="2191"/>
    <d v="2024-08-26T00:00:00"/>
    <s v="Premium"/>
    <n v="699"/>
    <n v="16"/>
    <n v="5"/>
    <n v="4"/>
    <n v="22"/>
    <n v="9"/>
    <s v="No"/>
    <s v="No"/>
    <s v="Yes"/>
    <s v="Yes"/>
    <s v="No"/>
    <s v="No"/>
    <m/>
    <s v="1+ Failures"/>
    <n v="0"/>
    <s v="10-20hrs"/>
    <x v="1"/>
  </r>
  <r>
    <n v="2192"/>
    <d v="2024-05-09T00:00:00"/>
    <s v="Premium"/>
    <n v="699"/>
    <n v="20.3"/>
    <n v="3"/>
    <n v="1"/>
    <n v="18"/>
    <n v="52"/>
    <s v="Yes"/>
    <s v="No"/>
    <s v="Yes"/>
    <s v="No"/>
    <s v="Yes"/>
    <s v="No"/>
    <m/>
    <s v="1+ Failures"/>
    <n v="1"/>
    <s v="20+ hrs"/>
    <x v="1"/>
  </r>
  <r>
    <n v="2193"/>
    <d v="2023-02-22T00:00:00"/>
    <s v="Standard"/>
    <n v="399"/>
    <n v="23.5"/>
    <n v="4"/>
    <n v="3"/>
    <n v="22"/>
    <n v="46"/>
    <s v="No"/>
    <s v="No"/>
    <s v="Yes"/>
    <s v="No"/>
    <s v="Yes"/>
    <s v="No"/>
    <m/>
    <s v="1+ Failures"/>
    <n v="0"/>
    <s v="20+ hrs"/>
    <x v="1"/>
  </r>
  <r>
    <n v="2194"/>
    <d v="2023-08-17T00:00:00"/>
    <s v="Premium"/>
    <n v="699"/>
    <n v="20.100000000000001"/>
    <n v="4"/>
    <n v="0"/>
    <n v="20"/>
    <n v="52"/>
    <s v="Yes"/>
    <s v="No"/>
    <s v="No"/>
    <s v="No"/>
    <s v="Yes"/>
    <s v="No"/>
    <m/>
    <s v="0 Failures"/>
    <n v="1"/>
    <s v="20+ hrs"/>
    <x v="1"/>
  </r>
  <r>
    <n v="2195"/>
    <d v="2024-01-07T00:00:00"/>
    <s v="Basic"/>
    <n v="199"/>
    <n v="11.9"/>
    <n v="2"/>
    <n v="0"/>
    <n v="16"/>
    <n v="44"/>
    <s v="No"/>
    <s v="No"/>
    <s v="No"/>
    <s v="No"/>
    <s v="Yes"/>
    <s v="No"/>
    <m/>
    <s v="0 Failures"/>
    <n v="0"/>
    <s v="10-20hrs"/>
    <x v="1"/>
  </r>
  <r>
    <n v="2196"/>
    <d v="2024-09-30T00:00:00"/>
    <s v="Standard"/>
    <n v="399"/>
    <n v="10.8"/>
    <n v="5"/>
    <n v="2"/>
    <n v="26"/>
    <n v="5"/>
    <s v="Yes"/>
    <s v="No"/>
    <s v="Yes"/>
    <s v="Yes"/>
    <s v="No"/>
    <s v="No"/>
    <m/>
    <s v="1+ Failures"/>
    <n v="1"/>
    <s v="10-20hrs"/>
    <x v="1"/>
  </r>
  <r>
    <n v="2197"/>
    <d v="2023-06-07T00:00:00"/>
    <s v="Standard"/>
    <n v="399"/>
    <n v="19.5"/>
    <n v="0"/>
    <n v="3"/>
    <n v="5"/>
    <n v="25"/>
    <s v="No"/>
    <s v="No"/>
    <s v="Yes"/>
    <s v="No"/>
    <s v="Yes"/>
    <s v="Yes"/>
    <m/>
    <s v="1+ Failures"/>
    <n v="0"/>
    <s v="10-20hrs"/>
    <x v="3"/>
  </r>
  <r>
    <n v="2198"/>
    <d v="2024-05-13T00:00:00"/>
    <s v="Standard"/>
    <n v="399"/>
    <n v="24.5"/>
    <n v="5"/>
    <n v="2"/>
    <n v="31"/>
    <n v="7"/>
    <s v="Yes"/>
    <s v="No"/>
    <s v="Yes"/>
    <s v="Yes"/>
    <s v="No"/>
    <s v="No"/>
    <m/>
    <s v="1+ Failures"/>
    <n v="1"/>
    <s v="20+ hrs"/>
    <x v="1"/>
  </r>
  <r>
    <n v="2199"/>
    <d v="2023-09-07T00:00:00"/>
    <s v="Standard"/>
    <n v="399"/>
    <n v="14.9"/>
    <n v="6"/>
    <n v="3"/>
    <n v="26"/>
    <n v="54"/>
    <s v="Yes"/>
    <s v="No"/>
    <s v="Yes"/>
    <s v="Yes"/>
    <s v="Yes"/>
    <s v="No"/>
    <m/>
    <s v="1+ Failures"/>
    <n v="1"/>
    <s v="10-20hrs"/>
    <x v="1"/>
  </r>
  <r>
    <n v="2200"/>
    <d v="2023-04-14T00:00:00"/>
    <s v="Premium"/>
    <n v="699"/>
    <n v="8.6999999999999993"/>
    <n v="5"/>
    <n v="4"/>
    <n v="11"/>
    <n v="24"/>
    <s v="No"/>
    <s v="No"/>
    <s v="Yes"/>
    <s v="Yes"/>
    <s v="Yes"/>
    <s v="No"/>
    <m/>
    <s v="1+ Failures"/>
    <n v="0"/>
    <s v="5-10 hrs"/>
    <x v="0"/>
  </r>
  <r>
    <n v="2201"/>
    <d v="2023-04-05T00:00:00"/>
    <s v="Basic"/>
    <n v="199"/>
    <n v="20"/>
    <n v="0"/>
    <n v="1"/>
    <n v="6"/>
    <n v="34"/>
    <s v="No"/>
    <s v="No"/>
    <s v="Yes"/>
    <s v="No"/>
    <s v="Yes"/>
    <s v="No"/>
    <m/>
    <s v="1+ Failures"/>
    <n v="0"/>
    <s v="10-20hrs"/>
    <x v="3"/>
  </r>
  <r>
    <n v="2202"/>
    <d v="2023-10-26T00:00:00"/>
    <s v="Premium"/>
    <n v="699"/>
    <n v="24.8"/>
    <n v="0"/>
    <n v="3"/>
    <n v="10"/>
    <n v="11"/>
    <s v="Yes"/>
    <s v="No"/>
    <s v="Yes"/>
    <s v="No"/>
    <s v="No"/>
    <s v="No"/>
    <m/>
    <s v="1+ Failures"/>
    <n v="1"/>
    <s v="20+ hrs"/>
    <x v="0"/>
  </r>
  <r>
    <n v="2203"/>
    <d v="2023-12-05T00:00:00"/>
    <s v="Standard"/>
    <n v="399"/>
    <n v="16.8"/>
    <n v="1"/>
    <n v="0"/>
    <n v="23"/>
    <n v="10"/>
    <s v="No"/>
    <s v="No"/>
    <s v="No"/>
    <s v="No"/>
    <s v="No"/>
    <s v="No"/>
    <m/>
    <s v="0 Failures"/>
    <n v="0"/>
    <s v="10-20hrs"/>
    <x v="1"/>
  </r>
  <r>
    <n v="2204"/>
    <d v="2023-07-16T00:00:00"/>
    <s v="Basic"/>
    <n v="199"/>
    <n v="24.9"/>
    <n v="1"/>
    <n v="0"/>
    <n v="3"/>
    <n v="39"/>
    <s v="Yes"/>
    <s v="No"/>
    <s v="No"/>
    <s v="No"/>
    <s v="Yes"/>
    <s v="Yes"/>
    <m/>
    <s v="0 Failures"/>
    <n v="1"/>
    <s v="20+ hrs"/>
    <x v="2"/>
  </r>
  <r>
    <n v="2205"/>
    <d v="2024-09-22T00:00:00"/>
    <s v="Basic"/>
    <n v="199"/>
    <n v="20.7"/>
    <n v="7"/>
    <n v="0"/>
    <n v="26"/>
    <n v="17"/>
    <s v="No"/>
    <s v="No"/>
    <s v="No"/>
    <s v="Yes"/>
    <s v="Yes"/>
    <s v="No"/>
    <m/>
    <s v="0 Failures"/>
    <n v="0"/>
    <s v="20+ hrs"/>
    <x v="1"/>
  </r>
  <r>
    <n v="2206"/>
    <d v="2023-09-24T00:00:00"/>
    <s v="Premium"/>
    <n v="699"/>
    <n v="20.9"/>
    <n v="4"/>
    <n v="1"/>
    <n v="5"/>
    <n v="4"/>
    <s v="No"/>
    <s v="No"/>
    <s v="Yes"/>
    <s v="No"/>
    <s v="No"/>
    <s v="Yes"/>
    <m/>
    <s v="1+ Failures"/>
    <n v="0"/>
    <s v="20+ hrs"/>
    <x v="3"/>
  </r>
  <r>
    <n v="2207"/>
    <d v="2023-12-13T00:00:00"/>
    <s v="Basic"/>
    <n v="199"/>
    <n v="2.9"/>
    <n v="3"/>
    <n v="5"/>
    <n v="33"/>
    <n v="18"/>
    <s v="Yes"/>
    <s v="Yes"/>
    <s v="Yes"/>
    <s v="No"/>
    <s v="Yes"/>
    <s v="No"/>
    <m/>
    <s v="1+ Failures"/>
    <n v="1"/>
    <s v="0-5 hrs"/>
    <x v="1"/>
  </r>
  <r>
    <n v="2208"/>
    <d v="2023-10-28T00:00:00"/>
    <s v="Premium"/>
    <n v="699"/>
    <n v="17.5"/>
    <n v="7"/>
    <n v="2"/>
    <n v="11"/>
    <n v="60"/>
    <s v="Yes"/>
    <s v="No"/>
    <s v="Yes"/>
    <s v="Yes"/>
    <s v="Yes"/>
    <s v="No"/>
    <m/>
    <s v="1+ Failures"/>
    <n v="1"/>
    <s v="10-20hrs"/>
    <x v="0"/>
  </r>
  <r>
    <n v="2209"/>
    <d v="2023-09-04T00:00:00"/>
    <s v="Premium"/>
    <n v="699"/>
    <n v="10.7"/>
    <n v="3"/>
    <n v="2"/>
    <n v="26"/>
    <n v="42"/>
    <s v="Yes"/>
    <s v="No"/>
    <s v="Yes"/>
    <s v="No"/>
    <s v="Yes"/>
    <s v="No"/>
    <m/>
    <s v="1+ Failures"/>
    <n v="1"/>
    <s v="10-20hrs"/>
    <x v="1"/>
  </r>
  <r>
    <n v="2210"/>
    <d v="2023-05-01T00:00:00"/>
    <s v="Standard"/>
    <n v="399"/>
    <n v="17.7"/>
    <n v="0"/>
    <n v="0"/>
    <n v="10"/>
    <n v="3"/>
    <s v="No"/>
    <s v="No"/>
    <s v="No"/>
    <s v="No"/>
    <s v="No"/>
    <s v="No"/>
    <m/>
    <s v="0 Failures"/>
    <n v="0"/>
    <s v="10-20hrs"/>
    <x v="0"/>
  </r>
  <r>
    <n v="2211"/>
    <d v="2023-12-07T00:00:00"/>
    <s v="Basic"/>
    <n v="199"/>
    <n v="25"/>
    <n v="2"/>
    <n v="1"/>
    <n v="7"/>
    <n v="46"/>
    <s v="Yes"/>
    <s v="No"/>
    <s v="Yes"/>
    <s v="No"/>
    <s v="Yes"/>
    <s v="No"/>
    <m/>
    <s v="1+ Failures"/>
    <n v="1"/>
    <s v="20+ hrs"/>
    <x v="0"/>
  </r>
  <r>
    <n v="2212"/>
    <d v="2024-10-21T00:00:00"/>
    <s v="Premium"/>
    <n v="699"/>
    <n v="14.7"/>
    <n v="7"/>
    <n v="3"/>
    <n v="21"/>
    <n v="26"/>
    <s v="Yes"/>
    <s v="No"/>
    <s v="Yes"/>
    <s v="Yes"/>
    <s v="Yes"/>
    <s v="No"/>
    <m/>
    <s v="1+ Failures"/>
    <n v="1"/>
    <s v="10-20hrs"/>
    <x v="1"/>
  </r>
  <r>
    <n v="2213"/>
    <d v="2024-11-02T00:00:00"/>
    <s v="Premium"/>
    <n v="699"/>
    <n v="18.399999999999999"/>
    <n v="4"/>
    <n v="5"/>
    <n v="36"/>
    <n v="13"/>
    <s v="No"/>
    <s v="No"/>
    <s v="Yes"/>
    <s v="No"/>
    <s v="No"/>
    <s v="No"/>
    <m/>
    <s v="1+ Failures"/>
    <n v="0"/>
    <s v="10-20hrs"/>
    <x v="1"/>
  </r>
  <r>
    <n v="2214"/>
    <d v="2023-09-16T00:00:00"/>
    <s v="Basic"/>
    <n v="199"/>
    <n v="4.3"/>
    <n v="3"/>
    <n v="2"/>
    <n v="24"/>
    <n v="4"/>
    <s v="Yes"/>
    <s v="Yes"/>
    <s v="Yes"/>
    <s v="No"/>
    <s v="No"/>
    <s v="No"/>
    <m/>
    <s v="1+ Failures"/>
    <n v="1"/>
    <s v="0-5 hrs"/>
    <x v="1"/>
  </r>
  <r>
    <n v="2215"/>
    <d v="2023-11-28T00:00:00"/>
    <s v="Standard"/>
    <n v="399"/>
    <n v="20.399999999999999"/>
    <n v="7"/>
    <n v="5"/>
    <n v="12"/>
    <n v="25"/>
    <s v="No"/>
    <s v="No"/>
    <s v="Yes"/>
    <s v="Yes"/>
    <s v="Yes"/>
    <s v="No"/>
    <m/>
    <s v="1+ Failures"/>
    <n v="0"/>
    <s v="20+ hrs"/>
    <x v="0"/>
  </r>
  <r>
    <n v="2216"/>
    <d v="2024-08-03T00:00:00"/>
    <s v="Standard"/>
    <n v="399"/>
    <n v="20.5"/>
    <n v="6"/>
    <n v="5"/>
    <n v="9"/>
    <n v="20"/>
    <s v="No"/>
    <s v="No"/>
    <s v="Yes"/>
    <s v="Yes"/>
    <s v="Yes"/>
    <s v="No"/>
    <m/>
    <s v="1+ Failures"/>
    <n v="0"/>
    <s v="20+ hrs"/>
    <x v="0"/>
  </r>
  <r>
    <n v="2217"/>
    <d v="2023-12-09T00:00:00"/>
    <s v="Premium"/>
    <n v="699"/>
    <n v="0.7"/>
    <n v="2"/>
    <n v="2"/>
    <n v="12"/>
    <n v="26"/>
    <s v="Yes"/>
    <s v="Yes"/>
    <s v="Yes"/>
    <s v="No"/>
    <s v="Yes"/>
    <s v="No"/>
    <m/>
    <s v="1+ Failures"/>
    <n v="1"/>
    <s v="0-5 hrs"/>
    <x v="0"/>
  </r>
  <r>
    <n v="2218"/>
    <d v="2023-10-12T00:00:00"/>
    <s v="Basic"/>
    <n v="199"/>
    <n v="22.2"/>
    <n v="3"/>
    <n v="4"/>
    <n v="3"/>
    <n v="38"/>
    <s v="Yes"/>
    <s v="No"/>
    <s v="Yes"/>
    <s v="No"/>
    <s v="Yes"/>
    <s v="Yes"/>
    <m/>
    <s v="1+ Failures"/>
    <n v="1"/>
    <s v="20+ hrs"/>
    <x v="2"/>
  </r>
  <r>
    <n v="2219"/>
    <d v="2024-09-21T00:00:00"/>
    <s v="Basic"/>
    <n v="199"/>
    <n v="10.7"/>
    <n v="0"/>
    <n v="5"/>
    <n v="12"/>
    <n v="23"/>
    <s v="No"/>
    <s v="No"/>
    <s v="Yes"/>
    <s v="No"/>
    <s v="Yes"/>
    <s v="No"/>
    <m/>
    <s v="1+ Failures"/>
    <n v="0"/>
    <s v="10-20hrs"/>
    <x v="0"/>
  </r>
  <r>
    <n v="2220"/>
    <d v="2023-12-07T00:00:00"/>
    <s v="Standard"/>
    <n v="399"/>
    <n v="0.6"/>
    <n v="7"/>
    <n v="4"/>
    <n v="22"/>
    <n v="12"/>
    <s v="Yes"/>
    <s v="Yes"/>
    <s v="Yes"/>
    <s v="Yes"/>
    <s v="No"/>
    <s v="No"/>
    <m/>
    <s v="1+ Failures"/>
    <n v="1"/>
    <s v="0-5 hrs"/>
    <x v="1"/>
  </r>
  <r>
    <n v="2221"/>
    <d v="2024-09-18T00:00:00"/>
    <s v="Premium"/>
    <n v="699"/>
    <n v="7.2"/>
    <n v="6"/>
    <n v="4"/>
    <n v="33"/>
    <n v="37"/>
    <s v="Yes"/>
    <s v="No"/>
    <s v="Yes"/>
    <s v="Yes"/>
    <s v="Yes"/>
    <s v="No"/>
    <m/>
    <s v="1+ Failures"/>
    <n v="1"/>
    <s v="5-10 hrs"/>
    <x v="1"/>
  </r>
  <r>
    <n v="2222"/>
    <d v="2023-10-25T00:00:00"/>
    <s v="Basic"/>
    <n v="199"/>
    <n v="19.399999999999999"/>
    <n v="0"/>
    <n v="3"/>
    <n v="28"/>
    <n v="46"/>
    <s v="Yes"/>
    <s v="No"/>
    <s v="Yes"/>
    <s v="No"/>
    <s v="Yes"/>
    <s v="No"/>
    <m/>
    <s v="1+ Failures"/>
    <n v="1"/>
    <s v="10-20hrs"/>
    <x v="1"/>
  </r>
  <r>
    <n v="2223"/>
    <d v="2023-03-06T00:00:00"/>
    <s v="Premium"/>
    <n v="699"/>
    <n v="1.6"/>
    <n v="5"/>
    <n v="0"/>
    <n v="30"/>
    <n v="26"/>
    <s v="Yes"/>
    <s v="Yes"/>
    <s v="No"/>
    <s v="Yes"/>
    <s v="Yes"/>
    <s v="No"/>
    <m/>
    <s v="0 Failures"/>
    <n v="1"/>
    <s v="0-5 hrs"/>
    <x v="1"/>
  </r>
  <r>
    <n v="2224"/>
    <d v="2024-04-05T00:00:00"/>
    <s v="Standard"/>
    <n v="399"/>
    <n v="23.3"/>
    <n v="3"/>
    <n v="2"/>
    <n v="27"/>
    <n v="53"/>
    <s v="Yes"/>
    <s v="No"/>
    <s v="Yes"/>
    <s v="No"/>
    <s v="Yes"/>
    <s v="No"/>
    <m/>
    <s v="1+ Failures"/>
    <n v="1"/>
    <s v="20+ hrs"/>
    <x v="1"/>
  </r>
  <r>
    <n v="2225"/>
    <d v="2023-09-18T00:00:00"/>
    <s v="Standard"/>
    <n v="399"/>
    <n v="22.3"/>
    <n v="0"/>
    <n v="1"/>
    <n v="20"/>
    <n v="42"/>
    <s v="No"/>
    <s v="No"/>
    <s v="Yes"/>
    <s v="No"/>
    <s v="Yes"/>
    <s v="No"/>
    <m/>
    <s v="1+ Failures"/>
    <n v="0"/>
    <s v="20+ hrs"/>
    <x v="1"/>
  </r>
  <r>
    <n v="2226"/>
    <d v="2024-04-05T00:00:00"/>
    <s v="Standard"/>
    <n v="399"/>
    <n v="0.6"/>
    <n v="3"/>
    <n v="0"/>
    <n v="17"/>
    <n v="14"/>
    <s v="No"/>
    <s v="Yes"/>
    <s v="No"/>
    <s v="No"/>
    <s v="No"/>
    <s v="No"/>
    <m/>
    <s v="0 Failures"/>
    <n v="0"/>
    <s v="0-5 hrs"/>
    <x v="1"/>
  </r>
  <r>
    <n v="2227"/>
    <d v="2024-07-02T00:00:00"/>
    <s v="Basic"/>
    <n v="199"/>
    <n v="0.6"/>
    <n v="0"/>
    <n v="0"/>
    <n v="26"/>
    <n v="51"/>
    <s v="No"/>
    <s v="Yes"/>
    <s v="No"/>
    <s v="No"/>
    <s v="Yes"/>
    <s v="No"/>
    <m/>
    <s v="0 Failures"/>
    <n v="0"/>
    <s v="0-5 hrs"/>
    <x v="1"/>
  </r>
  <r>
    <n v="2228"/>
    <d v="2024-08-17T00:00:00"/>
    <s v="Premium"/>
    <n v="699"/>
    <n v="0.9"/>
    <n v="4"/>
    <n v="4"/>
    <n v="27"/>
    <n v="42"/>
    <s v="Yes"/>
    <s v="Yes"/>
    <s v="Yes"/>
    <s v="No"/>
    <s v="Yes"/>
    <s v="No"/>
    <m/>
    <s v="1+ Failures"/>
    <n v="1"/>
    <s v="0-5 hrs"/>
    <x v="1"/>
  </r>
  <r>
    <n v="2229"/>
    <d v="2024-02-03T00:00:00"/>
    <s v="Basic"/>
    <n v="199"/>
    <n v="16.7"/>
    <n v="4"/>
    <n v="0"/>
    <n v="35"/>
    <n v="54"/>
    <s v="Yes"/>
    <s v="No"/>
    <s v="No"/>
    <s v="No"/>
    <s v="Yes"/>
    <s v="No"/>
    <m/>
    <s v="0 Failures"/>
    <n v="1"/>
    <s v="10-20hrs"/>
    <x v="1"/>
  </r>
  <r>
    <n v="2230"/>
    <d v="2023-12-03T00:00:00"/>
    <s v="Premium"/>
    <n v="699"/>
    <n v="4.8"/>
    <n v="3"/>
    <n v="0"/>
    <n v="22"/>
    <n v="43"/>
    <s v="Yes"/>
    <s v="Yes"/>
    <s v="No"/>
    <s v="No"/>
    <s v="Yes"/>
    <s v="No"/>
    <m/>
    <s v="0 Failures"/>
    <n v="1"/>
    <s v="0-5 hrs"/>
    <x v="1"/>
  </r>
  <r>
    <n v="2231"/>
    <d v="2023-09-22T00:00:00"/>
    <s v="Premium"/>
    <n v="699"/>
    <n v="23.7"/>
    <n v="0"/>
    <n v="0"/>
    <n v="16"/>
    <n v="8"/>
    <s v="No"/>
    <s v="No"/>
    <s v="No"/>
    <s v="No"/>
    <s v="No"/>
    <s v="No"/>
    <m/>
    <s v="0 Failures"/>
    <n v="0"/>
    <s v="20+ hrs"/>
    <x v="1"/>
  </r>
  <r>
    <n v="2232"/>
    <d v="2023-06-17T00:00:00"/>
    <s v="Basic"/>
    <n v="199"/>
    <n v="17"/>
    <n v="6"/>
    <n v="1"/>
    <n v="19"/>
    <n v="57"/>
    <s v="Yes"/>
    <s v="No"/>
    <s v="Yes"/>
    <s v="Yes"/>
    <s v="Yes"/>
    <s v="No"/>
    <m/>
    <s v="1+ Failures"/>
    <n v="1"/>
    <s v="10-20hrs"/>
    <x v="1"/>
  </r>
  <r>
    <n v="2233"/>
    <d v="2024-10-16T00:00:00"/>
    <s v="Standard"/>
    <n v="399"/>
    <n v="19.2"/>
    <n v="4"/>
    <n v="2"/>
    <n v="7"/>
    <n v="34"/>
    <s v="Yes"/>
    <s v="No"/>
    <s v="Yes"/>
    <s v="No"/>
    <s v="Yes"/>
    <s v="No"/>
    <m/>
    <s v="1+ Failures"/>
    <n v="1"/>
    <s v="10-20hrs"/>
    <x v="0"/>
  </r>
  <r>
    <n v="2234"/>
    <d v="2023-10-04T00:00:00"/>
    <s v="Basic"/>
    <n v="199"/>
    <n v="24.6"/>
    <n v="1"/>
    <n v="0"/>
    <n v="5"/>
    <n v="15"/>
    <s v="Yes"/>
    <s v="No"/>
    <s v="No"/>
    <s v="No"/>
    <s v="Yes"/>
    <s v="Yes"/>
    <m/>
    <s v="0 Failures"/>
    <n v="1"/>
    <s v="20+ hrs"/>
    <x v="3"/>
  </r>
  <r>
    <n v="2235"/>
    <d v="2024-07-01T00:00:00"/>
    <s v="Basic"/>
    <n v="199"/>
    <n v="19.2"/>
    <n v="5"/>
    <n v="0"/>
    <n v="8"/>
    <n v="32"/>
    <s v="No"/>
    <s v="No"/>
    <s v="No"/>
    <s v="Yes"/>
    <s v="Yes"/>
    <s v="No"/>
    <m/>
    <s v="0 Failures"/>
    <n v="0"/>
    <s v="10-20hrs"/>
    <x v="0"/>
  </r>
  <r>
    <n v="2236"/>
    <d v="2023-12-28T00:00:00"/>
    <s v="Standard"/>
    <n v="399"/>
    <n v="3.5"/>
    <n v="4"/>
    <n v="0"/>
    <n v="33"/>
    <n v="22"/>
    <s v="No"/>
    <s v="Yes"/>
    <s v="No"/>
    <s v="No"/>
    <s v="Yes"/>
    <s v="No"/>
    <m/>
    <s v="0 Failures"/>
    <n v="0"/>
    <s v="0-5 hrs"/>
    <x v="1"/>
  </r>
  <r>
    <n v="2237"/>
    <d v="2024-09-27T00:00:00"/>
    <s v="Basic"/>
    <n v="199"/>
    <n v="20.3"/>
    <n v="8"/>
    <n v="2"/>
    <n v="25"/>
    <n v="46"/>
    <s v="Yes"/>
    <s v="No"/>
    <s v="Yes"/>
    <s v="Yes"/>
    <s v="Yes"/>
    <s v="No"/>
    <m/>
    <s v="1+ Failures"/>
    <n v="1"/>
    <s v="20+ hrs"/>
    <x v="1"/>
  </r>
  <r>
    <n v="2238"/>
    <d v="2024-07-01T00:00:00"/>
    <s v="Basic"/>
    <n v="199"/>
    <n v="4.5"/>
    <n v="5"/>
    <n v="1"/>
    <n v="5"/>
    <n v="33"/>
    <s v="No"/>
    <s v="Yes"/>
    <s v="Yes"/>
    <s v="Yes"/>
    <s v="Yes"/>
    <s v="Yes"/>
    <m/>
    <s v="1+ Failures"/>
    <n v="0"/>
    <s v="0-5 hrs"/>
    <x v="3"/>
  </r>
  <r>
    <n v="2239"/>
    <d v="2024-03-18T00:00:00"/>
    <s v="Basic"/>
    <n v="199"/>
    <n v="24.8"/>
    <n v="5"/>
    <n v="0"/>
    <n v="31"/>
    <n v="21"/>
    <s v="No"/>
    <s v="No"/>
    <s v="No"/>
    <s v="Yes"/>
    <s v="Yes"/>
    <s v="No"/>
    <m/>
    <s v="0 Failures"/>
    <n v="0"/>
    <s v="20+ hrs"/>
    <x v="1"/>
  </r>
  <r>
    <n v="2240"/>
    <d v="2024-10-14T00:00:00"/>
    <s v="Basic"/>
    <n v="199"/>
    <n v="19.5"/>
    <n v="6"/>
    <n v="1"/>
    <n v="33"/>
    <n v="10"/>
    <s v="Yes"/>
    <s v="No"/>
    <s v="Yes"/>
    <s v="Yes"/>
    <s v="No"/>
    <s v="No"/>
    <m/>
    <s v="1+ Failures"/>
    <n v="1"/>
    <s v="10-20hrs"/>
    <x v="1"/>
  </r>
  <r>
    <n v="2241"/>
    <d v="2024-05-21T00:00:00"/>
    <s v="Standard"/>
    <n v="399"/>
    <n v="24.4"/>
    <n v="3"/>
    <n v="5"/>
    <n v="5"/>
    <n v="59"/>
    <s v="No"/>
    <s v="No"/>
    <s v="Yes"/>
    <s v="No"/>
    <s v="Yes"/>
    <s v="Yes"/>
    <m/>
    <s v="1+ Failures"/>
    <n v="0"/>
    <s v="20+ hrs"/>
    <x v="3"/>
  </r>
  <r>
    <n v="2242"/>
    <d v="2024-04-08T00:00:00"/>
    <s v="Premium"/>
    <n v="699"/>
    <n v="10"/>
    <n v="5"/>
    <n v="1"/>
    <n v="30"/>
    <n v="57"/>
    <s v="Yes"/>
    <s v="No"/>
    <s v="Yes"/>
    <s v="Yes"/>
    <s v="Yes"/>
    <s v="No"/>
    <m/>
    <s v="1+ Failures"/>
    <n v="1"/>
    <s v="5-10 hrs"/>
    <x v="1"/>
  </r>
  <r>
    <n v="2243"/>
    <d v="2023-12-13T00:00:00"/>
    <s v="Basic"/>
    <n v="199"/>
    <n v="14.5"/>
    <n v="0"/>
    <n v="5"/>
    <n v="1"/>
    <n v="59"/>
    <s v="Yes"/>
    <s v="No"/>
    <s v="Yes"/>
    <s v="No"/>
    <s v="Yes"/>
    <s v="Yes"/>
    <m/>
    <s v="1+ Failures"/>
    <n v="1"/>
    <s v="10-20hrs"/>
    <x v="2"/>
  </r>
  <r>
    <n v="2244"/>
    <d v="2024-08-31T00:00:00"/>
    <s v="Standard"/>
    <n v="399"/>
    <n v="24.3"/>
    <n v="7"/>
    <n v="0"/>
    <n v="1"/>
    <n v="8"/>
    <s v="No"/>
    <s v="No"/>
    <s v="No"/>
    <s v="Yes"/>
    <s v="No"/>
    <s v="Yes"/>
    <m/>
    <s v="0 Failures"/>
    <n v="0"/>
    <s v="20+ hrs"/>
    <x v="2"/>
  </r>
  <r>
    <n v="2245"/>
    <d v="2024-07-18T00:00:00"/>
    <s v="Premium"/>
    <n v="699"/>
    <n v="19.3"/>
    <n v="2"/>
    <n v="3"/>
    <n v="36"/>
    <n v="31"/>
    <s v="Yes"/>
    <s v="No"/>
    <s v="Yes"/>
    <s v="No"/>
    <s v="Yes"/>
    <s v="No"/>
    <m/>
    <s v="1+ Failures"/>
    <n v="1"/>
    <s v="10-20hrs"/>
    <x v="1"/>
  </r>
  <r>
    <n v="2246"/>
    <d v="2024-07-03T00:00:00"/>
    <s v="Premium"/>
    <n v="699"/>
    <n v="3.4"/>
    <n v="0"/>
    <n v="5"/>
    <n v="22"/>
    <n v="20"/>
    <s v="Yes"/>
    <s v="Yes"/>
    <s v="Yes"/>
    <s v="No"/>
    <s v="Yes"/>
    <s v="No"/>
    <m/>
    <s v="1+ Failures"/>
    <n v="1"/>
    <s v="0-5 hrs"/>
    <x v="1"/>
  </r>
  <r>
    <n v="2247"/>
    <d v="2023-05-21T00:00:00"/>
    <s v="Standard"/>
    <n v="399"/>
    <n v="1.5"/>
    <n v="1"/>
    <n v="0"/>
    <n v="19"/>
    <n v="60"/>
    <s v="Yes"/>
    <s v="Yes"/>
    <s v="No"/>
    <s v="No"/>
    <s v="Yes"/>
    <s v="No"/>
    <m/>
    <s v="0 Failures"/>
    <n v="1"/>
    <s v="0-5 hrs"/>
    <x v="1"/>
  </r>
  <r>
    <n v="2248"/>
    <d v="2023-03-18T00:00:00"/>
    <s v="Premium"/>
    <n v="699"/>
    <n v="20.5"/>
    <n v="2"/>
    <n v="2"/>
    <n v="17"/>
    <n v="21"/>
    <s v="No"/>
    <s v="No"/>
    <s v="Yes"/>
    <s v="No"/>
    <s v="Yes"/>
    <s v="No"/>
    <m/>
    <s v="1+ Failures"/>
    <n v="0"/>
    <s v="20+ hrs"/>
    <x v="1"/>
  </r>
  <r>
    <n v="2249"/>
    <d v="2023-01-27T00:00:00"/>
    <s v="Premium"/>
    <n v="699"/>
    <n v="2.2999999999999998"/>
    <n v="4"/>
    <n v="5"/>
    <n v="24"/>
    <n v="19"/>
    <s v="Yes"/>
    <s v="Yes"/>
    <s v="Yes"/>
    <s v="No"/>
    <s v="Yes"/>
    <s v="No"/>
    <m/>
    <s v="1+ Failures"/>
    <n v="1"/>
    <s v="0-5 hrs"/>
    <x v="1"/>
  </r>
  <r>
    <n v="2250"/>
    <d v="2024-09-05T00:00:00"/>
    <s v="Standard"/>
    <n v="399"/>
    <n v="5"/>
    <n v="1"/>
    <n v="1"/>
    <n v="21"/>
    <n v="59"/>
    <s v="No"/>
    <s v="No"/>
    <s v="Yes"/>
    <s v="No"/>
    <s v="Yes"/>
    <s v="No"/>
    <m/>
    <s v="1+ Failures"/>
    <n v="0"/>
    <s v="0-5 hrs"/>
    <x v="1"/>
  </r>
  <r>
    <n v="2251"/>
    <d v="2023-07-07T00:00:00"/>
    <s v="Basic"/>
    <n v="199"/>
    <n v="3.3"/>
    <n v="4"/>
    <n v="2"/>
    <n v="24"/>
    <n v="20"/>
    <s v="No"/>
    <s v="Yes"/>
    <s v="Yes"/>
    <s v="No"/>
    <s v="Yes"/>
    <s v="No"/>
    <m/>
    <s v="1+ Failures"/>
    <n v="0"/>
    <s v="0-5 hrs"/>
    <x v="1"/>
  </r>
  <r>
    <n v="2252"/>
    <d v="2024-07-17T00:00:00"/>
    <s v="Premium"/>
    <n v="699"/>
    <n v="14.8"/>
    <n v="1"/>
    <n v="1"/>
    <n v="14"/>
    <n v="3"/>
    <s v="No"/>
    <s v="No"/>
    <s v="Yes"/>
    <s v="No"/>
    <s v="No"/>
    <s v="No"/>
    <m/>
    <s v="1+ Failures"/>
    <n v="0"/>
    <s v="10-20hrs"/>
    <x v="1"/>
  </r>
  <r>
    <n v="2253"/>
    <d v="2023-11-01T00:00:00"/>
    <s v="Premium"/>
    <n v="699"/>
    <n v="20.399999999999999"/>
    <n v="8"/>
    <n v="4"/>
    <n v="6"/>
    <n v="55"/>
    <s v="Yes"/>
    <s v="No"/>
    <s v="Yes"/>
    <s v="Yes"/>
    <s v="Yes"/>
    <s v="No"/>
    <m/>
    <s v="1+ Failures"/>
    <n v="1"/>
    <s v="20+ hrs"/>
    <x v="3"/>
  </r>
  <r>
    <n v="2254"/>
    <d v="2024-03-06T00:00:00"/>
    <s v="Premium"/>
    <n v="699"/>
    <n v="3"/>
    <n v="6"/>
    <n v="0"/>
    <n v="20"/>
    <n v="19"/>
    <s v="No"/>
    <s v="Yes"/>
    <s v="No"/>
    <s v="Yes"/>
    <s v="Yes"/>
    <s v="No"/>
    <m/>
    <s v="0 Failures"/>
    <n v="0"/>
    <s v="0-5 hrs"/>
    <x v="1"/>
  </r>
  <r>
    <n v="2255"/>
    <d v="2024-08-25T00:00:00"/>
    <s v="Basic"/>
    <n v="199"/>
    <n v="7.1"/>
    <n v="0"/>
    <n v="1"/>
    <n v="22"/>
    <n v="4"/>
    <s v="Yes"/>
    <s v="No"/>
    <s v="Yes"/>
    <s v="No"/>
    <s v="No"/>
    <s v="No"/>
    <m/>
    <s v="1+ Failures"/>
    <n v="1"/>
    <s v="5-10 hrs"/>
    <x v="1"/>
  </r>
  <r>
    <n v="2256"/>
    <d v="2024-07-08T00:00:00"/>
    <s v="Basic"/>
    <n v="199"/>
    <n v="22.3"/>
    <n v="0"/>
    <n v="3"/>
    <n v="7"/>
    <n v="51"/>
    <s v="Yes"/>
    <s v="No"/>
    <s v="Yes"/>
    <s v="No"/>
    <s v="Yes"/>
    <s v="No"/>
    <m/>
    <s v="1+ Failures"/>
    <n v="1"/>
    <s v="20+ hrs"/>
    <x v="0"/>
  </r>
  <r>
    <n v="2257"/>
    <d v="2023-07-09T00:00:00"/>
    <s v="Basic"/>
    <n v="199"/>
    <n v="4.4000000000000004"/>
    <n v="8"/>
    <n v="1"/>
    <n v="17"/>
    <n v="5"/>
    <s v="Yes"/>
    <s v="Yes"/>
    <s v="Yes"/>
    <s v="Yes"/>
    <s v="No"/>
    <s v="No"/>
    <m/>
    <s v="1+ Failures"/>
    <n v="1"/>
    <s v="0-5 hrs"/>
    <x v="1"/>
  </r>
  <r>
    <n v="2258"/>
    <d v="2023-05-10T00:00:00"/>
    <s v="Premium"/>
    <n v="699"/>
    <n v="16"/>
    <n v="0"/>
    <n v="3"/>
    <n v="7"/>
    <n v="13"/>
    <s v="No"/>
    <s v="No"/>
    <s v="Yes"/>
    <s v="No"/>
    <s v="No"/>
    <s v="No"/>
    <m/>
    <s v="1+ Failures"/>
    <n v="0"/>
    <s v="10-20hrs"/>
    <x v="0"/>
  </r>
  <r>
    <n v="2259"/>
    <d v="2023-10-07T00:00:00"/>
    <s v="Basic"/>
    <n v="199"/>
    <n v="6.3"/>
    <n v="6"/>
    <n v="0"/>
    <n v="33"/>
    <n v="43"/>
    <s v="No"/>
    <s v="No"/>
    <s v="No"/>
    <s v="Yes"/>
    <s v="Yes"/>
    <s v="No"/>
    <m/>
    <s v="0 Failures"/>
    <n v="0"/>
    <s v="5-10 hrs"/>
    <x v="1"/>
  </r>
  <r>
    <n v="2260"/>
    <d v="2024-11-13T00:00:00"/>
    <s v="Premium"/>
    <n v="699"/>
    <n v="12.6"/>
    <n v="3"/>
    <n v="0"/>
    <n v="13"/>
    <n v="27"/>
    <s v="Yes"/>
    <s v="No"/>
    <s v="No"/>
    <s v="No"/>
    <s v="Yes"/>
    <s v="No"/>
    <m/>
    <s v="0 Failures"/>
    <n v="1"/>
    <s v="10-20hrs"/>
    <x v="1"/>
  </r>
  <r>
    <n v="2261"/>
    <d v="2024-08-27T00:00:00"/>
    <s v="Standard"/>
    <n v="399"/>
    <n v="20.7"/>
    <n v="4"/>
    <n v="2"/>
    <n v="13"/>
    <n v="8"/>
    <s v="Yes"/>
    <s v="No"/>
    <s v="Yes"/>
    <s v="No"/>
    <s v="No"/>
    <s v="No"/>
    <m/>
    <s v="1+ Failures"/>
    <n v="1"/>
    <s v="20+ hrs"/>
    <x v="1"/>
  </r>
  <r>
    <n v="2262"/>
    <d v="2024-09-11T00:00:00"/>
    <s v="Standard"/>
    <n v="399"/>
    <n v="7.1"/>
    <n v="1"/>
    <n v="5"/>
    <n v="19"/>
    <n v="26"/>
    <s v="Yes"/>
    <s v="No"/>
    <s v="Yes"/>
    <s v="No"/>
    <s v="Yes"/>
    <s v="No"/>
    <m/>
    <s v="1+ Failures"/>
    <n v="1"/>
    <s v="5-10 hrs"/>
    <x v="1"/>
  </r>
  <r>
    <n v="2263"/>
    <d v="2024-12-08T00:00:00"/>
    <s v="Standard"/>
    <n v="399"/>
    <n v="24.5"/>
    <n v="6"/>
    <n v="4"/>
    <n v="1"/>
    <n v="12"/>
    <s v="No"/>
    <s v="No"/>
    <s v="Yes"/>
    <s v="Yes"/>
    <s v="No"/>
    <s v="Yes"/>
    <m/>
    <s v="1+ Failures"/>
    <n v="0"/>
    <s v="20+ hrs"/>
    <x v="2"/>
  </r>
  <r>
    <n v="2264"/>
    <d v="2023-02-11T00:00:00"/>
    <s v="Basic"/>
    <n v="199"/>
    <n v="20.5"/>
    <n v="1"/>
    <n v="5"/>
    <n v="12"/>
    <n v="15"/>
    <s v="Yes"/>
    <s v="No"/>
    <s v="Yes"/>
    <s v="No"/>
    <s v="Yes"/>
    <s v="No"/>
    <m/>
    <s v="1+ Failures"/>
    <n v="1"/>
    <s v="20+ hrs"/>
    <x v="0"/>
  </r>
  <r>
    <n v="2265"/>
    <d v="2023-08-12T00:00:00"/>
    <s v="Basic"/>
    <n v="199"/>
    <n v="18.7"/>
    <n v="1"/>
    <n v="5"/>
    <n v="16"/>
    <n v="25"/>
    <s v="Yes"/>
    <s v="No"/>
    <s v="Yes"/>
    <s v="No"/>
    <s v="Yes"/>
    <s v="No"/>
    <m/>
    <s v="1+ Failures"/>
    <n v="1"/>
    <s v="10-20hrs"/>
    <x v="1"/>
  </r>
  <r>
    <n v="2266"/>
    <d v="2023-01-15T00:00:00"/>
    <s v="Standard"/>
    <n v="399"/>
    <n v="14.6"/>
    <n v="3"/>
    <n v="5"/>
    <n v="8"/>
    <n v="7"/>
    <s v="No"/>
    <s v="No"/>
    <s v="Yes"/>
    <s v="No"/>
    <s v="No"/>
    <s v="No"/>
    <m/>
    <s v="1+ Failures"/>
    <n v="0"/>
    <s v="10-20hrs"/>
    <x v="0"/>
  </r>
  <r>
    <n v="2267"/>
    <d v="2023-05-07T00:00:00"/>
    <s v="Standard"/>
    <n v="399"/>
    <n v="8.9"/>
    <n v="7"/>
    <n v="1"/>
    <n v="7"/>
    <n v="9"/>
    <s v="No"/>
    <s v="No"/>
    <s v="Yes"/>
    <s v="Yes"/>
    <s v="No"/>
    <s v="No"/>
    <m/>
    <s v="1+ Failures"/>
    <n v="0"/>
    <s v="5-10 hrs"/>
    <x v="0"/>
  </r>
  <r>
    <n v="2268"/>
    <d v="2024-03-30T00:00:00"/>
    <s v="Standard"/>
    <n v="399"/>
    <n v="24.4"/>
    <n v="6"/>
    <n v="5"/>
    <n v="21"/>
    <n v="33"/>
    <s v="Yes"/>
    <s v="No"/>
    <s v="Yes"/>
    <s v="Yes"/>
    <s v="Yes"/>
    <s v="No"/>
    <m/>
    <s v="1+ Failures"/>
    <n v="1"/>
    <s v="20+ hrs"/>
    <x v="1"/>
  </r>
  <r>
    <n v="2269"/>
    <d v="2024-11-12T00:00:00"/>
    <s v="Premium"/>
    <n v="699"/>
    <n v="21.5"/>
    <n v="2"/>
    <n v="1"/>
    <n v="13"/>
    <n v="24"/>
    <s v="No"/>
    <s v="No"/>
    <s v="Yes"/>
    <s v="No"/>
    <s v="Yes"/>
    <s v="No"/>
    <m/>
    <s v="1+ Failures"/>
    <n v="0"/>
    <s v="20+ hrs"/>
    <x v="1"/>
  </r>
  <r>
    <n v="2270"/>
    <d v="2024-03-19T00:00:00"/>
    <s v="Premium"/>
    <n v="699"/>
    <n v="12.5"/>
    <n v="4"/>
    <n v="3"/>
    <n v="16"/>
    <n v="3"/>
    <s v="Yes"/>
    <s v="No"/>
    <s v="Yes"/>
    <s v="No"/>
    <s v="No"/>
    <s v="No"/>
    <m/>
    <s v="1+ Failures"/>
    <n v="1"/>
    <s v="10-20hrs"/>
    <x v="1"/>
  </r>
  <r>
    <n v="2271"/>
    <d v="2023-07-28T00:00:00"/>
    <s v="Standard"/>
    <n v="399"/>
    <n v="2"/>
    <n v="0"/>
    <n v="5"/>
    <n v="11"/>
    <n v="29"/>
    <s v="Yes"/>
    <s v="Yes"/>
    <s v="Yes"/>
    <s v="No"/>
    <s v="Yes"/>
    <s v="No"/>
    <m/>
    <s v="1+ Failures"/>
    <n v="1"/>
    <s v="0-5 hrs"/>
    <x v="0"/>
  </r>
  <r>
    <n v="2272"/>
    <d v="2023-01-15T00:00:00"/>
    <s v="Standard"/>
    <n v="399"/>
    <n v="22.1"/>
    <n v="2"/>
    <n v="2"/>
    <n v="8"/>
    <n v="17"/>
    <s v="Yes"/>
    <s v="No"/>
    <s v="Yes"/>
    <s v="No"/>
    <s v="Yes"/>
    <s v="No"/>
    <m/>
    <s v="1+ Failures"/>
    <n v="1"/>
    <s v="20+ hrs"/>
    <x v="0"/>
  </r>
  <r>
    <n v="2273"/>
    <d v="2024-04-05T00:00:00"/>
    <s v="Standard"/>
    <n v="399"/>
    <n v="2.1"/>
    <n v="7"/>
    <n v="2"/>
    <n v="34"/>
    <n v="19"/>
    <s v="Yes"/>
    <s v="Yes"/>
    <s v="Yes"/>
    <s v="Yes"/>
    <s v="Yes"/>
    <s v="No"/>
    <m/>
    <s v="1+ Failures"/>
    <n v="1"/>
    <s v="0-5 hrs"/>
    <x v="1"/>
  </r>
  <r>
    <n v="2274"/>
    <d v="2024-03-24T00:00:00"/>
    <s v="Basic"/>
    <n v="199"/>
    <n v="21.1"/>
    <n v="6"/>
    <n v="2"/>
    <n v="18"/>
    <n v="10"/>
    <s v="Yes"/>
    <s v="No"/>
    <s v="Yes"/>
    <s v="Yes"/>
    <s v="No"/>
    <s v="No"/>
    <m/>
    <s v="1+ Failures"/>
    <n v="1"/>
    <s v="20+ hrs"/>
    <x v="1"/>
  </r>
  <r>
    <n v="2275"/>
    <d v="2024-07-18T00:00:00"/>
    <s v="Basic"/>
    <n v="199"/>
    <n v="19.600000000000001"/>
    <n v="7"/>
    <n v="3"/>
    <n v="2"/>
    <n v="14"/>
    <s v="No"/>
    <s v="No"/>
    <s v="Yes"/>
    <s v="Yes"/>
    <s v="No"/>
    <s v="Yes"/>
    <m/>
    <s v="1+ Failures"/>
    <n v="0"/>
    <s v="10-20hrs"/>
    <x v="2"/>
  </r>
  <r>
    <n v="2276"/>
    <d v="2023-10-06T00:00:00"/>
    <s v="Premium"/>
    <n v="699"/>
    <n v="3.2"/>
    <n v="5"/>
    <n v="4"/>
    <n v="10"/>
    <n v="16"/>
    <s v="Yes"/>
    <s v="Yes"/>
    <s v="Yes"/>
    <s v="Yes"/>
    <s v="Yes"/>
    <s v="No"/>
    <m/>
    <s v="1+ Failures"/>
    <n v="1"/>
    <s v="0-5 hrs"/>
    <x v="0"/>
  </r>
  <r>
    <n v="2277"/>
    <d v="2023-04-20T00:00:00"/>
    <s v="Premium"/>
    <n v="699"/>
    <n v="20.100000000000001"/>
    <n v="6"/>
    <n v="0"/>
    <n v="34"/>
    <n v="4"/>
    <s v="No"/>
    <s v="No"/>
    <s v="No"/>
    <s v="Yes"/>
    <s v="No"/>
    <s v="No"/>
    <m/>
    <s v="0 Failures"/>
    <n v="0"/>
    <s v="20+ hrs"/>
    <x v="1"/>
  </r>
  <r>
    <n v="2278"/>
    <d v="2024-09-20T00:00:00"/>
    <s v="Basic"/>
    <n v="199"/>
    <n v="6.7"/>
    <n v="3"/>
    <n v="5"/>
    <n v="19"/>
    <n v="59"/>
    <s v="Yes"/>
    <s v="No"/>
    <s v="Yes"/>
    <s v="No"/>
    <s v="Yes"/>
    <s v="No"/>
    <m/>
    <s v="1+ Failures"/>
    <n v="1"/>
    <s v="5-10 hrs"/>
    <x v="1"/>
  </r>
  <r>
    <n v="2279"/>
    <d v="2023-01-21T00:00:00"/>
    <s v="Premium"/>
    <n v="699"/>
    <n v="23.1"/>
    <n v="7"/>
    <n v="4"/>
    <n v="34"/>
    <n v="0"/>
    <s v="Yes"/>
    <s v="No"/>
    <s v="Yes"/>
    <s v="Yes"/>
    <s v="No"/>
    <s v="No"/>
    <m/>
    <s v="1+ Failures"/>
    <n v="1"/>
    <s v="20+ hrs"/>
    <x v="1"/>
  </r>
  <r>
    <n v="2280"/>
    <d v="2023-04-22T00:00:00"/>
    <s v="Standard"/>
    <n v="399"/>
    <n v="10.8"/>
    <n v="5"/>
    <n v="0"/>
    <n v="36"/>
    <n v="30"/>
    <s v="Yes"/>
    <s v="No"/>
    <s v="No"/>
    <s v="Yes"/>
    <s v="Yes"/>
    <s v="No"/>
    <m/>
    <s v="0 Failures"/>
    <n v="1"/>
    <s v="10-20hrs"/>
    <x v="1"/>
  </r>
  <r>
    <n v="2281"/>
    <d v="2024-08-23T00:00:00"/>
    <s v="Premium"/>
    <n v="699"/>
    <n v="18.2"/>
    <n v="6"/>
    <n v="2"/>
    <n v="20"/>
    <n v="44"/>
    <s v="No"/>
    <s v="No"/>
    <s v="Yes"/>
    <s v="Yes"/>
    <s v="Yes"/>
    <s v="No"/>
    <m/>
    <s v="1+ Failures"/>
    <n v="0"/>
    <s v="10-20hrs"/>
    <x v="1"/>
  </r>
  <r>
    <n v="2282"/>
    <d v="2023-07-20T00:00:00"/>
    <s v="Basic"/>
    <n v="199"/>
    <n v="16.899999999999999"/>
    <n v="5"/>
    <n v="0"/>
    <n v="26"/>
    <n v="24"/>
    <s v="Yes"/>
    <s v="No"/>
    <s v="No"/>
    <s v="Yes"/>
    <s v="Yes"/>
    <s v="No"/>
    <m/>
    <s v="0 Failures"/>
    <n v="1"/>
    <s v="10-20hrs"/>
    <x v="1"/>
  </r>
  <r>
    <n v="2283"/>
    <d v="2024-06-29T00:00:00"/>
    <s v="Basic"/>
    <n v="199"/>
    <n v="1.6"/>
    <n v="5"/>
    <n v="2"/>
    <n v="21"/>
    <n v="30"/>
    <s v="Yes"/>
    <s v="Yes"/>
    <s v="Yes"/>
    <s v="Yes"/>
    <s v="Yes"/>
    <s v="No"/>
    <m/>
    <s v="1+ Failures"/>
    <n v="1"/>
    <s v="0-5 hrs"/>
    <x v="1"/>
  </r>
  <r>
    <n v="2284"/>
    <d v="2024-08-01T00:00:00"/>
    <s v="Standard"/>
    <n v="399"/>
    <n v="6.1"/>
    <n v="8"/>
    <n v="0"/>
    <n v="32"/>
    <n v="44"/>
    <s v="Yes"/>
    <s v="No"/>
    <s v="No"/>
    <s v="Yes"/>
    <s v="Yes"/>
    <s v="No"/>
    <m/>
    <s v="0 Failures"/>
    <n v="1"/>
    <s v="5-10 hrs"/>
    <x v="1"/>
  </r>
  <r>
    <n v="2285"/>
    <d v="2023-03-16T00:00:00"/>
    <s v="Basic"/>
    <n v="199"/>
    <n v="10.6"/>
    <n v="0"/>
    <n v="1"/>
    <n v="15"/>
    <n v="29"/>
    <s v="No"/>
    <s v="No"/>
    <s v="Yes"/>
    <s v="No"/>
    <s v="Yes"/>
    <s v="No"/>
    <m/>
    <s v="1+ Failures"/>
    <n v="0"/>
    <s v="10-20hrs"/>
    <x v="1"/>
  </r>
  <r>
    <n v="2286"/>
    <d v="2024-01-15T00:00:00"/>
    <s v="Basic"/>
    <n v="199"/>
    <n v="11.3"/>
    <n v="2"/>
    <n v="1"/>
    <n v="36"/>
    <n v="47"/>
    <s v="Yes"/>
    <s v="No"/>
    <s v="Yes"/>
    <s v="No"/>
    <s v="Yes"/>
    <s v="No"/>
    <m/>
    <s v="1+ Failures"/>
    <n v="1"/>
    <s v="10-20hrs"/>
    <x v="1"/>
  </r>
  <r>
    <n v="2287"/>
    <d v="2024-04-05T00:00:00"/>
    <s v="Basic"/>
    <n v="199"/>
    <n v="6.8"/>
    <n v="6"/>
    <n v="0"/>
    <n v="3"/>
    <n v="17"/>
    <s v="No"/>
    <s v="No"/>
    <s v="No"/>
    <s v="Yes"/>
    <s v="Yes"/>
    <s v="Yes"/>
    <m/>
    <s v="0 Failures"/>
    <n v="0"/>
    <s v="5-10 hrs"/>
    <x v="2"/>
  </r>
  <r>
    <n v="2288"/>
    <d v="2023-09-14T00:00:00"/>
    <s v="Basic"/>
    <n v="199"/>
    <n v="8.8000000000000007"/>
    <n v="3"/>
    <n v="4"/>
    <n v="6"/>
    <n v="7"/>
    <s v="Yes"/>
    <s v="No"/>
    <s v="Yes"/>
    <s v="No"/>
    <s v="No"/>
    <s v="No"/>
    <m/>
    <s v="1+ Failures"/>
    <n v="1"/>
    <s v="5-10 hrs"/>
    <x v="3"/>
  </r>
  <r>
    <n v="2289"/>
    <d v="2024-07-08T00:00:00"/>
    <s v="Premium"/>
    <n v="699"/>
    <n v="18.8"/>
    <n v="3"/>
    <n v="0"/>
    <n v="35"/>
    <n v="30"/>
    <s v="No"/>
    <s v="No"/>
    <s v="No"/>
    <s v="No"/>
    <s v="Yes"/>
    <s v="No"/>
    <m/>
    <s v="0 Failures"/>
    <n v="0"/>
    <s v="10-20hrs"/>
    <x v="1"/>
  </r>
  <r>
    <n v="2290"/>
    <d v="2023-12-05T00:00:00"/>
    <s v="Basic"/>
    <n v="199"/>
    <n v="23.2"/>
    <n v="7"/>
    <n v="1"/>
    <n v="1"/>
    <n v="50"/>
    <s v="Yes"/>
    <s v="No"/>
    <s v="Yes"/>
    <s v="Yes"/>
    <s v="Yes"/>
    <s v="Yes"/>
    <m/>
    <s v="1+ Failures"/>
    <n v="1"/>
    <s v="20+ hrs"/>
    <x v="2"/>
  </r>
  <r>
    <n v="2291"/>
    <d v="2024-12-14T00:00:00"/>
    <s v="Basic"/>
    <n v="199"/>
    <n v="12.8"/>
    <n v="3"/>
    <n v="4"/>
    <n v="6"/>
    <n v="17"/>
    <s v="Yes"/>
    <s v="No"/>
    <s v="Yes"/>
    <s v="No"/>
    <s v="Yes"/>
    <s v="No"/>
    <m/>
    <s v="1+ Failures"/>
    <n v="1"/>
    <s v="10-20hrs"/>
    <x v="3"/>
  </r>
  <r>
    <n v="2292"/>
    <d v="2023-04-10T00:00:00"/>
    <s v="Standard"/>
    <n v="399"/>
    <n v="19"/>
    <n v="8"/>
    <n v="5"/>
    <n v="23"/>
    <n v="10"/>
    <s v="Yes"/>
    <s v="No"/>
    <s v="Yes"/>
    <s v="Yes"/>
    <s v="No"/>
    <s v="No"/>
    <m/>
    <s v="1+ Failures"/>
    <n v="1"/>
    <s v="10-20hrs"/>
    <x v="1"/>
  </r>
  <r>
    <n v="2293"/>
    <d v="2023-02-16T00:00:00"/>
    <s v="Premium"/>
    <n v="699"/>
    <n v="16.8"/>
    <n v="3"/>
    <n v="1"/>
    <n v="2"/>
    <n v="52"/>
    <s v="Yes"/>
    <s v="No"/>
    <s v="Yes"/>
    <s v="No"/>
    <s v="Yes"/>
    <s v="Yes"/>
    <m/>
    <s v="1+ Failures"/>
    <n v="1"/>
    <s v="10-20hrs"/>
    <x v="2"/>
  </r>
  <r>
    <n v="2294"/>
    <d v="2023-03-04T00:00:00"/>
    <s v="Premium"/>
    <n v="699"/>
    <n v="5.3"/>
    <n v="3"/>
    <n v="1"/>
    <n v="12"/>
    <n v="8"/>
    <s v="No"/>
    <s v="No"/>
    <s v="Yes"/>
    <s v="No"/>
    <s v="No"/>
    <s v="No"/>
    <m/>
    <s v="1+ Failures"/>
    <n v="0"/>
    <s v="5-10 hrs"/>
    <x v="0"/>
  </r>
  <r>
    <n v="2295"/>
    <d v="2023-07-29T00:00:00"/>
    <s v="Premium"/>
    <n v="699"/>
    <n v="6"/>
    <n v="2"/>
    <n v="0"/>
    <n v="29"/>
    <n v="7"/>
    <s v="No"/>
    <s v="No"/>
    <s v="No"/>
    <s v="No"/>
    <s v="No"/>
    <s v="No"/>
    <m/>
    <s v="0 Failures"/>
    <n v="0"/>
    <s v="5-10 hrs"/>
    <x v="1"/>
  </r>
  <r>
    <n v="2296"/>
    <d v="2023-06-12T00:00:00"/>
    <s v="Standard"/>
    <n v="399"/>
    <n v="21"/>
    <n v="6"/>
    <n v="1"/>
    <n v="20"/>
    <n v="44"/>
    <s v="Yes"/>
    <s v="No"/>
    <s v="Yes"/>
    <s v="Yes"/>
    <s v="Yes"/>
    <s v="No"/>
    <m/>
    <s v="1+ Failures"/>
    <n v="1"/>
    <s v="20+ hrs"/>
    <x v="1"/>
  </r>
  <r>
    <n v="2297"/>
    <d v="2024-03-06T00:00:00"/>
    <s v="Standard"/>
    <n v="399"/>
    <n v="0.7"/>
    <n v="5"/>
    <n v="0"/>
    <n v="25"/>
    <n v="34"/>
    <s v="Yes"/>
    <s v="Yes"/>
    <s v="No"/>
    <s v="Yes"/>
    <s v="Yes"/>
    <s v="No"/>
    <m/>
    <s v="0 Failures"/>
    <n v="1"/>
    <s v="0-5 hrs"/>
    <x v="1"/>
  </r>
  <r>
    <n v="2298"/>
    <d v="2024-03-21T00:00:00"/>
    <s v="Basic"/>
    <n v="199"/>
    <n v="19.2"/>
    <n v="3"/>
    <n v="0"/>
    <n v="6"/>
    <n v="9"/>
    <s v="No"/>
    <s v="No"/>
    <s v="No"/>
    <s v="No"/>
    <s v="No"/>
    <s v="No"/>
    <m/>
    <s v="0 Failures"/>
    <n v="0"/>
    <s v="10-20hrs"/>
    <x v="3"/>
  </r>
  <r>
    <n v="2299"/>
    <d v="2024-06-27T00:00:00"/>
    <s v="Basic"/>
    <n v="199"/>
    <n v="7"/>
    <n v="8"/>
    <n v="5"/>
    <n v="11"/>
    <n v="35"/>
    <s v="No"/>
    <s v="No"/>
    <s v="Yes"/>
    <s v="Yes"/>
    <s v="Yes"/>
    <s v="No"/>
    <m/>
    <s v="1+ Failures"/>
    <n v="0"/>
    <s v="5-10 hrs"/>
    <x v="0"/>
  </r>
  <r>
    <n v="2300"/>
    <d v="2023-08-09T00:00:00"/>
    <s v="Premium"/>
    <n v="699"/>
    <n v="22.2"/>
    <n v="2"/>
    <n v="4"/>
    <n v="22"/>
    <n v="34"/>
    <s v="No"/>
    <s v="No"/>
    <s v="Yes"/>
    <s v="No"/>
    <s v="Yes"/>
    <s v="No"/>
    <m/>
    <s v="1+ Failures"/>
    <n v="0"/>
    <s v="20+ hrs"/>
    <x v="1"/>
  </r>
  <r>
    <n v="2301"/>
    <d v="2023-08-08T00:00:00"/>
    <s v="Standard"/>
    <n v="399"/>
    <n v="4.7"/>
    <n v="7"/>
    <n v="2"/>
    <n v="28"/>
    <n v="20"/>
    <s v="Yes"/>
    <s v="Yes"/>
    <s v="Yes"/>
    <s v="Yes"/>
    <s v="Yes"/>
    <s v="No"/>
    <m/>
    <s v="1+ Failures"/>
    <n v="1"/>
    <s v="0-5 hrs"/>
    <x v="1"/>
  </r>
  <r>
    <n v="2302"/>
    <d v="2023-04-04T00:00:00"/>
    <s v="Premium"/>
    <n v="699"/>
    <n v="5.3"/>
    <n v="4"/>
    <n v="3"/>
    <n v="2"/>
    <n v="49"/>
    <s v="Yes"/>
    <s v="No"/>
    <s v="Yes"/>
    <s v="No"/>
    <s v="Yes"/>
    <s v="Yes"/>
    <m/>
    <s v="1+ Failures"/>
    <n v="1"/>
    <s v="5-10 hrs"/>
    <x v="2"/>
  </r>
  <r>
    <n v="2303"/>
    <d v="2024-06-30T00:00:00"/>
    <s v="Premium"/>
    <n v="699"/>
    <n v="20"/>
    <n v="2"/>
    <n v="0"/>
    <n v="8"/>
    <n v="14"/>
    <s v="No"/>
    <s v="No"/>
    <s v="No"/>
    <s v="No"/>
    <s v="No"/>
    <s v="No"/>
    <m/>
    <s v="0 Failures"/>
    <n v="0"/>
    <s v="10-20hrs"/>
    <x v="0"/>
  </r>
  <r>
    <n v="2304"/>
    <d v="2023-08-26T00:00:00"/>
    <s v="Basic"/>
    <n v="199"/>
    <n v="12.2"/>
    <n v="2"/>
    <n v="0"/>
    <n v="36"/>
    <n v="33"/>
    <s v="Yes"/>
    <s v="No"/>
    <s v="No"/>
    <s v="No"/>
    <s v="Yes"/>
    <s v="No"/>
    <m/>
    <s v="0 Failures"/>
    <n v="1"/>
    <s v="10-20hrs"/>
    <x v="1"/>
  </r>
  <r>
    <n v="2305"/>
    <d v="2023-09-05T00:00:00"/>
    <s v="Basic"/>
    <n v="199"/>
    <n v="22.7"/>
    <n v="8"/>
    <n v="4"/>
    <n v="16"/>
    <n v="34"/>
    <s v="No"/>
    <s v="No"/>
    <s v="Yes"/>
    <s v="Yes"/>
    <s v="Yes"/>
    <s v="No"/>
    <m/>
    <s v="1+ Failures"/>
    <n v="0"/>
    <s v="20+ hrs"/>
    <x v="1"/>
  </r>
  <r>
    <n v="2306"/>
    <d v="2023-12-07T00:00:00"/>
    <s v="Premium"/>
    <n v="699"/>
    <n v="2.5"/>
    <n v="8"/>
    <n v="4"/>
    <n v="36"/>
    <n v="5"/>
    <s v="Yes"/>
    <s v="Yes"/>
    <s v="Yes"/>
    <s v="Yes"/>
    <s v="No"/>
    <s v="No"/>
    <m/>
    <s v="1+ Failures"/>
    <n v="1"/>
    <s v="0-5 hrs"/>
    <x v="1"/>
  </r>
  <r>
    <n v="2307"/>
    <d v="2023-07-30T00:00:00"/>
    <s v="Premium"/>
    <n v="699"/>
    <n v="20.8"/>
    <n v="0"/>
    <n v="3"/>
    <n v="9"/>
    <n v="31"/>
    <s v="No"/>
    <s v="No"/>
    <s v="Yes"/>
    <s v="No"/>
    <s v="Yes"/>
    <s v="No"/>
    <m/>
    <s v="1+ Failures"/>
    <n v="0"/>
    <s v="20+ hrs"/>
    <x v="0"/>
  </r>
  <r>
    <n v="2308"/>
    <d v="2023-03-15T00:00:00"/>
    <s v="Basic"/>
    <n v="199"/>
    <n v="17.600000000000001"/>
    <n v="1"/>
    <n v="4"/>
    <n v="15"/>
    <n v="9"/>
    <s v="No"/>
    <s v="No"/>
    <s v="Yes"/>
    <s v="No"/>
    <s v="No"/>
    <s v="No"/>
    <m/>
    <s v="1+ Failures"/>
    <n v="0"/>
    <s v="10-20hrs"/>
    <x v="1"/>
  </r>
  <r>
    <n v="2309"/>
    <d v="2023-12-12T00:00:00"/>
    <s v="Standard"/>
    <n v="399"/>
    <n v="2.5"/>
    <n v="5"/>
    <n v="3"/>
    <n v="35"/>
    <n v="10"/>
    <s v="Yes"/>
    <s v="Yes"/>
    <s v="Yes"/>
    <s v="Yes"/>
    <s v="No"/>
    <s v="No"/>
    <m/>
    <s v="1+ Failures"/>
    <n v="1"/>
    <s v="0-5 hrs"/>
    <x v="1"/>
  </r>
  <r>
    <n v="2310"/>
    <d v="2023-02-01T00:00:00"/>
    <s v="Basic"/>
    <n v="199"/>
    <n v="19.3"/>
    <n v="0"/>
    <n v="5"/>
    <n v="3"/>
    <n v="44"/>
    <s v="Yes"/>
    <s v="No"/>
    <s v="Yes"/>
    <s v="No"/>
    <s v="Yes"/>
    <s v="Yes"/>
    <m/>
    <s v="1+ Failures"/>
    <n v="1"/>
    <s v="10-20hrs"/>
    <x v="2"/>
  </r>
  <r>
    <n v="2311"/>
    <d v="2023-04-11T00:00:00"/>
    <s v="Basic"/>
    <n v="199"/>
    <n v="4.5"/>
    <n v="1"/>
    <n v="0"/>
    <n v="21"/>
    <n v="44"/>
    <s v="Yes"/>
    <s v="Yes"/>
    <s v="No"/>
    <s v="No"/>
    <s v="Yes"/>
    <s v="No"/>
    <m/>
    <s v="0 Failures"/>
    <n v="1"/>
    <s v="0-5 hrs"/>
    <x v="1"/>
  </r>
  <r>
    <n v="2312"/>
    <d v="2023-01-27T00:00:00"/>
    <s v="Standard"/>
    <n v="399"/>
    <n v="16.399999999999999"/>
    <n v="0"/>
    <n v="5"/>
    <n v="35"/>
    <n v="47"/>
    <s v="No"/>
    <s v="No"/>
    <s v="Yes"/>
    <s v="No"/>
    <s v="Yes"/>
    <s v="No"/>
    <m/>
    <s v="1+ Failures"/>
    <n v="0"/>
    <s v="10-20hrs"/>
    <x v="1"/>
  </r>
  <r>
    <n v="2313"/>
    <d v="2024-05-31T00:00:00"/>
    <s v="Premium"/>
    <n v="699"/>
    <n v="24.7"/>
    <n v="5"/>
    <n v="3"/>
    <n v="10"/>
    <n v="43"/>
    <s v="Yes"/>
    <s v="No"/>
    <s v="Yes"/>
    <s v="Yes"/>
    <s v="Yes"/>
    <s v="No"/>
    <m/>
    <s v="1+ Failures"/>
    <n v="1"/>
    <s v="20+ hrs"/>
    <x v="0"/>
  </r>
  <r>
    <n v="2314"/>
    <d v="2023-06-01T00:00:00"/>
    <s v="Premium"/>
    <n v="699"/>
    <n v="18.899999999999999"/>
    <n v="4"/>
    <n v="1"/>
    <n v="19"/>
    <n v="5"/>
    <s v="No"/>
    <s v="No"/>
    <s v="Yes"/>
    <s v="No"/>
    <s v="No"/>
    <s v="No"/>
    <m/>
    <s v="1+ Failures"/>
    <n v="0"/>
    <s v="10-20hrs"/>
    <x v="1"/>
  </r>
  <r>
    <n v="2315"/>
    <d v="2023-06-04T00:00:00"/>
    <s v="Premium"/>
    <n v="699"/>
    <n v="12.2"/>
    <n v="7"/>
    <n v="4"/>
    <n v="35"/>
    <n v="58"/>
    <s v="No"/>
    <s v="No"/>
    <s v="Yes"/>
    <s v="Yes"/>
    <s v="Yes"/>
    <s v="No"/>
    <m/>
    <s v="1+ Failures"/>
    <n v="0"/>
    <s v="10-20hrs"/>
    <x v="1"/>
  </r>
  <r>
    <n v="2316"/>
    <d v="2024-06-03T00:00:00"/>
    <s v="Basic"/>
    <n v="199"/>
    <n v="12.8"/>
    <n v="0"/>
    <n v="2"/>
    <n v="19"/>
    <n v="24"/>
    <s v="Yes"/>
    <s v="No"/>
    <s v="Yes"/>
    <s v="No"/>
    <s v="Yes"/>
    <s v="No"/>
    <m/>
    <s v="1+ Failures"/>
    <n v="1"/>
    <s v="10-20hrs"/>
    <x v="1"/>
  </r>
  <r>
    <n v="2317"/>
    <d v="2023-09-09T00:00:00"/>
    <s v="Standard"/>
    <n v="399"/>
    <n v="1.1000000000000001"/>
    <n v="0"/>
    <n v="0"/>
    <n v="30"/>
    <n v="42"/>
    <s v="Yes"/>
    <s v="Yes"/>
    <s v="No"/>
    <s v="No"/>
    <s v="Yes"/>
    <s v="No"/>
    <m/>
    <s v="0 Failures"/>
    <n v="1"/>
    <s v="0-5 hrs"/>
    <x v="1"/>
  </r>
  <r>
    <n v="2318"/>
    <d v="2024-06-26T00:00:00"/>
    <s v="Standard"/>
    <n v="399"/>
    <n v="16.100000000000001"/>
    <n v="1"/>
    <n v="2"/>
    <n v="23"/>
    <n v="46"/>
    <s v="Yes"/>
    <s v="No"/>
    <s v="Yes"/>
    <s v="No"/>
    <s v="Yes"/>
    <s v="No"/>
    <m/>
    <s v="1+ Failures"/>
    <n v="1"/>
    <s v="10-20hrs"/>
    <x v="1"/>
  </r>
  <r>
    <n v="2319"/>
    <d v="2023-10-03T00:00:00"/>
    <s v="Basic"/>
    <n v="199"/>
    <n v="9.8000000000000007"/>
    <n v="1"/>
    <n v="1"/>
    <n v="26"/>
    <n v="26"/>
    <s v="Yes"/>
    <s v="No"/>
    <s v="Yes"/>
    <s v="No"/>
    <s v="Yes"/>
    <s v="No"/>
    <m/>
    <s v="1+ Failures"/>
    <n v="1"/>
    <s v="5-10 hrs"/>
    <x v="1"/>
  </r>
  <r>
    <n v="2320"/>
    <d v="2023-06-24T00:00:00"/>
    <s v="Premium"/>
    <n v="699"/>
    <n v="24.8"/>
    <n v="5"/>
    <n v="5"/>
    <n v="15"/>
    <n v="3"/>
    <s v="Yes"/>
    <s v="No"/>
    <s v="Yes"/>
    <s v="Yes"/>
    <s v="No"/>
    <s v="No"/>
    <m/>
    <s v="1+ Failures"/>
    <n v="1"/>
    <s v="20+ hrs"/>
    <x v="1"/>
  </r>
  <r>
    <n v="2321"/>
    <d v="2023-02-24T00:00:00"/>
    <s v="Premium"/>
    <n v="699"/>
    <n v="18.399999999999999"/>
    <n v="8"/>
    <n v="5"/>
    <n v="25"/>
    <n v="2"/>
    <s v="No"/>
    <s v="No"/>
    <s v="Yes"/>
    <s v="Yes"/>
    <s v="No"/>
    <s v="No"/>
    <m/>
    <s v="1+ Failures"/>
    <n v="0"/>
    <s v="10-20hrs"/>
    <x v="1"/>
  </r>
  <r>
    <n v="2322"/>
    <d v="2023-01-18T00:00:00"/>
    <s v="Standard"/>
    <n v="399"/>
    <n v="6.4"/>
    <n v="8"/>
    <n v="3"/>
    <n v="14"/>
    <n v="39"/>
    <s v="Yes"/>
    <s v="No"/>
    <s v="Yes"/>
    <s v="Yes"/>
    <s v="Yes"/>
    <s v="No"/>
    <m/>
    <s v="1+ Failures"/>
    <n v="1"/>
    <s v="5-10 hrs"/>
    <x v="1"/>
  </r>
  <r>
    <n v="2323"/>
    <d v="2023-05-06T00:00:00"/>
    <s v="Premium"/>
    <n v="699"/>
    <n v="5"/>
    <n v="1"/>
    <n v="0"/>
    <n v="34"/>
    <n v="17"/>
    <s v="No"/>
    <s v="No"/>
    <s v="No"/>
    <s v="No"/>
    <s v="Yes"/>
    <s v="No"/>
    <m/>
    <s v="0 Failures"/>
    <n v="0"/>
    <s v="0-5 hrs"/>
    <x v="1"/>
  </r>
  <r>
    <n v="2324"/>
    <d v="2023-01-06T00:00:00"/>
    <s v="Standard"/>
    <n v="399"/>
    <n v="21"/>
    <n v="1"/>
    <n v="4"/>
    <n v="17"/>
    <n v="58"/>
    <s v="Yes"/>
    <s v="No"/>
    <s v="Yes"/>
    <s v="No"/>
    <s v="Yes"/>
    <s v="No"/>
    <m/>
    <s v="1+ Failures"/>
    <n v="1"/>
    <s v="20+ hrs"/>
    <x v="1"/>
  </r>
  <r>
    <n v="2325"/>
    <d v="2023-09-12T00:00:00"/>
    <s v="Standard"/>
    <n v="399"/>
    <n v="24.1"/>
    <n v="2"/>
    <n v="4"/>
    <n v="17"/>
    <n v="60"/>
    <s v="Yes"/>
    <s v="No"/>
    <s v="Yes"/>
    <s v="No"/>
    <s v="Yes"/>
    <s v="No"/>
    <m/>
    <s v="1+ Failures"/>
    <n v="1"/>
    <s v="20+ hrs"/>
    <x v="1"/>
  </r>
  <r>
    <n v="2326"/>
    <d v="2023-10-02T00:00:00"/>
    <s v="Premium"/>
    <n v="699"/>
    <n v="9.8000000000000007"/>
    <n v="3"/>
    <n v="4"/>
    <n v="13"/>
    <n v="41"/>
    <s v="Yes"/>
    <s v="No"/>
    <s v="Yes"/>
    <s v="No"/>
    <s v="Yes"/>
    <s v="No"/>
    <m/>
    <s v="1+ Failures"/>
    <n v="1"/>
    <s v="5-10 hrs"/>
    <x v="1"/>
  </r>
  <r>
    <n v="2327"/>
    <d v="2023-10-30T00:00:00"/>
    <s v="Basic"/>
    <n v="199"/>
    <n v="17"/>
    <n v="2"/>
    <n v="5"/>
    <n v="10"/>
    <n v="25"/>
    <s v="No"/>
    <s v="No"/>
    <s v="Yes"/>
    <s v="No"/>
    <s v="Yes"/>
    <s v="No"/>
    <m/>
    <s v="1+ Failures"/>
    <n v="0"/>
    <s v="10-20hrs"/>
    <x v="0"/>
  </r>
  <r>
    <n v="2328"/>
    <d v="2023-09-06T00:00:00"/>
    <s v="Premium"/>
    <n v="699"/>
    <n v="13.3"/>
    <n v="4"/>
    <n v="3"/>
    <n v="11"/>
    <n v="19"/>
    <s v="Yes"/>
    <s v="No"/>
    <s v="Yes"/>
    <s v="No"/>
    <s v="Yes"/>
    <s v="No"/>
    <m/>
    <s v="1+ Failures"/>
    <n v="1"/>
    <s v="10-20hrs"/>
    <x v="0"/>
  </r>
  <r>
    <n v="2329"/>
    <d v="2023-09-15T00:00:00"/>
    <s v="Standard"/>
    <n v="399"/>
    <n v="9.5"/>
    <n v="8"/>
    <n v="3"/>
    <n v="9"/>
    <n v="13"/>
    <s v="Yes"/>
    <s v="No"/>
    <s v="Yes"/>
    <s v="Yes"/>
    <s v="No"/>
    <s v="No"/>
    <m/>
    <s v="1+ Failures"/>
    <n v="1"/>
    <s v="5-10 hrs"/>
    <x v="0"/>
  </r>
  <r>
    <n v="2330"/>
    <d v="2024-02-04T00:00:00"/>
    <s v="Basic"/>
    <n v="199"/>
    <n v="21.9"/>
    <n v="6"/>
    <n v="2"/>
    <n v="30"/>
    <n v="60"/>
    <s v="No"/>
    <s v="No"/>
    <s v="Yes"/>
    <s v="Yes"/>
    <s v="Yes"/>
    <s v="No"/>
    <m/>
    <s v="1+ Failures"/>
    <n v="0"/>
    <s v="20+ hrs"/>
    <x v="1"/>
  </r>
  <r>
    <n v="2331"/>
    <d v="2023-07-11T00:00:00"/>
    <s v="Basic"/>
    <n v="199"/>
    <n v="23.7"/>
    <n v="5"/>
    <n v="2"/>
    <n v="23"/>
    <n v="55"/>
    <s v="No"/>
    <s v="No"/>
    <s v="Yes"/>
    <s v="Yes"/>
    <s v="Yes"/>
    <s v="No"/>
    <m/>
    <s v="1+ Failures"/>
    <n v="0"/>
    <s v="20+ hrs"/>
    <x v="1"/>
  </r>
  <r>
    <n v="2332"/>
    <d v="2023-10-28T00:00:00"/>
    <s v="Standard"/>
    <n v="399"/>
    <n v="18.2"/>
    <n v="5"/>
    <n v="2"/>
    <n v="15"/>
    <n v="34"/>
    <s v="Yes"/>
    <s v="No"/>
    <s v="Yes"/>
    <s v="Yes"/>
    <s v="Yes"/>
    <s v="No"/>
    <m/>
    <s v="1+ Failures"/>
    <n v="1"/>
    <s v="10-20hrs"/>
    <x v="1"/>
  </r>
  <r>
    <n v="2333"/>
    <d v="2023-10-14T00:00:00"/>
    <s v="Basic"/>
    <n v="199"/>
    <n v="16.899999999999999"/>
    <n v="7"/>
    <n v="3"/>
    <n v="2"/>
    <n v="19"/>
    <s v="Yes"/>
    <s v="No"/>
    <s v="Yes"/>
    <s v="Yes"/>
    <s v="Yes"/>
    <s v="Yes"/>
    <m/>
    <s v="1+ Failures"/>
    <n v="1"/>
    <s v="10-20hrs"/>
    <x v="2"/>
  </r>
  <r>
    <n v="2334"/>
    <d v="2023-08-20T00:00:00"/>
    <s v="Standard"/>
    <n v="399"/>
    <n v="14.6"/>
    <n v="8"/>
    <n v="4"/>
    <n v="33"/>
    <n v="58"/>
    <s v="No"/>
    <s v="No"/>
    <s v="Yes"/>
    <s v="Yes"/>
    <s v="Yes"/>
    <s v="No"/>
    <m/>
    <s v="1+ Failures"/>
    <n v="0"/>
    <s v="10-20hrs"/>
    <x v="1"/>
  </r>
  <r>
    <n v="2335"/>
    <d v="2023-10-10T00:00:00"/>
    <s v="Premium"/>
    <n v="699"/>
    <n v="9.5"/>
    <n v="8"/>
    <n v="5"/>
    <n v="7"/>
    <n v="32"/>
    <s v="Yes"/>
    <s v="No"/>
    <s v="Yes"/>
    <s v="Yes"/>
    <s v="Yes"/>
    <s v="No"/>
    <m/>
    <s v="1+ Failures"/>
    <n v="1"/>
    <s v="5-10 hrs"/>
    <x v="0"/>
  </r>
  <r>
    <n v="2336"/>
    <d v="2023-10-24T00:00:00"/>
    <s v="Standard"/>
    <n v="399"/>
    <n v="11.9"/>
    <n v="0"/>
    <n v="5"/>
    <n v="9"/>
    <n v="44"/>
    <s v="Yes"/>
    <s v="No"/>
    <s v="Yes"/>
    <s v="No"/>
    <s v="Yes"/>
    <s v="No"/>
    <m/>
    <s v="1+ Failures"/>
    <n v="1"/>
    <s v="10-20hrs"/>
    <x v="0"/>
  </r>
  <r>
    <n v="2337"/>
    <d v="2023-08-02T00:00:00"/>
    <s v="Premium"/>
    <n v="699"/>
    <n v="24.8"/>
    <n v="4"/>
    <n v="1"/>
    <n v="4"/>
    <n v="13"/>
    <s v="No"/>
    <s v="No"/>
    <s v="Yes"/>
    <s v="No"/>
    <s v="No"/>
    <s v="Yes"/>
    <m/>
    <s v="1+ Failures"/>
    <n v="0"/>
    <s v="20+ hrs"/>
    <x v="3"/>
  </r>
  <r>
    <n v="2338"/>
    <d v="2023-05-06T00:00:00"/>
    <s v="Standard"/>
    <n v="399"/>
    <n v="20.8"/>
    <n v="4"/>
    <n v="4"/>
    <n v="13"/>
    <n v="20"/>
    <s v="No"/>
    <s v="No"/>
    <s v="Yes"/>
    <s v="No"/>
    <s v="Yes"/>
    <s v="No"/>
    <m/>
    <s v="1+ Failures"/>
    <n v="0"/>
    <s v="20+ hrs"/>
    <x v="1"/>
  </r>
  <r>
    <n v="2339"/>
    <d v="2024-04-10T00:00:00"/>
    <s v="Standard"/>
    <n v="399"/>
    <n v="20.3"/>
    <n v="1"/>
    <n v="0"/>
    <n v="15"/>
    <n v="6"/>
    <s v="No"/>
    <s v="No"/>
    <s v="No"/>
    <s v="No"/>
    <s v="No"/>
    <s v="No"/>
    <m/>
    <s v="0 Failures"/>
    <n v="0"/>
    <s v="20+ hrs"/>
    <x v="1"/>
  </r>
  <r>
    <n v="2340"/>
    <d v="2023-07-23T00:00:00"/>
    <s v="Premium"/>
    <n v="699"/>
    <n v="18.2"/>
    <n v="1"/>
    <n v="4"/>
    <n v="30"/>
    <n v="3"/>
    <s v="No"/>
    <s v="No"/>
    <s v="Yes"/>
    <s v="No"/>
    <s v="No"/>
    <s v="No"/>
    <m/>
    <s v="1+ Failures"/>
    <n v="0"/>
    <s v="10-20hrs"/>
    <x v="1"/>
  </r>
  <r>
    <n v="2341"/>
    <d v="2024-10-21T00:00:00"/>
    <s v="Basic"/>
    <n v="199"/>
    <n v="16"/>
    <n v="3"/>
    <n v="3"/>
    <n v="6"/>
    <n v="13"/>
    <s v="Yes"/>
    <s v="No"/>
    <s v="Yes"/>
    <s v="No"/>
    <s v="No"/>
    <s v="No"/>
    <m/>
    <s v="1+ Failures"/>
    <n v="1"/>
    <s v="10-20hrs"/>
    <x v="3"/>
  </r>
  <r>
    <n v="2342"/>
    <d v="2023-03-27T00:00:00"/>
    <s v="Standard"/>
    <n v="399"/>
    <n v="1.5"/>
    <n v="6"/>
    <n v="0"/>
    <n v="15"/>
    <n v="46"/>
    <s v="Yes"/>
    <s v="Yes"/>
    <s v="No"/>
    <s v="Yes"/>
    <s v="Yes"/>
    <s v="No"/>
    <m/>
    <s v="0 Failures"/>
    <n v="1"/>
    <s v="0-5 hrs"/>
    <x v="1"/>
  </r>
  <r>
    <n v="2343"/>
    <d v="2024-05-27T00:00:00"/>
    <s v="Premium"/>
    <n v="699"/>
    <n v="12.7"/>
    <n v="5"/>
    <n v="3"/>
    <n v="33"/>
    <n v="6"/>
    <s v="Yes"/>
    <s v="No"/>
    <s v="Yes"/>
    <s v="Yes"/>
    <s v="No"/>
    <s v="No"/>
    <m/>
    <s v="1+ Failures"/>
    <n v="1"/>
    <s v="10-20hrs"/>
    <x v="1"/>
  </r>
  <r>
    <n v="2344"/>
    <d v="2023-08-02T00:00:00"/>
    <s v="Standard"/>
    <n v="399"/>
    <n v="18.100000000000001"/>
    <n v="8"/>
    <n v="0"/>
    <n v="36"/>
    <n v="0"/>
    <s v="No"/>
    <s v="No"/>
    <s v="No"/>
    <s v="Yes"/>
    <s v="No"/>
    <s v="No"/>
    <m/>
    <s v="0 Failures"/>
    <n v="0"/>
    <s v="10-20hrs"/>
    <x v="1"/>
  </r>
  <r>
    <n v="2345"/>
    <d v="2024-09-03T00:00:00"/>
    <s v="Basic"/>
    <n v="199"/>
    <n v="14.9"/>
    <n v="5"/>
    <n v="3"/>
    <n v="2"/>
    <n v="7"/>
    <s v="No"/>
    <s v="No"/>
    <s v="Yes"/>
    <s v="Yes"/>
    <s v="No"/>
    <s v="Yes"/>
    <m/>
    <s v="1+ Failures"/>
    <n v="0"/>
    <s v="10-20hrs"/>
    <x v="2"/>
  </r>
  <r>
    <n v="2346"/>
    <d v="2024-05-24T00:00:00"/>
    <s v="Premium"/>
    <n v="699"/>
    <n v="6.5"/>
    <n v="6"/>
    <n v="2"/>
    <n v="1"/>
    <n v="30"/>
    <s v="Yes"/>
    <s v="No"/>
    <s v="Yes"/>
    <s v="Yes"/>
    <s v="Yes"/>
    <s v="Yes"/>
    <m/>
    <s v="1+ Failures"/>
    <n v="1"/>
    <s v="5-10 hrs"/>
    <x v="2"/>
  </r>
  <r>
    <n v="2347"/>
    <d v="2023-01-04T00:00:00"/>
    <s v="Standard"/>
    <n v="399"/>
    <n v="20.7"/>
    <n v="1"/>
    <n v="5"/>
    <n v="19"/>
    <n v="58"/>
    <s v="Yes"/>
    <s v="No"/>
    <s v="Yes"/>
    <s v="No"/>
    <s v="Yes"/>
    <s v="No"/>
    <m/>
    <s v="1+ Failures"/>
    <n v="1"/>
    <s v="20+ hrs"/>
    <x v="1"/>
  </r>
  <r>
    <n v="2348"/>
    <d v="2023-11-15T00:00:00"/>
    <s v="Premium"/>
    <n v="699"/>
    <n v="10.1"/>
    <n v="5"/>
    <n v="1"/>
    <n v="14"/>
    <n v="56"/>
    <s v="Yes"/>
    <s v="No"/>
    <s v="Yes"/>
    <s v="Yes"/>
    <s v="Yes"/>
    <s v="No"/>
    <m/>
    <s v="1+ Failures"/>
    <n v="1"/>
    <s v="10-20hrs"/>
    <x v="1"/>
  </r>
  <r>
    <n v="2349"/>
    <d v="2023-04-22T00:00:00"/>
    <s v="Premium"/>
    <n v="699"/>
    <n v="20.3"/>
    <n v="8"/>
    <n v="5"/>
    <n v="5"/>
    <n v="49"/>
    <s v="Yes"/>
    <s v="No"/>
    <s v="Yes"/>
    <s v="Yes"/>
    <s v="Yes"/>
    <s v="Yes"/>
    <m/>
    <s v="1+ Failures"/>
    <n v="1"/>
    <s v="20+ hrs"/>
    <x v="3"/>
  </r>
  <r>
    <n v="2350"/>
    <d v="2023-01-28T00:00:00"/>
    <s v="Premium"/>
    <n v="699"/>
    <n v="6"/>
    <n v="6"/>
    <n v="4"/>
    <n v="19"/>
    <n v="30"/>
    <s v="Yes"/>
    <s v="No"/>
    <s v="Yes"/>
    <s v="Yes"/>
    <s v="Yes"/>
    <s v="No"/>
    <m/>
    <s v="1+ Failures"/>
    <n v="1"/>
    <s v="5-10 hrs"/>
    <x v="1"/>
  </r>
  <r>
    <n v="2351"/>
    <d v="2023-06-11T00:00:00"/>
    <s v="Premium"/>
    <n v="699"/>
    <n v="19"/>
    <n v="6"/>
    <n v="1"/>
    <n v="9"/>
    <n v="10"/>
    <s v="No"/>
    <s v="No"/>
    <s v="Yes"/>
    <s v="Yes"/>
    <s v="No"/>
    <s v="No"/>
    <m/>
    <s v="1+ Failures"/>
    <n v="0"/>
    <s v="10-20hrs"/>
    <x v="0"/>
  </r>
  <r>
    <n v="2352"/>
    <d v="2024-03-04T00:00:00"/>
    <s v="Basic"/>
    <n v="199"/>
    <n v="4.0999999999999996"/>
    <n v="3"/>
    <n v="3"/>
    <n v="33"/>
    <n v="17"/>
    <s v="Yes"/>
    <s v="Yes"/>
    <s v="Yes"/>
    <s v="No"/>
    <s v="Yes"/>
    <s v="No"/>
    <m/>
    <s v="1+ Failures"/>
    <n v="1"/>
    <s v="0-5 hrs"/>
    <x v="1"/>
  </r>
  <r>
    <n v="2353"/>
    <d v="2023-10-29T00:00:00"/>
    <s v="Basic"/>
    <n v="199"/>
    <n v="6.8"/>
    <n v="0"/>
    <n v="5"/>
    <n v="6"/>
    <n v="47"/>
    <s v="No"/>
    <s v="No"/>
    <s v="Yes"/>
    <s v="No"/>
    <s v="Yes"/>
    <s v="No"/>
    <m/>
    <s v="1+ Failures"/>
    <n v="0"/>
    <s v="5-10 hrs"/>
    <x v="3"/>
  </r>
  <r>
    <n v="2354"/>
    <d v="2023-12-12T00:00:00"/>
    <s v="Basic"/>
    <n v="199"/>
    <n v="13.6"/>
    <n v="0"/>
    <n v="2"/>
    <n v="34"/>
    <n v="40"/>
    <s v="Yes"/>
    <s v="No"/>
    <s v="Yes"/>
    <s v="No"/>
    <s v="Yes"/>
    <s v="No"/>
    <m/>
    <s v="1+ Failures"/>
    <n v="1"/>
    <s v="10-20hrs"/>
    <x v="1"/>
  </r>
  <r>
    <n v="2355"/>
    <d v="2024-06-15T00:00:00"/>
    <s v="Basic"/>
    <n v="199"/>
    <n v="23.4"/>
    <n v="6"/>
    <n v="3"/>
    <n v="32"/>
    <n v="50"/>
    <s v="Yes"/>
    <s v="No"/>
    <s v="Yes"/>
    <s v="Yes"/>
    <s v="Yes"/>
    <s v="No"/>
    <m/>
    <s v="1+ Failures"/>
    <n v="1"/>
    <s v="20+ hrs"/>
    <x v="1"/>
  </r>
  <r>
    <n v="2356"/>
    <d v="2023-02-13T00:00:00"/>
    <s v="Premium"/>
    <n v="699"/>
    <n v="3.4"/>
    <n v="2"/>
    <n v="3"/>
    <n v="7"/>
    <n v="49"/>
    <s v="Yes"/>
    <s v="Yes"/>
    <s v="Yes"/>
    <s v="No"/>
    <s v="Yes"/>
    <s v="No"/>
    <m/>
    <s v="1+ Failures"/>
    <n v="1"/>
    <s v="0-5 hrs"/>
    <x v="0"/>
  </r>
  <r>
    <n v="2357"/>
    <d v="2024-09-14T00:00:00"/>
    <s v="Basic"/>
    <n v="199"/>
    <n v="13.2"/>
    <n v="3"/>
    <n v="2"/>
    <n v="4"/>
    <n v="24"/>
    <s v="Yes"/>
    <s v="No"/>
    <s v="Yes"/>
    <s v="No"/>
    <s v="Yes"/>
    <s v="Yes"/>
    <m/>
    <s v="1+ Failures"/>
    <n v="1"/>
    <s v="10-20hrs"/>
    <x v="3"/>
  </r>
  <r>
    <n v="2358"/>
    <d v="2023-08-06T00:00:00"/>
    <s v="Basic"/>
    <n v="199"/>
    <n v="10"/>
    <n v="7"/>
    <n v="0"/>
    <n v="2"/>
    <n v="20"/>
    <s v="No"/>
    <s v="No"/>
    <s v="No"/>
    <s v="Yes"/>
    <s v="Yes"/>
    <s v="Yes"/>
    <m/>
    <s v="0 Failures"/>
    <n v="0"/>
    <s v="5-10 hrs"/>
    <x v="2"/>
  </r>
  <r>
    <n v="2359"/>
    <d v="2024-03-16T00:00:00"/>
    <s v="Basic"/>
    <n v="199"/>
    <n v="19.3"/>
    <n v="4"/>
    <n v="2"/>
    <n v="12"/>
    <n v="22"/>
    <s v="Yes"/>
    <s v="No"/>
    <s v="Yes"/>
    <s v="No"/>
    <s v="Yes"/>
    <s v="No"/>
    <m/>
    <s v="1+ Failures"/>
    <n v="1"/>
    <s v="10-20hrs"/>
    <x v="0"/>
  </r>
  <r>
    <n v="2360"/>
    <d v="2024-03-10T00:00:00"/>
    <s v="Premium"/>
    <n v="699"/>
    <n v="5"/>
    <n v="1"/>
    <n v="3"/>
    <n v="36"/>
    <n v="40"/>
    <s v="No"/>
    <s v="No"/>
    <s v="Yes"/>
    <s v="No"/>
    <s v="Yes"/>
    <s v="No"/>
    <m/>
    <s v="1+ Failures"/>
    <n v="0"/>
    <s v="0-5 hrs"/>
    <x v="1"/>
  </r>
  <r>
    <n v="2361"/>
    <d v="2023-02-11T00:00:00"/>
    <s v="Premium"/>
    <n v="699"/>
    <n v="15.7"/>
    <n v="8"/>
    <n v="2"/>
    <n v="10"/>
    <n v="18"/>
    <s v="No"/>
    <s v="No"/>
    <s v="Yes"/>
    <s v="Yes"/>
    <s v="Yes"/>
    <s v="No"/>
    <m/>
    <s v="1+ Failures"/>
    <n v="0"/>
    <s v="10-20hrs"/>
    <x v="0"/>
  </r>
  <r>
    <n v="2362"/>
    <d v="2024-04-03T00:00:00"/>
    <s v="Basic"/>
    <n v="199"/>
    <n v="7.9"/>
    <n v="8"/>
    <n v="0"/>
    <n v="16"/>
    <n v="50"/>
    <s v="No"/>
    <s v="No"/>
    <s v="No"/>
    <s v="Yes"/>
    <s v="Yes"/>
    <s v="No"/>
    <m/>
    <s v="0 Failures"/>
    <n v="0"/>
    <s v="5-10 hrs"/>
    <x v="1"/>
  </r>
  <r>
    <n v="2363"/>
    <d v="2024-06-25T00:00:00"/>
    <s v="Basic"/>
    <n v="199"/>
    <n v="7.8"/>
    <n v="7"/>
    <n v="5"/>
    <n v="22"/>
    <n v="58"/>
    <s v="Yes"/>
    <s v="No"/>
    <s v="Yes"/>
    <s v="Yes"/>
    <s v="Yes"/>
    <s v="No"/>
    <m/>
    <s v="1+ Failures"/>
    <n v="1"/>
    <s v="5-10 hrs"/>
    <x v="1"/>
  </r>
  <r>
    <n v="2364"/>
    <d v="2023-05-08T00:00:00"/>
    <s v="Basic"/>
    <n v="199"/>
    <n v="1.6"/>
    <n v="3"/>
    <n v="5"/>
    <n v="27"/>
    <n v="23"/>
    <s v="Yes"/>
    <s v="Yes"/>
    <s v="Yes"/>
    <s v="No"/>
    <s v="Yes"/>
    <s v="No"/>
    <m/>
    <s v="1+ Failures"/>
    <n v="1"/>
    <s v="0-5 hrs"/>
    <x v="1"/>
  </r>
  <r>
    <n v="2365"/>
    <d v="2023-02-18T00:00:00"/>
    <s v="Basic"/>
    <n v="199"/>
    <n v="16.8"/>
    <n v="7"/>
    <n v="5"/>
    <n v="7"/>
    <n v="44"/>
    <s v="Yes"/>
    <s v="No"/>
    <s v="Yes"/>
    <s v="Yes"/>
    <s v="Yes"/>
    <s v="No"/>
    <m/>
    <s v="1+ Failures"/>
    <n v="1"/>
    <s v="10-20hrs"/>
    <x v="0"/>
  </r>
  <r>
    <n v="2366"/>
    <d v="2023-01-17T00:00:00"/>
    <s v="Premium"/>
    <n v="699"/>
    <n v="24.8"/>
    <n v="1"/>
    <n v="2"/>
    <n v="24"/>
    <n v="18"/>
    <s v="No"/>
    <s v="No"/>
    <s v="Yes"/>
    <s v="No"/>
    <s v="Yes"/>
    <s v="No"/>
    <m/>
    <s v="1+ Failures"/>
    <n v="0"/>
    <s v="20+ hrs"/>
    <x v="1"/>
  </r>
  <r>
    <n v="2367"/>
    <d v="2024-08-09T00:00:00"/>
    <s v="Premium"/>
    <n v="699"/>
    <n v="24.8"/>
    <n v="2"/>
    <n v="3"/>
    <n v="29"/>
    <n v="48"/>
    <s v="Yes"/>
    <s v="No"/>
    <s v="Yes"/>
    <s v="No"/>
    <s v="Yes"/>
    <s v="No"/>
    <m/>
    <s v="1+ Failures"/>
    <n v="1"/>
    <s v="20+ hrs"/>
    <x v="1"/>
  </r>
  <r>
    <n v="2368"/>
    <d v="2024-10-19T00:00:00"/>
    <s v="Premium"/>
    <n v="699"/>
    <n v="19.3"/>
    <n v="6"/>
    <n v="5"/>
    <n v="27"/>
    <n v="18"/>
    <s v="No"/>
    <s v="No"/>
    <s v="Yes"/>
    <s v="Yes"/>
    <s v="Yes"/>
    <s v="No"/>
    <m/>
    <s v="1+ Failures"/>
    <n v="0"/>
    <s v="10-20hrs"/>
    <x v="1"/>
  </r>
  <r>
    <n v="2369"/>
    <d v="2024-01-10T00:00:00"/>
    <s v="Premium"/>
    <n v="699"/>
    <n v="2.7"/>
    <n v="8"/>
    <n v="2"/>
    <n v="30"/>
    <n v="9"/>
    <s v="Yes"/>
    <s v="Yes"/>
    <s v="Yes"/>
    <s v="Yes"/>
    <s v="No"/>
    <s v="No"/>
    <m/>
    <s v="1+ Failures"/>
    <n v="1"/>
    <s v="0-5 hrs"/>
    <x v="1"/>
  </r>
  <r>
    <n v="2370"/>
    <d v="2023-10-29T00:00:00"/>
    <s v="Premium"/>
    <n v="699"/>
    <n v="16.100000000000001"/>
    <n v="3"/>
    <n v="1"/>
    <n v="25"/>
    <n v="21"/>
    <s v="No"/>
    <s v="No"/>
    <s v="Yes"/>
    <s v="No"/>
    <s v="Yes"/>
    <s v="No"/>
    <m/>
    <s v="1+ Failures"/>
    <n v="0"/>
    <s v="10-20hrs"/>
    <x v="1"/>
  </r>
  <r>
    <n v="2371"/>
    <d v="2023-07-09T00:00:00"/>
    <s v="Basic"/>
    <n v="199"/>
    <n v="22.2"/>
    <n v="3"/>
    <n v="1"/>
    <n v="33"/>
    <n v="56"/>
    <s v="Yes"/>
    <s v="No"/>
    <s v="Yes"/>
    <s v="No"/>
    <s v="Yes"/>
    <s v="No"/>
    <m/>
    <s v="1+ Failures"/>
    <n v="1"/>
    <s v="20+ hrs"/>
    <x v="1"/>
  </r>
  <r>
    <n v="2372"/>
    <d v="2023-02-26T00:00:00"/>
    <s v="Basic"/>
    <n v="199"/>
    <n v="19.600000000000001"/>
    <n v="6"/>
    <n v="3"/>
    <n v="19"/>
    <n v="36"/>
    <s v="Yes"/>
    <s v="No"/>
    <s v="Yes"/>
    <s v="Yes"/>
    <s v="Yes"/>
    <s v="No"/>
    <m/>
    <s v="1+ Failures"/>
    <n v="1"/>
    <s v="10-20hrs"/>
    <x v="1"/>
  </r>
  <r>
    <n v="2373"/>
    <d v="2024-04-13T00:00:00"/>
    <s v="Standard"/>
    <n v="399"/>
    <n v="24.8"/>
    <n v="7"/>
    <n v="1"/>
    <n v="2"/>
    <n v="25"/>
    <s v="No"/>
    <s v="No"/>
    <s v="Yes"/>
    <s v="Yes"/>
    <s v="Yes"/>
    <s v="Yes"/>
    <m/>
    <s v="1+ Failures"/>
    <n v="0"/>
    <s v="20+ hrs"/>
    <x v="2"/>
  </r>
  <r>
    <n v="2374"/>
    <d v="2023-08-22T00:00:00"/>
    <s v="Standard"/>
    <n v="399"/>
    <n v="16.2"/>
    <n v="2"/>
    <n v="5"/>
    <n v="2"/>
    <n v="13"/>
    <s v="Yes"/>
    <s v="No"/>
    <s v="Yes"/>
    <s v="No"/>
    <s v="No"/>
    <s v="Yes"/>
    <m/>
    <s v="1+ Failures"/>
    <n v="1"/>
    <s v="10-20hrs"/>
    <x v="2"/>
  </r>
  <r>
    <n v="2375"/>
    <d v="2024-06-16T00:00:00"/>
    <s v="Premium"/>
    <n v="699"/>
    <n v="8.5"/>
    <n v="5"/>
    <n v="5"/>
    <n v="15"/>
    <n v="15"/>
    <s v="No"/>
    <s v="No"/>
    <s v="Yes"/>
    <s v="Yes"/>
    <s v="Yes"/>
    <s v="No"/>
    <m/>
    <s v="1+ Failures"/>
    <n v="0"/>
    <s v="5-10 hrs"/>
    <x v="1"/>
  </r>
  <r>
    <n v="2376"/>
    <d v="2024-02-22T00:00:00"/>
    <s v="Basic"/>
    <n v="199"/>
    <n v="19"/>
    <n v="4"/>
    <n v="0"/>
    <n v="36"/>
    <n v="57"/>
    <s v="Yes"/>
    <s v="No"/>
    <s v="No"/>
    <s v="No"/>
    <s v="Yes"/>
    <s v="No"/>
    <m/>
    <s v="0 Failures"/>
    <n v="1"/>
    <s v="10-20hrs"/>
    <x v="1"/>
  </r>
  <r>
    <n v="2377"/>
    <d v="2023-05-31T00:00:00"/>
    <s v="Premium"/>
    <n v="699"/>
    <n v="24.5"/>
    <n v="6"/>
    <n v="2"/>
    <n v="8"/>
    <n v="1"/>
    <s v="No"/>
    <s v="No"/>
    <s v="Yes"/>
    <s v="Yes"/>
    <s v="No"/>
    <s v="No"/>
    <m/>
    <s v="1+ Failures"/>
    <n v="0"/>
    <s v="20+ hrs"/>
    <x v="0"/>
  </r>
  <r>
    <n v="2378"/>
    <d v="2024-07-17T00:00:00"/>
    <s v="Standard"/>
    <n v="399"/>
    <n v="13.8"/>
    <n v="2"/>
    <n v="3"/>
    <n v="23"/>
    <n v="42"/>
    <s v="Yes"/>
    <s v="No"/>
    <s v="Yes"/>
    <s v="No"/>
    <s v="Yes"/>
    <s v="No"/>
    <m/>
    <s v="1+ Failures"/>
    <n v="1"/>
    <s v="10-20hrs"/>
    <x v="1"/>
  </r>
  <r>
    <n v="2379"/>
    <d v="2024-03-12T00:00:00"/>
    <s v="Standard"/>
    <n v="399"/>
    <n v="8.9"/>
    <n v="1"/>
    <n v="1"/>
    <n v="25"/>
    <n v="0"/>
    <s v="No"/>
    <s v="No"/>
    <s v="Yes"/>
    <s v="No"/>
    <s v="No"/>
    <s v="No"/>
    <m/>
    <s v="1+ Failures"/>
    <n v="0"/>
    <s v="5-10 hrs"/>
    <x v="1"/>
  </r>
  <r>
    <n v="2380"/>
    <d v="2023-05-04T00:00:00"/>
    <s v="Basic"/>
    <n v="199"/>
    <n v="19.3"/>
    <n v="8"/>
    <n v="2"/>
    <n v="10"/>
    <n v="36"/>
    <s v="Yes"/>
    <s v="No"/>
    <s v="Yes"/>
    <s v="Yes"/>
    <s v="Yes"/>
    <s v="No"/>
    <m/>
    <s v="1+ Failures"/>
    <n v="1"/>
    <s v="10-20hrs"/>
    <x v="0"/>
  </r>
  <r>
    <n v="2381"/>
    <d v="2023-11-15T00:00:00"/>
    <s v="Standard"/>
    <n v="399"/>
    <n v="19.5"/>
    <n v="6"/>
    <n v="4"/>
    <n v="13"/>
    <n v="9"/>
    <s v="Yes"/>
    <s v="No"/>
    <s v="Yes"/>
    <s v="Yes"/>
    <s v="No"/>
    <s v="No"/>
    <m/>
    <s v="1+ Failures"/>
    <n v="1"/>
    <s v="10-20hrs"/>
    <x v="1"/>
  </r>
  <r>
    <n v="2382"/>
    <d v="2024-05-04T00:00:00"/>
    <s v="Premium"/>
    <n v="699"/>
    <n v="15.8"/>
    <n v="0"/>
    <n v="0"/>
    <n v="18"/>
    <n v="53"/>
    <s v="No"/>
    <s v="No"/>
    <s v="No"/>
    <s v="No"/>
    <s v="Yes"/>
    <s v="No"/>
    <m/>
    <s v="0 Failures"/>
    <n v="0"/>
    <s v="10-20hrs"/>
    <x v="1"/>
  </r>
  <r>
    <n v="2383"/>
    <d v="2024-02-03T00:00:00"/>
    <s v="Basic"/>
    <n v="199"/>
    <n v="0.7"/>
    <n v="8"/>
    <n v="3"/>
    <n v="1"/>
    <n v="38"/>
    <s v="Yes"/>
    <s v="Yes"/>
    <s v="Yes"/>
    <s v="Yes"/>
    <s v="Yes"/>
    <s v="Yes"/>
    <m/>
    <s v="1+ Failures"/>
    <n v="1"/>
    <s v="0-5 hrs"/>
    <x v="2"/>
  </r>
  <r>
    <n v="2384"/>
    <d v="2024-11-15T00:00:00"/>
    <s v="Basic"/>
    <n v="199"/>
    <n v="3.4"/>
    <n v="6"/>
    <n v="4"/>
    <n v="4"/>
    <n v="12"/>
    <s v="Yes"/>
    <s v="Yes"/>
    <s v="Yes"/>
    <s v="Yes"/>
    <s v="No"/>
    <s v="Yes"/>
    <m/>
    <s v="1+ Failures"/>
    <n v="1"/>
    <s v="0-5 hrs"/>
    <x v="3"/>
  </r>
  <r>
    <n v="2385"/>
    <d v="2024-06-24T00:00:00"/>
    <s v="Basic"/>
    <n v="199"/>
    <n v="20.7"/>
    <n v="0"/>
    <n v="0"/>
    <n v="22"/>
    <n v="60"/>
    <s v="Yes"/>
    <s v="No"/>
    <s v="No"/>
    <s v="No"/>
    <s v="Yes"/>
    <s v="No"/>
    <m/>
    <s v="0 Failures"/>
    <n v="1"/>
    <s v="20+ hrs"/>
    <x v="1"/>
  </r>
  <r>
    <n v="2386"/>
    <d v="2024-02-22T00:00:00"/>
    <s v="Basic"/>
    <n v="199"/>
    <n v="2.5"/>
    <n v="1"/>
    <n v="5"/>
    <n v="18"/>
    <n v="20"/>
    <s v="Yes"/>
    <s v="Yes"/>
    <s v="Yes"/>
    <s v="No"/>
    <s v="Yes"/>
    <s v="No"/>
    <m/>
    <s v="1+ Failures"/>
    <n v="1"/>
    <s v="0-5 hrs"/>
    <x v="1"/>
  </r>
  <r>
    <n v="2387"/>
    <d v="2023-02-21T00:00:00"/>
    <s v="Basic"/>
    <n v="199"/>
    <n v="5.3"/>
    <n v="7"/>
    <n v="5"/>
    <n v="34"/>
    <n v="26"/>
    <s v="Yes"/>
    <s v="No"/>
    <s v="Yes"/>
    <s v="Yes"/>
    <s v="Yes"/>
    <s v="No"/>
    <m/>
    <s v="1+ Failures"/>
    <n v="1"/>
    <s v="5-10 hrs"/>
    <x v="1"/>
  </r>
  <r>
    <n v="2388"/>
    <d v="2024-03-27T00:00:00"/>
    <s v="Premium"/>
    <n v="699"/>
    <n v="5.9"/>
    <n v="4"/>
    <n v="2"/>
    <n v="24"/>
    <n v="1"/>
    <s v="No"/>
    <s v="No"/>
    <s v="Yes"/>
    <s v="No"/>
    <s v="No"/>
    <s v="No"/>
    <m/>
    <s v="1+ Failures"/>
    <n v="0"/>
    <s v="5-10 hrs"/>
    <x v="1"/>
  </r>
  <r>
    <n v="2389"/>
    <d v="2023-05-24T00:00:00"/>
    <s v="Standard"/>
    <n v="399"/>
    <n v="10.1"/>
    <n v="0"/>
    <n v="5"/>
    <n v="19"/>
    <n v="60"/>
    <s v="Yes"/>
    <s v="No"/>
    <s v="Yes"/>
    <s v="No"/>
    <s v="Yes"/>
    <s v="No"/>
    <m/>
    <s v="1+ Failures"/>
    <n v="1"/>
    <s v="10-20hrs"/>
    <x v="1"/>
  </r>
  <r>
    <n v="2390"/>
    <d v="2023-12-19T00:00:00"/>
    <s v="Premium"/>
    <n v="699"/>
    <n v="19.2"/>
    <n v="6"/>
    <n v="5"/>
    <n v="26"/>
    <n v="8"/>
    <s v="No"/>
    <s v="No"/>
    <s v="Yes"/>
    <s v="Yes"/>
    <s v="No"/>
    <s v="No"/>
    <m/>
    <s v="1+ Failures"/>
    <n v="0"/>
    <s v="10-20hrs"/>
    <x v="1"/>
  </r>
  <r>
    <n v="2391"/>
    <d v="2024-01-29T00:00:00"/>
    <s v="Basic"/>
    <n v="199"/>
    <n v="20.100000000000001"/>
    <n v="7"/>
    <n v="5"/>
    <n v="36"/>
    <n v="40"/>
    <s v="No"/>
    <s v="No"/>
    <s v="Yes"/>
    <s v="Yes"/>
    <s v="Yes"/>
    <s v="No"/>
    <m/>
    <s v="1+ Failures"/>
    <n v="0"/>
    <s v="20+ hrs"/>
    <x v="1"/>
  </r>
  <r>
    <n v="2392"/>
    <d v="2024-06-20T00:00:00"/>
    <s v="Basic"/>
    <n v="199"/>
    <n v="14.4"/>
    <n v="1"/>
    <n v="2"/>
    <n v="11"/>
    <n v="1"/>
    <s v="No"/>
    <s v="No"/>
    <s v="Yes"/>
    <s v="No"/>
    <s v="No"/>
    <s v="No"/>
    <m/>
    <s v="1+ Failures"/>
    <n v="0"/>
    <s v="10-20hrs"/>
    <x v="0"/>
  </r>
  <r>
    <n v="2393"/>
    <d v="2023-04-02T00:00:00"/>
    <s v="Premium"/>
    <n v="699"/>
    <n v="6.9"/>
    <n v="3"/>
    <n v="1"/>
    <n v="35"/>
    <n v="12"/>
    <s v="No"/>
    <s v="No"/>
    <s v="Yes"/>
    <s v="No"/>
    <s v="No"/>
    <s v="No"/>
    <m/>
    <s v="1+ Failures"/>
    <n v="0"/>
    <s v="5-10 hrs"/>
    <x v="1"/>
  </r>
  <r>
    <n v="2394"/>
    <d v="2024-02-15T00:00:00"/>
    <s v="Basic"/>
    <n v="199"/>
    <n v="9.3000000000000007"/>
    <n v="2"/>
    <n v="1"/>
    <n v="21"/>
    <n v="22"/>
    <s v="No"/>
    <s v="No"/>
    <s v="Yes"/>
    <s v="No"/>
    <s v="Yes"/>
    <s v="No"/>
    <m/>
    <s v="1+ Failures"/>
    <n v="0"/>
    <s v="5-10 hrs"/>
    <x v="1"/>
  </r>
  <r>
    <n v="2395"/>
    <d v="2023-06-18T00:00:00"/>
    <s v="Basic"/>
    <n v="199"/>
    <n v="13.8"/>
    <n v="1"/>
    <n v="3"/>
    <n v="30"/>
    <n v="0"/>
    <s v="Yes"/>
    <s v="No"/>
    <s v="Yes"/>
    <s v="No"/>
    <s v="No"/>
    <s v="No"/>
    <m/>
    <s v="1+ Failures"/>
    <n v="1"/>
    <s v="10-20hrs"/>
    <x v="1"/>
  </r>
  <r>
    <n v="2396"/>
    <d v="2024-03-08T00:00:00"/>
    <s v="Premium"/>
    <n v="699"/>
    <n v="2.4"/>
    <n v="2"/>
    <n v="0"/>
    <n v="7"/>
    <n v="24"/>
    <s v="Yes"/>
    <s v="Yes"/>
    <s v="No"/>
    <s v="No"/>
    <s v="Yes"/>
    <s v="No"/>
    <m/>
    <s v="0 Failures"/>
    <n v="1"/>
    <s v="0-5 hrs"/>
    <x v="0"/>
  </r>
  <r>
    <n v="2397"/>
    <d v="2024-08-10T00:00:00"/>
    <s v="Basic"/>
    <n v="199"/>
    <n v="24.5"/>
    <n v="5"/>
    <n v="1"/>
    <n v="33"/>
    <n v="29"/>
    <s v="Yes"/>
    <s v="No"/>
    <s v="Yes"/>
    <s v="Yes"/>
    <s v="Yes"/>
    <s v="No"/>
    <m/>
    <s v="1+ Failures"/>
    <n v="1"/>
    <s v="20+ hrs"/>
    <x v="1"/>
  </r>
  <r>
    <n v="2398"/>
    <d v="2024-07-12T00:00:00"/>
    <s v="Standard"/>
    <n v="399"/>
    <n v="3.5"/>
    <n v="3"/>
    <n v="3"/>
    <n v="25"/>
    <n v="4"/>
    <s v="No"/>
    <s v="Yes"/>
    <s v="Yes"/>
    <s v="No"/>
    <s v="No"/>
    <s v="No"/>
    <m/>
    <s v="1+ Failures"/>
    <n v="0"/>
    <s v="0-5 hrs"/>
    <x v="1"/>
  </r>
  <r>
    <n v="2399"/>
    <d v="2023-11-27T00:00:00"/>
    <s v="Standard"/>
    <n v="399"/>
    <n v="7"/>
    <n v="0"/>
    <n v="5"/>
    <n v="20"/>
    <n v="10"/>
    <s v="No"/>
    <s v="No"/>
    <s v="Yes"/>
    <s v="No"/>
    <s v="No"/>
    <s v="No"/>
    <m/>
    <s v="1+ Failures"/>
    <n v="0"/>
    <s v="5-10 hrs"/>
    <x v="1"/>
  </r>
  <r>
    <n v="2400"/>
    <d v="2023-04-07T00:00:00"/>
    <s v="Basic"/>
    <n v="199"/>
    <n v="21.7"/>
    <n v="4"/>
    <n v="4"/>
    <n v="10"/>
    <n v="2"/>
    <s v="No"/>
    <s v="No"/>
    <s v="Yes"/>
    <s v="No"/>
    <s v="No"/>
    <s v="No"/>
    <m/>
    <s v="1+ Failures"/>
    <n v="0"/>
    <s v="20+ hrs"/>
    <x v="0"/>
  </r>
  <r>
    <n v="2401"/>
    <d v="2023-09-14T00:00:00"/>
    <s v="Standard"/>
    <n v="399"/>
    <n v="7.5"/>
    <n v="0"/>
    <n v="1"/>
    <n v="18"/>
    <n v="28"/>
    <s v="Yes"/>
    <s v="No"/>
    <s v="Yes"/>
    <s v="No"/>
    <s v="Yes"/>
    <s v="No"/>
    <m/>
    <s v="1+ Failures"/>
    <n v="1"/>
    <s v="5-10 hrs"/>
    <x v="1"/>
  </r>
  <r>
    <n v="2402"/>
    <d v="2024-05-26T00:00:00"/>
    <s v="Basic"/>
    <n v="199"/>
    <n v="12"/>
    <n v="1"/>
    <n v="1"/>
    <n v="26"/>
    <n v="57"/>
    <s v="No"/>
    <s v="No"/>
    <s v="Yes"/>
    <s v="No"/>
    <s v="Yes"/>
    <s v="No"/>
    <m/>
    <s v="1+ Failures"/>
    <n v="0"/>
    <s v="10-20hrs"/>
    <x v="1"/>
  </r>
  <r>
    <n v="2403"/>
    <d v="2024-10-16T00:00:00"/>
    <s v="Premium"/>
    <n v="699"/>
    <n v="4.7"/>
    <n v="2"/>
    <n v="0"/>
    <n v="33"/>
    <n v="0"/>
    <s v="No"/>
    <s v="Yes"/>
    <s v="No"/>
    <s v="No"/>
    <s v="No"/>
    <s v="No"/>
    <m/>
    <s v="0 Failures"/>
    <n v="0"/>
    <s v="0-5 hrs"/>
    <x v="1"/>
  </r>
  <r>
    <n v="2404"/>
    <d v="2023-09-25T00:00:00"/>
    <s v="Basic"/>
    <n v="199"/>
    <n v="22.4"/>
    <n v="8"/>
    <n v="1"/>
    <n v="32"/>
    <n v="6"/>
    <s v="No"/>
    <s v="No"/>
    <s v="Yes"/>
    <s v="Yes"/>
    <s v="No"/>
    <s v="No"/>
    <m/>
    <s v="1+ Failures"/>
    <n v="0"/>
    <s v="20+ hrs"/>
    <x v="1"/>
  </r>
  <r>
    <n v="2405"/>
    <d v="2024-12-04T00:00:00"/>
    <s v="Premium"/>
    <n v="699"/>
    <n v="4.7"/>
    <n v="8"/>
    <n v="2"/>
    <n v="27"/>
    <n v="47"/>
    <s v="Yes"/>
    <s v="Yes"/>
    <s v="Yes"/>
    <s v="Yes"/>
    <s v="Yes"/>
    <s v="No"/>
    <m/>
    <s v="1+ Failures"/>
    <n v="1"/>
    <s v="0-5 hrs"/>
    <x v="1"/>
  </r>
  <r>
    <n v="2406"/>
    <d v="2023-09-06T00:00:00"/>
    <s v="Premium"/>
    <n v="699"/>
    <n v="6.2"/>
    <n v="6"/>
    <n v="1"/>
    <n v="29"/>
    <n v="55"/>
    <s v="No"/>
    <s v="No"/>
    <s v="Yes"/>
    <s v="Yes"/>
    <s v="Yes"/>
    <s v="No"/>
    <m/>
    <s v="1+ Failures"/>
    <n v="0"/>
    <s v="5-10 hrs"/>
    <x v="1"/>
  </r>
  <r>
    <n v="2407"/>
    <d v="2024-08-09T00:00:00"/>
    <s v="Basic"/>
    <n v="199"/>
    <n v="4.8"/>
    <n v="5"/>
    <n v="3"/>
    <n v="33"/>
    <n v="1"/>
    <s v="Yes"/>
    <s v="Yes"/>
    <s v="Yes"/>
    <s v="Yes"/>
    <s v="No"/>
    <s v="No"/>
    <m/>
    <s v="1+ Failures"/>
    <n v="1"/>
    <s v="0-5 hrs"/>
    <x v="1"/>
  </r>
  <r>
    <n v="2408"/>
    <d v="2024-11-28T00:00:00"/>
    <s v="Standard"/>
    <n v="399"/>
    <n v="12.6"/>
    <n v="8"/>
    <n v="5"/>
    <n v="2"/>
    <n v="40"/>
    <s v="Yes"/>
    <s v="No"/>
    <s v="Yes"/>
    <s v="Yes"/>
    <s v="Yes"/>
    <s v="Yes"/>
    <m/>
    <s v="1+ Failures"/>
    <n v="1"/>
    <s v="10-20hrs"/>
    <x v="2"/>
  </r>
  <r>
    <n v="2409"/>
    <d v="2023-08-30T00:00:00"/>
    <s v="Basic"/>
    <n v="199"/>
    <n v="12.2"/>
    <n v="0"/>
    <n v="3"/>
    <n v="30"/>
    <n v="55"/>
    <s v="No"/>
    <s v="No"/>
    <s v="Yes"/>
    <s v="No"/>
    <s v="Yes"/>
    <s v="No"/>
    <m/>
    <s v="1+ Failures"/>
    <n v="0"/>
    <s v="10-20hrs"/>
    <x v="1"/>
  </r>
  <r>
    <n v="2410"/>
    <d v="2024-01-21T00:00:00"/>
    <s v="Standard"/>
    <n v="399"/>
    <n v="19.600000000000001"/>
    <n v="2"/>
    <n v="0"/>
    <n v="34"/>
    <n v="23"/>
    <s v="No"/>
    <s v="No"/>
    <s v="No"/>
    <s v="No"/>
    <s v="Yes"/>
    <s v="No"/>
    <m/>
    <s v="0 Failures"/>
    <n v="0"/>
    <s v="10-20hrs"/>
    <x v="1"/>
  </r>
  <r>
    <n v="2411"/>
    <d v="2023-12-02T00:00:00"/>
    <s v="Premium"/>
    <n v="699"/>
    <n v="2.6"/>
    <n v="2"/>
    <n v="1"/>
    <n v="10"/>
    <n v="14"/>
    <s v="No"/>
    <s v="Yes"/>
    <s v="Yes"/>
    <s v="No"/>
    <s v="No"/>
    <s v="No"/>
    <m/>
    <s v="1+ Failures"/>
    <n v="0"/>
    <s v="0-5 hrs"/>
    <x v="0"/>
  </r>
  <r>
    <n v="2412"/>
    <d v="2023-01-16T00:00:00"/>
    <s v="Premium"/>
    <n v="699"/>
    <n v="2.6"/>
    <n v="6"/>
    <n v="5"/>
    <n v="11"/>
    <n v="55"/>
    <s v="Yes"/>
    <s v="Yes"/>
    <s v="Yes"/>
    <s v="Yes"/>
    <s v="Yes"/>
    <s v="No"/>
    <m/>
    <s v="1+ Failures"/>
    <n v="1"/>
    <s v="0-5 hrs"/>
    <x v="0"/>
  </r>
  <r>
    <n v="2413"/>
    <d v="2023-06-03T00:00:00"/>
    <s v="Standard"/>
    <n v="399"/>
    <n v="24.7"/>
    <n v="1"/>
    <n v="5"/>
    <n v="35"/>
    <n v="16"/>
    <s v="No"/>
    <s v="No"/>
    <s v="Yes"/>
    <s v="No"/>
    <s v="Yes"/>
    <s v="No"/>
    <m/>
    <s v="1+ Failures"/>
    <n v="0"/>
    <s v="20+ hrs"/>
    <x v="1"/>
  </r>
  <r>
    <n v="2414"/>
    <d v="2024-08-04T00:00:00"/>
    <s v="Premium"/>
    <n v="699"/>
    <n v="13.3"/>
    <n v="2"/>
    <n v="0"/>
    <n v="5"/>
    <n v="36"/>
    <s v="Yes"/>
    <s v="No"/>
    <s v="No"/>
    <s v="No"/>
    <s v="Yes"/>
    <s v="Yes"/>
    <m/>
    <s v="0 Failures"/>
    <n v="1"/>
    <s v="10-20hrs"/>
    <x v="3"/>
  </r>
  <r>
    <n v="2415"/>
    <d v="2024-11-29T00:00:00"/>
    <s v="Standard"/>
    <n v="399"/>
    <n v="19"/>
    <n v="0"/>
    <n v="4"/>
    <n v="30"/>
    <n v="37"/>
    <s v="Yes"/>
    <s v="No"/>
    <s v="Yes"/>
    <s v="No"/>
    <s v="Yes"/>
    <s v="No"/>
    <m/>
    <s v="1+ Failures"/>
    <n v="1"/>
    <s v="10-20hrs"/>
    <x v="1"/>
  </r>
  <r>
    <n v="2416"/>
    <d v="2023-01-17T00:00:00"/>
    <s v="Standard"/>
    <n v="399"/>
    <n v="11"/>
    <n v="8"/>
    <n v="2"/>
    <n v="16"/>
    <n v="50"/>
    <s v="Yes"/>
    <s v="No"/>
    <s v="Yes"/>
    <s v="Yes"/>
    <s v="Yes"/>
    <s v="No"/>
    <m/>
    <s v="1+ Failures"/>
    <n v="1"/>
    <s v="10-20hrs"/>
    <x v="1"/>
  </r>
  <r>
    <n v="2417"/>
    <d v="2024-09-11T00:00:00"/>
    <s v="Basic"/>
    <n v="199"/>
    <n v="22.4"/>
    <n v="0"/>
    <n v="2"/>
    <n v="9"/>
    <n v="51"/>
    <s v="Yes"/>
    <s v="No"/>
    <s v="Yes"/>
    <s v="No"/>
    <s v="Yes"/>
    <s v="No"/>
    <m/>
    <s v="1+ Failures"/>
    <n v="1"/>
    <s v="20+ hrs"/>
    <x v="0"/>
  </r>
  <r>
    <n v="2418"/>
    <d v="2024-12-09T00:00:00"/>
    <s v="Premium"/>
    <n v="699"/>
    <n v="16.7"/>
    <n v="8"/>
    <n v="3"/>
    <n v="15"/>
    <n v="46"/>
    <s v="Yes"/>
    <s v="No"/>
    <s v="Yes"/>
    <s v="Yes"/>
    <s v="Yes"/>
    <s v="No"/>
    <m/>
    <s v="1+ Failures"/>
    <n v="1"/>
    <s v="10-20hrs"/>
    <x v="1"/>
  </r>
  <r>
    <n v="2419"/>
    <d v="2024-09-16T00:00:00"/>
    <s v="Standard"/>
    <n v="399"/>
    <n v="24.2"/>
    <n v="2"/>
    <n v="2"/>
    <n v="33"/>
    <n v="56"/>
    <s v="No"/>
    <s v="No"/>
    <s v="Yes"/>
    <s v="No"/>
    <s v="Yes"/>
    <s v="No"/>
    <m/>
    <s v="1+ Failures"/>
    <n v="0"/>
    <s v="20+ hrs"/>
    <x v="1"/>
  </r>
  <r>
    <n v="2420"/>
    <d v="2024-07-12T00:00:00"/>
    <s v="Premium"/>
    <n v="699"/>
    <n v="15.9"/>
    <n v="1"/>
    <n v="2"/>
    <n v="36"/>
    <n v="22"/>
    <s v="Yes"/>
    <s v="No"/>
    <s v="Yes"/>
    <s v="No"/>
    <s v="Yes"/>
    <s v="No"/>
    <m/>
    <s v="1+ Failures"/>
    <n v="1"/>
    <s v="10-20hrs"/>
    <x v="1"/>
  </r>
  <r>
    <n v="2421"/>
    <d v="2024-01-01T00:00:00"/>
    <s v="Premium"/>
    <n v="699"/>
    <n v="24.1"/>
    <n v="0"/>
    <n v="5"/>
    <n v="30"/>
    <n v="41"/>
    <s v="Yes"/>
    <s v="No"/>
    <s v="Yes"/>
    <s v="No"/>
    <s v="Yes"/>
    <s v="No"/>
    <m/>
    <s v="1+ Failures"/>
    <n v="1"/>
    <s v="20+ hrs"/>
    <x v="1"/>
  </r>
  <r>
    <n v="2422"/>
    <d v="2024-07-06T00:00:00"/>
    <s v="Basic"/>
    <n v="199"/>
    <n v="22.4"/>
    <n v="6"/>
    <n v="3"/>
    <n v="16"/>
    <n v="24"/>
    <s v="Yes"/>
    <s v="No"/>
    <s v="Yes"/>
    <s v="Yes"/>
    <s v="Yes"/>
    <s v="No"/>
    <m/>
    <s v="1+ Failures"/>
    <n v="1"/>
    <s v="20+ hrs"/>
    <x v="1"/>
  </r>
  <r>
    <n v="2423"/>
    <d v="2024-09-20T00:00:00"/>
    <s v="Premium"/>
    <n v="699"/>
    <n v="1.1000000000000001"/>
    <n v="7"/>
    <n v="2"/>
    <n v="12"/>
    <n v="24"/>
    <s v="Yes"/>
    <s v="Yes"/>
    <s v="Yes"/>
    <s v="Yes"/>
    <s v="Yes"/>
    <s v="No"/>
    <m/>
    <s v="1+ Failures"/>
    <n v="1"/>
    <s v="0-5 hrs"/>
    <x v="0"/>
  </r>
  <r>
    <n v="2424"/>
    <d v="2024-09-30T00:00:00"/>
    <s v="Basic"/>
    <n v="199"/>
    <n v="12.6"/>
    <n v="8"/>
    <n v="3"/>
    <n v="30"/>
    <n v="24"/>
    <s v="Yes"/>
    <s v="No"/>
    <s v="Yes"/>
    <s v="Yes"/>
    <s v="Yes"/>
    <s v="No"/>
    <m/>
    <s v="1+ Failures"/>
    <n v="1"/>
    <s v="10-20hrs"/>
    <x v="1"/>
  </r>
  <r>
    <n v="2425"/>
    <d v="2023-07-20T00:00:00"/>
    <s v="Premium"/>
    <n v="699"/>
    <n v="12.9"/>
    <n v="2"/>
    <n v="1"/>
    <n v="28"/>
    <n v="20"/>
    <s v="No"/>
    <s v="No"/>
    <s v="Yes"/>
    <s v="No"/>
    <s v="Yes"/>
    <s v="No"/>
    <m/>
    <s v="1+ Failures"/>
    <n v="0"/>
    <s v="10-20hrs"/>
    <x v="1"/>
  </r>
  <r>
    <n v="2426"/>
    <d v="2024-02-13T00:00:00"/>
    <s v="Standard"/>
    <n v="399"/>
    <n v="19.899999999999999"/>
    <n v="8"/>
    <n v="2"/>
    <n v="3"/>
    <n v="43"/>
    <s v="Yes"/>
    <s v="No"/>
    <s v="Yes"/>
    <s v="Yes"/>
    <s v="Yes"/>
    <s v="Yes"/>
    <m/>
    <s v="1+ Failures"/>
    <n v="1"/>
    <s v="10-20hrs"/>
    <x v="2"/>
  </r>
  <r>
    <n v="2427"/>
    <d v="2023-01-31T00:00:00"/>
    <s v="Premium"/>
    <n v="699"/>
    <n v="17.2"/>
    <n v="3"/>
    <n v="2"/>
    <n v="12"/>
    <n v="3"/>
    <s v="No"/>
    <s v="No"/>
    <s v="Yes"/>
    <s v="No"/>
    <s v="No"/>
    <s v="No"/>
    <m/>
    <s v="1+ Failures"/>
    <n v="0"/>
    <s v="10-20hrs"/>
    <x v="0"/>
  </r>
  <r>
    <n v="2428"/>
    <d v="2024-12-03T00:00:00"/>
    <s v="Premium"/>
    <n v="699"/>
    <n v="19"/>
    <n v="6"/>
    <n v="3"/>
    <n v="24"/>
    <n v="46"/>
    <s v="Yes"/>
    <s v="No"/>
    <s v="Yes"/>
    <s v="Yes"/>
    <s v="Yes"/>
    <s v="No"/>
    <m/>
    <s v="1+ Failures"/>
    <n v="1"/>
    <s v="10-20hrs"/>
    <x v="1"/>
  </r>
  <r>
    <n v="2429"/>
    <d v="2023-06-30T00:00:00"/>
    <s v="Standard"/>
    <n v="399"/>
    <n v="1.3"/>
    <n v="1"/>
    <n v="1"/>
    <n v="3"/>
    <n v="17"/>
    <s v="No"/>
    <s v="Yes"/>
    <s v="Yes"/>
    <s v="No"/>
    <s v="Yes"/>
    <s v="Yes"/>
    <m/>
    <s v="1+ Failures"/>
    <n v="0"/>
    <s v="0-5 hrs"/>
    <x v="2"/>
  </r>
  <r>
    <n v="2430"/>
    <d v="2024-02-07T00:00:00"/>
    <s v="Premium"/>
    <n v="699"/>
    <n v="21.4"/>
    <n v="4"/>
    <n v="2"/>
    <n v="22"/>
    <n v="11"/>
    <s v="No"/>
    <s v="No"/>
    <s v="Yes"/>
    <s v="No"/>
    <s v="No"/>
    <s v="No"/>
    <m/>
    <s v="1+ Failures"/>
    <n v="0"/>
    <s v="20+ hrs"/>
    <x v="1"/>
  </r>
  <r>
    <n v="2431"/>
    <d v="2023-09-10T00:00:00"/>
    <s v="Standard"/>
    <n v="399"/>
    <n v="5.3"/>
    <n v="5"/>
    <n v="4"/>
    <n v="26"/>
    <n v="18"/>
    <s v="Yes"/>
    <s v="No"/>
    <s v="Yes"/>
    <s v="Yes"/>
    <s v="Yes"/>
    <s v="No"/>
    <m/>
    <s v="1+ Failures"/>
    <n v="1"/>
    <s v="5-10 hrs"/>
    <x v="1"/>
  </r>
  <r>
    <n v="2432"/>
    <d v="2023-07-19T00:00:00"/>
    <s v="Premium"/>
    <n v="699"/>
    <n v="17.2"/>
    <n v="4"/>
    <n v="3"/>
    <n v="9"/>
    <n v="53"/>
    <s v="No"/>
    <s v="No"/>
    <s v="Yes"/>
    <s v="No"/>
    <s v="Yes"/>
    <s v="No"/>
    <m/>
    <s v="1+ Failures"/>
    <n v="0"/>
    <s v="10-20hrs"/>
    <x v="0"/>
  </r>
  <r>
    <n v="2433"/>
    <d v="2023-12-02T00:00:00"/>
    <s v="Premium"/>
    <n v="699"/>
    <n v="8.8000000000000007"/>
    <n v="2"/>
    <n v="2"/>
    <n v="7"/>
    <n v="5"/>
    <s v="No"/>
    <s v="No"/>
    <s v="Yes"/>
    <s v="No"/>
    <s v="No"/>
    <s v="No"/>
    <m/>
    <s v="1+ Failures"/>
    <n v="0"/>
    <s v="5-10 hrs"/>
    <x v="0"/>
  </r>
  <r>
    <n v="2434"/>
    <d v="2024-02-03T00:00:00"/>
    <s v="Basic"/>
    <n v="199"/>
    <n v="19.2"/>
    <n v="7"/>
    <n v="1"/>
    <n v="35"/>
    <n v="58"/>
    <s v="No"/>
    <s v="No"/>
    <s v="Yes"/>
    <s v="Yes"/>
    <s v="Yes"/>
    <s v="No"/>
    <m/>
    <s v="1+ Failures"/>
    <n v="0"/>
    <s v="10-20hrs"/>
    <x v="1"/>
  </r>
  <r>
    <n v="2435"/>
    <d v="2024-09-14T00:00:00"/>
    <s v="Basic"/>
    <n v="199"/>
    <n v="10.4"/>
    <n v="3"/>
    <n v="5"/>
    <n v="11"/>
    <n v="14"/>
    <s v="Yes"/>
    <s v="No"/>
    <s v="Yes"/>
    <s v="No"/>
    <s v="No"/>
    <s v="No"/>
    <m/>
    <s v="1+ Failures"/>
    <n v="1"/>
    <s v="10-20hrs"/>
    <x v="0"/>
  </r>
  <r>
    <n v="2436"/>
    <d v="2024-01-14T00:00:00"/>
    <s v="Premium"/>
    <n v="699"/>
    <n v="3"/>
    <n v="8"/>
    <n v="0"/>
    <n v="24"/>
    <n v="35"/>
    <s v="Yes"/>
    <s v="Yes"/>
    <s v="No"/>
    <s v="Yes"/>
    <s v="Yes"/>
    <s v="No"/>
    <m/>
    <s v="0 Failures"/>
    <n v="1"/>
    <s v="0-5 hrs"/>
    <x v="1"/>
  </r>
  <r>
    <n v="2437"/>
    <d v="2024-07-26T00:00:00"/>
    <s v="Standard"/>
    <n v="399"/>
    <n v="23.8"/>
    <n v="7"/>
    <n v="4"/>
    <n v="2"/>
    <n v="16"/>
    <s v="No"/>
    <s v="No"/>
    <s v="Yes"/>
    <s v="Yes"/>
    <s v="Yes"/>
    <s v="Yes"/>
    <m/>
    <s v="1+ Failures"/>
    <n v="0"/>
    <s v="20+ hrs"/>
    <x v="2"/>
  </r>
  <r>
    <n v="2438"/>
    <d v="2023-08-18T00:00:00"/>
    <s v="Standard"/>
    <n v="399"/>
    <n v="15.4"/>
    <n v="7"/>
    <n v="5"/>
    <n v="2"/>
    <n v="18"/>
    <s v="No"/>
    <s v="No"/>
    <s v="Yes"/>
    <s v="Yes"/>
    <s v="Yes"/>
    <s v="Yes"/>
    <m/>
    <s v="1+ Failures"/>
    <n v="0"/>
    <s v="10-20hrs"/>
    <x v="2"/>
  </r>
  <r>
    <n v="2439"/>
    <d v="2024-08-13T00:00:00"/>
    <s v="Basic"/>
    <n v="199"/>
    <n v="8"/>
    <n v="1"/>
    <n v="5"/>
    <n v="13"/>
    <n v="57"/>
    <s v="Yes"/>
    <s v="No"/>
    <s v="Yes"/>
    <s v="No"/>
    <s v="Yes"/>
    <s v="No"/>
    <m/>
    <s v="1+ Failures"/>
    <n v="1"/>
    <s v="5-10 hrs"/>
    <x v="1"/>
  </r>
  <r>
    <n v="2440"/>
    <d v="2024-12-22T00:00:00"/>
    <s v="Basic"/>
    <n v="199"/>
    <n v="22.9"/>
    <n v="7"/>
    <n v="1"/>
    <n v="8"/>
    <n v="3"/>
    <s v="Yes"/>
    <s v="No"/>
    <s v="Yes"/>
    <s v="Yes"/>
    <s v="No"/>
    <s v="No"/>
    <m/>
    <s v="1+ Failures"/>
    <n v="1"/>
    <s v="20+ hrs"/>
    <x v="0"/>
  </r>
  <r>
    <n v="2441"/>
    <d v="2024-02-08T00:00:00"/>
    <s v="Standard"/>
    <n v="399"/>
    <n v="7.1"/>
    <n v="0"/>
    <n v="0"/>
    <n v="16"/>
    <n v="53"/>
    <s v="No"/>
    <s v="No"/>
    <s v="No"/>
    <s v="No"/>
    <s v="Yes"/>
    <s v="No"/>
    <m/>
    <s v="0 Failures"/>
    <n v="0"/>
    <s v="5-10 hrs"/>
    <x v="1"/>
  </r>
  <r>
    <n v="2442"/>
    <d v="2023-07-27T00:00:00"/>
    <s v="Standard"/>
    <n v="399"/>
    <n v="8.5"/>
    <n v="7"/>
    <n v="0"/>
    <n v="6"/>
    <n v="20"/>
    <s v="No"/>
    <s v="No"/>
    <s v="No"/>
    <s v="Yes"/>
    <s v="Yes"/>
    <s v="No"/>
    <m/>
    <s v="0 Failures"/>
    <n v="0"/>
    <s v="5-10 hrs"/>
    <x v="3"/>
  </r>
  <r>
    <n v="2443"/>
    <d v="2024-03-05T00:00:00"/>
    <s v="Basic"/>
    <n v="199"/>
    <n v="18.399999999999999"/>
    <n v="5"/>
    <n v="4"/>
    <n v="14"/>
    <n v="56"/>
    <s v="Yes"/>
    <s v="No"/>
    <s v="Yes"/>
    <s v="Yes"/>
    <s v="Yes"/>
    <s v="No"/>
    <m/>
    <s v="1+ Failures"/>
    <n v="1"/>
    <s v="10-20hrs"/>
    <x v="1"/>
  </r>
  <r>
    <n v="2444"/>
    <d v="2023-01-17T00:00:00"/>
    <s v="Standard"/>
    <n v="399"/>
    <n v="2.9"/>
    <n v="6"/>
    <n v="3"/>
    <n v="34"/>
    <n v="54"/>
    <s v="Yes"/>
    <s v="Yes"/>
    <s v="Yes"/>
    <s v="Yes"/>
    <s v="Yes"/>
    <s v="No"/>
    <m/>
    <s v="1+ Failures"/>
    <n v="1"/>
    <s v="0-5 hrs"/>
    <x v="1"/>
  </r>
  <r>
    <n v="2445"/>
    <d v="2023-04-22T00:00:00"/>
    <s v="Premium"/>
    <n v="699"/>
    <n v="23.8"/>
    <n v="2"/>
    <n v="5"/>
    <n v="18"/>
    <n v="55"/>
    <s v="No"/>
    <s v="No"/>
    <s v="Yes"/>
    <s v="No"/>
    <s v="Yes"/>
    <s v="No"/>
    <m/>
    <s v="1+ Failures"/>
    <n v="0"/>
    <s v="20+ hrs"/>
    <x v="1"/>
  </r>
  <r>
    <n v="2446"/>
    <d v="2024-06-25T00:00:00"/>
    <s v="Standard"/>
    <n v="399"/>
    <n v="1.4"/>
    <n v="5"/>
    <n v="1"/>
    <n v="6"/>
    <n v="29"/>
    <s v="Yes"/>
    <s v="Yes"/>
    <s v="Yes"/>
    <s v="Yes"/>
    <s v="Yes"/>
    <s v="No"/>
    <m/>
    <s v="1+ Failures"/>
    <n v="1"/>
    <s v="0-5 hrs"/>
    <x v="3"/>
  </r>
  <r>
    <n v="2447"/>
    <d v="2024-05-04T00:00:00"/>
    <s v="Basic"/>
    <n v="199"/>
    <n v="12.1"/>
    <n v="0"/>
    <n v="4"/>
    <n v="34"/>
    <n v="46"/>
    <s v="No"/>
    <s v="No"/>
    <s v="Yes"/>
    <s v="No"/>
    <s v="Yes"/>
    <s v="No"/>
    <m/>
    <s v="1+ Failures"/>
    <n v="0"/>
    <s v="10-20hrs"/>
    <x v="1"/>
  </r>
  <r>
    <n v="2448"/>
    <d v="2023-12-23T00:00:00"/>
    <s v="Basic"/>
    <n v="199"/>
    <n v="9.3000000000000007"/>
    <n v="3"/>
    <n v="4"/>
    <n v="18"/>
    <n v="33"/>
    <s v="Yes"/>
    <s v="No"/>
    <s v="Yes"/>
    <s v="No"/>
    <s v="Yes"/>
    <s v="No"/>
    <m/>
    <s v="1+ Failures"/>
    <n v="1"/>
    <s v="5-10 hrs"/>
    <x v="1"/>
  </r>
  <r>
    <n v="2449"/>
    <d v="2024-03-14T00:00:00"/>
    <s v="Standard"/>
    <n v="399"/>
    <n v="22.3"/>
    <n v="5"/>
    <n v="4"/>
    <n v="11"/>
    <n v="51"/>
    <s v="No"/>
    <s v="No"/>
    <s v="Yes"/>
    <s v="Yes"/>
    <s v="Yes"/>
    <s v="No"/>
    <m/>
    <s v="1+ Failures"/>
    <n v="0"/>
    <s v="20+ hrs"/>
    <x v="0"/>
  </r>
  <r>
    <n v="2450"/>
    <d v="2024-07-05T00:00:00"/>
    <s v="Standard"/>
    <n v="399"/>
    <n v="23.9"/>
    <n v="8"/>
    <n v="3"/>
    <n v="4"/>
    <n v="50"/>
    <s v="No"/>
    <s v="No"/>
    <s v="Yes"/>
    <s v="Yes"/>
    <s v="Yes"/>
    <s v="Yes"/>
    <m/>
    <s v="1+ Failures"/>
    <n v="0"/>
    <s v="20+ hrs"/>
    <x v="3"/>
  </r>
  <r>
    <n v="2451"/>
    <d v="2024-06-06T00:00:00"/>
    <s v="Standard"/>
    <n v="399"/>
    <n v="7.8"/>
    <n v="2"/>
    <n v="1"/>
    <n v="18"/>
    <n v="31"/>
    <s v="No"/>
    <s v="No"/>
    <s v="Yes"/>
    <s v="No"/>
    <s v="Yes"/>
    <s v="No"/>
    <m/>
    <s v="1+ Failures"/>
    <n v="0"/>
    <s v="5-10 hrs"/>
    <x v="1"/>
  </r>
  <r>
    <n v="2452"/>
    <d v="2024-01-08T00:00:00"/>
    <s v="Standard"/>
    <n v="399"/>
    <n v="13.8"/>
    <n v="5"/>
    <n v="5"/>
    <n v="18"/>
    <n v="37"/>
    <s v="Yes"/>
    <s v="No"/>
    <s v="Yes"/>
    <s v="Yes"/>
    <s v="Yes"/>
    <s v="No"/>
    <m/>
    <s v="1+ Failures"/>
    <n v="1"/>
    <s v="10-20hrs"/>
    <x v="1"/>
  </r>
  <r>
    <n v="2453"/>
    <d v="2023-03-26T00:00:00"/>
    <s v="Standard"/>
    <n v="399"/>
    <n v="4.9000000000000004"/>
    <n v="2"/>
    <n v="2"/>
    <n v="19"/>
    <n v="39"/>
    <s v="No"/>
    <s v="Yes"/>
    <s v="Yes"/>
    <s v="No"/>
    <s v="Yes"/>
    <s v="No"/>
    <m/>
    <s v="1+ Failures"/>
    <n v="0"/>
    <s v="0-5 hrs"/>
    <x v="1"/>
  </r>
  <r>
    <n v="2454"/>
    <d v="2023-02-10T00:00:00"/>
    <s v="Premium"/>
    <n v="699"/>
    <n v="24.6"/>
    <n v="0"/>
    <n v="1"/>
    <n v="28"/>
    <n v="59"/>
    <s v="No"/>
    <s v="No"/>
    <s v="Yes"/>
    <s v="No"/>
    <s v="Yes"/>
    <s v="No"/>
    <m/>
    <s v="1+ Failures"/>
    <n v="0"/>
    <s v="20+ hrs"/>
    <x v="1"/>
  </r>
  <r>
    <n v="2455"/>
    <d v="2023-08-26T00:00:00"/>
    <s v="Basic"/>
    <n v="199"/>
    <n v="20.100000000000001"/>
    <n v="5"/>
    <n v="5"/>
    <n v="10"/>
    <n v="14"/>
    <s v="No"/>
    <s v="No"/>
    <s v="Yes"/>
    <s v="Yes"/>
    <s v="No"/>
    <s v="No"/>
    <m/>
    <s v="1+ Failures"/>
    <n v="0"/>
    <s v="20+ hrs"/>
    <x v="0"/>
  </r>
  <r>
    <n v="2456"/>
    <d v="2023-08-02T00:00:00"/>
    <s v="Basic"/>
    <n v="199"/>
    <n v="3.7"/>
    <n v="1"/>
    <n v="2"/>
    <n v="16"/>
    <n v="55"/>
    <s v="Yes"/>
    <s v="Yes"/>
    <s v="Yes"/>
    <s v="No"/>
    <s v="Yes"/>
    <s v="No"/>
    <m/>
    <s v="1+ Failures"/>
    <n v="1"/>
    <s v="0-5 hrs"/>
    <x v="1"/>
  </r>
  <r>
    <n v="2457"/>
    <d v="2024-03-11T00:00:00"/>
    <s v="Basic"/>
    <n v="199"/>
    <n v="8.8000000000000007"/>
    <n v="0"/>
    <n v="4"/>
    <n v="21"/>
    <n v="13"/>
    <s v="No"/>
    <s v="No"/>
    <s v="Yes"/>
    <s v="No"/>
    <s v="No"/>
    <s v="No"/>
    <m/>
    <s v="1+ Failures"/>
    <n v="0"/>
    <s v="5-10 hrs"/>
    <x v="1"/>
  </r>
  <r>
    <n v="2458"/>
    <d v="2024-06-21T00:00:00"/>
    <s v="Premium"/>
    <n v="699"/>
    <n v="17.2"/>
    <n v="4"/>
    <n v="2"/>
    <n v="12"/>
    <n v="18"/>
    <s v="No"/>
    <s v="No"/>
    <s v="Yes"/>
    <s v="No"/>
    <s v="Yes"/>
    <s v="No"/>
    <m/>
    <s v="1+ Failures"/>
    <n v="0"/>
    <s v="10-20hrs"/>
    <x v="0"/>
  </r>
  <r>
    <n v="2459"/>
    <d v="2024-12-07T00:00:00"/>
    <s v="Premium"/>
    <n v="699"/>
    <n v="10"/>
    <n v="7"/>
    <n v="1"/>
    <n v="25"/>
    <n v="31"/>
    <s v="No"/>
    <s v="No"/>
    <s v="Yes"/>
    <s v="Yes"/>
    <s v="Yes"/>
    <s v="No"/>
    <m/>
    <s v="1+ Failures"/>
    <n v="0"/>
    <s v="5-10 hrs"/>
    <x v="1"/>
  </r>
  <r>
    <n v="2460"/>
    <d v="2024-02-28T00:00:00"/>
    <s v="Basic"/>
    <n v="199"/>
    <n v="11.5"/>
    <n v="7"/>
    <n v="5"/>
    <n v="28"/>
    <n v="60"/>
    <s v="Yes"/>
    <s v="No"/>
    <s v="Yes"/>
    <s v="Yes"/>
    <s v="Yes"/>
    <s v="No"/>
    <m/>
    <s v="1+ Failures"/>
    <n v="1"/>
    <s v="10-20hrs"/>
    <x v="1"/>
  </r>
  <r>
    <n v="2461"/>
    <d v="2024-01-13T00:00:00"/>
    <s v="Basic"/>
    <n v="199"/>
    <n v="3.7"/>
    <n v="8"/>
    <n v="5"/>
    <n v="1"/>
    <n v="45"/>
    <s v="Yes"/>
    <s v="Yes"/>
    <s v="Yes"/>
    <s v="Yes"/>
    <s v="Yes"/>
    <s v="Yes"/>
    <m/>
    <s v="1+ Failures"/>
    <n v="1"/>
    <s v="0-5 hrs"/>
    <x v="2"/>
  </r>
  <r>
    <n v="2462"/>
    <d v="2023-06-27T00:00:00"/>
    <s v="Standard"/>
    <n v="399"/>
    <n v="23.8"/>
    <n v="1"/>
    <n v="4"/>
    <n v="14"/>
    <n v="13"/>
    <s v="No"/>
    <s v="No"/>
    <s v="Yes"/>
    <s v="No"/>
    <s v="No"/>
    <s v="No"/>
    <m/>
    <s v="1+ Failures"/>
    <n v="0"/>
    <s v="20+ hrs"/>
    <x v="1"/>
  </r>
  <r>
    <n v="2463"/>
    <d v="2023-03-06T00:00:00"/>
    <s v="Premium"/>
    <n v="699"/>
    <n v="20.3"/>
    <n v="1"/>
    <n v="5"/>
    <n v="35"/>
    <n v="8"/>
    <s v="Yes"/>
    <s v="No"/>
    <s v="Yes"/>
    <s v="No"/>
    <s v="No"/>
    <s v="No"/>
    <m/>
    <s v="1+ Failures"/>
    <n v="1"/>
    <s v="20+ hrs"/>
    <x v="1"/>
  </r>
  <r>
    <n v="2464"/>
    <d v="2023-03-02T00:00:00"/>
    <s v="Basic"/>
    <n v="199"/>
    <n v="15.4"/>
    <n v="0"/>
    <n v="5"/>
    <n v="13"/>
    <n v="19"/>
    <s v="No"/>
    <s v="No"/>
    <s v="Yes"/>
    <s v="No"/>
    <s v="Yes"/>
    <s v="No"/>
    <m/>
    <s v="1+ Failures"/>
    <n v="0"/>
    <s v="10-20hrs"/>
    <x v="1"/>
  </r>
  <r>
    <n v="2465"/>
    <d v="2023-06-13T00:00:00"/>
    <s v="Standard"/>
    <n v="399"/>
    <n v="22.2"/>
    <n v="8"/>
    <n v="1"/>
    <n v="1"/>
    <n v="26"/>
    <s v="Yes"/>
    <s v="No"/>
    <s v="Yes"/>
    <s v="Yes"/>
    <s v="Yes"/>
    <s v="Yes"/>
    <m/>
    <s v="1+ Failures"/>
    <n v="1"/>
    <s v="20+ hrs"/>
    <x v="2"/>
  </r>
  <r>
    <n v="2466"/>
    <d v="2024-02-18T00:00:00"/>
    <s v="Basic"/>
    <n v="199"/>
    <n v="11.8"/>
    <n v="0"/>
    <n v="4"/>
    <n v="36"/>
    <n v="10"/>
    <s v="No"/>
    <s v="No"/>
    <s v="Yes"/>
    <s v="No"/>
    <s v="No"/>
    <s v="No"/>
    <m/>
    <s v="1+ Failures"/>
    <n v="0"/>
    <s v="10-20hrs"/>
    <x v="1"/>
  </r>
  <r>
    <n v="2467"/>
    <d v="2024-04-20T00:00:00"/>
    <s v="Premium"/>
    <n v="699"/>
    <n v="16.8"/>
    <n v="2"/>
    <n v="1"/>
    <n v="6"/>
    <n v="57"/>
    <s v="No"/>
    <s v="No"/>
    <s v="Yes"/>
    <s v="No"/>
    <s v="Yes"/>
    <s v="No"/>
    <m/>
    <s v="1+ Failures"/>
    <n v="0"/>
    <s v="10-20hrs"/>
    <x v="3"/>
  </r>
  <r>
    <n v="2468"/>
    <d v="2023-05-19T00:00:00"/>
    <s v="Standard"/>
    <n v="399"/>
    <n v="18.8"/>
    <n v="5"/>
    <n v="4"/>
    <n v="17"/>
    <n v="40"/>
    <s v="Yes"/>
    <s v="No"/>
    <s v="Yes"/>
    <s v="Yes"/>
    <s v="Yes"/>
    <s v="No"/>
    <m/>
    <s v="1+ Failures"/>
    <n v="1"/>
    <s v="10-20hrs"/>
    <x v="1"/>
  </r>
  <r>
    <n v="2469"/>
    <d v="2024-06-07T00:00:00"/>
    <s v="Standard"/>
    <n v="399"/>
    <n v="21.6"/>
    <n v="0"/>
    <n v="2"/>
    <n v="10"/>
    <n v="9"/>
    <s v="No"/>
    <s v="No"/>
    <s v="Yes"/>
    <s v="No"/>
    <s v="No"/>
    <s v="No"/>
    <m/>
    <s v="1+ Failures"/>
    <n v="0"/>
    <s v="20+ hrs"/>
    <x v="0"/>
  </r>
  <r>
    <n v="2470"/>
    <d v="2023-02-24T00:00:00"/>
    <s v="Premium"/>
    <n v="699"/>
    <n v="9.9"/>
    <n v="8"/>
    <n v="1"/>
    <n v="30"/>
    <n v="46"/>
    <s v="Yes"/>
    <s v="No"/>
    <s v="Yes"/>
    <s v="Yes"/>
    <s v="Yes"/>
    <s v="No"/>
    <m/>
    <s v="1+ Failures"/>
    <n v="1"/>
    <s v="5-10 hrs"/>
    <x v="1"/>
  </r>
  <r>
    <n v="2471"/>
    <d v="2024-04-13T00:00:00"/>
    <s v="Premium"/>
    <n v="699"/>
    <n v="18.100000000000001"/>
    <n v="1"/>
    <n v="5"/>
    <n v="12"/>
    <n v="30"/>
    <s v="Yes"/>
    <s v="No"/>
    <s v="Yes"/>
    <s v="No"/>
    <s v="Yes"/>
    <s v="No"/>
    <m/>
    <s v="1+ Failures"/>
    <n v="1"/>
    <s v="10-20hrs"/>
    <x v="0"/>
  </r>
  <r>
    <n v="2472"/>
    <d v="2023-07-10T00:00:00"/>
    <s v="Premium"/>
    <n v="699"/>
    <n v="5.4"/>
    <n v="3"/>
    <n v="4"/>
    <n v="14"/>
    <n v="41"/>
    <s v="Yes"/>
    <s v="No"/>
    <s v="Yes"/>
    <s v="No"/>
    <s v="Yes"/>
    <s v="No"/>
    <m/>
    <s v="1+ Failures"/>
    <n v="1"/>
    <s v="5-10 hrs"/>
    <x v="1"/>
  </r>
  <r>
    <n v="2473"/>
    <d v="2023-08-08T00:00:00"/>
    <s v="Basic"/>
    <n v="199"/>
    <n v="5"/>
    <n v="2"/>
    <n v="4"/>
    <n v="21"/>
    <n v="36"/>
    <s v="No"/>
    <s v="No"/>
    <s v="Yes"/>
    <s v="No"/>
    <s v="Yes"/>
    <s v="No"/>
    <m/>
    <s v="1+ Failures"/>
    <n v="0"/>
    <s v="0-5 hrs"/>
    <x v="1"/>
  </r>
  <r>
    <n v="2474"/>
    <d v="2024-11-04T00:00:00"/>
    <s v="Premium"/>
    <n v="699"/>
    <n v="22.1"/>
    <n v="1"/>
    <n v="5"/>
    <n v="27"/>
    <n v="27"/>
    <s v="No"/>
    <s v="No"/>
    <s v="Yes"/>
    <s v="No"/>
    <s v="Yes"/>
    <s v="No"/>
    <m/>
    <s v="1+ Failures"/>
    <n v="0"/>
    <s v="20+ hrs"/>
    <x v="1"/>
  </r>
  <r>
    <n v="2475"/>
    <d v="2023-06-20T00:00:00"/>
    <s v="Premium"/>
    <n v="699"/>
    <n v="16.2"/>
    <n v="3"/>
    <n v="4"/>
    <n v="5"/>
    <n v="35"/>
    <s v="Yes"/>
    <s v="No"/>
    <s v="Yes"/>
    <s v="No"/>
    <s v="Yes"/>
    <s v="Yes"/>
    <m/>
    <s v="1+ Failures"/>
    <n v="1"/>
    <s v="10-20hrs"/>
    <x v="3"/>
  </r>
  <r>
    <n v="2476"/>
    <d v="2023-07-28T00:00:00"/>
    <s v="Standard"/>
    <n v="399"/>
    <n v="17.7"/>
    <n v="3"/>
    <n v="4"/>
    <n v="24"/>
    <n v="54"/>
    <s v="No"/>
    <s v="No"/>
    <s v="Yes"/>
    <s v="No"/>
    <s v="Yes"/>
    <s v="No"/>
    <m/>
    <s v="1+ Failures"/>
    <n v="0"/>
    <s v="10-20hrs"/>
    <x v="1"/>
  </r>
  <r>
    <n v="2477"/>
    <d v="2024-10-22T00:00:00"/>
    <s v="Standard"/>
    <n v="399"/>
    <n v="23.5"/>
    <n v="4"/>
    <n v="3"/>
    <n v="36"/>
    <n v="7"/>
    <s v="Yes"/>
    <s v="No"/>
    <s v="Yes"/>
    <s v="No"/>
    <s v="No"/>
    <s v="No"/>
    <m/>
    <s v="1+ Failures"/>
    <n v="1"/>
    <s v="20+ hrs"/>
    <x v="1"/>
  </r>
  <r>
    <n v="2478"/>
    <d v="2024-08-07T00:00:00"/>
    <s v="Standard"/>
    <n v="399"/>
    <n v="5.9"/>
    <n v="6"/>
    <n v="2"/>
    <n v="32"/>
    <n v="15"/>
    <s v="No"/>
    <s v="No"/>
    <s v="Yes"/>
    <s v="Yes"/>
    <s v="Yes"/>
    <s v="No"/>
    <m/>
    <s v="1+ Failures"/>
    <n v="0"/>
    <s v="5-10 hrs"/>
    <x v="1"/>
  </r>
  <r>
    <n v="2479"/>
    <d v="2023-07-04T00:00:00"/>
    <s v="Standard"/>
    <n v="399"/>
    <n v="21.7"/>
    <n v="7"/>
    <n v="4"/>
    <n v="17"/>
    <n v="45"/>
    <s v="Yes"/>
    <s v="No"/>
    <s v="Yes"/>
    <s v="Yes"/>
    <s v="Yes"/>
    <s v="No"/>
    <m/>
    <s v="1+ Failures"/>
    <n v="1"/>
    <s v="20+ hrs"/>
    <x v="1"/>
  </r>
  <r>
    <n v="2480"/>
    <d v="2023-12-06T00:00:00"/>
    <s v="Standard"/>
    <n v="399"/>
    <n v="0.6"/>
    <n v="2"/>
    <n v="3"/>
    <n v="29"/>
    <n v="4"/>
    <s v="Yes"/>
    <s v="Yes"/>
    <s v="Yes"/>
    <s v="No"/>
    <s v="No"/>
    <s v="No"/>
    <m/>
    <s v="1+ Failures"/>
    <n v="1"/>
    <s v="0-5 hrs"/>
    <x v="1"/>
  </r>
  <r>
    <n v="2481"/>
    <d v="2024-12-25T00:00:00"/>
    <s v="Basic"/>
    <n v="199"/>
    <n v="19.100000000000001"/>
    <n v="7"/>
    <n v="5"/>
    <n v="30"/>
    <n v="7"/>
    <s v="Yes"/>
    <s v="No"/>
    <s v="Yes"/>
    <s v="Yes"/>
    <s v="No"/>
    <s v="No"/>
    <m/>
    <s v="1+ Failures"/>
    <n v="1"/>
    <s v="10-20hrs"/>
    <x v="1"/>
  </r>
  <r>
    <n v="2482"/>
    <d v="2023-01-29T00:00:00"/>
    <s v="Standard"/>
    <n v="399"/>
    <n v="14.7"/>
    <n v="8"/>
    <n v="4"/>
    <n v="9"/>
    <n v="15"/>
    <s v="Yes"/>
    <s v="No"/>
    <s v="Yes"/>
    <s v="Yes"/>
    <s v="Yes"/>
    <s v="No"/>
    <m/>
    <s v="1+ Failures"/>
    <n v="1"/>
    <s v="10-20hrs"/>
    <x v="0"/>
  </r>
  <r>
    <n v="2483"/>
    <d v="2023-02-25T00:00:00"/>
    <s v="Premium"/>
    <n v="699"/>
    <n v="3.8"/>
    <n v="5"/>
    <n v="3"/>
    <n v="7"/>
    <n v="46"/>
    <s v="Yes"/>
    <s v="Yes"/>
    <s v="Yes"/>
    <s v="Yes"/>
    <s v="Yes"/>
    <s v="No"/>
    <m/>
    <s v="1+ Failures"/>
    <n v="1"/>
    <s v="0-5 hrs"/>
    <x v="0"/>
  </r>
  <r>
    <n v="2484"/>
    <d v="2024-09-13T00:00:00"/>
    <s v="Premium"/>
    <n v="699"/>
    <n v="4.7"/>
    <n v="0"/>
    <n v="2"/>
    <n v="13"/>
    <n v="48"/>
    <s v="Yes"/>
    <s v="Yes"/>
    <s v="Yes"/>
    <s v="No"/>
    <s v="Yes"/>
    <s v="No"/>
    <m/>
    <s v="1+ Failures"/>
    <n v="1"/>
    <s v="0-5 hrs"/>
    <x v="1"/>
  </r>
  <r>
    <n v="2485"/>
    <d v="2023-08-04T00:00:00"/>
    <s v="Premium"/>
    <n v="699"/>
    <n v="13.2"/>
    <n v="8"/>
    <n v="4"/>
    <n v="30"/>
    <n v="28"/>
    <s v="Yes"/>
    <s v="No"/>
    <s v="Yes"/>
    <s v="Yes"/>
    <s v="Yes"/>
    <s v="No"/>
    <m/>
    <s v="1+ Failures"/>
    <n v="1"/>
    <s v="10-20hrs"/>
    <x v="1"/>
  </r>
  <r>
    <n v="2486"/>
    <d v="2024-02-08T00:00:00"/>
    <s v="Premium"/>
    <n v="699"/>
    <n v="16.899999999999999"/>
    <n v="5"/>
    <n v="1"/>
    <n v="24"/>
    <n v="15"/>
    <s v="No"/>
    <s v="No"/>
    <s v="Yes"/>
    <s v="Yes"/>
    <s v="Yes"/>
    <s v="No"/>
    <m/>
    <s v="1+ Failures"/>
    <n v="0"/>
    <s v="10-20hrs"/>
    <x v="1"/>
  </r>
  <r>
    <n v="2487"/>
    <d v="2024-10-22T00:00:00"/>
    <s v="Basic"/>
    <n v="199"/>
    <n v="5.4"/>
    <n v="4"/>
    <n v="2"/>
    <n v="3"/>
    <n v="15"/>
    <s v="No"/>
    <s v="No"/>
    <s v="Yes"/>
    <s v="No"/>
    <s v="Yes"/>
    <s v="Yes"/>
    <m/>
    <s v="1+ Failures"/>
    <n v="0"/>
    <s v="5-10 hrs"/>
    <x v="2"/>
  </r>
  <r>
    <n v="2488"/>
    <d v="2023-08-04T00:00:00"/>
    <s v="Basic"/>
    <n v="199"/>
    <n v="3.2"/>
    <n v="1"/>
    <n v="2"/>
    <n v="21"/>
    <n v="53"/>
    <s v="No"/>
    <s v="Yes"/>
    <s v="Yes"/>
    <s v="No"/>
    <s v="Yes"/>
    <s v="No"/>
    <m/>
    <s v="1+ Failures"/>
    <n v="0"/>
    <s v="0-5 hrs"/>
    <x v="1"/>
  </r>
  <r>
    <n v="2489"/>
    <d v="2024-08-23T00:00:00"/>
    <s v="Premium"/>
    <n v="699"/>
    <n v="1.1000000000000001"/>
    <n v="2"/>
    <n v="5"/>
    <n v="6"/>
    <n v="36"/>
    <s v="Yes"/>
    <s v="Yes"/>
    <s v="Yes"/>
    <s v="No"/>
    <s v="Yes"/>
    <s v="No"/>
    <m/>
    <s v="1+ Failures"/>
    <n v="1"/>
    <s v="0-5 hrs"/>
    <x v="3"/>
  </r>
  <r>
    <n v="2490"/>
    <d v="2024-10-31T00:00:00"/>
    <s v="Premium"/>
    <n v="699"/>
    <n v="16.8"/>
    <n v="1"/>
    <n v="2"/>
    <n v="23"/>
    <n v="12"/>
    <s v="No"/>
    <s v="No"/>
    <s v="Yes"/>
    <s v="No"/>
    <s v="No"/>
    <s v="No"/>
    <m/>
    <s v="1+ Failures"/>
    <n v="0"/>
    <s v="10-20hrs"/>
    <x v="1"/>
  </r>
  <r>
    <n v="2491"/>
    <d v="2024-04-26T00:00:00"/>
    <s v="Premium"/>
    <n v="699"/>
    <n v="5.2"/>
    <n v="3"/>
    <n v="0"/>
    <n v="33"/>
    <n v="36"/>
    <s v="No"/>
    <s v="No"/>
    <s v="No"/>
    <s v="No"/>
    <s v="Yes"/>
    <s v="No"/>
    <m/>
    <s v="0 Failures"/>
    <n v="0"/>
    <s v="5-10 hrs"/>
    <x v="1"/>
  </r>
  <r>
    <n v="2492"/>
    <d v="2023-05-29T00:00:00"/>
    <s v="Basic"/>
    <n v="199"/>
    <n v="17.3"/>
    <n v="7"/>
    <n v="0"/>
    <n v="14"/>
    <n v="38"/>
    <s v="No"/>
    <s v="No"/>
    <s v="No"/>
    <s v="Yes"/>
    <s v="Yes"/>
    <s v="No"/>
    <m/>
    <s v="0 Failures"/>
    <n v="0"/>
    <s v="10-20hrs"/>
    <x v="1"/>
  </r>
  <r>
    <n v="2493"/>
    <d v="2024-12-04T00:00:00"/>
    <s v="Standard"/>
    <n v="399"/>
    <n v="16"/>
    <n v="2"/>
    <n v="0"/>
    <n v="4"/>
    <n v="13"/>
    <s v="No"/>
    <s v="No"/>
    <s v="No"/>
    <s v="No"/>
    <s v="No"/>
    <s v="Yes"/>
    <m/>
    <s v="0 Failures"/>
    <n v="0"/>
    <s v="10-20hrs"/>
    <x v="3"/>
  </r>
  <r>
    <n v="2494"/>
    <d v="2024-11-20T00:00:00"/>
    <s v="Premium"/>
    <n v="699"/>
    <n v="10.5"/>
    <n v="2"/>
    <n v="0"/>
    <n v="30"/>
    <n v="7"/>
    <s v="No"/>
    <s v="No"/>
    <s v="No"/>
    <s v="No"/>
    <s v="No"/>
    <s v="No"/>
    <m/>
    <s v="0 Failures"/>
    <n v="0"/>
    <s v="10-20hrs"/>
    <x v="1"/>
  </r>
  <r>
    <n v="2495"/>
    <d v="2023-02-12T00:00:00"/>
    <s v="Basic"/>
    <n v="199"/>
    <n v="3.3"/>
    <n v="6"/>
    <n v="0"/>
    <n v="8"/>
    <n v="8"/>
    <s v="No"/>
    <s v="Yes"/>
    <s v="No"/>
    <s v="Yes"/>
    <s v="No"/>
    <s v="No"/>
    <m/>
    <s v="0 Failures"/>
    <n v="0"/>
    <s v="0-5 hrs"/>
    <x v="0"/>
  </r>
  <r>
    <n v="2496"/>
    <d v="2024-03-24T00:00:00"/>
    <s v="Basic"/>
    <n v="199"/>
    <n v="11.4"/>
    <n v="5"/>
    <n v="5"/>
    <n v="3"/>
    <n v="47"/>
    <s v="No"/>
    <s v="No"/>
    <s v="Yes"/>
    <s v="Yes"/>
    <s v="Yes"/>
    <s v="Yes"/>
    <m/>
    <s v="1+ Failures"/>
    <n v="0"/>
    <s v="10-20hrs"/>
    <x v="2"/>
  </r>
  <r>
    <n v="2497"/>
    <d v="2024-03-17T00:00:00"/>
    <s v="Basic"/>
    <n v="199"/>
    <n v="23.2"/>
    <n v="3"/>
    <n v="0"/>
    <n v="13"/>
    <n v="18"/>
    <s v="No"/>
    <s v="No"/>
    <s v="No"/>
    <s v="No"/>
    <s v="Yes"/>
    <s v="No"/>
    <m/>
    <s v="0 Failures"/>
    <n v="0"/>
    <s v="20+ hrs"/>
    <x v="1"/>
  </r>
  <r>
    <n v="2498"/>
    <d v="2024-11-12T00:00:00"/>
    <s v="Standard"/>
    <n v="399"/>
    <n v="5.6"/>
    <n v="0"/>
    <n v="5"/>
    <n v="22"/>
    <n v="11"/>
    <s v="No"/>
    <s v="No"/>
    <s v="Yes"/>
    <s v="No"/>
    <s v="No"/>
    <s v="No"/>
    <m/>
    <s v="1+ Failures"/>
    <n v="0"/>
    <s v="5-10 hrs"/>
    <x v="1"/>
  </r>
  <r>
    <n v="2499"/>
    <d v="2023-01-24T00:00:00"/>
    <s v="Standard"/>
    <n v="399"/>
    <n v="3"/>
    <n v="4"/>
    <n v="1"/>
    <n v="34"/>
    <n v="6"/>
    <s v="Yes"/>
    <s v="Yes"/>
    <s v="Yes"/>
    <s v="No"/>
    <s v="No"/>
    <s v="No"/>
    <m/>
    <s v="1+ Failures"/>
    <n v="1"/>
    <s v="0-5 hrs"/>
    <x v="1"/>
  </r>
  <r>
    <n v="2500"/>
    <d v="2024-11-11T00:00:00"/>
    <s v="Premium"/>
    <n v="699"/>
    <n v="15.8"/>
    <n v="2"/>
    <n v="2"/>
    <n v="26"/>
    <n v="55"/>
    <s v="Yes"/>
    <s v="No"/>
    <s v="Yes"/>
    <s v="No"/>
    <s v="Yes"/>
    <s v="No"/>
    <m/>
    <s v="1+ Failures"/>
    <n v="1"/>
    <s v="10-20hrs"/>
    <x v="1"/>
  </r>
  <r>
    <n v="2501"/>
    <d v="2024-08-28T00:00:00"/>
    <s v="Standard"/>
    <n v="399"/>
    <n v="4.2"/>
    <n v="4"/>
    <n v="3"/>
    <n v="9"/>
    <n v="8"/>
    <s v="Yes"/>
    <s v="Yes"/>
    <s v="Yes"/>
    <s v="No"/>
    <s v="No"/>
    <s v="No"/>
    <m/>
    <s v="1+ Failures"/>
    <n v="1"/>
    <s v="0-5 hrs"/>
    <x v="0"/>
  </r>
  <r>
    <n v="2502"/>
    <d v="2023-03-09T00:00:00"/>
    <s v="Basic"/>
    <n v="199"/>
    <n v="24.9"/>
    <n v="5"/>
    <n v="5"/>
    <n v="24"/>
    <n v="24"/>
    <s v="No"/>
    <s v="No"/>
    <s v="Yes"/>
    <s v="Yes"/>
    <s v="Yes"/>
    <s v="No"/>
    <m/>
    <s v="1+ Failures"/>
    <n v="0"/>
    <s v="20+ hrs"/>
    <x v="1"/>
  </r>
  <r>
    <n v="2503"/>
    <d v="2023-12-20T00:00:00"/>
    <s v="Premium"/>
    <n v="699"/>
    <n v="20.2"/>
    <n v="3"/>
    <n v="5"/>
    <n v="1"/>
    <n v="42"/>
    <s v="Yes"/>
    <s v="No"/>
    <s v="Yes"/>
    <s v="No"/>
    <s v="Yes"/>
    <s v="Yes"/>
    <m/>
    <s v="1+ Failures"/>
    <n v="1"/>
    <s v="20+ hrs"/>
    <x v="2"/>
  </r>
  <r>
    <n v="2504"/>
    <d v="2023-10-10T00:00:00"/>
    <s v="Basic"/>
    <n v="199"/>
    <n v="20.7"/>
    <n v="1"/>
    <n v="1"/>
    <n v="32"/>
    <n v="29"/>
    <s v="Yes"/>
    <s v="No"/>
    <s v="Yes"/>
    <s v="No"/>
    <s v="Yes"/>
    <s v="No"/>
    <m/>
    <s v="1+ Failures"/>
    <n v="1"/>
    <s v="20+ hrs"/>
    <x v="1"/>
  </r>
  <r>
    <n v="2505"/>
    <d v="2023-11-11T00:00:00"/>
    <s v="Basic"/>
    <n v="199"/>
    <n v="23.4"/>
    <n v="8"/>
    <n v="2"/>
    <n v="28"/>
    <n v="34"/>
    <s v="Yes"/>
    <s v="No"/>
    <s v="Yes"/>
    <s v="Yes"/>
    <s v="Yes"/>
    <s v="No"/>
    <m/>
    <s v="1+ Failures"/>
    <n v="1"/>
    <s v="20+ hrs"/>
    <x v="1"/>
  </r>
  <r>
    <n v="2506"/>
    <d v="2023-06-09T00:00:00"/>
    <s v="Basic"/>
    <n v="199"/>
    <n v="21.2"/>
    <n v="4"/>
    <n v="0"/>
    <n v="14"/>
    <n v="56"/>
    <s v="No"/>
    <s v="No"/>
    <s v="No"/>
    <s v="No"/>
    <s v="Yes"/>
    <s v="No"/>
    <m/>
    <s v="0 Failures"/>
    <n v="0"/>
    <s v="20+ hrs"/>
    <x v="1"/>
  </r>
  <r>
    <n v="2507"/>
    <d v="2023-06-15T00:00:00"/>
    <s v="Basic"/>
    <n v="199"/>
    <n v="24.8"/>
    <n v="0"/>
    <n v="3"/>
    <n v="10"/>
    <n v="7"/>
    <s v="No"/>
    <s v="No"/>
    <s v="Yes"/>
    <s v="No"/>
    <s v="No"/>
    <s v="No"/>
    <m/>
    <s v="1+ Failures"/>
    <n v="0"/>
    <s v="20+ hrs"/>
    <x v="0"/>
  </r>
  <r>
    <n v="2508"/>
    <d v="2023-03-04T00:00:00"/>
    <s v="Standard"/>
    <n v="399"/>
    <n v="14.2"/>
    <n v="4"/>
    <n v="0"/>
    <n v="15"/>
    <n v="10"/>
    <s v="No"/>
    <s v="No"/>
    <s v="No"/>
    <s v="No"/>
    <s v="No"/>
    <s v="No"/>
    <m/>
    <s v="0 Failures"/>
    <n v="0"/>
    <s v="10-20hrs"/>
    <x v="1"/>
  </r>
  <r>
    <n v="2509"/>
    <d v="2023-10-16T00:00:00"/>
    <s v="Standard"/>
    <n v="399"/>
    <n v="11.1"/>
    <n v="0"/>
    <n v="3"/>
    <n v="6"/>
    <n v="14"/>
    <s v="Yes"/>
    <s v="No"/>
    <s v="Yes"/>
    <s v="No"/>
    <s v="No"/>
    <s v="No"/>
    <m/>
    <s v="1+ Failures"/>
    <n v="1"/>
    <s v="10-20hrs"/>
    <x v="3"/>
  </r>
  <r>
    <n v="2510"/>
    <d v="2024-10-08T00:00:00"/>
    <s v="Premium"/>
    <n v="699"/>
    <n v="8.9"/>
    <n v="4"/>
    <n v="1"/>
    <n v="7"/>
    <n v="52"/>
    <s v="No"/>
    <s v="No"/>
    <s v="Yes"/>
    <s v="No"/>
    <s v="Yes"/>
    <s v="No"/>
    <m/>
    <s v="1+ Failures"/>
    <n v="0"/>
    <s v="5-10 hrs"/>
    <x v="0"/>
  </r>
  <r>
    <n v="2511"/>
    <d v="2023-01-18T00:00:00"/>
    <s v="Premium"/>
    <n v="699"/>
    <n v="5.9"/>
    <n v="4"/>
    <n v="0"/>
    <n v="1"/>
    <n v="15"/>
    <s v="Yes"/>
    <s v="No"/>
    <s v="No"/>
    <s v="No"/>
    <s v="Yes"/>
    <s v="Yes"/>
    <m/>
    <s v="0 Failures"/>
    <n v="1"/>
    <s v="5-10 hrs"/>
    <x v="2"/>
  </r>
  <r>
    <n v="2512"/>
    <d v="2024-10-17T00:00:00"/>
    <s v="Premium"/>
    <n v="699"/>
    <n v="22.7"/>
    <n v="6"/>
    <n v="3"/>
    <n v="24"/>
    <n v="36"/>
    <s v="No"/>
    <s v="No"/>
    <s v="Yes"/>
    <s v="Yes"/>
    <s v="Yes"/>
    <s v="No"/>
    <m/>
    <s v="1+ Failures"/>
    <n v="0"/>
    <s v="20+ hrs"/>
    <x v="1"/>
  </r>
  <r>
    <n v="2513"/>
    <d v="2024-08-27T00:00:00"/>
    <s v="Standard"/>
    <n v="399"/>
    <n v="10.9"/>
    <n v="4"/>
    <n v="4"/>
    <n v="24"/>
    <n v="4"/>
    <s v="Yes"/>
    <s v="No"/>
    <s v="Yes"/>
    <s v="No"/>
    <s v="No"/>
    <s v="No"/>
    <m/>
    <s v="1+ Failures"/>
    <n v="1"/>
    <s v="10-20hrs"/>
    <x v="1"/>
  </r>
  <r>
    <n v="2514"/>
    <d v="2024-05-06T00:00:00"/>
    <s v="Premium"/>
    <n v="699"/>
    <n v="9.6"/>
    <n v="6"/>
    <n v="1"/>
    <n v="23"/>
    <n v="60"/>
    <s v="Yes"/>
    <s v="No"/>
    <s v="Yes"/>
    <s v="Yes"/>
    <s v="Yes"/>
    <s v="No"/>
    <m/>
    <s v="1+ Failures"/>
    <n v="1"/>
    <s v="5-10 hrs"/>
    <x v="1"/>
  </r>
  <r>
    <n v="2515"/>
    <d v="2023-02-15T00:00:00"/>
    <s v="Basic"/>
    <n v="199"/>
    <n v="21"/>
    <n v="4"/>
    <n v="3"/>
    <n v="9"/>
    <n v="27"/>
    <s v="Yes"/>
    <s v="No"/>
    <s v="Yes"/>
    <s v="No"/>
    <s v="Yes"/>
    <s v="No"/>
    <m/>
    <s v="1+ Failures"/>
    <n v="1"/>
    <s v="20+ hrs"/>
    <x v="0"/>
  </r>
  <r>
    <n v="2516"/>
    <d v="2024-02-27T00:00:00"/>
    <s v="Premium"/>
    <n v="699"/>
    <n v="19.3"/>
    <n v="8"/>
    <n v="0"/>
    <n v="4"/>
    <n v="2"/>
    <s v="Yes"/>
    <s v="No"/>
    <s v="No"/>
    <s v="Yes"/>
    <s v="No"/>
    <s v="Yes"/>
    <m/>
    <s v="0 Failures"/>
    <n v="1"/>
    <s v="10-20hrs"/>
    <x v="3"/>
  </r>
  <r>
    <n v="2517"/>
    <d v="2024-05-15T00:00:00"/>
    <s v="Premium"/>
    <n v="699"/>
    <n v="3"/>
    <n v="6"/>
    <n v="2"/>
    <n v="15"/>
    <n v="48"/>
    <s v="Yes"/>
    <s v="Yes"/>
    <s v="Yes"/>
    <s v="Yes"/>
    <s v="Yes"/>
    <s v="No"/>
    <m/>
    <s v="1+ Failures"/>
    <n v="1"/>
    <s v="0-5 hrs"/>
    <x v="1"/>
  </r>
  <r>
    <n v="2518"/>
    <d v="2024-11-17T00:00:00"/>
    <s v="Basic"/>
    <n v="199"/>
    <n v="13.1"/>
    <n v="8"/>
    <n v="0"/>
    <n v="28"/>
    <n v="33"/>
    <s v="Yes"/>
    <s v="No"/>
    <s v="No"/>
    <s v="Yes"/>
    <s v="Yes"/>
    <s v="No"/>
    <m/>
    <s v="0 Failures"/>
    <n v="1"/>
    <s v="10-20hrs"/>
    <x v="1"/>
  </r>
  <r>
    <n v="2519"/>
    <d v="2024-12-22T00:00:00"/>
    <s v="Standard"/>
    <n v="399"/>
    <n v="3.1"/>
    <n v="0"/>
    <n v="5"/>
    <n v="29"/>
    <n v="6"/>
    <s v="No"/>
    <s v="Yes"/>
    <s v="Yes"/>
    <s v="No"/>
    <s v="No"/>
    <s v="No"/>
    <m/>
    <s v="1+ Failures"/>
    <n v="0"/>
    <s v="0-5 hrs"/>
    <x v="1"/>
  </r>
  <r>
    <n v="2520"/>
    <d v="2023-09-10T00:00:00"/>
    <s v="Basic"/>
    <n v="199"/>
    <n v="2.6"/>
    <n v="8"/>
    <n v="0"/>
    <n v="30"/>
    <n v="26"/>
    <s v="Yes"/>
    <s v="Yes"/>
    <s v="No"/>
    <s v="Yes"/>
    <s v="Yes"/>
    <s v="No"/>
    <m/>
    <s v="0 Failures"/>
    <n v="1"/>
    <s v="0-5 hrs"/>
    <x v="1"/>
  </r>
  <r>
    <n v="2521"/>
    <d v="2023-10-22T00:00:00"/>
    <s v="Basic"/>
    <n v="199"/>
    <n v="18"/>
    <n v="5"/>
    <n v="0"/>
    <n v="30"/>
    <n v="3"/>
    <s v="No"/>
    <s v="No"/>
    <s v="No"/>
    <s v="Yes"/>
    <s v="No"/>
    <s v="No"/>
    <m/>
    <s v="0 Failures"/>
    <n v="0"/>
    <s v="10-20hrs"/>
    <x v="1"/>
  </r>
  <r>
    <n v="2522"/>
    <d v="2023-06-29T00:00:00"/>
    <s v="Standard"/>
    <n v="399"/>
    <n v="23.9"/>
    <n v="7"/>
    <n v="2"/>
    <n v="34"/>
    <n v="12"/>
    <s v="No"/>
    <s v="No"/>
    <s v="Yes"/>
    <s v="Yes"/>
    <s v="No"/>
    <s v="No"/>
    <m/>
    <s v="1+ Failures"/>
    <n v="0"/>
    <s v="20+ hrs"/>
    <x v="1"/>
  </r>
  <r>
    <n v="2523"/>
    <d v="2024-06-24T00:00:00"/>
    <s v="Basic"/>
    <n v="199"/>
    <n v="1.1000000000000001"/>
    <n v="6"/>
    <n v="1"/>
    <n v="13"/>
    <n v="22"/>
    <s v="Yes"/>
    <s v="Yes"/>
    <s v="Yes"/>
    <s v="Yes"/>
    <s v="Yes"/>
    <s v="No"/>
    <m/>
    <s v="1+ Failures"/>
    <n v="1"/>
    <s v="0-5 hrs"/>
    <x v="1"/>
  </r>
  <r>
    <n v="2524"/>
    <d v="2023-07-29T00:00:00"/>
    <s v="Premium"/>
    <n v="699"/>
    <n v="11.4"/>
    <n v="6"/>
    <n v="4"/>
    <n v="23"/>
    <n v="16"/>
    <s v="Yes"/>
    <s v="No"/>
    <s v="Yes"/>
    <s v="Yes"/>
    <s v="Yes"/>
    <s v="No"/>
    <m/>
    <s v="1+ Failures"/>
    <n v="1"/>
    <s v="10-20hrs"/>
    <x v="1"/>
  </r>
  <r>
    <n v="2525"/>
    <d v="2023-07-25T00:00:00"/>
    <s v="Basic"/>
    <n v="199"/>
    <n v="0.6"/>
    <n v="3"/>
    <n v="5"/>
    <n v="36"/>
    <n v="51"/>
    <s v="No"/>
    <s v="Yes"/>
    <s v="Yes"/>
    <s v="No"/>
    <s v="Yes"/>
    <s v="No"/>
    <m/>
    <s v="1+ Failures"/>
    <n v="0"/>
    <s v="0-5 hrs"/>
    <x v="1"/>
  </r>
  <r>
    <n v="2526"/>
    <d v="2024-02-08T00:00:00"/>
    <s v="Premium"/>
    <n v="699"/>
    <n v="4.3"/>
    <n v="7"/>
    <n v="2"/>
    <n v="26"/>
    <n v="53"/>
    <s v="Yes"/>
    <s v="Yes"/>
    <s v="Yes"/>
    <s v="Yes"/>
    <s v="Yes"/>
    <s v="No"/>
    <m/>
    <s v="1+ Failures"/>
    <n v="1"/>
    <s v="0-5 hrs"/>
    <x v="1"/>
  </r>
  <r>
    <n v="2527"/>
    <d v="2024-12-17T00:00:00"/>
    <s v="Standard"/>
    <n v="399"/>
    <n v="2.4"/>
    <n v="1"/>
    <n v="4"/>
    <n v="10"/>
    <n v="15"/>
    <s v="No"/>
    <s v="Yes"/>
    <s v="Yes"/>
    <s v="No"/>
    <s v="Yes"/>
    <s v="No"/>
    <m/>
    <s v="1+ Failures"/>
    <n v="0"/>
    <s v="0-5 hrs"/>
    <x v="0"/>
  </r>
  <r>
    <n v="2528"/>
    <d v="2023-11-15T00:00:00"/>
    <s v="Standard"/>
    <n v="399"/>
    <n v="1.3"/>
    <n v="4"/>
    <n v="3"/>
    <n v="2"/>
    <n v="26"/>
    <s v="Yes"/>
    <s v="Yes"/>
    <s v="Yes"/>
    <s v="No"/>
    <s v="Yes"/>
    <s v="Yes"/>
    <m/>
    <s v="1+ Failures"/>
    <n v="1"/>
    <s v="0-5 hrs"/>
    <x v="2"/>
  </r>
  <r>
    <n v="2529"/>
    <d v="2024-11-13T00:00:00"/>
    <s v="Standard"/>
    <n v="399"/>
    <n v="19"/>
    <n v="1"/>
    <n v="0"/>
    <n v="2"/>
    <n v="28"/>
    <s v="No"/>
    <s v="No"/>
    <s v="No"/>
    <s v="No"/>
    <s v="Yes"/>
    <s v="Yes"/>
    <m/>
    <s v="0 Failures"/>
    <n v="0"/>
    <s v="10-20hrs"/>
    <x v="2"/>
  </r>
  <r>
    <n v="2530"/>
    <d v="2024-08-22T00:00:00"/>
    <s v="Standard"/>
    <n v="399"/>
    <n v="22.9"/>
    <n v="0"/>
    <n v="0"/>
    <n v="8"/>
    <n v="47"/>
    <s v="No"/>
    <s v="No"/>
    <s v="No"/>
    <s v="No"/>
    <s v="Yes"/>
    <s v="No"/>
    <m/>
    <s v="0 Failures"/>
    <n v="0"/>
    <s v="20+ hrs"/>
    <x v="0"/>
  </r>
  <r>
    <n v="2531"/>
    <d v="2024-12-17T00:00:00"/>
    <s v="Basic"/>
    <n v="199"/>
    <n v="19.3"/>
    <n v="8"/>
    <n v="0"/>
    <n v="35"/>
    <n v="52"/>
    <s v="No"/>
    <s v="No"/>
    <s v="No"/>
    <s v="Yes"/>
    <s v="Yes"/>
    <s v="No"/>
    <m/>
    <s v="0 Failures"/>
    <n v="0"/>
    <s v="10-20hrs"/>
    <x v="1"/>
  </r>
  <r>
    <n v="2532"/>
    <d v="2023-03-09T00:00:00"/>
    <s v="Premium"/>
    <n v="699"/>
    <n v="14.6"/>
    <n v="5"/>
    <n v="1"/>
    <n v="18"/>
    <n v="42"/>
    <s v="No"/>
    <s v="No"/>
    <s v="Yes"/>
    <s v="Yes"/>
    <s v="Yes"/>
    <s v="No"/>
    <m/>
    <s v="1+ Failures"/>
    <n v="0"/>
    <s v="10-20hrs"/>
    <x v="1"/>
  </r>
  <r>
    <n v="2533"/>
    <d v="2024-10-24T00:00:00"/>
    <s v="Standard"/>
    <n v="399"/>
    <n v="1.5"/>
    <n v="8"/>
    <n v="0"/>
    <n v="12"/>
    <n v="51"/>
    <s v="Yes"/>
    <s v="Yes"/>
    <s v="No"/>
    <s v="Yes"/>
    <s v="Yes"/>
    <s v="No"/>
    <m/>
    <s v="0 Failures"/>
    <n v="1"/>
    <s v="0-5 hrs"/>
    <x v="0"/>
  </r>
  <r>
    <n v="2534"/>
    <d v="2024-10-16T00:00:00"/>
    <s v="Premium"/>
    <n v="699"/>
    <n v="23.3"/>
    <n v="6"/>
    <n v="4"/>
    <n v="32"/>
    <n v="33"/>
    <s v="No"/>
    <s v="No"/>
    <s v="Yes"/>
    <s v="Yes"/>
    <s v="Yes"/>
    <s v="No"/>
    <m/>
    <s v="1+ Failures"/>
    <n v="0"/>
    <s v="20+ hrs"/>
    <x v="1"/>
  </r>
  <r>
    <n v="2535"/>
    <d v="2024-01-27T00:00:00"/>
    <s v="Basic"/>
    <n v="199"/>
    <n v="5.4"/>
    <n v="7"/>
    <n v="5"/>
    <n v="5"/>
    <n v="7"/>
    <s v="No"/>
    <s v="No"/>
    <s v="Yes"/>
    <s v="Yes"/>
    <s v="No"/>
    <s v="Yes"/>
    <m/>
    <s v="1+ Failures"/>
    <n v="0"/>
    <s v="5-10 hrs"/>
    <x v="3"/>
  </r>
  <r>
    <n v="2536"/>
    <d v="2023-04-12T00:00:00"/>
    <s v="Premium"/>
    <n v="699"/>
    <n v="18.899999999999999"/>
    <n v="1"/>
    <n v="3"/>
    <n v="36"/>
    <n v="58"/>
    <s v="Yes"/>
    <s v="No"/>
    <s v="Yes"/>
    <s v="No"/>
    <s v="Yes"/>
    <s v="No"/>
    <m/>
    <s v="1+ Failures"/>
    <n v="1"/>
    <s v="10-20hrs"/>
    <x v="1"/>
  </r>
  <r>
    <n v="2537"/>
    <d v="2023-09-12T00:00:00"/>
    <s v="Basic"/>
    <n v="199"/>
    <n v="12.4"/>
    <n v="0"/>
    <n v="3"/>
    <n v="14"/>
    <n v="30"/>
    <s v="Yes"/>
    <s v="No"/>
    <s v="Yes"/>
    <s v="No"/>
    <s v="Yes"/>
    <s v="No"/>
    <m/>
    <s v="1+ Failures"/>
    <n v="1"/>
    <s v="10-20hrs"/>
    <x v="1"/>
  </r>
  <r>
    <n v="2538"/>
    <d v="2024-06-11T00:00:00"/>
    <s v="Basic"/>
    <n v="199"/>
    <n v="19.2"/>
    <n v="6"/>
    <n v="1"/>
    <n v="12"/>
    <n v="13"/>
    <s v="No"/>
    <s v="No"/>
    <s v="Yes"/>
    <s v="Yes"/>
    <s v="No"/>
    <s v="No"/>
    <m/>
    <s v="1+ Failures"/>
    <n v="0"/>
    <s v="10-20hrs"/>
    <x v="0"/>
  </r>
  <r>
    <n v="2539"/>
    <d v="2023-03-10T00:00:00"/>
    <s v="Premium"/>
    <n v="699"/>
    <n v="14.8"/>
    <n v="1"/>
    <n v="4"/>
    <n v="19"/>
    <n v="28"/>
    <s v="No"/>
    <s v="No"/>
    <s v="Yes"/>
    <s v="No"/>
    <s v="Yes"/>
    <s v="No"/>
    <m/>
    <s v="1+ Failures"/>
    <n v="0"/>
    <s v="10-20hrs"/>
    <x v="1"/>
  </r>
  <r>
    <n v="2540"/>
    <d v="2024-04-23T00:00:00"/>
    <s v="Premium"/>
    <n v="699"/>
    <n v="4.5"/>
    <n v="6"/>
    <n v="5"/>
    <n v="17"/>
    <n v="8"/>
    <s v="Yes"/>
    <s v="Yes"/>
    <s v="Yes"/>
    <s v="Yes"/>
    <s v="No"/>
    <s v="No"/>
    <m/>
    <s v="1+ Failures"/>
    <n v="1"/>
    <s v="0-5 hrs"/>
    <x v="1"/>
  </r>
  <r>
    <n v="2541"/>
    <d v="2023-02-26T00:00:00"/>
    <s v="Basic"/>
    <n v="199"/>
    <n v="11.8"/>
    <n v="8"/>
    <n v="1"/>
    <n v="33"/>
    <n v="6"/>
    <s v="Yes"/>
    <s v="No"/>
    <s v="Yes"/>
    <s v="Yes"/>
    <s v="No"/>
    <s v="No"/>
    <m/>
    <s v="1+ Failures"/>
    <n v="1"/>
    <s v="10-20hrs"/>
    <x v="1"/>
  </r>
  <r>
    <n v="2542"/>
    <d v="2024-07-12T00:00:00"/>
    <s v="Basic"/>
    <n v="199"/>
    <n v="16"/>
    <n v="4"/>
    <n v="0"/>
    <n v="2"/>
    <n v="54"/>
    <s v="No"/>
    <s v="No"/>
    <s v="No"/>
    <s v="No"/>
    <s v="Yes"/>
    <s v="Yes"/>
    <m/>
    <s v="0 Failures"/>
    <n v="0"/>
    <s v="10-20hrs"/>
    <x v="2"/>
  </r>
  <r>
    <n v="2543"/>
    <d v="2024-08-21T00:00:00"/>
    <s v="Basic"/>
    <n v="199"/>
    <n v="9.5"/>
    <n v="8"/>
    <n v="4"/>
    <n v="16"/>
    <n v="32"/>
    <s v="No"/>
    <s v="No"/>
    <s v="Yes"/>
    <s v="Yes"/>
    <s v="Yes"/>
    <s v="No"/>
    <m/>
    <s v="1+ Failures"/>
    <n v="0"/>
    <s v="5-10 hrs"/>
    <x v="1"/>
  </r>
  <r>
    <n v="2544"/>
    <d v="2024-07-04T00:00:00"/>
    <s v="Standard"/>
    <n v="399"/>
    <n v="22.5"/>
    <n v="1"/>
    <n v="3"/>
    <n v="10"/>
    <n v="1"/>
    <s v="No"/>
    <s v="No"/>
    <s v="Yes"/>
    <s v="No"/>
    <s v="No"/>
    <s v="No"/>
    <m/>
    <s v="1+ Failures"/>
    <n v="0"/>
    <s v="20+ hrs"/>
    <x v="0"/>
  </r>
  <r>
    <n v="2545"/>
    <d v="2023-03-14T00:00:00"/>
    <s v="Premium"/>
    <n v="699"/>
    <n v="23.2"/>
    <n v="8"/>
    <n v="0"/>
    <n v="19"/>
    <n v="52"/>
    <s v="No"/>
    <s v="No"/>
    <s v="No"/>
    <s v="Yes"/>
    <s v="Yes"/>
    <s v="No"/>
    <m/>
    <s v="0 Failures"/>
    <n v="0"/>
    <s v="20+ hrs"/>
    <x v="1"/>
  </r>
  <r>
    <n v="2546"/>
    <d v="2023-05-04T00:00:00"/>
    <s v="Premium"/>
    <n v="699"/>
    <n v="22.4"/>
    <n v="4"/>
    <n v="4"/>
    <n v="26"/>
    <n v="8"/>
    <s v="Yes"/>
    <s v="No"/>
    <s v="Yes"/>
    <s v="No"/>
    <s v="No"/>
    <s v="No"/>
    <m/>
    <s v="1+ Failures"/>
    <n v="1"/>
    <s v="20+ hrs"/>
    <x v="1"/>
  </r>
  <r>
    <n v="2547"/>
    <d v="2024-01-18T00:00:00"/>
    <s v="Standard"/>
    <n v="399"/>
    <n v="13.3"/>
    <n v="3"/>
    <n v="4"/>
    <n v="23"/>
    <n v="28"/>
    <s v="No"/>
    <s v="No"/>
    <s v="Yes"/>
    <s v="No"/>
    <s v="Yes"/>
    <s v="No"/>
    <m/>
    <s v="1+ Failures"/>
    <n v="0"/>
    <s v="10-20hrs"/>
    <x v="1"/>
  </r>
  <r>
    <n v="2548"/>
    <d v="2024-03-04T00:00:00"/>
    <s v="Standard"/>
    <n v="399"/>
    <n v="13.7"/>
    <n v="0"/>
    <n v="0"/>
    <n v="1"/>
    <n v="16"/>
    <s v="No"/>
    <s v="No"/>
    <s v="No"/>
    <s v="No"/>
    <s v="Yes"/>
    <s v="Yes"/>
    <m/>
    <s v="0 Failures"/>
    <n v="0"/>
    <s v="10-20hrs"/>
    <x v="2"/>
  </r>
  <r>
    <n v="2549"/>
    <d v="2024-07-30T00:00:00"/>
    <s v="Standard"/>
    <n v="399"/>
    <n v="12.1"/>
    <n v="1"/>
    <n v="1"/>
    <n v="21"/>
    <n v="53"/>
    <s v="Yes"/>
    <s v="No"/>
    <s v="Yes"/>
    <s v="No"/>
    <s v="Yes"/>
    <s v="No"/>
    <m/>
    <s v="1+ Failures"/>
    <n v="1"/>
    <s v="10-20hrs"/>
    <x v="1"/>
  </r>
  <r>
    <n v="2550"/>
    <d v="2023-06-11T00:00:00"/>
    <s v="Basic"/>
    <n v="199"/>
    <n v="15.1"/>
    <n v="1"/>
    <n v="5"/>
    <n v="20"/>
    <n v="42"/>
    <s v="Yes"/>
    <s v="No"/>
    <s v="Yes"/>
    <s v="No"/>
    <s v="Yes"/>
    <s v="No"/>
    <m/>
    <s v="1+ Failures"/>
    <n v="1"/>
    <s v="10-20hrs"/>
    <x v="1"/>
  </r>
  <r>
    <n v="2551"/>
    <d v="2024-07-27T00:00:00"/>
    <s v="Premium"/>
    <n v="699"/>
    <n v="17"/>
    <n v="4"/>
    <n v="1"/>
    <n v="32"/>
    <n v="38"/>
    <s v="No"/>
    <s v="No"/>
    <s v="Yes"/>
    <s v="No"/>
    <s v="Yes"/>
    <s v="No"/>
    <m/>
    <s v="1+ Failures"/>
    <n v="0"/>
    <s v="10-20hrs"/>
    <x v="1"/>
  </r>
  <r>
    <n v="2552"/>
    <d v="2024-05-03T00:00:00"/>
    <s v="Premium"/>
    <n v="699"/>
    <n v="11.9"/>
    <n v="6"/>
    <n v="4"/>
    <n v="10"/>
    <n v="60"/>
    <s v="No"/>
    <s v="No"/>
    <s v="Yes"/>
    <s v="Yes"/>
    <s v="Yes"/>
    <s v="No"/>
    <m/>
    <s v="1+ Failures"/>
    <n v="0"/>
    <s v="10-20hrs"/>
    <x v="0"/>
  </r>
  <r>
    <n v="2553"/>
    <d v="2023-04-01T00:00:00"/>
    <s v="Premium"/>
    <n v="699"/>
    <n v="7"/>
    <n v="5"/>
    <n v="1"/>
    <n v="4"/>
    <n v="45"/>
    <s v="Yes"/>
    <s v="No"/>
    <s v="Yes"/>
    <s v="Yes"/>
    <s v="Yes"/>
    <s v="Yes"/>
    <m/>
    <s v="1+ Failures"/>
    <n v="1"/>
    <s v="5-10 hrs"/>
    <x v="3"/>
  </r>
  <r>
    <n v="2554"/>
    <d v="2024-10-19T00:00:00"/>
    <s v="Premium"/>
    <n v="699"/>
    <n v="3.3"/>
    <n v="6"/>
    <n v="0"/>
    <n v="28"/>
    <n v="31"/>
    <s v="No"/>
    <s v="Yes"/>
    <s v="No"/>
    <s v="Yes"/>
    <s v="Yes"/>
    <s v="No"/>
    <m/>
    <s v="0 Failures"/>
    <n v="0"/>
    <s v="0-5 hrs"/>
    <x v="1"/>
  </r>
  <r>
    <n v="2555"/>
    <d v="2024-01-22T00:00:00"/>
    <s v="Basic"/>
    <n v="199"/>
    <n v="12.4"/>
    <n v="8"/>
    <n v="4"/>
    <n v="12"/>
    <n v="14"/>
    <s v="Yes"/>
    <s v="No"/>
    <s v="Yes"/>
    <s v="Yes"/>
    <s v="No"/>
    <s v="No"/>
    <m/>
    <s v="1+ Failures"/>
    <n v="1"/>
    <s v="10-20hrs"/>
    <x v="0"/>
  </r>
  <r>
    <n v="2556"/>
    <d v="2024-11-05T00:00:00"/>
    <s v="Standard"/>
    <n v="399"/>
    <n v="19.600000000000001"/>
    <n v="7"/>
    <n v="4"/>
    <n v="7"/>
    <n v="51"/>
    <s v="No"/>
    <s v="No"/>
    <s v="Yes"/>
    <s v="Yes"/>
    <s v="Yes"/>
    <s v="No"/>
    <m/>
    <s v="1+ Failures"/>
    <n v="0"/>
    <s v="10-20hrs"/>
    <x v="0"/>
  </r>
  <r>
    <n v="2557"/>
    <d v="2024-10-17T00:00:00"/>
    <s v="Premium"/>
    <n v="699"/>
    <n v="5"/>
    <n v="0"/>
    <n v="4"/>
    <n v="26"/>
    <n v="59"/>
    <s v="Yes"/>
    <s v="No"/>
    <s v="Yes"/>
    <s v="No"/>
    <s v="Yes"/>
    <s v="No"/>
    <m/>
    <s v="1+ Failures"/>
    <n v="1"/>
    <s v="0-5 hrs"/>
    <x v="1"/>
  </r>
  <r>
    <n v="2558"/>
    <d v="2024-03-15T00:00:00"/>
    <s v="Standard"/>
    <n v="399"/>
    <n v="9.9"/>
    <n v="3"/>
    <n v="5"/>
    <n v="25"/>
    <n v="16"/>
    <s v="No"/>
    <s v="No"/>
    <s v="Yes"/>
    <s v="No"/>
    <s v="Yes"/>
    <s v="No"/>
    <m/>
    <s v="1+ Failures"/>
    <n v="0"/>
    <s v="5-10 hrs"/>
    <x v="1"/>
  </r>
  <r>
    <n v="2559"/>
    <d v="2023-06-06T00:00:00"/>
    <s v="Basic"/>
    <n v="199"/>
    <n v="11.6"/>
    <n v="4"/>
    <n v="1"/>
    <n v="18"/>
    <n v="4"/>
    <s v="No"/>
    <s v="No"/>
    <s v="Yes"/>
    <s v="No"/>
    <s v="No"/>
    <s v="No"/>
    <m/>
    <s v="1+ Failures"/>
    <n v="0"/>
    <s v="10-20hrs"/>
    <x v="1"/>
  </r>
  <r>
    <n v="2560"/>
    <d v="2023-09-06T00:00:00"/>
    <s v="Premium"/>
    <n v="699"/>
    <n v="3"/>
    <n v="2"/>
    <n v="1"/>
    <n v="22"/>
    <n v="59"/>
    <s v="Yes"/>
    <s v="Yes"/>
    <s v="Yes"/>
    <s v="No"/>
    <s v="Yes"/>
    <s v="No"/>
    <m/>
    <s v="1+ Failures"/>
    <n v="1"/>
    <s v="0-5 hrs"/>
    <x v="1"/>
  </r>
  <r>
    <n v="2561"/>
    <d v="2024-08-10T00:00:00"/>
    <s v="Premium"/>
    <n v="699"/>
    <n v="7.2"/>
    <n v="8"/>
    <n v="1"/>
    <n v="27"/>
    <n v="0"/>
    <s v="No"/>
    <s v="No"/>
    <s v="Yes"/>
    <s v="Yes"/>
    <s v="No"/>
    <s v="No"/>
    <m/>
    <s v="1+ Failures"/>
    <n v="0"/>
    <s v="5-10 hrs"/>
    <x v="1"/>
  </r>
  <r>
    <n v="2562"/>
    <d v="2023-02-12T00:00:00"/>
    <s v="Basic"/>
    <n v="199"/>
    <n v="13.6"/>
    <n v="8"/>
    <n v="5"/>
    <n v="18"/>
    <n v="32"/>
    <s v="Yes"/>
    <s v="No"/>
    <s v="Yes"/>
    <s v="Yes"/>
    <s v="Yes"/>
    <s v="No"/>
    <m/>
    <s v="1+ Failures"/>
    <n v="1"/>
    <s v="10-20hrs"/>
    <x v="1"/>
  </r>
  <r>
    <n v="2563"/>
    <d v="2024-06-23T00:00:00"/>
    <s v="Standard"/>
    <n v="399"/>
    <n v="24.6"/>
    <n v="6"/>
    <n v="3"/>
    <n v="9"/>
    <n v="9"/>
    <s v="No"/>
    <s v="No"/>
    <s v="Yes"/>
    <s v="Yes"/>
    <s v="No"/>
    <s v="No"/>
    <m/>
    <s v="1+ Failures"/>
    <n v="0"/>
    <s v="20+ hrs"/>
    <x v="0"/>
  </r>
  <r>
    <n v="2564"/>
    <d v="2023-04-26T00:00:00"/>
    <s v="Standard"/>
    <n v="399"/>
    <n v="10.9"/>
    <n v="1"/>
    <n v="0"/>
    <n v="5"/>
    <n v="19"/>
    <s v="Yes"/>
    <s v="No"/>
    <s v="No"/>
    <s v="No"/>
    <s v="Yes"/>
    <s v="Yes"/>
    <m/>
    <s v="0 Failures"/>
    <n v="1"/>
    <s v="10-20hrs"/>
    <x v="3"/>
  </r>
  <r>
    <n v="2565"/>
    <d v="2023-08-27T00:00:00"/>
    <s v="Premium"/>
    <n v="699"/>
    <n v="9.3000000000000007"/>
    <n v="2"/>
    <n v="1"/>
    <n v="16"/>
    <n v="45"/>
    <s v="No"/>
    <s v="No"/>
    <s v="Yes"/>
    <s v="No"/>
    <s v="Yes"/>
    <s v="No"/>
    <m/>
    <s v="1+ Failures"/>
    <n v="0"/>
    <s v="5-10 hrs"/>
    <x v="1"/>
  </r>
  <r>
    <n v="2566"/>
    <d v="2023-02-14T00:00:00"/>
    <s v="Basic"/>
    <n v="199"/>
    <n v="18.100000000000001"/>
    <n v="0"/>
    <n v="2"/>
    <n v="31"/>
    <n v="11"/>
    <s v="No"/>
    <s v="No"/>
    <s v="Yes"/>
    <s v="No"/>
    <s v="No"/>
    <s v="No"/>
    <m/>
    <s v="1+ Failures"/>
    <n v="0"/>
    <s v="10-20hrs"/>
    <x v="1"/>
  </r>
  <r>
    <n v="2567"/>
    <d v="2024-12-18T00:00:00"/>
    <s v="Standard"/>
    <n v="399"/>
    <n v="14.1"/>
    <n v="1"/>
    <n v="3"/>
    <n v="21"/>
    <n v="21"/>
    <s v="No"/>
    <s v="No"/>
    <s v="Yes"/>
    <s v="No"/>
    <s v="Yes"/>
    <s v="No"/>
    <m/>
    <s v="1+ Failures"/>
    <n v="0"/>
    <s v="10-20hrs"/>
    <x v="1"/>
  </r>
  <r>
    <n v="2568"/>
    <d v="2023-05-08T00:00:00"/>
    <s v="Basic"/>
    <n v="199"/>
    <n v="9.3000000000000007"/>
    <n v="4"/>
    <n v="2"/>
    <n v="11"/>
    <n v="31"/>
    <s v="Yes"/>
    <s v="No"/>
    <s v="Yes"/>
    <s v="No"/>
    <s v="Yes"/>
    <s v="No"/>
    <m/>
    <s v="1+ Failures"/>
    <n v="1"/>
    <s v="5-10 hrs"/>
    <x v="0"/>
  </r>
  <r>
    <n v="2569"/>
    <d v="2023-01-29T00:00:00"/>
    <s v="Premium"/>
    <n v="699"/>
    <n v="11"/>
    <n v="0"/>
    <n v="1"/>
    <n v="7"/>
    <n v="44"/>
    <s v="Yes"/>
    <s v="No"/>
    <s v="Yes"/>
    <s v="No"/>
    <s v="Yes"/>
    <s v="No"/>
    <m/>
    <s v="1+ Failures"/>
    <n v="1"/>
    <s v="10-20hrs"/>
    <x v="0"/>
  </r>
  <r>
    <n v="2570"/>
    <d v="2023-03-08T00:00:00"/>
    <s v="Premium"/>
    <n v="699"/>
    <n v="10.4"/>
    <n v="1"/>
    <n v="3"/>
    <n v="27"/>
    <n v="48"/>
    <s v="No"/>
    <s v="No"/>
    <s v="Yes"/>
    <s v="No"/>
    <s v="Yes"/>
    <s v="No"/>
    <m/>
    <s v="1+ Failures"/>
    <n v="0"/>
    <s v="10-20hrs"/>
    <x v="1"/>
  </r>
  <r>
    <n v="2571"/>
    <d v="2023-02-12T00:00:00"/>
    <s v="Premium"/>
    <n v="699"/>
    <n v="17.7"/>
    <n v="8"/>
    <n v="4"/>
    <n v="9"/>
    <n v="48"/>
    <s v="Yes"/>
    <s v="No"/>
    <s v="Yes"/>
    <s v="Yes"/>
    <s v="Yes"/>
    <s v="No"/>
    <m/>
    <s v="1+ Failures"/>
    <n v="1"/>
    <s v="10-20hrs"/>
    <x v="0"/>
  </r>
  <r>
    <n v="2572"/>
    <d v="2023-05-29T00:00:00"/>
    <s v="Premium"/>
    <n v="699"/>
    <n v="23.9"/>
    <n v="0"/>
    <n v="3"/>
    <n v="35"/>
    <n v="29"/>
    <s v="No"/>
    <s v="No"/>
    <s v="Yes"/>
    <s v="No"/>
    <s v="Yes"/>
    <s v="No"/>
    <m/>
    <s v="1+ Failures"/>
    <n v="0"/>
    <s v="20+ hrs"/>
    <x v="1"/>
  </r>
  <r>
    <n v="2573"/>
    <d v="2023-04-18T00:00:00"/>
    <s v="Basic"/>
    <n v="199"/>
    <n v="2.5"/>
    <n v="4"/>
    <n v="3"/>
    <n v="18"/>
    <n v="33"/>
    <s v="Yes"/>
    <s v="Yes"/>
    <s v="Yes"/>
    <s v="No"/>
    <s v="Yes"/>
    <s v="No"/>
    <m/>
    <s v="1+ Failures"/>
    <n v="1"/>
    <s v="0-5 hrs"/>
    <x v="1"/>
  </r>
  <r>
    <n v="2574"/>
    <d v="2024-07-13T00:00:00"/>
    <s v="Basic"/>
    <n v="199"/>
    <n v="15.8"/>
    <n v="6"/>
    <n v="5"/>
    <n v="21"/>
    <n v="24"/>
    <s v="No"/>
    <s v="No"/>
    <s v="Yes"/>
    <s v="Yes"/>
    <s v="Yes"/>
    <s v="No"/>
    <m/>
    <s v="1+ Failures"/>
    <n v="0"/>
    <s v="10-20hrs"/>
    <x v="1"/>
  </r>
  <r>
    <n v="2575"/>
    <d v="2024-09-25T00:00:00"/>
    <s v="Standard"/>
    <n v="399"/>
    <n v="15.6"/>
    <n v="3"/>
    <n v="5"/>
    <n v="35"/>
    <n v="37"/>
    <s v="Yes"/>
    <s v="No"/>
    <s v="Yes"/>
    <s v="No"/>
    <s v="Yes"/>
    <s v="No"/>
    <m/>
    <s v="1+ Failures"/>
    <n v="1"/>
    <s v="10-20hrs"/>
    <x v="1"/>
  </r>
  <r>
    <n v="2576"/>
    <d v="2023-04-03T00:00:00"/>
    <s v="Premium"/>
    <n v="699"/>
    <n v="8.1"/>
    <n v="8"/>
    <n v="3"/>
    <n v="29"/>
    <n v="36"/>
    <s v="Yes"/>
    <s v="No"/>
    <s v="Yes"/>
    <s v="Yes"/>
    <s v="Yes"/>
    <s v="No"/>
    <m/>
    <s v="1+ Failures"/>
    <n v="1"/>
    <s v="5-10 hrs"/>
    <x v="1"/>
  </r>
  <r>
    <n v="2577"/>
    <d v="2024-09-20T00:00:00"/>
    <s v="Standard"/>
    <n v="399"/>
    <n v="14.9"/>
    <n v="5"/>
    <n v="5"/>
    <n v="22"/>
    <n v="3"/>
    <s v="Yes"/>
    <s v="No"/>
    <s v="Yes"/>
    <s v="Yes"/>
    <s v="No"/>
    <s v="No"/>
    <m/>
    <s v="1+ Failures"/>
    <n v="1"/>
    <s v="10-20hrs"/>
    <x v="1"/>
  </r>
  <r>
    <n v="2578"/>
    <d v="2024-01-26T00:00:00"/>
    <s v="Basic"/>
    <n v="199"/>
    <n v="1.9"/>
    <n v="7"/>
    <n v="2"/>
    <n v="12"/>
    <n v="15"/>
    <s v="Yes"/>
    <s v="Yes"/>
    <s v="Yes"/>
    <s v="Yes"/>
    <s v="Yes"/>
    <s v="No"/>
    <m/>
    <s v="1+ Failures"/>
    <n v="1"/>
    <s v="0-5 hrs"/>
    <x v="0"/>
  </r>
  <r>
    <n v="2579"/>
    <d v="2023-03-05T00:00:00"/>
    <s v="Premium"/>
    <n v="699"/>
    <n v="9.1"/>
    <n v="1"/>
    <n v="3"/>
    <n v="3"/>
    <n v="5"/>
    <s v="No"/>
    <s v="No"/>
    <s v="Yes"/>
    <s v="No"/>
    <s v="No"/>
    <s v="Yes"/>
    <m/>
    <s v="1+ Failures"/>
    <n v="0"/>
    <s v="5-10 hrs"/>
    <x v="2"/>
  </r>
  <r>
    <n v="2580"/>
    <d v="2023-09-12T00:00:00"/>
    <s v="Basic"/>
    <n v="199"/>
    <n v="18.899999999999999"/>
    <n v="8"/>
    <n v="3"/>
    <n v="35"/>
    <n v="13"/>
    <s v="Yes"/>
    <s v="No"/>
    <s v="Yes"/>
    <s v="Yes"/>
    <s v="No"/>
    <s v="No"/>
    <m/>
    <s v="1+ Failures"/>
    <n v="1"/>
    <s v="10-20hrs"/>
    <x v="1"/>
  </r>
  <r>
    <n v="2581"/>
    <d v="2024-01-24T00:00:00"/>
    <s v="Standard"/>
    <n v="399"/>
    <n v="3"/>
    <n v="4"/>
    <n v="2"/>
    <n v="9"/>
    <n v="23"/>
    <s v="Yes"/>
    <s v="Yes"/>
    <s v="Yes"/>
    <s v="No"/>
    <s v="Yes"/>
    <s v="No"/>
    <m/>
    <s v="1+ Failures"/>
    <n v="1"/>
    <s v="0-5 hrs"/>
    <x v="0"/>
  </r>
  <r>
    <n v="2582"/>
    <d v="2024-08-17T00:00:00"/>
    <s v="Standard"/>
    <n v="399"/>
    <n v="1.7"/>
    <n v="4"/>
    <n v="1"/>
    <n v="1"/>
    <n v="19"/>
    <s v="No"/>
    <s v="Yes"/>
    <s v="Yes"/>
    <s v="No"/>
    <s v="Yes"/>
    <s v="Yes"/>
    <m/>
    <s v="1+ Failures"/>
    <n v="0"/>
    <s v="0-5 hrs"/>
    <x v="2"/>
  </r>
  <r>
    <n v="2583"/>
    <d v="2024-07-24T00:00:00"/>
    <s v="Standard"/>
    <n v="399"/>
    <n v="1.7"/>
    <n v="6"/>
    <n v="3"/>
    <n v="12"/>
    <n v="43"/>
    <s v="Yes"/>
    <s v="Yes"/>
    <s v="Yes"/>
    <s v="Yes"/>
    <s v="Yes"/>
    <s v="No"/>
    <m/>
    <s v="1+ Failures"/>
    <n v="1"/>
    <s v="0-5 hrs"/>
    <x v="0"/>
  </r>
  <r>
    <n v="2584"/>
    <d v="2023-09-26T00:00:00"/>
    <s v="Premium"/>
    <n v="699"/>
    <n v="11.1"/>
    <n v="6"/>
    <n v="0"/>
    <n v="28"/>
    <n v="20"/>
    <s v="No"/>
    <s v="No"/>
    <s v="No"/>
    <s v="Yes"/>
    <s v="Yes"/>
    <s v="No"/>
    <m/>
    <s v="0 Failures"/>
    <n v="0"/>
    <s v="10-20hrs"/>
    <x v="1"/>
  </r>
  <r>
    <n v="2585"/>
    <d v="2024-05-16T00:00:00"/>
    <s v="Basic"/>
    <n v="199"/>
    <n v="20.6"/>
    <n v="4"/>
    <n v="2"/>
    <n v="1"/>
    <n v="27"/>
    <s v="No"/>
    <s v="No"/>
    <s v="Yes"/>
    <s v="No"/>
    <s v="Yes"/>
    <s v="Yes"/>
    <m/>
    <s v="1+ Failures"/>
    <n v="0"/>
    <s v="20+ hrs"/>
    <x v="2"/>
  </r>
  <r>
    <n v="2586"/>
    <d v="2023-11-12T00:00:00"/>
    <s v="Standard"/>
    <n v="399"/>
    <n v="13.7"/>
    <n v="0"/>
    <n v="4"/>
    <n v="22"/>
    <n v="28"/>
    <s v="No"/>
    <s v="No"/>
    <s v="Yes"/>
    <s v="No"/>
    <s v="Yes"/>
    <s v="No"/>
    <m/>
    <s v="1+ Failures"/>
    <n v="0"/>
    <s v="10-20hrs"/>
    <x v="1"/>
  </r>
  <r>
    <n v="2587"/>
    <d v="2023-09-06T00:00:00"/>
    <s v="Standard"/>
    <n v="399"/>
    <n v="5.2"/>
    <n v="8"/>
    <n v="4"/>
    <n v="15"/>
    <n v="1"/>
    <s v="Yes"/>
    <s v="No"/>
    <s v="Yes"/>
    <s v="Yes"/>
    <s v="No"/>
    <s v="No"/>
    <m/>
    <s v="1+ Failures"/>
    <n v="1"/>
    <s v="5-10 hrs"/>
    <x v="1"/>
  </r>
  <r>
    <n v="2588"/>
    <d v="2024-03-04T00:00:00"/>
    <s v="Standard"/>
    <n v="399"/>
    <n v="20.100000000000001"/>
    <n v="6"/>
    <n v="1"/>
    <n v="17"/>
    <n v="54"/>
    <s v="No"/>
    <s v="No"/>
    <s v="Yes"/>
    <s v="Yes"/>
    <s v="Yes"/>
    <s v="No"/>
    <m/>
    <s v="1+ Failures"/>
    <n v="0"/>
    <s v="20+ hrs"/>
    <x v="1"/>
  </r>
  <r>
    <n v="2589"/>
    <d v="2023-12-22T00:00:00"/>
    <s v="Standard"/>
    <n v="399"/>
    <n v="1.8"/>
    <n v="6"/>
    <n v="5"/>
    <n v="19"/>
    <n v="21"/>
    <s v="Yes"/>
    <s v="Yes"/>
    <s v="Yes"/>
    <s v="Yes"/>
    <s v="Yes"/>
    <s v="No"/>
    <m/>
    <s v="1+ Failures"/>
    <n v="1"/>
    <s v="0-5 hrs"/>
    <x v="1"/>
  </r>
  <r>
    <n v="2590"/>
    <d v="2023-06-29T00:00:00"/>
    <s v="Basic"/>
    <n v="199"/>
    <n v="0.7"/>
    <n v="6"/>
    <n v="1"/>
    <n v="4"/>
    <n v="54"/>
    <s v="Yes"/>
    <s v="Yes"/>
    <s v="Yes"/>
    <s v="Yes"/>
    <s v="Yes"/>
    <s v="Yes"/>
    <m/>
    <s v="1+ Failures"/>
    <n v="1"/>
    <s v="0-5 hrs"/>
    <x v="3"/>
  </r>
  <r>
    <n v="2591"/>
    <d v="2024-11-03T00:00:00"/>
    <s v="Basic"/>
    <n v="199"/>
    <n v="4.9000000000000004"/>
    <n v="7"/>
    <n v="3"/>
    <n v="19"/>
    <n v="56"/>
    <s v="Yes"/>
    <s v="Yes"/>
    <s v="Yes"/>
    <s v="Yes"/>
    <s v="Yes"/>
    <s v="No"/>
    <m/>
    <s v="1+ Failures"/>
    <n v="1"/>
    <s v="0-5 hrs"/>
    <x v="1"/>
  </r>
  <r>
    <n v="2592"/>
    <d v="2023-04-17T00:00:00"/>
    <s v="Standard"/>
    <n v="399"/>
    <n v="10.3"/>
    <n v="5"/>
    <n v="4"/>
    <n v="20"/>
    <n v="4"/>
    <s v="Yes"/>
    <s v="No"/>
    <s v="Yes"/>
    <s v="Yes"/>
    <s v="No"/>
    <s v="No"/>
    <m/>
    <s v="1+ Failures"/>
    <n v="1"/>
    <s v="10-20hrs"/>
    <x v="1"/>
  </r>
  <r>
    <n v="2593"/>
    <d v="2024-05-30T00:00:00"/>
    <s v="Basic"/>
    <n v="199"/>
    <n v="7.4"/>
    <n v="1"/>
    <n v="0"/>
    <n v="12"/>
    <n v="23"/>
    <s v="No"/>
    <s v="No"/>
    <s v="No"/>
    <s v="No"/>
    <s v="Yes"/>
    <s v="No"/>
    <m/>
    <s v="0 Failures"/>
    <n v="0"/>
    <s v="5-10 hrs"/>
    <x v="0"/>
  </r>
  <r>
    <n v="2594"/>
    <d v="2024-07-03T00:00:00"/>
    <s v="Standard"/>
    <n v="399"/>
    <n v="20"/>
    <n v="6"/>
    <n v="0"/>
    <n v="35"/>
    <n v="0"/>
    <s v="No"/>
    <s v="No"/>
    <s v="No"/>
    <s v="Yes"/>
    <s v="No"/>
    <s v="No"/>
    <m/>
    <s v="0 Failures"/>
    <n v="0"/>
    <s v="10-20hrs"/>
    <x v="1"/>
  </r>
  <r>
    <n v="2595"/>
    <d v="2024-07-26T00:00:00"/>
    <s v="Basic"/>
    <n v="199"/>
    <n v="12.1"/>
    <n v="8"/>
    <n v="3"/>
    <n v="7"/>
    <n v="30"/>
    <s v="Yes"/>
    <s v="No"/>
    <s v="Yes"/>
    <s v="Yes"/>
    <s v="Yes"/>
    <s v="No"/>
    <m/>
    <s v="1+ Failures"/>
    <n v="1"/>
    <s v="10-20hrs"/>
    <x v="0"/>
  </r>
  <r>
    <n v="2596"/>
    <d v="2024-01-02T00:00:00"/>
    <s v="Basic"/>
    <n v="199"/>
    <n v="21.9"/>
    <n v="2"/>
    <n v="4"/>
    <n v="13"/>
    <n v="38"/>
    <s v="No"/>
    <s v="No"/>
    <s v="Yes"/>
    <s v="No"/>
    <s v="Yes"/>
    <s v="No"/>
    <m/>
    <s v="1+ Failures"/>
    <n v="0"/>
    <s v="20+ hrs"/>
    <x v="1"/>
  </r>
  <r>
    <n v="2597"/>
    <d v="2024-02-23T00:00:00"/>
    <s v="Standard"/>
    <n v="399"/>
    <n v="23.3"/>
    <n v="4"/>
    <n v="3"/>
    <n v="1"/>
    <n v="8"/>
    <s v="No"/>
    <s v="No"/>
    <s v="Yes"/>
    <s v="No"/>
    <s v="No"/>
    <s v="Yes"/>
    <m/>
    <s v="1+ Failures"/>
    <n v="0"/>
    <s v="20+ hrs"/>
    <x v="2"/>
  </r>
  <r>
    <n v="2598"/>
    <d v="2023-06-18T00:00:00"/>
    <s v="Standard"/>
    <n v="399"/>
    <n v="16.100000000000001"/>
    <n v="6"/>
    <n v="0"/>
    <n v="11"/>
    <n v="9"/>
    <s v="No"/>
    <s v="No"/>
    <s v="No"/>
    <s v="Yes"/>
    <s v="No"/>
    <s v="No"/>
    <m/>
    <s v="0 Failures"/>
    <n v="0"/>
    <s v="10-20hrs"/>
    <x v="0"/>
  </r>
  <r>
    <n v="2599"/>
    <d v="2023-12-17T00:00:00"/>
    <s v="Basic"/>
    <n v="199"/>
    <n v="13.5"/>
    <n v="3"/>
    <n v="5"/>
    <n v="14"/>
    <n v="48"/>
    <s v="No"/>
    <s v="No"/>
    <s v="Yes"/>
    <s v="No"/>
    <s v="Yes"/>
    <s v="No"/>
    <m/>
    <s v="1+ Failures"/>
    <n v="0"/>
    <s v="10-20hrs"/>
    <x v="1"/>
  </r>
  <r>
    <n v="2600"/>
    <d v="2023-12-25T00:00:00"/>
    <s v="Basic"/>
    <n v="199"/>
    <n v="9"/>
    <n v="6"/>
    <n v="4"/>
    <n v="28"/>
    <n v="3"/>
    <s v="Yes"/>
    <s v="No"/>
    <s v="Yes"/>
    <s v="Yes"/>
    <s v="No"/>
    <s v="No"/>
    <m/>
    <s v="1+ Failures"/>
    <n v="1"/>
    <s v="5-10 hrs"/>
    <x v="1"/>
  </r>
  <r>
    <n v="2601"/>
    <d v="2023-05-07T00:00:00"/>
    <s v="Premium"/>
    <n v="699"/>
    <n v="9.5"/>
    <n v="4"/>
    <n v="4"/>
    <n v="11"/>
    <n v="11"/>
    <s v="Yes"/>
    <s v="No"/>
    <s v="Yes"/>
    <s v="No"/>
    <s v="No"/>
    <s v="No"/>
    <m/>
    <s v="1+ Failures"/>
    <n v="1"/>
    <s v="5-10 hrs"/>
    <x v="0"/>
  </r>
  <r>
    <n v="2602"/>
    <d v="2024-01-06T00:00:00"/>
    <s v="Premium"/>
    <n v="699"/>
    <n v="17.5"/>
    <n v="3"/>
    <n v="4"/>
    <n v="36"/>
    <n v="20"/>
    <s v="No"/>
    <s v="No"/>
    <s v="Yes"/>
    <s v="No"/>
    <s v="Yes"/>
    <s v="No"/>
    <m/>
    <s v="1+ Failures"/>
    <n v="0"/>
    <s v="10-20hrs"/>
    <x v="1"/>
  </r>
  <r>
    <n v="2603"/>
    <d v="2023-10-20T00:00:00"/>
    <s v="Standard"/>
    <n v="399"/>
    <n v="1.3"/>
    <n v="6"/>
    <n v="2"/>
    <n v="4"/>
    <n v="19"/>
    <s v="Yes"/>
    <s v="Yes"/>
    <s v="Yes"/>
    <s v="Yes"/>
    <s v="Yes"/>
    <s v="Yes"/>
    <m/>
    <s v="1+ Failures"/>
    <n v="1"/>
    <s v="0-5 hrs"/>
    <x v="3"/>
  </r>
  <r>
    <n v="2604"/>
    <d v="2023-04-25T00:00:00"/>
    <s v="Premium"/>
    <n v="699"/>
    <n v="8.8000000000000007"/>
    <n v="2"/>
    <n v="1"/>
    <n v="30"/>
    <n v="54"/>
    <s v="No"/>
    <s v="No"/>
    <s v="Yes"/>
    <s v="No"/>
    <s v="Yes"/>
    <s v="No"/>
    <m/>
    <s v="1+ Failures"/>
    <n v="0"/>
    <s v="5-10 hrs"/>
    <x v="1"/>
  </r>
  <r>
    <n v="2605"/>
    <d v="2024-05-18T00:00:00"/>
    <s v="Basic"/>
    <n v="199"/>
    <n v="4.3"/>
    <n v="7"/>
    <n v="2"/>
    <n v="13"/>
    <n v="49"/>
    <s v="Yes"/>
    <s v="Yes"/>
    <s v="Yes"/>
    <s v="Yes"/>
    <s v="Yes"/>
    <s v="No"/>
    <m/>
    <s v="1+ Failures"/>
    <n v="1"/>
    <s v="0-5 hrs"/>
    <x v="1"/>
  </r>
  <r>
    <n v="2606"/>
    <d v="2024-10-22T00:00:00"/>
    <s v="Premium"/>
    <n v="699"/>
    <n v="11.5"/>
    <n v="6"/>
    <n v="1"/>
    <n v="6"/>
    <n v="15"/>
    <s v="No"/>
    <s v="No"/>
    <s v="Yes"/>
    <s v="Yes"/>
    <s v="Yes"/>
    <s v="No"/>
    <m/>
    <s v="1+ Failures"/>
    <n v="0"/>
    <s v="10-20hrs"/>
    <x v="3"/>
  </r>
  <r>
    <n v="2607"/>
    <d v="2024-07-05T00:00:00"/>
    <s v="Premium"/>
    <n v="699"/>
    <n v="12.5"/>
    <n v="0"/>
    <n v="1"/>
    <n v="11"/>
    <n v="55"/>
    <s v="No"/>
    <s v="No"/>
    <s v="Yes"/>
    <s v="No"/>
    <s v="Yes"/>
    <s v="No"/>
    <m/>
    <s v="1+ Failures"/>
    <n v="0"/>
    <s v="10-20hrs"/>
    <x v="0"/>
  </r>
  <r>
    <n v="2608"/>
    <d v="2024-07-09T00:00:00"/>
    <s v="Standard"/>
    <n v="399"/>
    <n v="20.6"/>
    <n v="7"/>
    <n v="2"/>
    <n v="11"/>
    <n v="45"/>
    <s v="Yes"/>
    <s v="No"/>
    <s v="Yes"/>
    <s v="Yes"/>
    <s v="Yes"/>
    <s v="No"/>
    <m/>
    <s v="1+ Failures"/>
    <n v="1"/>
    <s v="20+ hrs"/>
    <x v="0"/>
  </r>
  <r>
    <n v="2609"/>
    <d v="2023-12-03T00:00:00"/>
    <s v="Basic"/>
    <n v="199"/>
    <n v="15.4"/>
    <n v="6"/>
    <n v="1"/>
    <n v="5"/>
    <n v="52"/>
    <s v="Yes"/>
    <s v="No"/>
    <s v="Yes"/>
    <s v="Yes"/>
    <s v="Yes"/>
    <s v="Yes"/>
    <m/>
    <s v="1+ Failures"/>
    <n v="1"/>
    <s v="10-20hrs"/>
    <x v="3"/>
  </r>
  <r>
    <n v="2610"/>
    <d v="2023-05-29T00:00:00"/>
    <s v="Premium"/>
    <n v="699"/>
    <n v="1.3"/>
    <n v="3"/>
    <n v="2"/>
    <n v="13"/>
    <n v="46"/>
    <s v="Yes"/>
    <s v="Yes"/>
    <s v="Yes"/>
    <s v="No"/>
    <s v="Yes"/>
    <s v="No"/>
    <m/>
    <s v="1+ Failures"/>
    <n v="1"/>
    <s v="0-5 hrs"/>
    <x v="1"/>
  </r>
  <r>
    <n v="2611"/>
    <d v="2024-12-17T00:00:00"/>
    <s v="Standard"/>
    <n v="399"/>
    <n v="8.6"/>
    <n v="3"/>
    <n v="2"/>
    <n v="15"/>
    <n v="0"/>
    <s v="Yes"/>
    <s v="No"/>
    <s v="Yes"/>
    <s v="No"/>
    <s v="No"/>
    <s v="No"/>
    <m/>
    <s v="1+ Failures"/>
    <n v="1"/>
    <s v="5-10 hrs"/>
    <x v="1"/>
  </r>
  <r>
    <n v="2612"/>
    <d v="2024-06-10T00:00:00"/>
    <s v="Premium"/>
    <n v="699"/>
    <n v="13.1"/>
    <n v="6"/>
    <n v="3"/>
    <n v="7"/>
    <n v="30"/>
    <s v="Yes"/>
    <s v="No"/>
    <s v="Yes"/>
    <s v="Yes"/>
    <s v="Yes"/>
    <s v="No"/>
    <m/>
    <s v="1+ Failures"/>
    <n v="1"/>
    <s v="10-20hrs"/>
    <x v="0"/>
  </r>
  <r>
    <n v="2613"/>
    <d v="2024-11-17T00:00:00"/>
    <s v="Basic"/>
    <n v="199"/>
    <n v="9"/>
    <n v="2"/>
    <n v="2"/>
    <n v="28"/>
    <n v="16"/>
    <s v="Yes"/>
    <s v="No"/>
    <s v="Yes"/>
    <s v="No"/>
    <s v="Yes"/>
    <s v="No"/>
    <m/>
    <s v="1+ Failures"/>
    <n v="1"/>
    <s v="5-10 hrs"/>
    <x v="1"/>
  </r>
  <r>
    <n v="2614"/>
    <d v="2024-01-06T00:00:00"/>
    <s v="Standard"/>
    <n v="399"/>
    <n v="6.9"/>
    <n v="0"/>
    <n v="4"/>
    <n v="17"/>
    <n v="13"/>
    <s v="No"/>
    <s v="No"/>
    <s v="Yes"/>
    <s v="No"/>
    <s v="No"/>
    <s v="No"/>
    <m/>
    <s v="1+ Failures"/>
    <n v="0"/>
    <s v="5-10 hrs"/>
    <x v="1"/>
  </r>
  <r>
    <n v="2615"/>
    <d v="2023-04-20T00:00:00"/>
    <s v="Premium"/>
    <n v="699"/>
    <n v="12.1"/>
    <n v="3"/>
    <n v="3"/>
    <n v="5"/>
    <n v="45"/>
    <s v="No"/>
    <s v="No"/>
    <s v="Yes"/>
    <s v="No"/>
    <s v="Yes"/>
    <s v="Yes"/>
    <m/>
    <s v="1+ Failures"/>
    <n v="0"/>
    <s v="10-20hrs"/>
    <x v="3"/>
  </r>
  <r>
    <n v="2616"/>
    <d v="2024-05-29T00:00:00"/>
    <s v="Basic"/>
    <n v="199"/>
    <n v="6.4"/>
    <n v="1"/>
    <n v="1"/>
    <n v="21"/>
    <n v="34"/>
    <s v="No"/>
    <s v="No"/>
    <s v="Yes"/>
    <s v="No"/>
    <s v="Yes"/>
    <s v="No"/>
    <m/>
    <s v="1+ Failures"/>
    <n v="0"/>
    <s v="5-10 hrs"/>
    <x v="1"/>
  </r>
  <r>
    <n v="2617"/>
    <d v="2024-08-23T00:00:00"/>
    <s v="Premium"/>
    <n v="699"/>
    <n v="21.9"/>
    <n v="6"/>
    <n v="4"/>
    <n v="17"/>
    <n v="36"/>
    <s v="Yes"/>
    <s v="No"/>
    <s v="Yes"/>
    <s v="Yes"/>
    <s v="Yes"/>
    <s v="No"/>
    <m/>
    <s v="1+ Failures"/>
    <n v="1"/>
    <s v="20+ hrs"/>
    <x v="1"/>
  </r>
  <r>
    <n v="2618"/>
    <d v="2024-12-20T00:00:00"/>
    <s v="Premium"/>
    <n v="699"/>
    <n v="19.5"/>
    <n v="0"/>
    <n v="2"/>
    <n v="33"/>
    <n v="20"/>
    <s v="No"/>
    <s v="No"/>
    <s v="Yes"/>
    <s v="No"/>
    <s v="Yes"/>
    <s v="No"/>
    <m/>
    <s v="1+ Failures"/>
    <n v="0"/>
    <s v="10-20hrs"/>
    <x v="1"/>
  </r>
  <r>
    <n v="2619"/>
    <d v="2023-08-27T00:00:00"/>
    <s v="Basic"/>
    <n v="199"/>
    <n v="3.1"/>
    <n v="7"/>
    <n v="5"/>
    <n v="31"/>
    <n v="8"/>
    <s v="Yes"/>
    <s v="Yes"/>
    <s v="Yes"/>
    <s v="Yes"/>
    <s v="No"/>
    <s v="No"/>
    <m/>
    <s v="1+ Failures"/>
    <n v="1"/>
    <s v="0-5 hrs"/>
    <x v="1"/>
  </r>
  <r>
    <n v="2620"/>
    <d v="2023-06-29T00:00:00"/>
    <s v="Basic"/>
    <n v="199"/>
    <n v="21.6"/>
    <n v="8"/>
    <n v="5"/>
    <n v="6"/>
    <n v="24"/>
    <s v="Yes"/>
    <s v="No"/>
    <s v="Yes"/>
    <s v="Yes"/>
    <s v="Yes"/>
    <s v="No"/>
    <m/>
    <s v="1+ Failures"/>
    <n v="1"/>
    <s v="20+ hrs"/>
    <x v="3"/>
  </r>
  <r>
    <n v="2621"/>
    <d v="2023-06-16T00:00:00"/>
    <s v="Standard"/>
    <n v="399"/>
    <n v="22.7"/>
    <n v="8"/>
    <n v="5"/>
    <n v="9"/>
    <n v="14"/>
    <s v="No"/>
    <s v="No"/>
    <s v="Yes"/>
    <s v="Yes"/>
    <s v="No"/>
    <s v="No"/>
    <m/>
    <s v="1+ Failures"/>
    <n v="0"/>
    <s v="20+ hrs"/>
    <x v="0"/>
  </r>
  <r>
    <n v="2622"/>
    <d v="2024-11-06T00:00:00"/>
    <s v="Premium"/>
    <n v="699"/>
    <n v="6.3"/>
    <n v="1"/>
    <n v="1"/>
    <n v="16"/>
    <n v="7"/>
    <s v="No"/>
    <s v="No"/>
    <s v="Yes"/>
    <s v="No"/>
    <s v="No"/>
    <s v="No"/>
    <m/>
    <s v="1+ Failures"/>
    <n v="0"/>
    <s v="5-10 hrs"/>
    <x v="1"/>
  </r>
  <r>
    <n v="2623"/>
    <d v="2024-06-13T00:00:00"/>
    <s v="Premium"/>
    <n v="699"/>
    <n v="1.2"/>
    <n v="2"/>
    <n v="4"/>
    <n v="32"/>
    <n v="13"/>
    <s v="No"/>
    <s v="Yes"/>
    <s v="Yes"/>
    <s v="No"/>
    <s v="No"/>
    <s v="No"/>
    <m/>
    <s v="1+ Failures"/>
    <n v="0"/>
    <s v="0-5 hrs"/>
    <x v="1"/>
  </r>
  <r>
    <n v="2624"/>
    <d v="2023-02-15T00:00:00"/>
    <s v="Premium"/>
    <n v="699"/>
    <n v="17.899999999999999"/>
    <n v="8"/>
    <n v="1"/>
    <n v="4"/>
    <n v="10"/>
    <s v="Yes"/>
    <s v="No"/>
    <s v="Yes"/>
    <s v="Yes"/>
    <s v="No"/>
    <s v="Yes"/>
    <m/>
    <s v="1+ Failures"/>
    <n v="1"/>
    <s v="10-20hrs"/>
    <x v="3"/>
  </r>
  <r>
    <n v="2625"/>
    <d v="2024-06-18T00:00:00"/>
    <s v="Basic"/>
    <n v="199"/>
    <n v="5"/>
    <n v="2"/>
    <n v="0"/>
    <n v="1"/>
    <n v="1"/>
    <s v="Yes"/>
    <s v="No"/>
    <s v="No"/>
    <s v="No"/>
    <s v="No"/>
    <s v="Yes"/>
    <m/>
    <s v="0 Failures"/>
    <n v="1"/>
    <s v="0-5 hrs"/>
    <x v="2"/>
  </r>
  <r>
    <n v="2626"/>
    <d v="2024-10-08T00:00:00"/>
    <s v="Standard"/>
    <n v="399"/>
    <n v="11.1"/>
    <n v="1"/>
    <n v="0"/>
    <n v="30"/>
    <n v="58"/>
    <s v="Yes"/>
    <s v="No"/>
    <s v="No"/>
    <s v="No"/>
    <s v="Yes"/>
    <s v="No"/>
    <m/>
    <s v="0 Failures"/>
    <n v="1"/>
    <s v="10-20hrs"/>
    <x v="1"/>
  </r>
  <r>
    <n v="2627"/>
    <d v="2024-07-14T00:00:00"/>
    <s v="Premium"/>
    <n v="699"/>
    <n v="23"/>
    <n v="7"/>
    <n v="5"/>
    <n v="36"/>
    <n v="24"/>
    <s v="Yes"/>
    <s v="No"/>
    <s v="Yes"/>
    <s v="Yes"/>
    <s v="Yes"/>
    <s v="No"/>
    <m/>
    <s v="1+ Failures"/>
    <n v="1"/>
    <s v="20+ hrs"/>
    <x v="1"/>
  </r>
  <r>
    <n v="2628"/>
    <d v="2023-08-29T00:00:00"/>
    <s v="Basic"/>
    <n v="199"/>
    <n v="5.0999999999999996"/>
    <n v="6"/>
    <n v="0"/>
    <n v="19"/>
    <n v="18"/>
    <s v="Yes"/>
    <s v="No"/>
    <s v="No"/>
    <s v="Yes"/>
    <s v="Yes"/>
    <s v="No"/>
    <m/>
    <s v="0 Failures"/>
    <n v="1"/>
    <s v="5-10 hrs"/>
    <x v="1"/>
  </r>
  <r>
    <n v="2629"/>
    <d v="2024-06-06T00:00:00"/>
    <s v="Premium"/>
    <n v="699"/>
    <n v="23.2"/>
    <n v="3"/>
    <n v="5"/>
    <n v="19"/>
    <n v="60"/>
    <s v="Yes"/>
    <s v="No"/>
    <s v="Yes"/>
    <s v="No"/>
    <s v="Yes"/>
    <s v="No"/>
    <m/>
    <s v="1+ Failures"/>
    <n v="1"/>
    <s v="20+ hrs"/>
    <x v="1"/>
  </r>
  <r>
    <n v="2630"/>
    <d v="2023-11-13T00:00:00"/>
    <s v="Basic"/>
    <n v="199"/>
    <n v="7.3"/>
    <n v="8"/>
    <n v="5"/>
    <n v="31"/>
    <n v="8"/>
    <s v="Yes"/>
    <s v="No"/>
    <s v="Yes"/>
    <s v="Yes"/>
    <s v="No"/>
    <s v="No"/>
    <m/>
    <s v="1+ Failures"/>
    <n v="1"/>
    <s v="5-10 hrs"/>
    <x v="1"/>
  </r>
  <r>
    <n v="2631"/>
    <d v="2023-01-18T00:00:00"/>
    <s v="Standard"/>
    <n v="399"/>
    <n v="20.9"/>
    <n v="1"/>
    <n v="0"/>
    <n v="21"/>
    <n v="0"/>
    <s v="No"/>
    <s v="No"/>
    <s v="No"/>
    <s v="No"/>
    <s v="No"/>
    <s v="No"/>
    <m/>
    <s v="0 Failures"/>
    <n v="0"/>
    <s v="20+ hrs"/>
    <x v="1"/>
  </r>
  <r>
    <n v="2632"/>
    <d v="2023-12-04T00:00:00"/>
    <s v="Standard"/>
    <n v="399"/>
    <n v="22.9"/>
    <n v="0"/>
    <n v="2"/>
    <n v="26"/>
    <n v="52"/>
    <s v="No"/>
    <s v="No"/>
    <s v="Yes"/>
    <s v="No"/>
    <s v="Yes"/>
    <s v="No"/>
    <m/>
    <s v="1+ Failures"/>
    <n v="0"/>
    <s v="20+ hrs"/>
    <x v="1"/>
  </r>
  <r>
    <n v="2633"/>
    <d v="2023-02-17T00:00:00"/>
    <s v="Premium"/>
    <n v="699"/>
    <n v="11.2"/>
    <n v="1"/>
    <n v="2"/>
    <n v="25"/>
    <n v="1"/>
    <s v="No"/>
    <s v="No"/>
    <s v="Yes"/>
    <s v="No"/>
    <s v="No"/>
    <s v="No"/>
    <m/>
    <s v="1+ Failures"/>
    <n v="0"/>
    <s v="10-20hrs"/>
    <x v="1"/>
  </r>
  <r>
    <n v="2634"/>
    <d v="2023-01-14T00:00:00"/>
    <s v="Standard"/>
    <n v="399"/>
    <n v="24.3"/>
    <n v="6"/>
    <n v="3"/>
    <n v="28"/>
    <n v="17"/>
    <s v="Yes"/>
    <s v="No"/>
    <s v="Yes"/>
    <s v="Yes"/>
    <s v="Yes"/>
    <s v="No"/>
    <m/>
    <s v="1+ Failures"/>
    <n v="1"/>
    <s v="20+ hrs"/>
    <x v="1"/>
  </r>
  <r>
    <n v="2635"/>
    <d v="2023-08-19T00:00:00"/>
    <s v="Premium"/>
    <n v="699"/>
    <n v="22.9"/>
    <n v="4"/>
    <n v="0"/>
    <n v="26"/>
    <n v="45"/>
    <s v="Yes"/>
    <s v="No"/>
    <s v="No"/>
    <s v="No"/>
    <s v="Yes"/>
    <s v="No"/>
    <m/>
    <s v="0 Failures"/>
    <n v="1"/>
    <s v="20+ hrs"/>
    <x v="1"/>
  </r>
  <r>
    <n v="2636"/>
    <d v="2024-08-28T00:00:00"/>
    <s v="Standard"/>
    <n v="399"/>
    <n v="20.3"/>
    <n v="8"/>
    <n v="2"/>
    <n v="1"/>
    <n v="6"/>
    <s v="Yes"/>
    <s v="No"/>
    <s v="Yes"/>
    <s v="Yes"/>
    <s v="No"/>
    <s v="Yes"/>
    <m/>
    <s v="1+ Failures"/>
    <n v="1"/>
    <s v="20+ hrs"/>
    <x v="2"/>
  </r>
  <r>
    <n v="2637"/>
    <d v="2023-07-19T00:00:00"/>
    <s v="Standard"/>
    <n v="399"/>
    <n v="1.5"/>
    <n v="0"/>
    <n v="2"/>
    <n v="31"/>
    <n v="49"/>
    <s v="Yes"/>
    <s v="Yes"/>
    <s v="Yes"/>
    <s v="No"/>
    <s v="Yes"/>
    <s v="No"/>
    <m/>
    <s v="1+ Failures"/>
    <n v="1"/>
    <s v="0-5 hrs"/>
    <x v="1"/>
  </r>
  <r>
    <n v="2638"/>
    <d v="2024-08-04T00:00:00"/>
    <s v="Standard"/>
    <n v="399"/>
    <n v="13.9"/>
    <n v="4"/>
    <n v="4"/>
    <n v="27"/>
    <n v="9"/>
    <s v="Yes"/>
    <s v="No"/>
    <s v="Yes"/>
    <s v="No"/>
    <s v="No"/>
    <s v="No"/>
    <m/>
    <s v="1+ Failures"/>
    <n v="1"/>
    <s v="10-20hrs"/>
    <x v="1"/>
  </r>
  <r>
    <n v="2639"/>
    <d v="2024-03-19T00:00:00"/>
    <s v="Premium"/>
    <n v="699"/>
    <n v="4.4000000000000004"/>
    <n v="7"/>
    <n v="0"/>
    <n v="26"/>
    <n v="33"/>
    <s v="Yes"/>
    <s v="Yes"/>
    <s v="No"/>
    <s v="Yes"/>
    <s v="Yes"/>
    <s v="No"/>
    <m/>
    <s v="0 Failures"/>
    <n v="1"/>
    <s v="0-5 hrs"/>
    <x v="1"/>
  </r>
  <r>
    <n v="2640"/>
    <d v="2024-11-07T00:00:00"/>
    <s v="Premium"/>
    <n v="699"/>
    <n v="13.2"/>
    <n v="1"/>
    <n v="3"/>
    <n v="36"/>
    <n v="33"/>
    <s v="No"/>
    <s v="No"/>
    <s v="Yes"/>
    <s v="No"/>
    <s v="Yes"/>
    <s v="No"/>
    <m/>
    <s v="1+ Failures"/>
    <n v="0"/>
    <s v="10-20hrs"/>
    <x v="1"/>
  </r>
  <r>
    <n v="2641"/>
    <d v="2024-08-28T00:00:00"/>
    <s v="Premium"/>
    <n v="699"/>
    <n v="19.600000000000001"/>
    <n v="1"/>
    <n v="2"/>
    <n v="32"/>
    <n v="1"/>
    <s v="No"/>
    <s v="No"/>
    <s v="Yes"/>
    <s v="No"/>
    <s v="No"/>
    <s v="No"/>
    <m/>
    <s v="1+ Failures"/>
    <n v="0"/>
    <s v="10-20hrs"/>
    <x v="1"/>
  </r>
  <r>
    <n v="2642"/>
    <d v="2023-01-24T00:00:00"/>
    <s v="Standard"/>
    <n v="399"/>
    <n v="9.4"/>
    <n v="1"/>
    <n v="4"/>
    <n v="12"/>
    <n v="29"/>
    <s v="No"/>
    <s v="No"/>
    <s v="Yes"/>
    <s v="No"/>
    <s v="Yes"/>
    <s v="No"/>
    <m/>
    <s v="1+ Failures"/>
    <n v="0"/>
    <s v="5-10 hrs"/>
    <x v="0"/>
  </r>
  <r>
    <n v="2643"/>
    <d v="2024-01-03T00:00:00"/>
    <s v="Premium"/>
    <n v="699"/>
    <n v="3.6"/>
    <n v="1"/>
    <n v="1"/>
    <n v="16"/>
    <n v="27"/>
    <s v="No"/>
    <s v="Yes"/>
    <s v="Yes"/>
    <s v="No"/>
    <s v="Yes"/>
    <s v="No"/>
    <m/>
    <s v="1+ Failures"/>
    <n v="0"/>
    <s v="0-5 hrs"/>
    <x v="1"/>
  </r>
  <r>
    <n v="2644"/>
    <d v="2023-03-22T00:00:00"/>
    <s v="Standard"/>
    <n v="399"/>
    <n v="14.6"/>
    <n v="2"/>
    <n v="3"/>
    <n v="34"/>
    <n v="0"/>
    <s v="Yes"/>
    <s v="No"/>
    <s v="Yes"/>
    <s v="No"/>
    <s v="No"/>
    <s v="No"/>
    <m/>
    <s v="1+ Failures"/>
    <n v="1"/>
    <s v="10-20hrs"/>
    <x v="1"/>
  </r>
  <r>
    <n v="2645"/>
    <d v="2024-04-17T00:00:00"/>
    <s v="Premium"/>
    <n v="699"/>
    <n v="19.100000000000001"/>
    <n v="5"/>
    <n v="1"/>
    <n v="1"/>
    <n v="60"/>
    <s v="Yes"/>
    <s v="No"/>
    <s v="Yes"/>
    <s v="Yes"/>
    <s v="Yes"/>
    <s v="Yes"/>
    <m/>
    <s v="1+ Failures"/>
    <n v="1"/>
    <s v="10-20hrs"/>
    <x v="2"/>
  </r>
  <r>
    <n v="2646"/>
    <d v="2024-12-24T00:00:00"/>
    <s v="Standard"/>
    <n v="399"/>
    <n v="13"/>
    <n v="1"/>
    <n v="3"/>
    <n v="22"/>
    <n v="31"/>
    <s v="Yes"/>
    <s v="No"/>
    <s v="Yes"/>
    <s v="No"/>
    <s v="Yes"/>
    <s v="No"/>
    <m/>
    <s v="1+ Failures"/>
    <n v="1"/>
    <s v="10-20hrs"/>
    <x v="1"/>
  </r>
  <r>
    <n v="2647"/>
    <d v="2023-04-09T00:00:00"/>
    <s v="Basic"/>
    <n v="199"/>
    <n v="12.5"/>
    <n v="6"/>
    <n v="4"/>
    <n v="9"/>
    <n v="11"/>
    <s v="No"/>
    <s v="No"/>
    <s v="Yes"/>
    <s v="Yes"/>
    <s v="No"/>
    <s v="No"/>
    <m/>
    <s v="1+ Failures"/>
    <n v="0"/>
    <s v="10-20hrs"/>
    <x v="0"/>
  </r>
  <r>
    <n v="2648"/>
    <d v="2023-05-22T00:00:00"/>
    <s v="Premium"/>
    <n v="699"/>
    <n v="4"/>
    <n v="1"/>
    <n v="4"/>
    <n v="36"/>
    <n v="45"/>
    <s v="Yes"/>
    <s v="Yes"/>
    <s v="Yes"/>
    <s v="No"/>
    <s v="Yes"/>
    <s v="No"/>
    <m/>
    <s v="1+ Failures"/>
    <n v="1"/>
    <s v="0-5 hrs"/>
    <x v="1"/>
  </r>
  <r>
    <n v="2649"/>
    <d v="2024-06-08T00:00:00"/>
    <s v="Standard"/>
    <n v="399"/>
    <n v="4.8"/>
    <n v="2"/>
    <n v="4"/>
    <n v="18"/>
    <n v="60"/>
    <s v="Yes"/>
    <s v="Yes"/>
    <s v="Yes"/>
    <s v="No"/>
    <s v="Yes"/>
    <s v="No"/>
    <m/>
    <s v="1+ Failures"/>
    <n v="1"/>
    <s v="0-5 hrs"/>
    <x v="1"/>
  </r>
  <r>
    <n v="2650"/>
    <d v="2023-05-16T00:00:00"/>
    <s v="Premium"/>
    <n v="699"/>
    <n v="11.5"/>
    <n v="4"/>
    <n v="5"/>
    <n v="5"/>
    <n v="46"/>
    <s v="Yes"/>
    <s v="No"/>
    <s v="Yes"/>
    <s v="No"/>
    <s v="Yes"/>
    <s v="Yes"/>
    <m/>
    <s v="1+ Failures"/>
    <n v="1"/>
    <s v="10-20hrs"/>
    <x v="3"/>
  </r>
  <r>
    <n v="2651"/>
    <d v="2023-02-16T00:00:00"/>
    <s v="Basic"/>
    <n v="199"/>
    <n v="9"/>
    <n v="4"/>
    <n v="2"/>
    <n v="36"/>
    <n v="31"/>
    <s v="No"/>
    <s v="No"/>
    <s v="Yes"/>
    <s v="No"/>
    <s v="Yes"/>
    <s v="No"/>
    <m/>
    <s v="1+ Failures"/>
    <n v="0"/>
    <s v="5-10 hrs"/>
    <x v="1"/>
  </r>
  <r>
    <n v="2652"/>
    <d v="2023-05-10T00:00:00"/>
    <s v="Standard"/>
    <n v="399"/>
    <n v="19.600000000000001"/>
    <n v="2"/>
    <n v="0"/>
    <n v="28"/>
    <n v="54"/>
    <s v="No"/>
    <s v="No"/>
    <s v="No"/>
    <s v="No"/>
    <s v="Yes"/>
    <s v="No"/>
    <m/>
    <s v="0 Failures"/>
    <n v="0"/>
    <s v="10-20hrs"/>
    <x v="1"/>
  </r>
  <r>
    <n v="2653"/>
    <d v="2024-02-13T00:00:00"/>
    <s v="Standard"/>
    <n v="399"/>
    <n v="20.8"/>
    <n v="0"/>
    <n v="5"/>
    <n v="32"/>
    <n v="3"/>
    <s v="Yes"/>
    <s v="No"/>
    <s v="Yes"/>
    <s v="No"/>
    <s v="No"/>
    <s v="No"/>
    <m/>
    <s v="1+ Failures"/>
    <n v="1"/>
    <s v="20+ hrs"/>
    <x v="1"/>
  </r>
  <r>
    <n v="2654"/>
    <d v="2023-05-20T00:00:00"/>
    <s v="Basic"/>
    <n v="199"/>
    <n v="10.5"/>
    <n v="0"/>
    <n v="3"/>
    <n v="22"/>
    <n v="10"/>
    <s v="Yes"/>
    <s v="No"/>
    <s v="Yes"/>
    <s v="No"/>
    <s v="No"/>
    <s v="No"/>
    <m/>
    <s v="1+ Failures"/>
    <n v="1"/>
    <s v="10-20hrs"/>
    <x v="1"/>
  </r>
  <r>
    <n v="2655"/>
    <d v="2023-12-02T00:00:00"/>
    <s v="Standard"/>
    <n v="399"/>
    <n v="24.8"/>
    <n v="8"/>
    <n v="1"/>
    <n v="31"/>
    <n v="58"/>
    <s v="No"/>
    <s v="No"/>
    <s v="Yes"/>
    <s v="Yes"/>
    <s v="Yes"/>
    <s v="No"/>
    <m/>
    <s v="1+ Failures"/>
    <n v="0"/>
    <s v="20+ hrs"/>
    <x v="1"/>
  </r>
  <r>
    <n v="2656"/>
    <d v="2024-06-13T00:00:00"/>
    <s v="Premium"/>
    <n v="699"/>
    <n v="0.6"/>
    <n v="1"/>
    <n v="3"/>
    <n v="18"/>
    <n v="33"/>
    <s v="Yes"/>
    <s v="Yes"/>
    <s v="Yes"/>
    <s v="No"/>
    <s v="Yes"/>
    <s v="No"/>
    <m/>
    <s v="1+ Failures"/>
    <n v="1"/>
    <s v="0-5 hrs"/>
    <x v="1"/>
  </r>
  <r>
    <n v="2657"/>
    <d v="2024-03-05T00:00:00"/>
    <s v="Basic"/>
    <n v="199"/>
    <n v="17.399999999999999"/>
    <n v="7"/>
    <n v="1"/>
    <n v="11"/>
    <n v="5"/>
    <s v="Yes"/>
    <s v="No"/>
    <s v="Yes"/>
    <s v="Yes"/>
    <s v="No"/>
    <s v="No"/>
    <m/>
    <s v="1+ Failures"/>
    <n v="1"/>
    <s v="10-20hrs"/>
    <x v="0"/>
  </r>
  <r>
    <n v="2658"/>
    <d v="2023-03-02T00:00:00"/>
    <s v="Basic"/>
    <n v="199"/>
    <n v="23.6"/>
    <n v="8"/>
    <n v="2"/>
    <n v="25"/>
    <n v="0"/>
    <s v="Yes"/>
    <s v="No"/>
    <s v="Yes"/>
    <s v="Yes"/>
    <s v="No"/>
    <s v="No"/>
    <m/>
    <s v="1+ Failures"/>
    <n v="1"/>
    <s v="20+ hrs"/>
    <x v="1"/>
  </r>
  <r>
    <n v="2659"/>
    <d v="2023-01-02T00:00:00"/>
    <s v="Standard"/>
    <n v="399"/>
    <n v="16.2"/>
    <n v="0"/>
    <n v="0"/>
    <n v="36"/>
    <n v="7"/>
    <s v="No"/>
    <s v="No"/>
    <s v="No"/>
    <s v="No"/>
    <s v="No"/>
    <s v="No"/>
    <m/>
    <s v="0 Failures"/>
    <n v="0"/>
    <s v="10-20hrs"/>
    <x v="1"/>
  </r>
  <r>
    <n v="2660"/>
    <d v="2024-03-13T00:00:00"/>
    <s v="Premium"/>
    <n v="699"/>
    <n v="21.2"/>
    <n v="1"/>
    <n v="5"/>
    <n v="12"/>
    <n v="5"/>
    <s v="Yes"/>
    <s v="No"/>
    <s v="Yes"/>
    <s v="No"/>
    <s v="No"/>
    <s v="No"/>
    <m/>
    <s v="1+ Failures"/>
    <n v="1"/>
    <s v="20+ hrs"/>
    <x v="0"/>
  </r>
  <r>
    <n v="2661"/>
    <d v="2023-05-20T00:00:00"/>
    <s v="Basic"/>
    <n v="199"/>
    <n v="18.7"/>
    <n v="3"/>
    <n v="3"/>
    <n v="3"/>
    <n v="3"/>
    <s v="No"/>
    <s v="No"/>
    <s v="Yes"/>
    <s v="No"/>
    <s v="No"/>
    <s v="Yes"/>
    <m/>
    <s v="1+ Failures"/>
    <n v="0"/>
    <s v="10-20hrs"/>
    <x v="2"/>
  </r>
  <r>
    <n v="2662"/>
    <d v="2023-01-16T00:00:00"/>
    <s v="Basic"/>
    <n v="199"/>
    <n v="1.3"/>
    <n v="1"/>
    <n v="3"/>
    <n v="3"/>
    <n v="37"/>
    <s v="Yes"/>
    <s v="Yes"/>
    <s v="Yes"/>
    <s v="No"/>
    <s v="Yes"/>
    <s v="Yes"/>
    <m/>
    <s v="1+ Failures"/>
    <n v="1"/>
    <s v="0-5 hrs"/>
    <x v="2"/>
  </r>
  <r>
    <n v="2663"/>
    <d v="2024-07-29T00:00:00"/>
    <s v="Basic"/>
    <n v="199"/>
    <n v="6.8"/>
    <n v="1"/>
    <n v="4"/>
    <n v="31"/>
    <n v="36"/>
    <s v="No"/>
    <s v="No"/>
    <s v="Yes"/>
    <s v="No"/>
    <s v="Yes"/>
    <s v="No"/>
    <m/>
    <s v="1+ Failures"/>
    <n v="0"/>
    <s v="5-10 hrs"/>
    <x v="1"/>
  </r>
  <r>
    <n v="2664"/>
    <d v="2024-06-18T00:00:00"/>
    <s v="Premium"/>
    <n v="699"/>
    <n v="17.600000000000001"/>
    <n v="3"/>
    <n v="5"/>
    <n v="21"/>
    <n v="9"/>
    <s v="No"/>
    <s v="No"/>
    <s v="Yes"/>
    <s v="No"/>
    <s v="No"/>
    <s v="No"/>
    <m/>
    <s v="1+ Failures"/>
    <n v="0"/>
    <s v="10-20hrs"/>
    <x v="1"/>
  </r>
  <r>
    <n v="2665"/>
    <d v="2023-09-21T00:00:00"/>
    <s v="Standard"/>
    <n v="399"/>
    <n v="15"/>
    <n v="3"/>
    <n v="3"/>
    <n v="27"/>
    <n v="22"/>
    <s v="Yes"/>
    <s v="No"/>
    <s v="Yes"/>
    <s v="No"/>
    <s v="Yes"/>
    <s v="No"/>
    <m/>
    <s v="1+ Failures"/>
    <n v="1"/>
    <s v="10-20hrs"/>
    <x v="1"/>
  </r>
  <r>
    <n v="2666"/>
    <d v="2024-06-11T00:00:00"/>
    <s v="Standard"/>
    <n v="399"/>
    <n v="19.3"/>
    <n v="6"/>
    <n v="5"/>
    <n v="31"/>
    <n v="5"/>
    <s v="No"/>
    <s v="No"/>
    <s v="Yes"/>
    <s v="Yes"/>
    <s v="No"/>
    <s v="No"/>
    <m/>
    <s v="1+ Failures"/>
    <n v="0"/>
    <s v="10-20hrs"/>
    <x v="1"/>
  </r>
  <r>
    <n v="2667"/>
    <d v="2023-03-14T00:00:00"/>
    <s v="Basic"/>
    <n v="199"/>
    <n v="5.5"/>
    <n v="4"/>
    <n v="4"/>
    <n v="31"/>
    <n v="5"/>
    <s v="Yes"/>
    <s v="No"/>
    <s v="Yes"/>
    <s v="No"/>
    <s v="No"/>
    <s v="No"/>
    <m/>
    <s v="1+ Failures"/>
    <n v="1"/>
    <s v="5-10 hrs"/>
    <x v="1"/>
  </r>
  <r>
    <n v="2668"/>
    <d v="2024-09-17T00:00:00"/>
    <s v="Basic"/>
    <n v="199"/>
    <n v="8.6"/>
    <n v="2"/>
    <n v="2"/>
    <n v="17"/>
    <n v="49"/>
    <s v="Yes"/>
    <s v="No"/>
    <s v="Yes"/>
    <s v="No"/>
    <s v="Yes"/>
    <s v="No"/>
    <m/>
    <s v="1+ Failures"/>
    <n v="1"/>
    <s v="5-10 hrs"/>
    <x v="1"/>
  </r>
  <r>
    <n v="2669"/>
    <d v="2024-01-04T00:00:00"/>
    <s v="Standard"/>
    <n v="399"/>
    <n v="17.3"/>
    <n v="1"/>
    <n v="3"/>
    <n v="15"/>
    <n v="57"/>
    <s v="Yes"/>
    <s v="No"/>
    <s v="Yes"/>
    <s v="No"/>
    <s v="Yes"/>
    <s v="No"/>
    <m/>
    <s v="1+ Failures"/>
    <n v="1"/>
    <s v="10-20hrs"/>
    <x v="1"/>
  </r>
  <r>
    <n v="2670"/>
    <d v="2024-03-06T00:00:00"/>
    <s v="Standard"/>
    <n v="399"/>
    <n v="13.3"/>
    <n v="3"/>
    <n v="2"/>
    <n v="17"/>
    <n v="55"/>
    <s v="No"/>
    <s v="No"/>
    <s v="Yes"/>
    <s v="No"/>
    <s v="Yes"/>
    <s v="No"/>
    <m/>
    <s v="1+ Failures"/>
    <n v="0"/>
    <s v="10-20hrs"/>
    <x v="1"/>
  </r>
  <r>
    <n v="2671"/>
    <d v="2024-03-15T00:00:00"/>
    <s v="Premium"/>
    <n v="699"/>
    <n v="10.4"/>
    <n v="4"/>
    <n v="4"/>
    <n v="4"/>
    <n v="27"/>
    <s v="Yes"/>
    <s v="No"/>
    <s v="Yes"/>
    <s v="No"/>
    <s v="Yes"/>
    <s v="Yes"/>
    <m/>
    <s v="1+ Failures"/>
    <n v="1"/>
    <s v="10-20hrs"/>
    <x v="3"/>
  </r>
  <r>
    <n v="2672"/>
    <d v="2024-07-08T00:00:00"/>
    <s v="Standard"/>
    <n v="399"/>
    <n v="14.9"/>
    <n v="3"/>
    <n v="5"/>
    <n v="13"/>
    <n v="16"/>
    <s v="No"/>
    <s v="No"/>
    <s v="Yes"/>
    <s v="No"/>
    <s v="Yes"/>
    <s v="No"/>
    <m/>
    <s v="1+ Failures"/>
    <n v="0"/>
    <s v="10-20hrs"/>
    <x v="1"/>
  </r>
  <r>
    <n v="2673"/>
    <d v="2024-10-07T00:00:00"/>
    <s v="Premium"/>
    <n v="699"/>
    <n v="13.9"/>
    <n v="2"/>
    <n v="2"/>
    <n v="13"/>
    <n v="51"/>
    <s v="Yes"/>
    <s v="No"/>
    <s v="Yes"/>
    <s v="No"/>
    <s v="Yes"/>
    <s v="No"/>
    <m/>
    <s v="1+ Failures"/>
    <n v="1"/>
    <s v="10-20hrs"/>
    <x v="1"/>
  </r>
  <r>
    <n v="2674"/>
    <d v="2024-04-01T00:00:00"/>
    <s v="Standard"/>
    <n v="399"/>
    <n v="22.9"/>
    <n v="8"/>
    <n v="0"/>
    <n v="26"/>
    <n v="21"/>
    <s v="Yes"/>
    <s v="No"/>
    <s v="No"/>
    <s v="Yes"/>
    <s v="Yes"/>
    <s v="No"/>
    <m/>
    <s v="0 Failures"/>
    <n v="1"/>
    <s v="20+ hrs"/>
    <x v="1"/>
  </r>
  <r>
    <n v="2675"/>
    <d v="2023-12-27T00:00:00"/>
    <s v="Standard"/>
    <n v="399"/>
    <n v="17.8"/>
    <n v="6"/>
    <n v="2"/>
    <n v="18"/>
    <n v="28"/>
    <s v="Yes"/>
    <s v="No"/>
    <s v="Yes"/>
    <s v="Yes"/>
    <s v="Yes"/>
    <s v="No"/>
    <m/>
    <s v="1+ Failures"/>
    <n v="1"/>
    <s v="10-20hrs"/>
    <x v="1"/>
  </r>
  <r>
    <n v="2676"/>
    <d v="2023-01-10T00:00:00"/>
    <s v="Basic"/>
    <n v="199"/>
    <n v="24"/>
    <n v="2"/>
    <n v="1"/>
    <n v="24"/>
    <n v="36"/>
    <s v="Yes"/>
    <s v="No"/>
    <s v="Yes"/>
    <s v="No"/>
    <s v="Yes"/>
    <s v="No"/>
    <m/>
    <s v="1+ Failures"/>
    <n v="1"/>
    <s v="20+ hrs"/>
    <x v="1"/>
  </r>
  <r>
    <n v="2677"/>
    <d v="2024-10-06T00:00:00"/>
    <s v="Premium"/>
    <n v="699"/>
    <n v="13.8"/>
    <n v="5"/>
    <n v="2"/>
    <n v="3"/>
    <n v="6"/>
    <s v="Yes"/>
    <s v="No"/>
    <s v="Yes"/>
    <s v="Yes"/>
    <s v="No"/>
    <s v="Yes"/>
    <m/>
    <s v="1+ Failures"/>
    <n v="1"/>
    <s v="10-20hrs"/>
    <x v="2"/>
  </r>
  <r>
    <n v="2678"/>
    <d v="2023-04-13T00:00:00"/>
    <s v="Premium"/>
    <n v="699"/>
    <n v="18.399999999999999"/>
    <n v="1"/>
    <n v="1"/>
    <n v="20"/>
    <n v="6"/>
    <s v="No"/>
    <s v="No"/>
    <s v="Yes"/>
    <s v="No"/>
    <s v="No"/>
    <s v="No"/>
    <m/>
    <s v="1+ Failures"/>
    <n v="0"/>
    <s v="10-20hrs"/>
    <x v="1"/>
  </r>
  <r>
    <n v="2679"/>
    <d v="2023-12-03T00:00:00"/>
    <s v="Standard"/>
    <n v="399"/>
    <n v="23.6"/>
    <n v="1"/>
    <n v="4"/>
    <n v="33"/>
    <n v="43"/>
    <s v="Yes"/>
    <s v="No"/>
    <s v="Yes"/>
    <s v="No"/>
    <s v="Yes"/>
    <s v="No"/>
    <m/>
    <s v="1+ Failures"/>
    <n v="1"/>
    <s v="20+ hrs"/>
    <x v="1"/>
  </r>
  <r>
    <n v="2680"/>
    <d v="2024-10-11T00:00:00"/>
    <s v="Standard"/>
    <n v="399"/>
    <n v="17.2"/>
    <n v="0"/>
    <n v="5"/>
    <n v="29"/>
    <n v="44"/>
    <s v="Yes"/>
    <s v="No"/>
    <s v="Yes"/>
    <s v="No"/>
    <s v="Yes"/>
    <s v="No"/>
    <m/>
    <s v="1+ Failures"/>
    <n v="1"/>
    <s v="10-20hrs"/>
    <x v="1"/>
  </r>
  <r>
    <n v="2681"/>
    <d v="2023-10-02T00:00:00"/>
    <s v="Basic"/>
    <n v="199"/>
    <n v="18.100000000000001"/>
    <n v="5"/>
    <n v="1"/>
    <n v="26"/>
    <n v="20"/>
    <s v="No"/>
    <s v="No"/>
    <s v="Yes"/>
    <s v="Yes"/>
    <s v="Yes"/>
    <s v="No"/>
    <m/>
    <s v="1+ Failures"/>
    <n v="0"/>
    <s v="10-20hrs"/>
    <x v="1"/>
  </r>
  <r>
    <n v="2682"/>
    <d v="2024-03-24T00:00:00"/>
    <s v="Premium"/>
    <n v="699"/>
    <n v="17.2"/>
    <n v="0"/>
    <n v="0"/>
    <n v="6"/>
    <n v="42"/>
    <s v="Yes"/>
    <s v="No"/>
    <s v="No"/>
    <s v="No"/>
    <s v="Yes"/>
    <s v="No"/>
    <m/>
    <s v="0 Failures"/>
    <n v="1"/>
    <s v="10-20hrs"/>
    <x v="3"/>
  </r>
  <r>
    <n v="2683"/>
    <d v="2024-12-17T00:00:00"/>
    <s v="Standard"/>
    <n v="399"/>
    <n v="21.9"/>
    <n v="0"/>
    <n v="0"/>
    <n v="23"/>
    <n v="10"/>
    <s v="No"/>
    <s v="No"/>
    <s v="No"/>
    <s v="No"/>
    <s v="No"/>
    <s v="No"/>
    <m/>
    <s v="0 Failures"/>
    <n v="0"/>
    <s v="20+ hrs"/>
    <x v="1"/>
  </r>
  <r>
    <n v="2684"/>
    <d v="2023-07-07T00:00:00"/>
    <s v="Basic"/>
    <n v="199"/>
    <n v="8.3000000000000007"/>
    <n v="5"/>
    <n v="1"/>
    <n v="6"/>
    <n v="55"/>
    <s v="No"/>
    <s v="No"/>
    <s v="Yes"/>
    <s v="Yes"/>
    <s v="Yes"/>
    <s v="No"/>
    <m/>
    <s v="1+ Failures"/>
    <n v="0"/>
    <s v="5-10 hrs"/>
    <x v="3"/>
  </r>
  <r>
    <n v="2685"/>
    <d v="2024-05-19T00:00:00"/>
    <s v="Standard"/>
    <n v="399"/>
    <n v="11.3"/>
    <n v="5"/>
    <n v="0"/>
    <n v="17"/>
    <n v="28"/>
    <s v="Yes"/>
    <s v="No"/>
    <s v="No"/>
    <s v="Yes"/>
    <s v="Yes"/>
    <s v="No"/>
    <m/>
    <s v="0 Failures"/>
    <n v="1"/>
    <s v="10-20hrs"/>
    <x v="1"/>
  </r>
  <r>
    <n v="2686"/>
    <d v="2023-12-29T00:00:00"/>
    <s v="Basic"/>
    <n v="199"/>
    <n v="17.8"/>
    <n v="2"/>
    <n v="3"/>
    <n v="29"/>
    <n v="38"/>
    <s v="Yes"/>
    <s v="No"/>
    <s v="Yes"/>
    <s v="No"/>
    <s v="Yes"/>
    <s v="No"/>
    <m/>
    <s v="1+ Failures"/>
    <n v="1"/>
    <s v="10-20hrs"/>
    <x v="1"/>
  </r>
  <r>
    <n v="2687"/>
    <d v="2023-02-19T00:00:00"/>
    <s v="Premium"/>
    <n v="699"/>
    <n v="16.3"/>
    <n v="3"/>
    <n v="5"/>
    <n v="24"/>
    <n v="48"/>
    <s v="No"/>
    <s v="No"/>
    <s v="Yes"/>
    <s v="No"/>
    <s v="Yes"/>
    <s v="No"/>
    <m/>
    <s v="1+ Failures"/>
    <n v="0"/>
    <s v="10-20hrs"/>
    <x v="1"/>
  </r>
  <r>
    <n v="2688"/>
    <d v="2023-07-28T00:00:00"/>
    <s v="Basic"/>
    <n v="199"/>
    <n v="7.6"/>
    <n v="3"/>
    <n v="2"/>
    <n v="26"/>
    <n v="49"/>
    <s v="No"/>
    <s v="No"/>
    <s v="Yes"/>
    <s v="No"/>
    <s v="Yes"/>
    <s v="No"/>
    <m/>
    <s v="1+ Failures"/>
    <n v="0"/>
    <s v="5-10 hrs"/>
    <x v="1"/>
  </r>
  <r>
    <n v="2689"/>
    <d v="2023-08-08T00:00:00"/>
    <s v="Premium"/>
    <n v="699"/>
    <n v="0.6"/>
    <n v="5"/>
    <n v="1"/>
    <n v="8"/>
    <n v="60"/>
    <s v="Yes"/>
    <s v="Yes"/>
    <s v="Yes"/>
    <s v="Yes"/>
    <s v="Yes"/>
    <s v="No"/>
    <m/>
    <s v="1+ Failures"/>
    <n v="1"/>
    <s v="0-5 hrs"/>
    <x v="0"/>
  </r>
  <r>
    <n v="2690"/>
    <d v="2024-10-03T00:00:00"/>
    <s v="Standard"/>
    <n v="399"/>
    <n v="12.9"/>
    <n v="4"/>
    <n v="0"/>
    <n v="3"/>
    <n v="4"/>
    <s v="No"/>
    <s v="No"/>
    <s v="No"/>
    <s v="No"/>
    <s v="No"/>
    <s v="Yes"/>
    <m/>
    <s v="0 Failures"/>
    <n v="0"/>
    <s v="10-20hrs"/>
    <x v="2"/>
  </r>
  <r>
    <n v="2691"/>
    <d v="2024-07-12T00:00:00"/>
    <s v="Premium"/>
    <n v="699"/>
    <n v="23.9"/>
    <n v="5"/>
    <n v="4"/>
    <n v="7"/>
    <n v="39"/>
    <s v="No"/>
    <s v="No"/>
    <s v="Yes"/>
    <s v="Yes"/>
    <s v="Yes"/>
    <s v="No"/>
    <m/>
    <s v="1+ Failures"/>
    <n v="0"/>
    <s v="20+ hrs"/>
    <x v="0"/>
  </r>
  <r>
    <n v="2692"/>
    <d v="2023-05-31T00:00:00"/>
    <s v="Standard"/>
    <n v="399"/>
    <n v="19.100000000000001"/>
    <n v="3"/>
    <n v="2"/>
    <n v="23"/>
    <n v="43"/>
    <s v="Yes"/>
    <s v="No"/>
    <s v="Yes"/>
    <s v="No"/>
    <s v="Yes"/>
    <s v="No"/>
    <m/>
    <s v="1+ Failures"/>
    <n v="1"/>
    <s v="10-20hrs"/>
    <x v="1"/>
  </r>
  <r>
    <n v="2693"/>
    <d v="2024-08-06T00:00:00"/>
    <s v="Basic"/>
    <n v="199"/>
    <n v="10"/>
    <n v="0"/>
    <n v="0"/>
    <n v="24"/>
    <n v="26"/>
    <s v="No"/>
    <s v="No"/>
    <s v="No"/>
    <s v="No"/>
    <s v="Yes"/>
    <s v="No"/>
    <m/>
    <s v="0 Failures"/>
    <n v="0"/>
    <s v="5-10 hrs"/>
    <x v="1"/>
  </r>
  <r>
    <n v="2694"/>
    <d v="2024-07-14T00:00:00"/>
    <s v="Premium"/>
    <n v="699"/>
    <n v="16.3"/>
    <n v="6"/>
    <n v="4"/>
    <n v="1"/>
    <n v="27"/>
    <s v="No"/>
    <s v="No"/>
    <s v="Yes"/>
    <s v="Yes"/>
    <s v="Yes"/>
    <s v="Yes"/>
    <m/>
    <s v="1+ Failures"/>
    <n v="0"/>
    <s v="10-20hrs"/>
    <x v="2"/>
  </r>
  <r>
    <n v="2695"/>
    <d v="2024-12-13T00:00:00"/>
    <s v="Basic"/>
    <n v="199"/>
    <n v="13.9"/>
    <n v="7"/>
    <n v="3"/>
    <n v="5"/>
    <n v="16"/>
    <s v="Yes"/>
    <s v="No"/>
    <s v="Yes"/>
    <s v="Yes"/>
    <s v="Yes"/>
    <s v="Yes"/>
    <m/>
    <s v="1+ Failures"/>
    <n v="1"/>
    <s v="10-20hrs"/>
    <x v="3"/>
  </r>
  <r>
    <n v="2696"/>
    <d v="2024-11-09T00:00:00"/>
    <s v="Basic"/>
    <n v="199"/>
    <n v="12.8"/>
    <n v="2"/>
    <n v="5"/>
    <n v="31"/>
    <n v="56"/>
    <s v="No"/>
    <s v="No"/>
    <s v="Yes"/>
    <s v="No"/>
    <s v="Yes"/>
    <s v="No"/>
    <m/>
    <s v="1+ Failures"/>
    <n v="0"/>
    <s v="10-20hrs"/>
    <x v="1"/>
  </r>
  <r>
    <n v="2697"/>
    <d v="2024-05-17T00:00:00"/>
    <s v="Basic"/>
    <n v="199"/>
    <n v="8"/>
    <n v="5"/>
    <n v="1"/>
    <n v="19"/>
    <n v="1"/>
    <s v="Yes"/>
    <s v="No"/>
    <s v="Yes"/>
    <s v="Yes"/>
    <s v="No"/>
    <s v="No"/>
    <m/>
    <s v="1+ Failures"/>
    <n v="1"/>
    <s v="5-10 hrs"/>
    <x v="1"/>
  </r>
  <r>
    <n v="2698"/>
    <d v="2023-06-14T00:00:00"/>
    <s v="Standard"/>
    <n v="399"/>
    <n v="19.100000000000001"/>
    <n v="2"/>
    <n v="2"/>
    <n v="25"/>
    <n v="20"/>
    <s v="Yes"/>
    <s v="No"/>
    <s v="Yes"/>
    <s v="No"/>
    <s v="Yes"/>
    <s v="No"/>
    <m/>
    <s v="1+ Failures"/>
    <n v="1"/>
    <s v="10-20hrs"/>
    <x v="1"/>
  </r>
  <r>
    <n v="2699"/>
    <d v="2023-11-17T00:00:00"/>
    <s v="Premium"/>
    <n v="699"/>
    <n v="20.8"/>
    <n v="1"/>
    <n v="3"/>
    <n v="23"/>
    <n v="13"/>
    <s v="No"/>
    <s v="No"/>
    <s v="Yes"/>
    <s v="No"/>
    <s v="No"/>
    <s v="No"/>
    <m/>
    <s v="1+ Failures"/>
    <n v="0"/>
    <s v="20+ hrs"/>
    <x v="1"/>
  </r>
  <r>
    <n v="2700"/>
    <d v="2023-09-18T00:00:00"/>
    <s v="Standard"/>
    <n v="399"/>
    <n v="22.5"/>
    <n v="2"/>
    <n v="2"/>
    <n v="9"/>
    <n v="6"/>
    <s v="No"/>
    <s v="No"/>
    <s v="Yes"/>
    <s v="No"/>
    <s v="No"/>
    <s v="No"/>
    <m/>
    <s v="1+ Failures"/>
    <n v="0"/>
    <s v="20+ hrs"/>
    <x v="0"/>
  </r>
  <r>
    <n v="2701"/>
    <d v="2023-12-05T00:00:00"/>
    <s v="Basic"/>
    <n v="199"/>
    <n v="15.9"/>
    <n v="2"/>
    <n v="1"/>
    <n v="4"/>
    <n v="50"/>
    <s v="Yes"/>
    <s v="No"/>
    <s v="Yes"/>
    <s v="No"/>
    <s v="Yes"/>
    <s v="Yes"/>
    <m/>
    <s v="1+ Failures"/>
    <n v="1"/>
    <s v="10-20hrs"/>
    <x v="3"/>
  </r>
  <r>
    <n v="2702"/>
    <d v="2024-03-07T00:00:00"/>
    <s v="Basic"/>
    <n v="199"/>
    <n v="0.9"/>
    <n v="0"/>
    <n v="4"/>
    <n v="5"/>
    <n v="2"/>
    <s v="No"/>
    <s v="Yes"/>
    <s v="Yes"/>
    <s v="No"/>
    <s v="No"/>
    <s v="Yes"/>
    <m/>
    <s v="1+ Failures"/>
    <n v="0"/>
    <s v="0-5 hrs"/>
    <x v="3"/>
  </r>
  <r>
    <n v="2703"/>
    <d v="2024-07-23T00:00:00"/>
    <s v="Premium"/>
    <n v="699"/>
    <n v="9.1999999999999993"/>
    <n v="0"/>
    <n v="5"/>
    <n v="3"/>
    <n v="48"/>
    <s v="No"/>
    <s v="No"/>
    <s v="Yes"/>
    <s v="No"/>
    <s v="Yes"/>
    <s v="Yes"/>
    <m/>
    <s v="1+ Failures"/>
    <n v="0"/>
    <s v="5-10 hrs"/>
    <x v="2"/>
  </r>
  <r>
    <n v="2704"/>
    <d v="2023-04-01T00:00:00"/>
    <s v="Standard"/>
    <n v="399"/>
    <n v="6.7"/>
    <n v="0"/>
    <n v="1"/>
    <n v="33"/>
    <n v="56"/>
    <s v="No"/>
    <s v="No"/>
    <s v="Yes"/>
    <s v="No"/>
    <s v="Yes"/>
    <s v="No"/>
    <m/>
    <s v="1+ Failures"/>
    <n v="0"/>
    <s v="5-10 hrs"/>
    <x v="1"/>
  </r>
  <r>
    <n v="2705"/>
    <d v="2024-11-25T00:00:00"/>
    <s v="Standard"/>
    <n v="399"/>
    <n v="11.4"/>
    <n v="2"/>
    <n v="4"/>
    <n v="26"/>
    <n v="59"/>
    <s v="Yes"/>
    <s v="No"/>
    <s v="Yes"/>
    <s v="No"/>
    <s v="Yes"/>
    <s v="No"/>
    <m/>
    <s v="1+ Failures"/>
    <n v="1"/>
    <s v="10-20hrs"/>
    <x v="1"/>
  </r>
  <r>
    <n v="2706"/>
    <d v="2024-08-02T00:00:00"/>
    <s v="Standard"/>
    <n v="399"/>
    <n v="8.6999999999999993"/>
    <n v="8"/>
    <n v="4"/>
    <n v="30"/>
    <n v="28"/>
    <s v="Yes"/>
    <s v="No"/>
    <s v="Yes"/>
    <s v="Yes"/>
    <s v="Yes"/>
    <s v="No"/>
    <m/>
    <s v="1+ Failures"/>
    <n v="1"/>
    <s v="5-10 hrs"/>
    <x v="1"/>
  </r>
  <r>
    <n v="2707"/>
    <d v="2023-08-25T00:00:00"/>
    <s v="Basic"/>
    <n v="199"/>
    <n v="4.7"/>
    <n v="6"/>
    <n v="2"/>
    <n v="6"/>
    <n v="10"/>
    <s v="Yes"/>
    <s v="Yes"/>
    <s v="Yes"/>
    <s v="Yes"/>
    <s v="No"/>
    <s v="No"/>
    <m/>
    <s v="1+ Failures"/>
    <n v="1"/>
    <s v="0-5 hrs"/>
    <x v="3"/>
  </r>
  <r>
    <n v="2708"/>
    <d v="2024-04-13T00:00:00"/>
    <s v="Basic"/>
    <n v="199"/>
    <n v="16.899999999999999"/>
    <n v="2"/>
    <n v="0"/>
    <n v="27"/>
    <n v="56"/>
    <s v="No"/>
    <s v="No"/>
    <s v="No"/>
    <s v="No"/>
    <s v="Yes"/>
    <s v="No"/>
    <m/>
    <s v="0 Failures"/>
    <n v="0"/>
    <s v="10-20hrs"/>
    <x v="1"/>
  </r>
  <r>
    <n v="2709"/>
    <d v="2023-01-26T00:00:00"/>
    <s v="Standard"/>
    <n v="399"/>
    <n v="13.3"/>
    <n v="1"/>
    <n v="2"/>
    <n v="23"/>
    <n v="29"/>
    <s v="No"/>
    <s v="No"/>
    <s v="Yes"/>
    <s v="No"/>
    <s v="Yes"/>
    <s v="No"/>
    <m/>
    <s v="1+ Failures"/>
    <n v="0"/>
    <s v="10-20hrs"/>
    <x v="1"/>
  </r>
  <r>
    <n v="2710"/>
    <d v="2023-06-15T00:00:00"/>
    <s v="Premium"/>
    <n v="699"/>
    <n v="0.5"/>
    <n v="7"/>
    <n v="0"/>
    <n v="9"/>
    <n v="5"/>
    <s v="No"/>
    <s v="Yes"/>
    <s v="No"/>
    <s v="Yes"/>
    <s v="No"/>
    <s v="No"/>
    <m/>
    <s v="0 Failures"/>
    <n v="0"/>
    <s v="0-5 hrs"/>
    <x v="0"/>
  </r>
  <r>
    <n v="2711"/>
    <d v="2023-04-12T00:00:00"/>
    <s v="Basic"/>
    <n v="199"/>
    <n v="0.6"/>
    <n v="3"/>
    <n v="3"/>
    <n v="36"/>
    <n v="44"/>
    <s v="No"/>
    <s v="Yes"/>
    <s v="Yes"/>
    <s v="No"/>
    <s v="Yes"/>
    <s v="No"/>
    <m/>
    <s v="1+ Failures"/>
    <n v="0"/>
    <s v="0-5 hrs"/>
    <x v="1"/>
  </r>
  <r>
    <n v="2712"/>
    <d v="2024-05-15T00:00:00"/>
    <s v="Premium"/>
    <n v="699"/>
    <n v="2.2000000000000002"/>
    <n v="8"/>
    <n v="0"/>
    <n v="11"/>
    <n v="33"/>
    <s v="Yes"/>
    <s v="Yes"/>
    <s v="No"/>
    <s v="Yes"/>
    <s v="Yes"/>
    <s v="No"/>
    <m/>
    <s v="0 Failures"/>
    <n v="1"/>
    <s v="0-5 hrs"/>
    <x v="0"/>
  </r>
  <r>
    <n v="2713"/>
    <d v="2024-05-30T00:00:00"/>
    <s v="Premium"/>
    <n v="699"/>
    <n v="17.3"/>
    <n v="1"/>
    <n v="3"/>
    <n v="1"/>
    <n v="6"/>
    <s v="No"/>
    <s v="No"/>
    <s v="Yes"/>
    <s v="No"/>
    <s v="No"/>
    <s v="Yes"/>
    <m/>
    <s v="1+ Failures"/>
    <n v="0"/>
    <s v="10-20hrs"/>
    <x v="2"/>
  </r>
  <r>
    <n v="2714"/>
    <d v="2024-08-25T00:00:00"/>
    <s v="Standard"/>
    <n v="399"/>
    <n v="13.6"/>
    <n v="5"/>
    <n v="4"/>
    <n v="14"/>
    <n v="35"/>
    <s v="Yes"/>
    <s v="No"/>
    <s v="Yes"/>
    <s v="Yes"/>
    <s v="Yes"/>
    <s v="No"/>
    <m/>
    <s v="1+ Failures"/>
    <n v="1"/>
    <s v="10-20hrs"/>
    <x v="1"/>
  </r>
  <r>
    <n v="2715"/>
    <d v="2024-01-26T00:00:00"/>
    <s v="Standard"/>
    <n v="399"/>
    <n v="17.399999999999999"/>
    <n v="7"/>
    <n v="1"/>
    <n v="30"/>
    <n v="45"/>
    <s v="No"/>
    <s v="No"/>
    <s v="Yes"/>
    <s v="Yes"/>
    <s v="Yes"/>
    <s v="No"/>
    <m/>
    <s v="1+ Failures"/>
    <n v="0"/>
    <s v="10-20hrs"/>
    <x v="1"/>
  </r>
  <r>
    <n v="2716"/>
    <d v="2024-07-01T00:00:00"/>
    <s v="Premium"/>
    <n v="699"/>
    <n v="1.6"/>
    <n v="0"/>
    <n v="2"/>
    <n v="34"/>
    <n v="58"/>
    <s v="Yes"/>
    <s v="Yes"/>
    <s v="Yes"/>
    <s v="No"/>
    <s v="Yes"/>
    <s v="No"/>
    <m/>
    <s v="1+ Failures"/>
    <n v="1"/>
    <s v="0-5 hrs"/>
    <x v="1"/>
  </r>
  <r>
    <n v="2717"/>
    <d v="2024-08-18T00:00:00"/>
    <s v="Premium"/>
    <n v="699"/>
    <n v="2.1"/>
    <n v="6"/>
    <n v="4"/>
    <n v="14"/>
    <n v="60"/>
    <s v="Yes"/>
    <s v="Yes"/>
    <s v="Yes"/>
    <s v="Yes"/>
    <s v="Yes"/>
    <s v="No"/>
    <m/>
    <s v="1+ Failures"/>
    <n v="1"/>
    <s v="0-5 hrs"/>
    <x v="1"/>
  </r>
  <r>
    <n v="2718"/>
    <d v="2023-02-24T00:00:00"/>
    <s v="Standard"/>
    <n v="399"/>
    <n v="20.2"/>
    <n v="4"/>
    <n v="2"/>
    <n v="12"/>
    <n v="56"/>
    <s v="Yes"/>
    <s v="No"/>
    <s v="Yes"/>
    <s v="No"/>
    <s v="Yes"/>
    <s v="No"/>
    <m/>
    <s v="1+ Failures"/>
    <n v="1"/>
    <s v="20+ hrs"/>
    <x v="0"/>
  </r>
  <r>
    <n v="2719"/>
    <d v="2023-06-16T00:00:00"/>
    <s v="Premium"/>
    <n v="699"/>
    <n v="24.9"/>
    <n v="2"/>
    <n v="1"/>
    <n v="7"/>
    <n v="46"/>
    <s v="No"/>
    <s v="No"/>
    <s v="Yes"/>
    <s v="No"/>
    <s v="Yes"/>
    <s v="No"/>
    <m/>
    <s v="1+ Failures"/>
    <n v="0"/>
    <s v="20+ hrs"/>
    <x v="0"/>
  </r>
  <r>
    <n v="2720"/>
    <d v="2024-10-02T00:00:00"/>
    <s v="Basic"/>
    <n v="199"/>
    <n v="4.9000000000000004"/>
    <n v="3"/>
    <n v="4"/>
    <n v="4"/>
    <n v="18"/>
    <s v="Yes"/>
    <s v="Yes"/>
    <s v="Yes"/>
    <s v="No"/>
    <s v="Yes"/>
    <s v="Yes"/>
    <m/>
    <s v="1+ Failures"/>
    <n v="1"/>
    <s v="0-5 hrs"/>
    <x v="3"/>
  </r>
  <r>
    <n v="2721"/>
    <d v="2023-10-13T00:00:00"/>
    <s v="Basic"/>
    <n v="199"/>
    <n v="16.7"/>
    <n v="2"/>
    <n v="0"/>
    <n v="9"/>
    <n v="16"/>
    <s v="Yes"/>
    <s v="No"/>
    <s v="No"/>
    <s v="No"/>
    <s v="Yes"/>
    <s v="No"/>
    <m/>
    <s v="0 Failures"/>
    <n v="1"/>
    <s v="10-20hrs"/>
    <x v="0"/>
  </r>
  <r>
    <n v="2722"/>
    <d v="2023-04-23T00:00:00"/>
    <s v="Standard"/>
    <n v="399"/>
    <n v="16.5"/>
    <n v="2"/>
    <n v="5"/>
    <n v="18"/>
    <n v="55"/>
    <s v="Yes"/>
    <s v="No"/>
    <s v="Yes"/>
    <s v="No"/>
    <s v="Yes"/>
    <s v="No"/>
    <m/>
    <s v="1+ Failures"/>
    <n v="1"/>
    <s v="10-20hrs"/>
    <x v="1"/>
  </r>
  <r>
    <n v="2723"/>
    <d v="2024-12-18T00:00:00"/>
    <s v="Basic"/>
    <n v="199"/>
    <n v="24.4"/>
    <n v="5"/>
    <n v="4"/>
    <n v="27"/>
    <n v="38"/>
    <s v="Yes"/>
    <s v="No"/>
    <s v="Yes"/>
    <s v="Yes"/>
    <s v="Yes"/>
    <s v="No"/>
    <m/>
    <s v="1+ Failures"/>
    <n v="1"/>
    <s v="20+ hrs"/>
    <x v="1"/>
  </r>
  <r>
    <n v="2724"/>
    <d v="2023-02-21T00:00:00"/>
    <s v="Basic"/>
    <n v="199"/>
    <n v="18.5"/>
    <n v="0"/>
    <n v="1"/>
    <n v="9"/>
    <n v="2"/>
    <s v="No"/>
    <s v="No"/>
    <s v="Yes"/>
    <s v="No"/>
    <s v="No"/>
    <s v="No"/>
    <m/>
    <s v="1+ Failures"/>
    <n v="0"/>
    <s v="10-20hrs"/>
    <x v="0"/>
  </r>
  <r>
    <n v="2725"/>
    <d v="2024-01-03T00:00:00"/>
    <s v="Standard"/>
    <n v="399"/>
    <n v="5.9"/>
    <n v="2"/>
    <n v="1"/>
    <n v="10"/>
    <n v="45"/>
    <s v="No"/>
    <s v="No"/>
    <s v="Yes"/>
    <s v="No"/>
    <s v="Yes"/>
    <s v="No"/>
    <m/>
    <s v="1+ Failures"/>
    <n v="0"/>
    <s v="5-10 hrs"/>
    <x v="0"/>
  </r>
  <r>
    <n v="2726"/>
    <d v="2023-05-14T00:00:00"/>
    <s v="Basic"/>
    <n v="199"/>
    <n v="6.5"/>
    <n v="3"/>
    <n v="0"/>
    <n v="7"/>
    <n v="57"/>
    <s v="No"/>
    <s v="No"/>
    <s v="No"/>
    <s v="No"/>
    <s v="Yes"/>
    <s v="No"/>
    <m/>
    <s v="0 Failures"/>
    <n v="0"/>
    <s v="5-10 hrs"/>
    <x v="0"/>
  </r>
  <r>
    <n v="2727"/>
    <d v="2023-01-03T00:00:00"/>
    <s v="Premium"/>
    <n v="699"/>
    <n v="10.7"/>
    <n v="0"/>
    <n v="3"/>
    <n v="6"/>
    <n v="16"/>
    <s v="No"/>
    <s v="No"/>
    <s v="Yes"/>
    <s v="No"/>
    <s v="Yes"/>
    <s v="No"/>
    <m/>
    <s v="1+ Failures"/>
    <n v="0"/>
    <s v="10-20hrs"/>
    <x v="3"/>
  </r>
  <r>
    <n v="2728"/>
    <d v="2024-02-12T00:00:00"/>
    <s v="Premium"/>
    <n v="699"/>
    <n v="8.9"/>
    <n v="3"/>
    <n v="3"/>
    <n v="4"/>
    <n v="29"/>
    <s v="Yes"/>
    <s v="No"/>
    <s v="Yes"/>
    <s v="No"/>
    <s v="Yes"/>
    <s v="Yes"/>
    <m/>
    <s v="1+ Failures"/>
    <n v="1"/>
    <s v="5-10 hrs"/>
    <x v="3"/>
  </r>
  <r>
    <n v="2729"/>
    <d v="2023-01-24T00:00:00"/>
    <s v="Premium"/>
    <n v="699"/>
    <n v="15.5"/>
    <n v="3"/>
    <n v="1"/>
    <n v="7"/>
    <n v="49"/>
    <s v="Yes"/>
    <s v="No"/>
    <s v="Yes"/>
    <s v="No"/>
    <s v="Yes"/>
    <s v="No"/>
    <m/>
    <s v="1+ Failures"/>
    <n v="1"/>
    <s v="10-20hrs"/>
    <x v="0"/>
  </r>
  <r>
    <n v="2730"/>
    <d v="2024-12-03T00:00:00"/>
    <s v="Premium"/>
    <n v="699"/>
    <n v="24.8"/>
    <n v="1"/>
    <n v="3"/>
    <n v="11"/>
    <n v="43"/>
    <s v="No"/>
    <s v="No"/>
    <s v="Yes"/>
    <s v="No"/>
    <s v="Yes"/>
    <s v="No"/>
    <m/>
    <s v="1+ Failures"/>
    <n v="0"/>
    <s v="20+ hrs"/>
    <x v="0"/>
  </r>
  <r>
    <n v="2731"/>
    <d v="2023-06-12T00:00:00"/>
    <s v="Premium"/>
    <n v="699"/>
    <n v="12"/>
    <n v="6"/>
    <n v="4"/>
    <n v="5"/>
    <n v="2"/>
    <s v="No"/>
    <s v="No"/>
    <s v="Yes"/>
    <s v="Yes"/>
    <s v="No"/>
    <s v="Yes"/>
    <m/>
    <s v="1+ Failures"/>
    <n v="0"/>
    <s v="10-20hrs"/>
    <x v="3"/>
  </r>
  <r>
    <n v="2732"/>
    <d v="2024-07-08T00:00:00"/>
    <s v="Premium"/>
    <n v="699"/>
    <n v="5.8"/>
    <n v="0"/>
    <n v="2"/>
    <n v="34"/>
    <n v="15"/>
    <s v="No"/>
    <s v="No"/>
    <s v="Yes"/>
    <s v="No"/>
    <s v="Yes"/>
    <s v="No"/>
    <m/>
    <s v="1+ Failures"/>
    <n v="0"/>
    <s v="5-10 hrs"/>
    <x v="1"/>
  </r>
  <r>
    <n v="2733"/>
    <d v="2023-07-27T00:00:00"/>
    <s v="Standard"/>
    <n v="399"/>
    <n v="15.7"/>
    <n v="6"/>
    <n v="1"/>
    <n v="5"/>
    <n v="9"/>
    <s v="No"/>
    <s v="No"/>
    <s v="Yes"/>
    <s v="Yes"/>
    <s v="No"/>
    <s v="Yes"/>
    <m/>
    <s v="1+ Failures"/>
    <n v="0"/>
    <s v="10-20hrs"/>
    <x v="3"/>
  </r>
  <r>
    <n v="2734"/>
    <d v="2024-01-13T00:00:00"/>
    <s v="Basic"/>
    <n v="199"/>
    <n v="12.4"/>
    <n v="8"/>
    <n v="0"/>
    <n v="27"/>
    <n v="23"/>
    <s v="Yes"/>
    <s v="No"/>
    <s v="No"/>
    <s v="Yes"/>
    <s v="Yes"/>
    <s v="No"/>
    <m/>
    <s v="0 Failures"/>
    <n v="1"/>
    <s v="10-20hrs"/>
    <x v="1"/>
  </r>
  <r>
    <n v="2735"/>
    <d v="2023-06-06T00:00:00"/>
    <s v="Standard"/>
    <n v="399"/>
    <n v="11.8"/>
    <n v="0"/>
    <n v="3"/>
    <n v="26"/>
    <n v="14"/>
    <s v="No"/>
    <s v="No"/>
    <s v="Yes"/>
    <s v="No"/>
    <s v="No"/>
    <s v="No"/>
    <m/>
    <s v="1+ Failures"/>
    <n v="0"/>
    <s v="10-20hrs"/>
    <x v="1"/>
  </r>
  <r>
    <n v="2736"/>
    <d v="2023-10-21T00:00:00"/>
    <s v="Basic"/>
    <n v="199"/>
    <n v="20.2"/>
    <n v="5"/>
    <n v="2"/>
    <n v="33"/>
    <n v="3"/>
    <s v="Yes"/>
    <s v="No"/>
    <s v="Yes"/>
    <s v="Yes"/>
    <s v="No"/>
    <s v="No"/>
    <m/>
    <s v="1+ Failures"/>
    <n v="1"/>
    <s v="20+ hrs"/>
    <x v="1"/>
  </r>
  <r>
    <n v="2737"/>
    <d v="2024-12-02T00:00:00"/>
    <s v="Standard"/>
    <n v="399"/>
    <n v="16.600000000000001"/>
    <n v="7"/>
    <n v="3"/>
    <n v="20"/>
    <n v="25"/>
    <s v="No"/>
    <s v="No"/>
    <s v="Yes"/>
    <s v="Yes"/>
    <s v="Yes"/>
    <s v="No"/>
    <m/>
    <s v="1+ Failures"/>
    <n v="0"/>
    <s v="10-20hrs"/>
    <x v="1"/>
  </r>
  <r>
    <n v="2738"/>
    <d v="2024-09-11T00:00:00"/>
    <s v="Standard"/>
    <n v="399"/>
    <n v="18.100000000000001"/>
    <n v="6"/>
    <n v="2"/>
    <n v="13"/>
    <n v="0"/>
    <s v="Yes"/>
    <s v="No"/>
    <s v="Yes"/>
    <s v="Yes"/>
    <s v="No"/>
    <s v="No"/>
    <m/>
    <s v="1+ Failures"/>
    <n v="1"/>
    <s v="10-20hrs"/>
    <x v="1"/>
  </r>
  <r>
    <n v="2739"/>
    <d v="2023-05-01T00:00:00"/>
    <s v="Standard"/>
    <n v="399"/>
    <n v="11.6"/>
    <n v="2"/>
    <n v="1"/>
    <n v="11"/>
    <n v="24"/>
    <s v="Yes"/>
    <s v="No"/>
    <s v="Yes"/>
    <s v="No"/>
    <s v="Yes"/>
    <s v="No"/>
    <m/>
    <s v="1+ Failures"/>
    <n v="1"/>
    <s v="10-20hrs"/>
    <x v="0"/>
  </r>
  <r>
    <n v="2740"/>
    <d v="2023-05-21T00:00:00"/>
    <s v="Basic"/>
    <n v="199"/>
    <n v="24.2"/>
    <n v="4"/>
    <n v="1"/>
    <n v="19"/>
    <n v="50"/>
    <s v="Yes"/>
    <s v="No"/>
    <s v="Yes"/>
    <s v="No"/>
    <s v="Yes"/>
    <s v="No"/>
    <m/>
    <s v="1+ Failures"/>
    <n v="1"/>
    <s v="20+ hrs"/>
    <x v="1"/>
  </r>
  <r>
    <n v="2741"/>
    <d v="2023-06-04T00:00:00"/>
    <s v="Premium"/>
    <n v="699"/>
    <n v="23.6"/>
    <n v="8"/>
    <n v="5"/>
    <n v="22"/>
    <n v="20"/>
    <s v="Yes"/>
    <s v="No"/>
    <s v="Yes"/>
    <s v="Yes"/>
    <s v="Yes"/>
    <s v="No"/>
    <m/>
    <s v="1+ Failures"/>
    <n v="1"/>
    <s v="20+ hrs"/>
    <x v="1"/>
  </r>
  <r>
    <n v="2742"/>
    <d v="2024-08-31T00:00:00"/>
    <s v="Basic"/>
    <n v="199"/>
    <n v="21.3"/>
    <n v="0"/>
    <n v="4"/>
    <n v="33"/>
    <n v="47"/>
    <s v="Yes"/>
    <s v="No"/>
    <s v="Yes"/>
    <s v="No"/>
    <s v="Yes"/>
    <s v="No"/>
    <m/>
    <s v="1+ Failures"/>
    <n v="1"/>
    <s v="20+ hrs"/>
    <x v="1"/>
  </r>
  <r>
    <n v="2743"/>
    <d v="2023-11-15T00:00:00"/>
    <s v="Premium"/>
    <n v="699"/>
    <n v="18.600000000000001"/>
    <n v="6"/>
    <n v="1"/>
    <n v="7"/>
    <n v="40"/>
    <s v="Yes"/>
    <s v="No"/>
    <s v="Yes"/>
    <s v="Yes"/>
    <s v="Yes"/>
    <s v="No"/>
    <m/>
    <s v="1+ Failures"/>
    <n v="1"/>
    <s v="10-20hrs"/>
    <x v="0"/>
  </r>
  <r>
    <n v="2744"/>
    <d v="2023-12-13T00:00:00"/>
    <s v="Premium"/>
    <n v="699"/>
    <n v="16.600000000000001"/>
    <n v="6"/>
    <n v="2"/>
    <n v="6"/>
    <n v="14"/>
    <s v="Yes"/>
    <s v="No"/>
    <s v="Yes"/>
    <s v="Yes"/>
    <s v="No"/>
    <s v="No"/>
    <m/>
    <s v="1+ Failures"/>
    <n v="1"/>
    <s v="10-20hrs"/>
    <x v="3"/>
  </r>
  <r>
    <n v="2745"/>
    <d v="2024-11-13T00:00:00"/>
    <s v="Basic"/>
    <n v="199"/>
    <n v="18.100000000000001"/>
    <n v="4"/>
    <n v="3"/>
    <n v="9"/>
    <n v="11"/>
    <s v="No"/>
    <s v="No"/>
    <s v="Yes"/>
    <s v="No"/>
    <s v="No"/>
    <s v="No"/>
    <m/>
    <s v="1+ Failures"/>
    <n v="0"/>
    <s v="10-20hrs"/>
    <x v="0"/>
  </r>
  <r>
    <n v="2746"/>
    <d v="2023-02-05T00:00:00"/>
    <s v="Basic"/>
    <n v="199"/>
    <n v="13.5"/>
    <n v="3"/>
    <n v="1"/>
    <n v="24"/>
    <n v="16"/>
    <s v="No"/>
    <s v="No"/>
    <s v="Yes"/>
    <s v="No"/>
    <s v="Yes"/>
    <s v="No"/>
    <m/>
    <s v="1+ Failures"/>
    <n v="0"/>
    <s v="10-20hrs"/>
    <x v="1"/>
  </r>
  <r>
    <n v="2747"/>
    <d v="2023-01-29T00:00:00"/>
    <s v="Premium"/>
    <n v="699"/>
    <n v="2.4"/>
    <n v="5"/>
    <n v="5"/>
    <n v="16"/>
    <n v="33"/>
    <s v="Yes"/>
    <s v="Yes"/>
    <s v="Yes"/>
    <s v="Yes"/>
    <s v="Yes"/>
    <s v="No"/>
    <m/>
    <s v="1+ Failures"/>
    <n v="1"/>
    <s v="0-5 hrs"/>
    <x v="1"/>
  </r>
  <r>
    <n v="2748"/>
    <d v="2024-07-31T00:00:00"/>
    <s v="Standard"/>
    <n v="399"/>
    <n v="9.6"/>
    <n v="7"/>
    <n v="5"/>
    <n v="18"/>
    <n v="24"/>
    <s v="No"/>
    <s v="No"/>
    <s v="Yes"/>
    <s v="Yes"/>
    <s v="Yes"/>
    <s v="No"/>
    <m/>
    <s v="1+ Failures"/>
    <n v="0"/>
    <s v="5-10 hrs"/>
    <x v="1"/>
  </r>
  <r>
    <n v="2749"/>
    <d v="2023-10-02T00:00:00"/>
    <s v="Premium"/>
    <n v="699"/>
    <n v="12.7"/>
    <n v="7"/>
    <n v="3"/>
    <n v="18"/>
    <n v="37"/>
    <s v="Yes"/>
    <s v="No"/>
    <s v="Yes"/>
    <s v="Yes"/>
    <s v="Yes"/>
    <s v="No"/>
    <m/>
    <s v="1+ Failures"/>
    <n v="1"/>
    <s v="10-20hrs"/>
    <x v="1"/>
  </r>
  <r>
    <n v="2750"/>
    <d v="2024-04-28T00:00:00"/>
    <s v="Premium"/>
    <n v="699"/>
    <n v="23.7"/>
    <n v="5"/>
    <n v="1"/>
    <n v="22"/>
    <n v="27"/>
    <s v="Yes"/>
    <s v="No"/>
    <s v="Yes"/>
    <s v="Yes"/>
    <s v="Yes"/>
    <s v="No"/>
    <m/>
    <s v="1+ Failures"/>
    <n v="1"/>
    <s v="20+ hrs"/>
    <x v="1"/>
  </r>
  <r>
    <n v="2751"/>
    <d v="2023-08-02T00:00:00"/>
    <s v="Standard"/>
    <n v="399"/>
    <n v="10"/>
    <n v="8"/>
    <n v="3"/>
    <n v="26"/>
    <n v="51"/>
    <s v="Yes"/>
    <s v="No"/>
    <s v="Yes"/>
    <s v="Yes"/>
    <s v="Yes"/>
    <s v="No"/>
    <m/>
    <s v="1+ Failures"/>
    <n v="1"/>
    <s v="5-10 hrs"/>
    <x v="1"/>
  </r>
  <r>
    <n v="2752"/>
    <d v="2024-12-15T00:00:00"/>
    <s v="Standard"/>
    <n v="399"/>
    <n v="2.4"/>
    <n v="5"/>
    <n v="2"/>
    <n v="9"/>
    <n v="23"/>
    <s v="Yes"/>
    <s v="Yes"/>
    <s v="Yes"/>
    <s v="Yes"/>
    <s v="Yes"/>
    <s v="No"/>
    <m/>
    <s v="1+ Failures"/>
    <n v="1"/>
    <s v="0-5 hrs"/>
    <x v="0"/>
  </r>
  <r>
    <n v="2753"/>
    <d v="2023-07-09T00:00:00"/>
    <s v="Basic"/>
    <n v="199"/>
    <n v="23.2"/>
    <n v="4"/>
    <n v="4"/>
    <n v="22"/>
    <n v="5"/>
    <s v="No"/>
    <s v="No"/>
    <s v="Yes"/>
    <s v="No"/>
    <s v="No"/>
    <s v="No"/>
    <m/>
    <s v="1+ Failures"/>
    <n v="0"/>
    <s v="20+ hrs"/>
    <x v="1"/>
  </r>
  <r>
    <n v="2754"/>
    <d v="2024-04-02T00:00:00"/>
    <s v="Standard"/>
    <n v="399"/>
    <n v="8.4"/>
    <n v="5"/>
    <n v="4"/>
    <n v="10"/>
    <n v="24"/>
    <s v="Yes"/>
    <s v="No"/>
    <s v="Yes"/>
    <s v="Yes"/>
    <s v="Yes"/>
    <s v="No"/>
    <m/>
    <s v="1+ Failures"/>
    <n v="1"/>
    <s v="5-10 hrs"/>
    <x v="0"/>
  </r>
  <r>
    <n v="2755"/>
    <d v="2023-10-10T00:00:00"/>
    <s v="Basic"/>
    <n v="199"/>
    <n v="21.4"/>
    <n v="3"/>
    <n v="0"/>
    <n v="8"/>
    <n v="29"/>
    <s v="No"/>
    <s v="No"/>
    <s v="No"/>
    <s v="No"/>
    <s v="Yes"/>
    <s v="No"/>
    <m/>
    <s v="0 Failures"/>
    <n v="0"/>
    <s v="20+ hrs"/>
    <x v="0"/>
  </r>
  <r>
    <n v="2756"/>
    <d v="2023-10-20T00:00:00"/>
    <s v="Basic"/>
    <n v="199"/>
    <n v="9.5"/>
    <n v="1"/>
    <n v="2"/>
    <n v="16"/>
    <n v="11"/>
    <s v="No"/>
    <s v="No"/>
    <s v="Yes"/>
    <s v="No"/>
    <s v="No"/>
    <s v="No"/>
    <m/>
    <s v="1+ Failures"/>
    <n v="0"/>
    <s v="5-10 hrs"/>
    <x v="1"/>
  </r>
  <r>
    <n v="2757"/>
    <d v="2024-03-01T00:00:00"/>
    <s v="Basic"/>
    <n v="199"/>
    <n v="16.399999999999999"/>
    <n v="3"/>
    <n v="1"/>
    <n v="17"/>
    <n v="50"/>
    <s v="No"/>
    <s v="No"/>
    <s v="Yes"/>
    <s v="No"/>
    <s v="Yes"/>
    <s v="No"/>
    <m/>
    <s v="1+ Failures"/>
    <n v="0"/>
    <s v="10-20hrs"/>
    <x v="1"/>
  </r>
  <r>
    <n v="2758"/>
    <d v="2024-04-08T00:00:00"/>
    <s v="Basic"/>
    <n v="199"/>
    <n v="19.5"/>
    <n v="4"/>
    <n v="1"/>
    <n v="20"/>
    <n v="45"/>
    <s v="No"/>
    <s v="No"/>
    <s v="Yes"/>
    <s v="No"/>
    <s v="Yes"/>
    <s v="No"/>
    <m/>
    <s v="1+ Failures"/>
    <n v="0"/>
    <s v="10-20hrs"/>
    <x v="1"/>
  </r>
  <r>
    <n v="2759"/>
    <d v="2024-11-28T00:00:00"/>
    <s v="Premium"/>
    <n v="699"/>
    <n v="5.9"/>
    <n v="7"/>
    <n v="1"/>
    <n v="27"/>
    <n v="6"/>
    <s v="No"/>
    <s v="No"/>
    <s v="Yes"/>
    <s v="Yes"/>
    <s v="No"/>
    <s v="No"/>
    <m/>
    <s v="1+ Failures"/>
    <n v="0"/>
    <s v="5-10 hrs"/>
    <x v="1"/>
  </r>
  <r>
    <n v="2760"/>
    <d v="2023-12-31T00:00:00"/>
    <s v="Basic"/>
    <n v="199"/>
    <n v="13.6"/>
    <n v="1"/>
    <n v="3"/>
    <n v="2"/>
    <n v="60"/>
    <s v="Yes"/>
    <s v="No"/>
    <s v="Yes"/>
    <s v="No"/>
    <s v="Yes"/>
    <s v="Yes"/>
    <m/>
    <s v="1+ Failures"/>
    <n v="1"/>
    <s v="10-20hrs"/>
    <x v="2"/>
  </r>
  <r>
    <n v="2761"/>
    <d v="2023-04-05T00:00:00"/>
    <s v="Basic"/>
    <n v="199"/>
    <n v="23.3"/>
    <n v="1"/>
    <n v="2"/>
    <n v="10"/>
    <n v="46"/>
    <s v="Yes"/>
    <s v="No"/>
    <s v="Yes"/>
    <s v="No"/>
    <s v="Yes"/>
    <s v="No"/>
    <m/>
    <s v="1+ Failures"/>
    <n v="1"/>
    <s v="20+ hrs"/>
    <x v="0"/>
  </r>
  <r>
    <n v="2762"/>
    <d v="2023-10-14T00:00:00"/>
    <s v="Premium"/>
    <n v="699"/>
    <n v="8.3000000000000007"/>
    <n v="3"/>
    <n v="2"/>
    <n v="18"/>
    <n v="52"/>
    <s v="No"/>
    <s v="No"/>
    <s v="Yes"/>
    <s v="No"/>
    <s v="Yes"/>
    <s v="No"/>
    <m/>
    <s v="1+ Failures"/>
    <n v="0"/>
    <s v="5-10 hrs"/>
    <x v="1"/>
  </r>
  <r>
    <n v="2763"/>
    <d v="2024-11-27T00:00:00"/>
    <s v="Premium"/>
    <n v="699"/>
    <n v="11.1"/>
    <n v="8"/>
    <n v="3"/>
    <n v="12"/>
    <n v="16"/>
    <s v="Yes"/>
    <s v="No"/>
    <s v="Yes"/>
    <s v="Yes"/>
    <s v="Yes"/>
    <s v="No"/>
    <m/>
    <s v="1+ Failures"/>
    <n v="1"/>
    <s v="10-20hrs"/>
    <x v="0"/>
  </r>
  <r>
    <n v="2764"/>
    <d v="2024-10-25T00:00:00"/>
    <s v="Premium"/>
    <n v="699"/>
    <n v="1.7"/>
    <n v="7"/>
    <n v="1"/>
    <n v="32"/>
    <n v="41"/>
    <s v="No"/>
    <s v="Yes"/>
    <s v="Yes"/>
    <s v="Yes"/>
    <s v="Yes"/>
    <s v="No"/>
    <m/>
    <s v="1+ Failures"/>
    <n v="0"/>
    <s v="0-5 hrs"/>
    <x v="1"/>
  </r>
  <r>
    <n v="2765"/>
    <d v="2023-06-01T00:00:00"/>
    <s v="Premium"/>
    <n v="699"/>
    <n v="17.399999999999999"/>
    <n v="6"/>
    <n v="2"/>
    <n v="2"/>
    <n v="56"/>
    <s v="Yes"/>
    <s v="No"/>
    <s v="Yes"/>
    <s v="Yes"/>
    <s v="Yes"/>
    <s v="Yes"/>
    <m/>
    <s v="1+ Failures"/>
    <n v="1"/>
    <s v="10-20hrs"/>
    <x v="2"/>
  </r>
  <r>
    <n v="2766"/>
    <d v="2023-11-28T00:00:00"/>
    <s v="Basic"/>
    <n v="199"/>
    <n v="11.8"/>
    <n v="2"/>
    <n v="4"/>
    <n v="29"/>
    <n v="27"/>
    <s v="Yes"/>
    <s v="No"/>
    <s v="Yes"/>
    <s v="No"/>
    <s v="Yes"/>
    <s v="No"/>
    <m/>
    <s v="1+ Failures"/>
    <n v="1"/>
    <s v="10-20hrs"/>
    <x v="1"/>
  </r>
  <r>
    <n v="2767"/>
    <d v="2024-10-23T00:00:00"/>
    <s v="Standard"/>
    <n v="399"/>
    <n v="5.3"/>
    <n v="0"/>
    <n v="0"/>
    <n v="13"/>
    <n v="17"/>
    <s v="No"/>
    <s v="No"/>
    <s v="No"/>
    <s v="No"/>
    <s v="Yes"/>
    <s v="No"/>
    <m/>
    <s v="0 Failures"/>
    <n v="0"/>
    <s v="5-10 hrs"/>
    <x v="1"/>
  </r>
  <r>
    <n v="2768"/>
    <d v="2024-01-12T00:00:00"/>
    <s v="Basic"/>
    <n v="199"/>
    <n v="20.5"/>
    <n v="7"/>
    <n v="4"/>
    <n v="23"/>
    <n v="4"/>
    <s v="Yes"/>
    <s v="No"/>
    <s v="Yes"/>
    <s v="Yes"/>
    <s v="No"/>
    <s v="No"/>
    <m/>
    <s v="1+ Failures"/>
    <n v="1"/>
    <s v="20+ hrs"/>
    <x v="1"/>
  </r>
  <r>
    <n v="2769"/>
    <d v="2024-05-10T00:00:00"/>
    <s v="Standard"/>
    <n v="399"/>
    <n v="16.600000000000001"/>
    <n v="0"/>
    <n v="0"/>
    <n v="34"/>
    <n v="1"/>
    <s v="No"/>
    <s v="No"/>
    <s v="No"/>
    <s v="No"/>
    <s v="No"/>
    <s v="No"/>
    <m/>
    <s v="0 Failures"/>
    <n v="0"/>
    <s v="10-20hrs"/>
    <x v="1"/>
  </r>
  <r>
    <n v="2770"/>
    <d v="2024-11-09T00:00:00"/>
    <s v="Premium"/>
    <n v="699"/>
    <n v="18.399999999999999"/>
    <n v="1"/>
    <n v="2"/>
    <n v="12"/>
    <n v="11"/>
    <s v="Yes"/>
    <s v="No"/>
    <s v="Yes"/>
    <s v="No"/>
    <s v="No"/>
    <s v="No"/>
    <m/>
    <s v="1+ Failures"/>
    <n v="1"/>
    <s v="10-20hrs"/>
    <x v="0"/>
  </r>
  <r>
    <n v="2771"/>
    <d v="2023-05-07T00:00:00"/>
    <s v="Basic"/>
    <n v="199"/>
    <n v="10.9"/>
    <n v="4"/>
    <n v="1"/>
    <n v="8"/>
    <n v="36"/>
    <s v="No"/>
    <s v="No"/>
    <s v="Yes"/>
    <s v="No"/>
    <s v="Yes"/>
    <s v="No"/>
    <m/>
    <s v="1+ Failures"/>
    <n v="0"/>
    <s v="10-20hrs"/>
    <x v="0"/>
  </r>
  <r>
    <n v="2772"/>
    <d v="2023-07-23T00:00:00"/>
    <s v="Basic"/>
    <n v="199"/>
    <n v="13.5"/>
    <n v="1"/>
    <n v="3"/>
    <n v="26"/>
    <n v="10"/>
    <s v="No"/>
    <s v="No"/>
    <s v="Yes"/>
    <s v="No"/>
    <s v="No"/>
    <s v="No"/>
    <m/>
    <s v="1+ Failures"/>
    <n v="0"/>
    <s v="10-20hrs"/>
    <x v="1"/>
  </r>
  <r>
    <n v="2773"/>
    <d v="2024-02-05T00:00:00"/>
    <s v="Basic"/>
    <n v="199"/>
    <n v="9.8000000000000007"/>
    <n v="5"/>
    <n v="2"/>
    <n v="13"/>
    <n v="45"/>
    <s v="Yes"/>
    <s v="No"/>
    <s v="Yes"/>
    <s v="Yes"/>
    <s v="Yes"/>
    <s v="No"/>
    <m/>
    <s v="1+ Failures"/>
    <n v="1"/>
    <s v="5-10 hrs"/>
    <x v="1"/>
  </r>
  <r>
    <n v="2774"/>
    <d v="2024-05-11T00:00:00"/>
    <s v="Basic"/>
    <n v="199"/>
    <n v="15.2"/>
    <n v="2"/>
    <n v="4"/>
    <n v="2"/>
    <n v="46"/>
    <s v="No"/>
    <s v="No"/>
    <s v="Yes"/>
    <s v="No"/>
    <s v="Yes"/>
    <s v="Yes"/>
    <m/>
    <s v="1+ Failures"/>
    <n v="0"/>
    <s v="10-20hrs"/>
    <x v="2"/>
  </r>
  <r>
    <n v="2775"/>
    <d v="2024-11-06T00:00:00"/>
    <s v="Basic"/>
    <n v="199"/>
    <n v="3.6"/>
    <n v="5"/>
    <n v="4"/>
    <n v="23"/>
    <n v="22"/>
    <s v="Yes"/>
    <s v="Yes"/>
    <s v="Yes"/>
    <s v="Yes"/>
    <s v="Yes"/>
    <s v="No"/>
    <m/>
    <s v="1+ Failures"/>
    <n v="1"/>
    <s v="0-5 hrs"/>
    <x v="1"/>
  </r>
  <r>
    <n v="2776"/>
    <d v="2024-03-29T00:00:00"/>
    <s v="Premium"/>
    <n v="699"/>
    <n v="22.8"/>
    <n v="2"/>
    <n v="1"/>
    <n v="14"/>
    <n v="9"/>
    <s v="No"/>
    <s v="No"/>
    <s v="Yes"/>
    <s v="No"/>
    <s v="No"/>
    <s v="No"/>
    <m/>
    <s v="1+ Failures"/>
    <n v="0"/>
    <s v="20+ hrs"/>
    <x v="1"/>
  </r>
  <r>
    <n v="2777"/>
    <d v="2024-04-30T00:00:00"/>
    <s v="Basic"/>
    <n v="199"/>
    <n v="22.4"/>
    <n v="2"/>
    <n v="0"/>
    <n v="13"/>
    <n v="18"/>
    <s v="No"/>
    <s v="No"/>
    <s v="No"/>
    <s v="No"/>
    <s v="Yes"/>
    <s v="No"/>
    <m/>
    <s v="0 Failures"/>
    <n v="0"/>
    <s v="20+ hrs"/>
    <x v="1"/>
  </r>
  <r>
    <n v="2778"/>
    <d v="2023-03-31T00:00:00"/>
    <s v="Premium"/>
    <n v="699"/>
    <n v="19.7"/>
    <n v="3"/>
    <n v="1"/>
    <n v="15"/>
    <n v="14"/>
    <s v="No"/>
    <s v="No"/>
    <s v="Yes"/>
    <s v="No"/>
    <s v="No"/>
    <s v="No"/>
    <m/>
    <s v="1+ Failures"/>
    <n v="0"/>
    <s v="10-20hrs"/>
    <x v="1"/>
  </r>
  <r>
    <n v="2779"/>
    <d v="2024-07-18T00:00:00"/>
    <s v="Premium"/>
    <n v="699"/>
    <n v="24.3"/>
    <n v="7"/>
    <n v="3"/>
    <n v="23"/>
    <n v="5"/>
    <s v="No"/>
    <s v="No"/>
    <s v="Yes"/>
    <s v="Yes"/>
    <s v="No"/>
    <s v="No"/>
    <m/>
    <s v="1+ Failures"/>
    <n v="0"/>
    <s v="20+ hrs"/>
    <x v="1"/>
  </r>
  <r>
    <n v="2780"/>
    <d v="2023-05-04T00:00:00"/>
    <s v="Standard"/>
    <n v="399"/>
    <n v="13"/>
    <n v="6"/>
    <n v="4"/>
    <n v="3"/>
    <n v="31"/>
    <s v="No"/>
    <s v="No"/>
    <s v="Yes"/>
    <s v="Yes"/>
    <s v="Yes"/>
    <s v="Yes"/>
    <m/>
    <s v="1+ Failures"/>
    <n v="0"/>
    <s v="10-20hrs"/>
    <x v="2"/>
  </r>
  <r>
    <n v="2781"/>
    <d v="2024-05-18T00:00:00"/>
    <s v="Premium"/>
    <n v="699"/>
    <n v="20.8"/>
    <n v="3"/>
    <n v="3"/>
    <n v="11"/>
    <n v="2"/>
    <s v="Yes"/>
    <s v="No"/>
    <s v="Yes"/>
    <s v="No"/>
    <s v="No"/>
    <s v="No"/>
    <m/>
    <s v="1+ Failures"/>
    <n v="1"/>
    <s v="20+ hrs"/>
    <x v="0"/>
  </r>
  <r>
    <n v="2782"/>
    <d v="2024-07-20T00:00:00"/>
    <s v="Basic"/>
    <n v="199"/>
    <n v="10.199999999999999"/>
    <n v="5"/>
    <n v="5"/>
    <n v="10"/>
    <n v="54"/>
    <s v="No"/>
    <s v="No"/>
    <s v="Yes"/>
    <s v="Yes"/>
    <s v="Yes"/>
    <s v="No"/>
    <m/>
    <s v="1+ Failures"/>
    <n v="0"/>
    <s v="10-20hrs"/>
    <x v="0"/>
  </r>
  <r>
    <n v="2783"/>
    <d v="2024-05-19T00:00:00"/>
    <s v="Basic"/>
    <n v="199"/>
    <n v="17.100000000000001"/>
    <n v="2"/>
    <n v="5"/>
    <n v="36"/>
    <n v="5"/>
    <s v="No"/>
    <s v="No"/>
    <s v="Yes"/>
    <s v="No"/>
    <s v="No"/>
    <s v="No"/>
    <m/>
    <s v="1+ Failures"/>
    <n v="0"/>
    <s v="10-20hrs"/>
    <x v="1"/>
  </r>
  <r>
    <n v="2784"/>
    <d v="2024-02-17T00:00:00"/>
    <s v="Premium"/>
    <n v="699"/>
    <n v="23.1"/>
    <n v="4"/>
    <n v="4"/>
    <n v="28"/>
    <n v="55"/>
    <s v="Yes"/>
    <s v="No"/>
    <s v="Yes"/>
    <s v="No"/>
    <s v="Yes"/>
    <s v="No"/>
    <m/>
    <s v="1+ Failures"/>
    <n v="1"/>
    <s v="20+ hrs"/>
    <x v="1"/>
  </r>
  <r>
    <n v="2785"/>
    <d v="2023-08-10T00:00:00"/>
    <s v="Standard"/>
    <n v="399"/>
    <n v="8.4"/>
    <n v="4"/>
    <n v="1"/>
    <n v="13"/>
    <n v="9"/>
    <s v="Yes"/>
    <s v="No"/>
    <s v="Yes"/>
    <s v="No"/>
    <s v="No"/>
    <s v="No"/>
    <m/>
    <s v="1+ Failures"/>
    <n v="1"/>
    <s v="5-10 hrs"/>
    <x v="1"/>
  </r>
  <r>
    <n v="2786"/>
    <d v="2023-04-19T00:00:00"/>
    <s v="Premium"/>
    <n v="699"/>
    <n v="4"/>
    <n v="2"/>
    <n v="5"/>
    <n v="10"/>
    <n v="32"/>
    <s v="Yes"/>
    <s v="Yes"/>
    <s v="Yes"/>
    <s v="No"/>
    <s v="Yes"/>
    <s v="No"/>
    <m/>
    <s v="1+ Failures"/>
    <n v="1"/>
    <s v="0-5 hrs"/>
    <x v="0"/>
  </r>
  <r>
    <n v="2787"/>
    <d v="2024-08-02T00:00:00"/>
    <s v="Premium"/>
    <n v="699"/>
    <n v="6.7"/>
    <n v="2"/>
    <n v="2"/>
    <n v="19"/>
    <n v="35"/>
    <s v="No"/>
    <s v="No"/>
    <s v="Yes"/>
    <s v="No"/>
    <s v="Yes"/>
    <s v="No"/>
    <m/>
    <s v="1+ Failures"/>
    <n v="0"/>
    <s v="5-10 hrs"/>
    <x v="1"/>
  </r>
  <r>
    <n v="2788"/>
    <d v="2024-09-24T00:00:00"/>
    <s v="Basic"/>
    <n v="199"/>
    <n v="4.9000000000000004"/>
    <n v="5"/>
    <n v="3"/>
    <n v="12"/>
    <n v="3"/>
    <s v="Yes"/>
    <s v="Yes"/>
    <s v="Yes"/>
    <s v="Yes"/>
    <s v="No"/>
    <s v="No"/>
    <m/>
    <s v="1+ Failures"/>
    <n v="1"/>
    <s v="0-5 hrs"/>
    <x v="0"/>
  </r>
  <r>
    <n v="2789"/>
    <d v="2024-10-12T00:00:00"/>
    <s v="Standard"/>
    <n v="399"/>
    <n v="9.6"/>
    <n v="0"/>
    <n v="3"/>
    <n v="14"/>
    <n v="15"/>
    <s v="No"/>
    <s v="No"/>
    <s v="Yes"/>
    <s v="No"/>
    <s v="Yes"/>
    <s v="No"/>
    <m/>
    <s v="1+ Failures"/>
    <n v="0"/>
    <s v="5-10 hrs"/>
    <x v="1"/>
  </r>
  <r>
    <n v="2790"/>
    <d v="2024-06-28T00:00:00"/>
    <s v="Premium"/>
    <n v="699"/>
    <n v="21.7"/>
    <n v="3"/>
    <n v="0"/>
    <n v="31"/>
    <n v="54"/>
    <s v="No"/>
    <s v="No"/>
    <s v="No"/>
    <s v="No"/>
    <s v="Yes"/>
    <s v="No"/>
    <m/>
    <s v="0 Failures"/>
    <n v="0"/>
    <s v="20+ hrs"/>
    <x v="1"/>
  </r>
  <r>
    <n v="2791"/>
    <d v="2023-01-07T00:00:00"/>
    <s v="Basic"/>
    <n v="199"/>
    <n v="10.199999999999999"/>
    <n v="7"/>
    <n v="2"/>
    <n v="18"/>
    <n v="6"/>
    <s v="No"/>
    <s v="No"/>
    <s v="Yes"/>
    <s v="Yes"/>
    <s v="No"/>
    <s v="No"/>
    <m/>
    <s v="1+ Failures"/>
    <n v="0"/>
    <s v="10-20hrs"/>
    <x v="1"/>
  </r>
  <r>
    <n v="2792"/>
    <d v="2024-07-29T00:00:00"/>
    <s v="Standard"/>
    <n v="399"/>
    <n v="6.1"/>
    <n v="8"/>
    <n v="2"/>
    <n v="21"/>
    <n v="49"/>
    <s v="Yes"/>
    <s v="No"/>
    <s v="Yes"/>
    <s v="Yes"/>
    <s v="Yes"/>
    <s v="No"/>
    <m/>
    <s v="1+ Failures"/>
    <n v="1"/>
    <s v="5-10 hrs"/>
    <x v="1"/>
  </r>
  <r>
    <n v="2793"/>
    <d v="2024-02-15T00:00:00"/>
    <s v="Standard"/>
    <n v="399"/>
    <n v="0.8"/>
    <n v="1"/>
    <n v="1"/>
    <n v="10"/>
    <n v="49"/>
    <s v="Yes"/>
    <s v="Yes"/>
    <s v="Yes"/>
    <s v="No"/>
    <s v="Yes"/>
    <s v="No"/>
    <m/>
    <s v="1+ Failures"/>
    <n v="1"/>
    <s v="0-5 hrs"/>
    <x v="0"/>
  </r>
  <r>
    <n v="2794"/>
    <d v="2024-04-29T00:00:00"/>
    <s v="Premium"/>
    <n v="699"/>
    <n v="13"/>
    <n v="4"/>
    <n v="5"/>
    <n v="4"/>
    <n v="25"/>
    <s v="Yes"/>
    <s v="No"/>
    <s v="Yes"/>
    <s v="No"/>
    <s v="Yes"/>
    <s v="Yes"/>
    <m/>
    <s v="1+ Failures"/>
    <n v="1"/>
    <s v="10-20hrs"/>
    <x v="3"/>
  </r>
  <r>
    <n v="2795"/>
    <d v="2023-02-16T00:00:00"/>
    <s v="Premium"/>
    <n v="699"/>
    <n v="10"/>
    <n v="5"/>
    <n v="5"/>
    <n v="24"/>
    <n v="17"/>
    <s v="No"/>
    <s v="No"/>
    <s v="Yes"/>
    <s v="Yes"/>
    <s v="Yes"/>
    <s v="No"/>
    <m/>
    <s v="1+ Failures"/>
    <n v="0"/>
    <s v="5-10 hrs"/>
    <x v="1"/>
  </r>
  <r>
    <n v="2796"/>
    <d v="2023-03-10T00:00:00"/>
    <s v="Standard"/>
    <n v="399"/>
    <n v="6.7"/>
    <n v="1"/>
    <n v="1"/>
    <n v="21"/>
    <n v="59"/>
    <s v="No"/>
    <s v="No"/>
    <s v="Yes"/>
    <s v="No"/>
    <s v="Yes"/>
    <s v="No"/>
    <m/>
    <s v="1+ Failures"/>
    <n v="0"/>
    <s v="5-10 hrs"/>
    <x v="1"/>
  </r>
  <r>
    <n v="2797"/>
    <d v="2024-11-20T00:00:00"/>
    <s v="Standard"/>
    <n v="399"/>
    <n v="11"/>
    <n v="4"/>
    <n v="0"/>
    <n v="6"/>
    <n v="4"/>
    <s v="No"/>
    <s v="No"/>
    <s v="No"/>
    <s v="No"/>
    <s v="No"/>
    <s v="No"/>
    <m/>
    <s v="0 Failures"/>
    <n v="0"/>
    <s v="10-20hrs"/>
    <x v="3"/>
  </r>
  <r>
    <n v="2798"/>
    <d v="2024-08-13T00:00:00"/>
    <s v="Standard"/>
    <n v="399"/>
    <n v="11"/>
    <n v="0"/>
    <n v="4"/>
    <n v="22"/>
    <n v="59"/>
    <s v="No"/>
    <s v="No"/>
    <s v="Yes"/>
    <s v="No"/>
    <s v="Yes"/>
    <s v="No"/>
    <m/>
    <s v="1+ Failures"/>
    <n v="0"/>
    <s v="10-20hrs"/>
    <x v="1"/>
  </r>
  <r>
    <n v="2799"/>
    <d v="2024-05-23T00:00:00"/>
    <s v="Premium"/>
    <n v="699"/>
    <n v="15"/>
    <n v="3"/>
    <n v="4"/>
    <n v="25"/>
    <n v="20"/>
    <s v="No"/>
    <s v="No"/>
    <s v="Yes"/>
    <s v="No"/>
    <s v="Yes"/>
    <s v="No"/>
    <m/>
    <s v="1+ Failures"/>
    <n v="0"/>
    <s v="10-20hrs"/>
    <x v="1"/>
  </r>
  <r>
    <n v="2800"/>
    <d v="2024-03-21T00:00:00"/>
    <s v="Standard"/>
    <n v="399"/>
    <n v="2"/>
    <n v="0"/>
    <n v="1"/>
    <n v="12"/>
    <n v="1"/>
    <s v="Yes"/>
    <s v="Yes"/>
    <s v="Yes"/>
    <s v="No"/>
    <s v="No"/>
    <s v="No"/>
    <m/>
    <s v="1+ Failures"/>
    <n v="1"/>
    <s v="0-5 hrs"/>
    <x v="0"/>
  </r>
  <r>
    <m/>
    <m/>
    <m/>
    <m/>
    <m/>
    <m/>
    <m/>
    <m/>
    <m/>
    <m/>
    <m/>
    <m/>
    <m/>
    <m/>
    <m/>
    <m/>
    <m/>
    <m/>
    <m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n v="1"/>
    <d v="2023-04-15T00:00:00"/>
    <s v="Premium"/>
    <n v="699"/>
    <n v="1.1000000000000001"/>
    <n v="4"/>
    <n v="1"/>
    <n v="8"/>
    <n v="14"/>
    <s v="Yes"/>
    <s v="Yes"/>
    <s v="Yes"/>
    <s v="No"/>
    <s v="No"/>
    <s v="No"/>
    <m/>
    <s v="1+ Failures"/>
    <n v="1"/>
    <s v="0-5 hrs"/>
    <s v="6-12months"/>
    <x v="0"/>
  </r>
  <r>
    <n v="2"/>
    <d v="2023-08-27T00:00:00"/>
    <s v="Premium"/>
    <n v="699"/>
    <n v="2.6"/>
    <n v="6"/>
    <n v="0"/>
    <n v="35"/>
    <n v="1"/>
    <s v="Yes"/>
    <s v="Yes"/>
    <s v="No"/>
    <s v="Yes"/>
    <s v="No"/>
    <s v="No"/>
    <m/>
    <s v="0 Failures"/>
    <n v="1"/>
    <s v="0-5 hrs"/>
    <s v="12+ months"/>
    <x v="0"/>
  </r>
  <r>
    <n v="3"/>
    <d v="2023-10-12T00:00:00"/>
    <s v="Premium"/>
    <n v="699"/>
    <n v="14.3"/>
    <n v="8"/>
    <n v="3"/>
    <n v="2"/>
    <n v="14"/>
    <s v="Yes"/>
    <s v="No"/>
    <s v="Yes"/>
    <s v="Yes"/>
    <s v="No"/>
    <s v="Yes"/>
    <m/>
    <s v="1+ Failures"/>
    <n v="1"/>
    <s v="10-20hrs"/>
    <s v="0-3months"/>
    <x v="0"/>
  </r>
  <r>
    <n v="4"/>
    <d v="2023-12-11T00:00:00"/>
    <s v="Basic"/>
    <n v="199"/>
    <n v="17.600000000000001"/>
    <n v="5"/>
    <n v="2"/>
    <n v="11"/>
    <n v="9"/>
    <s v="Yes"/>
    <s v="No"/>
    <s v="Yes"/>
    <s v="Yes"/>
    <s v="No"/>
    <s v="No"/>
    <m/>
    <s v="1+ Failures"/>
    <n v="1"/>
    <s v="10-20hrs"/>
    <s v="6-12months"/>
    <x v="1"/>
  </r>
  <r>
    <n v="5"/>
    <d v="2023-02-14T00:00:00"/>
    <s v="Basic"/>
    <n v="199"/>
    <n v="9.8000000000000007"/>
    <n v="5"/>
    <n v="2"/>
    <n v="6"/>
    <n v="38"/>
    <s v="Yes"/>
    <s v="No"/>
    <s v="Yes"/>
    <s v="Yes"/>
    <s v="Yes"/>
    <s v="No"/>
    <m/>
    <s v="1+ Failures"/>
    <n v="1"/>
    <s v="5-10 hrs"/>
    <s v="3-6months"/>
    <x v="1"/>
  </r>
  <r>
    <n v="6"/>
    <d v="2024-10-05T00:00:00"/>
    <s v="Premium"/>
    <n v="699"/>
    <n v="13.6"/>
    <n v="6"/>
    <n v="0"/>
    <n v="30"/>
    <n v="35"/>
    <s v="Yes"/>
    <s v="No"/>
    <s v="No"/>
    <s v="Yes"/>
    <s v="Yes"/>
    <s v="No"/>
    <m/>
    <s v="0 Failures"/>
    <n v="1"/>
    <s v="10-20hrs"/>
    <s v="12+ months"/>
    <x v="0"/>
  </r>
  <r>
    <n v="7"/>
    <d v="2023-10-24T00:00:00"/>
    <s v="Premium"/>
    <n v="699"/>
    <n v="14.6"/>
    <n v="1"/>
    <n v="0"/>
    <n v="24"/>
    <n v="42"/>
    <s v="Yes"/>
    <s v="No"/>
    <s v="No"/>
    <s v="No"/>
    <s v="Yes"/>
    <s v="No"/>
    <m/>
    <s v="0 Failures"/>
    <n v="1"/>
    <s v="10-20hrs"/>
    <s v="12+ months"/>
    <x v="0"/>
  </r>
  <r>
    <n v="8"/>
    <d v="2024-01-09T00:00:00"/>
    <s v="Basic"/>
    <n v="199"/>
    <n v="21.7"/>
    <n v="6"/>
    <n v="2"/>
    <n v="15"/>
    <n v="29"/>
    <s v="Yes"/>
    <s v="No"/>
    <s v="Yes"/>
    <s v="Yes"/>
    <s v="Yes"/>
    <s v="No"/>
    <m/>
    <s v="1+ Failures"/>
    <n v="1"/>
    <s v="20+ hrs"/>
    <s v="12+ months"/>
    <x v="1"/>
  </r>
  <r>
    <n v="9"/>
    <d v="2023-03-15T00:00:00"/>
    <s v="Basic"/>
    <n v="199"/>
    <n v="9.1999999999999993"/>
    <n v="4"/>
    <n v="5"/>
    <n v="24"/>
    <n v="59"/>
    <s v="Yes"/>
    <s v="No"/>
    <s v="Yes"/>
    <s v="No"/>
    <s v="Yes"/>
    <s v="No"/>
    <m/>
    <s v="1+ Failures"/>
    <n v="1"/>
    <s v="5-10 hrs"/>
    <s v="12+ months"/>
    <x v="1"/>
  </r>
  <r>
    <n v="10"/>
    <d v="2024-10-17T00:00:00"/>
    <s v="Premium"/>
    <n v="699"/>
    <n v="13.6"/>
    <n v="3"/>
    <n v="1"/>
    <n v="11"/>
    <n v="29"/>
    <s v="No"/>
    <s v="No"/>
    <s v="Yes"/>
    <s v="No"/>
    <s v="Yes"/>
    <s v="No"/>
    <m/>
    <s v="1+ Failures"/>
    <n v="0"/>
    <s v="10-20hrs"/>
    <s v="6-12months"/>
    <x v="0"/>
  </r>
  <r>
    <n v="11"/>
    <d v="2023-11-20T00:00:00"/>
    <s v="Premium"/>
    <n v="699"/>
    <n v="5.9"/>
    <n v="5"/>
    <n v="0"/>
    <n v="36"/>
    <n v="14"/>
    <s v="No"/>
    <s v="No"/>
    <s v="No"/>
    <s v="Yes"/>
    <s v="No"/>
    <s v="No"/>
    <m/>
    <s v="0 Failures"/>
    <n v="0"/>
    <s v="5-10 hrs"/>
    <s v="12+ months"/>
    <x v="0"/>
  </r>
  <r>
    <n v="12"/>
    <d v="2024-10-20T00:00:00"/>
    <s v="Standard"/>
    <n v="399"/>
    <n v="2.1"/>
    <n v="5"/>
    <n v="1"/>
    <n v="18"/>
    <n v="41"/>
    <s v="Yes"/>
    <s v="Yes"/>
    <s v="Yes"/>
    <s v="Yes"/>
    <s v="Yes"/>
    <s v="No"/>
    <m/>
    <s v="1+ Failures"/>
    <n v="1"/>
    <s v="0-5 hrs"/>
    <s v="12+ months"/>
    <x v="1"/>
  </r>
  <r>
    <n v="13"/>
    <d v="2024-08-21T00:00:00"/>
    <s v="Standard"/>
    <n v="399"/>
    <n v="7"/>
    <n v="3"/>
    <n v="5"/>
    <n v="10"/>
    <n v="35"/>
    <s v="Yes"/>
    <s v="No"/>
    <s v="Yes"/>
    <s v="No"/>
    <s v="Yes"/>
    <s v="No"/>
    <m/>
    <s v="1+ Failures"/>
    <n v="1"/>
    <s v="5-10 hrs"/>
    <s v="6-12months"/>
    <x v="1"/>
  </r>
  <r>
    <n v="14"/>
    <d v="2023-02-18T00:00:00"/>
    <s v="Standard"/>
    <n v="399"/>
    <n v="9.4"/>
    <n v="2"/>
    <n v="4"/>
    <n v="26"/>
    <n v="31"/>
    <s v="Yes"/>
    <s v="No"/>
    <s v="Yes"/>
    <s v="No"/>
    <s v="Yes"/>
    <s v="No"/>
    <m/>
    <s v="1+ Failures"/>
    <n v="1"/>
    <s v="5-10 hrs"/>
    <s v="12+ months"/>
    <x v="1"/>
  </r>
  <r>
    <n v="15"/>
    <d v="2024-09-02T00:00:00"/>
    <s v="Basic"/>
    <n v="199"/>
    <n v="15.9"/>
    <n v="6"/>
    <n v="4"/>
    <n v="10"/>
    <n v="4"/>
    <s v="Yes"/>
    <s v="No"/>
    <s v="Yes"/>
    <s v="Yes"/>
    <s v="No"/>
    <s v="No"/>
    <m/>
    <s v="1+ Failures"/>
    <n v="1"/>
    <s v="10-20hrs"/>
    <s v="6-12months"/>
    <x v="1"/>
  </r>
  <r>
    <n v="16"/>
    <d v="2024-11-29T00:00:00"/>
    <s v="Standard"/>
    <n v="399"/>
    <n v="6.7"/>
    <n v="8"/>
    <n v="0"/>
    <n v="34"/>
    <n v="43"/>
    <s v="No"/>
    <s v="No"/>
    <s v="No"/>
    <s v="Yes"/>
    <s v="Yes"/>
    <s v="No"/>
    <m/>
    <s v="0 Failures"/>
    <n v="0"/>
    <s v="5-10 hrs"/>
    <s v="12+ months"/>
    <x v="1"/>
  </r>
  <r>
    <n v="17"/>
    <d v="2024-04-09T00:00:00"/>
    <s v="Premium"/>
    <n v="699"/>
    <n v="19.3"/>
    <n v="5"/>
    <n v="0"/>
    <n v="18"/>
    <n v="18"/>
    <s v="No"/>
    <s v="No"/>
    <s v="No"/>
    <s v="Yes"/>
    <s v="Yes"/>
    <s v="No"/>
    <m/>
    <s v="0 Failures"/>
    <n v="0"/>
    <s v="10-20hrs"/>
    <s v="12+ months"/>
    <x v="0"/>
  </r>
  <r>
    <n v="18"/>
    <d v="2024-10-02T00:00:00"/>
    <s v="Basic"/>
    <n v="199"/>
    <n v="24.3"/>
    <n v="2"/>
    <n v="4"/>
    <n v="17"/>
    <n v="58"/>
    <s v="Yes"/>
    <s v="No"/>
    <s v="Yes"/>
    <s v="No"/>
    <s v="Yes"/>
    <s v="No"/>
    <m/>
    <s v="1+ Failures"/>
    <n v="1"/>
    <s v="20+ hrs"/>
    <s v="12+ months"/>
    <x v="1"/>
  </r>
  <r>
    <n v="19"/>
    <d v="2024-06-27T00:00:00"/>
    <s v="Standard"/>
    <n v="399"/>
    <n v="15.4"/>
    <n v="2"/>
    <n v="2"/>
    <n v="33"/>
    <n v="48"/>
    <s v="Yes"/>
    <s v="No"/>
    <s v="Yes"/>
    <s v="No"/>
    <s v="Yes"/>
    <s v="No"/>
    <m/>
    <s v="1+ Failures"/>
    <n v="1"/>
    <s v="10-20hrs"/>
    <s v="12+ months"/>
    <x v="1"/>
  </r>
  <r>
    <n v="20"/>
    <d v="2023-11-11T00:00:00"/>
    <s v="Basic"/>
    <n v="199"/>
    <n v="12.5"/>
    <n v="1"/>
    <n v="2"/>
    <n v="21"/>
    <n v="56"/>
    <s v="No"/>
    <s v="No"/>
    <s v="Yes"/>
    <s v="No"/>
    <s v="Yes"/>
    <s v="No"/>
    <m/>
    <s v="1+ Failures"/>
    <n v="0"/>
    <s v="10-20hrs"/>
    <s v="12+ months"/>
    <x v="1"/>
  </r>
  <r>
    <n v="21"/>
    <d v="2023-03-12T00:00:00"/>
    <s v="Basic"/>
    <n v="199"/>
    <n v="6.4"/>
    <n v="1"/>
    <n v="0"/>
    <n v="4"/>
    <n v="46"/>
    <s v="No"/>
    <s v="No"/>
    <s v="No"/>
    <s v="No"/>
    <s v="Yes"/>
    <s v="Yes"/>
    <m/>
    <s v="0 Failures"/>
    <n v="0"/>
    <s v="5-10 hrs"/>
    <s v="3-6months"/>
    <x v="1"/>
  </r>
  <r>
    <n v="22"/>
    <d v="2024-09-13T00:00:00"/>
    <s v="Premium"/>
    <n v="699"/>
    <n v="3.6"/>
    <n v="7"/>
    <n v="4"/>
    <n v="9"/>
    <n v="10"/>
    <s v="Yes"/>
    <s v="Yes"/>
    <s v="Yes"/>
    <s v="Yes"/>
    <s v="No"/>
    <s v="No"/>
    <m/>
    <s v="1+ Failures"/>
    <n v="1"/>
    <s v="0-5 hrs"/>
    <s v="6-12months"/>
    <x v="0"/>
  </r>
  <r>
    <n v="23"/>
    <d v="2024-11-18T00:00:00"/>
    <s v="Standard"/>
    <n v="399"/>
    <n v="23.3"/>
    <n v="3"/>
    <n v="5"/>
    <n v="14"/>
    <n v="19"/>
    <s v="No"/>
    <s v="No"/>
    <s v="Yes"/>
    <s v="No"/>
    <s v="Yes"/>
    <s v="No"/>
    <m/>
    <s v="1+ Failures"/>
    <n v="0"/>
    <s v="20+ hrs"/>
    <s v="12+ months"/>
    <x v="1"/>
  </r>
  <r>
    <n v="24"/>
    <d v="2023-03-07T00:00:00"/>
    <s v="Premium"/>
    <n v="699"/>
    <n v="11.2"/>
    <n v="8"/>
    <n v="3"/>
    <n v="24"/>
    <n v="7"/>
    <s v="Yes"/>
    <s v="No"/>
    <s v="Yes"/>
    <s v="Yes"/>
    <s v="No"/>
    <s v="No"/>
    <m/>
    <s v="1+ Failures"/>
    <n v="1"/>
    <s v="10-20hrs"/>
    <s v="12+ months"/>
    <x v="0"/>
  </r>
  <r>
    <n v="25"/>
    <d v="2024-12-25T00:00:00"/>
    <s v="Standard"/>
    <n v="399"/>
    <n v="14.9"/>
    <n v="3"/>
    <n v="4"/>
    <n v="2"/>
    <n v="14"/>
    <s v="Yes"/>
    <s v="No"/>
    <s v="Yes"/>
    <s v="No"/>
    <s v="No"/>
    <s v="Yes"/>
    <m/>
    <s v="1+ Failures"/>
    <n v="1"/>
    <s v="10-20hrs"/>
    <s v="0-3months"/>
    <x v="1"/>
  </r>
  <r>
    <n v="26"/>
    <d v="2023-10-13T00:00:00"/>
    <s v="Premium"/>
    <n v="699"/>
    <n v="6.1"/>
    <n v="0"/>
    <n v="2"/>
    <n v="4"/>
    <n v="4"/>
    <s v="No"/>
    <s v="No"/>
    <s v="Yes"/>
    <s v="No"/>
    <s v="No"/>
    <s v="Yes"/>
    <m/>
    <s v="1+ Failures"/>
    <n v="0"/>
    <s v="5-10 hrs"/>
    <s v="3-6months"/>
    <x v="0"/>
  </r>
  <r>
    <n v="27"/>
    <d v="2024-08-13T00:00:00"/>
    <s v="Premium"/>
    <n v="699"/>
    <n v="5.7"/>
    <n v="2"/>
    <n v="5"/>
    <n v="32"/>
    <n v="59"/>
    <s v="No"/>
    <s v="No"/>
    <s v="Yes"/>
    <s v="No"/>
    <s v="Yes"/>
    <s v="No"/>
    <m/>
    <s v="1+ Failures"/>
    <n v="0"/>
    <s v="5-10 hrs"/>
    <s v="12+ months"/>
    <x v="0"/>
  </r>
  <r>
    <n v="28"/>
    <d v="2024-03-17T00:00:00"/>
    <s v="Standard"/>
    <n v="399"/>
    <n v="19.7"/>
    <n v="6"/>
    <n v="1"/>
    <n v="16"/>
    <n v="6"/>
    <s v="Yes"/>
    <s v="No"/>
    <s v="Yes"/>
    <s v="Yes"/>
    <s v="No"/>
    <s v="No"/>
    <m/>
    <s v="1+ Failures"/>
    <n v="1"/>
    <s v="10-20hrs"/>
    <s v="12+ months"/>
    <x v="1"/>
  </r>
  <r>
    <n v="29"/>
    <d v="2023-04-11T00:00:00"/>
    <s v="Standard"/>
    <n v="399"/>
    <n v="10.6"/>
    <n v="0"/>
    <n v="5"/>
    <n v="28"/>
    <n v="41"/>
    <s v="No"/>
    <s v="No"/>
    <s v="Yes"/>
    <s v="No"/>
    <s v="Yes"/>
    <s v="No"/>
    <m/>
    <s v="1+ Failures"/>
    <n v="0"/>
    <s v="10-20hrs"/>
    <s v="12+ months"/>
    <x v="1"/>
  </r>
  <r>
    <n v="30"/>
    <d v="2024-04-04T00:00:00"/>
    <s v="Basic"/>
    <n v="199"/>
    <n v="18.3"/>
    <n v="1"/>
    <n v="1"/>
    <n v="26"/>
    <n v="12"/>
    <s v="No"/>
    <s v="No"/>
    <s v="Yes"/>
    <s v="No"/>
    <s v="No"/>
    <s v="No"/>
    <m/>
    <s v="1+ Failures"/>
    <n v="0"/>
    <s v="10-20hrs"/>
    <s v="12+ months"/>
    <x v="1"/>
  </r>
  <r>
    <n v="31"/>
    <d v="2024-03-29T00:00:00"/>
    <s v="Basic"/>
    <n v="199"/>
    <n v="5"/>
    <n v="7"/>
    <n v="1"/>
    <n v="28"/>
    <n v="55"/>
    <s v="No"/>
    <s v="No"/>
    <s v="Yes"/>
    <s v="Yes"/>
    <s v="Yes"/>
    <s v="No"/>
    <m/>
    <s v="1+ Failures"/>
    <n v="0"/>
    <s v="0-5 hrs"/>
    <s v="12+ months"/>
    <x v="1"/>
  </r>
  <r>
    <n v="32"/>
    <d v="2023-08-31T00:00:00"/>
    <s v="Premium"/>
    <n v="699"/>
    <n v="1.7"/>
    <n v="8"/>
    <n v="0"/>
    <n v="7"/>
    <n v="5"/>
    <s v="No"/>
    <s v="Yes"/>
    <s v="No"/>
    <s v="Yes"/>
    <s v="No"/>
    <s v="No"/>
    <m/>
    <s v="0 Failures"/>
    <n v="0"/>
    <s v="0-5 hrs"/>
    <s v="6-12months"/>
    <x v="0"/>
  </r>
  <r>
    <n v="33"/>
    <d v="2024-01-24T00:00:00"/>
    <s v="Basic"/>
    <n v="199"/>
    <n v="12.4"/>
    <n v="3"/>
    <n v="3"/>
    <n v="27"/>
    <n v="57"/>
    <s v="Yes"/>
    <s v="No"/>
    <s v="Yes"/>
    <s v="No"/>
    <s v="Yes"/>
    <s v="No"/>
    <m/>
    <s v="1+ Failures"/>
    <n v="1"/>
    <s v="10-20hrs"/>
    <s v="12+ months"/>
    <x v="1"/>
  </r>
  <r>
    <n v="34"/>
    <d v="2024-07-23T00:00:00"/>
    <s v="Basic"/>
    <n v="199"/>
    <n v="7"/>
    <n v="7"/>
    <n v="2"/>
    <n v="25"/>
    <n v="27"/>
    <s v="Yes"/>
    <s v="No"/>
    <s v="Yes"/>
    <s v="Yes"/>
    <s v="Yes"/>
    <s v="No"/>
    <m/>
    <s v="1+ Failures"/>
    <n v="1"/>
    <s v="5-10 hrs"/>
    <s v="12+ months"/>
    <x v="1"/>
  </r>
  <r>
    <n v="35"/>
    <d v="2024-07-09T00:00:00"/>
    <s v="Premium"/>
    <n v="699"/>
    <n v="4.3"/>
    <n v="4"/>
    <n v="1"/>
    <n v="32"/>
    <n v="3"/>
    <s v="No"/>
    <s v="Yes"/>
    <s v="Yes"/>
    <s v="No"/>
    <s v="No"/>
    <s v="No"/>
    <m/>
    <s v="1+ Failures"/>
    <n v="0"/>
    <s v="0-5 hrs"/>
    <s v="12+ months"/>
    <x v="0"/>
  </r>
  <r>
    <n v="36"/>
    <d v="2023-06-11T00:00:00"/>
    <s v="Basic"/>
    <n v="199"/>
    <n v="1.9"/>
    <n v="7"/>
    <n v="4"/>
    <n v="21"/>
    <n v="58"/>
    <s v="Yes"/>
    <s v="Yes"/>
    <s v="Yes"/>
    <s v="Yes"/>
    <s v="Yes"/>
    <s v="No"/>
    <m/>
    <s v="1+ Failures"/>
    <n v="1"/>
    <s v="0-5 hrs"/>
    <s v="12+ months"/>
    <x v="1"/>
  </r>
  <r>
    <n v="37"/>
    <d v="2023-08-29T00:00:00"/>
    <s v="Basic"/>
    <n v="199"/>
    <n v="2.5"/>
    <n v="2"/>
    <n v="0"/>
    <n v="33"/>
    <n v="38"/>
    <s v="Yes"/>
    <s v="Yes"/>
    <s v="No"/>
    <s v="No"/>
    <s v="Yes"/>
    <s v="No"/>
    <m/>
    <s v="0 Failures"/>
    <n v="1"/>
    <s v="0-5 hrs"/>
    <s v="12+ months"/>
    <x v="1"/>
  </r>
  <r>
    <n v="38"/>
    <d v="2023-03-25T00:00:00"/>
    <s v="Standard"/>
    <n v="399"/>
    <n v="23.6"/>
    <n v="3"/>
    <n v="4"/>
    <n v="8"/>
    <n v="38"/>
    <s v="Yes"/>
    <s v="No"/>
    <s v="Yes"/>
    <s v="No"/>
    <s v="Yes"/>
    <s v="No"/>
    <m/>
    <s v="1+ Failures"/>
    <n v="1"/>
    <s v="20+ hrs"/>
    <s v="6-12months"/>
    <x v="1"/>
  </r>
  <r>
    <n v="39"/>
    <d v="2023-09-02T00:00:00"/>
    <s v="Standard"/>
    <n v="399"/>
    <n v="8.3000000000000007"/>
    <n v="4"/>
    <n v="1"/>
    <n v="34"/>
    <n v="42"/>
    <s v="No"/>
    <s v="No"/>
    <s v="Yes"/>
    <s v="No"/>
    <s v="Yes"/>
    <s v="No"/>
    <m/>
    <s v="1+ Failures"/>
    <n v="0"/>
    <s v="5-10 hrs"/>
    <s v="12+ months"/>
    <x v="1"/>
  </r>
  <r>
    <n v="40"/>
    <d v="2023-03-16T00:00:00"/>
    <s v="Standard"/>
    <n v="399"/>
    <n v="3.7"/>
    <n v="4"/>
    <n v="3"/>
    <n v="26"/>
    <n v="20"/>
    <s v="No"/>
    <s v="Yes"/>
    <s v="Yes"/>
    <s v="No"/>
    <s v="Yes"/>
    <s v="No"/>
    <m/>
    <s v="1+ Failures"/>
    <n v="0"/>
    <s v="0-5 hrs"/>
    <s v="12+ months"/>
    <x v="1"/>
  </r>
  <r>
    <n v="41"/>
    <d v="2023-09-29T00:00:00"/>
    <s v="Basic"/>
    <n v="199"/>
    <n v="15.7"/>
    <n v="1"/>
    <n v="0"/>
    <n v="30"/>
    <n v="34"/>
    <s v="Yes"/>
    <s v="No"/>
    <s v="No"/>
    <s v="No"/>
    <s v="Yes"/>
    <s v="No"/>
    <m/>
    <s v="0 Failures"/>
    <n v="1"/>
    <s v="10-20hrs"/>
    <s v="12+ months"/>
    <x v="1"/>
  </r>
  <r>
    <n v="42"/>
    <d v="2024-07-10T00:00:00"/>
    <s v="Basic"/>
    <n v="199"/>
    <n v="22.1"/>
    <n v="3"/>
    <n v="2"/>
    <n v="23"/>
    <n v="18"/>
    <s v="Yes"/>
    <s v="No"/>
    <s v="Yes"/>
    <s v="No"/>
    <s v="Yes"/>
    <s v="No"/>
    <m/>
    <s v="1+ Failures"/>
    <n v="1"/>
    <s v="20+ hrs"/>
    <s v="12+ months"/>
    <x v="1"/>
  </r>
  <r>
    <n v="43"/>
    <d v="2023-11-03T00:00:00"/>
    <s v="Premium"/>
    <n v="699"/>
    <n v="15.5"/>
    <n v="8"/>
    <n v="0"/>
    <n v="20"/>
    <n v="42"/>
    <s v="No"/>
    <s v="No"/>
    <s v="No"/>
    <s v="Yes"/>
    <s v="Yes"/>
    <s v="No"/>
    <m/>
    <s v="0 Failures"/>
    <n v="0"/>
    <s v="10-20hrs"/>
    <s v="12+ months"/>
    <x v="0"/>
  </r>
  <r>
    <n v="44"/>
    <d v="2024-07-20T00:00:00"/>
    <s v="Premium"/>
    <n v="699"/>
    <n v="23.5"/>
    <n v="2"/>
    <n v="2"/>
    <n v="7"/>
    <n v="7"/>
    <s v="No"/>
    <s v="No"/>
    <s v="Yes"/>
    <s v="No"/>
    <s v="No"/>
    <s v="No"/>
    <m/>
    <s v="1+ Failures"/>
    <n v="0"/>
    <s v="20+ hrs"/>
    <s v="6-12months"/>
    <x v="0"/>
  </r>
  <r>
    <n v="45"/>
    <d v="2024-10-11T00:00:00"/>
    <s v="Basic"/>
    <n v="199"/>
    <n v="7.4"/>
    <n v="3"/>
    <n v="5"/>
    <n v="18"/>
    <n v="21"/>
    <s v="Yes"/>
    <s v="No"/>
    <s v="Yes"/>
    <s v="No"/>
    <s v="Yes"/>
    <s v="No"/>
    <m/>
    <s v="1+ Failures"/>
    <n v="1"/>
    <s v="5-10 hrs"/>
    <s v="12+ months"/>
    <x v="1"/>
  </r>
  <r>
    <n v="46"/>
    <d v="2023-10-11T00:00:00"/>
    <s v="Standard"/>
    <n v="399"/>
    <n v="12.5"/>
    <n v="0"/>
    <n v="0"/>
    <n v="33"/>
    <n v="40"/>
    <s v="No"/>
    <s v="No"/>
    <s v="No"/>
    <s v="No"/>
    <s v="Yes"/>
    <s v="No"/>
    <m/>
    <s v="0 Failures"/>
    <n v="0"/>
    <s v="10-20hrs"/>
    <s v="12+ months"/>
    <x v="1"/>
  </r>
  <r>
    <n v="47"/>
    <d v="2024-03-28T00:00:00"/>
    <s v="Basic"/>
    <n v="199"/>
    <n v="8.6999999999999993"/>
    <n v="2"/>
    <n v="5"/>
    <n v="1"/>
    <n v="16"/>
    <s v="Yes"/>
    <s v="No"/>
    <s v="Yes"/>
    <s v="No"/>
    <s v="Yes"/>
    <s v="Yes"/>
    <m/>
    <s v="1+ Failures"/>
    <n v="1"/>
    <s v="5-10 hrs"/>
    <s v="0-3months"/>
    <x v="1"/>
  </r>
  <r>
    <n v="48"/>
    <d v="2023-06-02T00:00:00"/>
    <s v="Premium"/>
    <n v="699"/>
    <n v="14.2"/>
    <n v="1"/>
    <n v="0"/>
    <n v="28"/>
    <n v="60"/>
    <s v="No"/>
    <s v="No"/>
    <s v="No"/>
    <s v="No"/>
    <s v="Yes"/>
    <s v="No"/>
    <m/>
    <s v="0 Failures"/>
    <n v="0"/>
    <s v="10-20hrs"/>
    <s v="12+ months"/>
    <x v="0"/>
  </r>
  <r>
    <n v="49"/>
    <d v="2023-11-12T00:00:00"/>
    <s v="Premium"/>
    <n v="699"/>
    <n v="20.9"/>
    <n v="8"/>
    <n v="1"/>
    <n v="3"/>
    <n v="27"/>
    <s v="Yes"/>
    <s v="No"/>
    <s v="Yes"/>
    <s v="Yes"/>
    <s v="Yes"/>
    <s v="Yes"/>
    <m/>
    <s v="1+ Failures"/>
    <n v="1"/>
    <s v="20+ hrs"/>
    <s v="0-3months"/>
    <x v="0"/>
  </r>
  <r>
    <n v="50"/>
    <d v="2023-12-29T00:00:00"/>
    <s v="Standard"/>
    <n v="399"/>
    <n v="22.5"/>
    <n v="3"/>
    <n v="5"/>
    <n v="3"/>
    <n v="15"/>
    <s v="No"/>
    <s v="No"/>
    <s v="Yes"/>
    <s v="No"/>
    <s v="Yes"/>
    <s v="Yes"/>
    <m/>
    <s v="1+ Failures"/>
    <n v="0"/>
    <s v="20+ hrs"/>
    <s v="0-3months"/>
    <x v="1"/>
  </r>
  <r>
    <n v="51"/>
    <d v="2023-07-01T00:00:00"/>
    <s v="Premium"/>
    <n v="699"/>
    <n v="24.4"/>
    <n v="2"/>
    <n v="1"/>
    <n v="27"/>
    <n v="55"/>
    <s v="Yes"/>
    <s v="No"/>
    <s v="Yes"/>
    <s v="No"/>
    <s v="Yes"/>
    <s v="No"/>
    <m/>
    <s v="1+ Failures"/>
    <n v="1"/>
    <s v="20+ hrs"/>
    <s v="12+ months"/>
    <x v="0"/>
  </r>
  <r>
    <n v="52"/>
    <d v="2023-09-12T00:00:00"/>
    <s v="Standard"/>
    <n v="399"/>
    <n v="4.9000000000000004"/>
    <n v="5"/>
    <n v="3"/>
    <n v="2"/>
    <n v="51"/>
    <s v="Yes"/>
    <s v="Yes"/>
    <s v="Yes"/>
    <s v="Yes"/>
    <s v="Yes"/>
    <s v="Yes"/>
    <m/>
    <s v="1+ Failures"/>
    <n v="1"/>
    <s v="0-5 hrs"/>
    <s v="0-3months"/>
    <x v="1"/>
  </r>
  <r>
    <n v="53"/>
    <d v="2024-04-26T00:00:00"/>
    <s v="Standard"/>
    <n v="399"/>
    <n v="19.8"/>
    <n v="1"/>
    <n v="3"/>
    <n v="11"/>
    <n v="55"/>
    <s v="Yes"/>
    <s v="No"/>
    <s v="Yes"/>
    <s v="No"/>
    <s v="Yes"/>
    <s v="No"/>
    <m/>
    <s v="1+ Failures"/>
    <n v="1"/>
    <s v="10-20hrs"/>
    <s v="6-12months"/>
    <x v="1"/>
  </r>
  <r>
    <n v="54"/>
    <d v="2023-08-22T00:00:00"/>
    <s v="Basic"/>
    <n v="199"/>
    <n v="20.5"/>
    <n v="7"/>
    <n v="2"/>
    <n v="13"/>
    <n v="19"/>
    <s v="No"/>
    <s v="No"/>
    <s v="Yes"/>
    <s v="Yes"/>
    <s v="Yes"/>
    <s v="No"/>
    <m/>
    <s v="1+ Failures"/>
    <n v="0"/>
    <s v="20+ hrs"/>
    <s v="12+ months"/>
    <x v="1"/>
  </r>
  <r>
    <n v="55"/>
    <d v="2023-10-13T00:00:00"/>
    <s v="Basic"/>
    <n v="199"/>
    <n v="16.7"/>
    <n v="6"/>
    <n v="2"/>
    <n v="2"/>
    <n v="17"/>
    <s v="No"/>
    <s v="No"/>
    <s v="Yes"/>
    <s v="Yes"/>
    <s v="Yes"/>
    <s v="Yes"/>
    <m/>
    <s v="1+ Failures"/>
    <n v="0"/>
    <s v="10-20hrs"/>
    <s v="0-3months"/>
    <x v="1"/>
  </r>
  <r>
    <n v="56"/>
    <d v="2023-09-25T00:00:00"/>
    <s v="Standard"/>
    <n v="399"/>
    <n v="10.3"/>
    <n v="8"/>
    <n v="2"/>
    <n v="33"/>
    <n v="60"/>
    <s v="Yes"/>
    <s v="No"/>
    <s v="Yes"/>
    <s v="Yes"/>
    <s v="Yes"/>
    <s v="No"/>
    <m/>
    <s v="1+ Failures"/>
    <n v="1"/>
    <s v="10-20hrs"/>
    <s v="12+ months"/>
    <x v="1"/>
  </r>
  <r>
    <n v="57"/>
    <d v="2024-03-22T00:00:00"/>
    <s v="Basic"/>
    <n v="199"/>
    <n v="1.4"/>
    <n v="6"/>
    <n v="2"/>
    <n v="17"/>
    <n v="46"/>
    <s v="Yes"/>
    <s v="Yes"/>
    <s v="Yes"/>
    <s v="Yes"/>
    <s v="Yes"/>
    <s v="No"/>
    <m/>
    <s v="1+ Failures"/>
    <n v="1"/>
    <s v="0-5 hrs"/>
    <s v="12+ months"/>
    <x v="1"/>
  </r>
  <r>
    <n v="58"/>
    <d v="2023-01-02T00:00:00"/>
    <s v="Premium"/>
    <n v="699"/>
    <n v="3.3"/>
    <n v="3"/>
    <n v="2"/>
    <n v="33"/>
    <n v="2"/>
    <s v="No"/>
    <s v="Yes"/>
    <s v="Yes"/>
    <s v="No"/>
    <s v="No"/>
    <s v="No"/>
    <m/>
    <s v="1+ Failures"/>
    <n v="0"/>
    <s v="0-5 hrs"/>
    <s v="12+ months"/>
    <x v="0"/>
  </r>
  <r>
    <n v="59"/>
    <d v="2024-11-11T00:00:00"/>
    <s v="Premium"/>
    <n v="699"/>
    <n v="17.3"/>
    <n v="3"/>
    <n v="2"/>
    <n v="35"/>
    <n v="27"/>
    <s v="Yes"/>
    <s v="No"/>
    <s v="Yes"/>
    <s v="No"/>
    <s v="Yes"/>
    <s v="No"/>
    <m/>
    <s v="1+ Failures"/>
    <n v="1"/>
    <s v="10-20hrs"/>
    <s v="12+ months"/>
    <x v="0"/>
  </r>
  <r>
    <n v="60"/>
    <d v="2023-11-13T00:00:00"/>
    <s v="Standard"/>
    <n v="399"/>
    <n v="16.8"/>
    <n v="1"/>
    <n v="5"/>
    <n v="21"/>
    <n v="57"/>
    <s v="Yes"/>
    <s v="No"/>
    <s v="Yes"/>
    <s v="No"/>
    <s v="Yes"/>
    <s v="No"/>
    <m/>
    <s v="1+ Failures"/>
    <n v="1"/>
    <s v="10-20hrs"/>
    <s v="12+ months"/>
    <x v="1"/>
  </r>
  <r>
    <n v="61"/>
    <d v="2024-11-11T00:00:00"/>
    <s v="Premium"/>
    <n v="699"/>
    <n v="8.5"/>
    <n v="4"/>
    <n v="4"/>
    <n v="27"/>
    <n v="8"/>
    <s v="Yes"/>
    <s v="No"/>
    <s v="Yes"/>
    <s v="No"/>
    <s v="No"/>
    <s v="No"/>
    <m/>
    <s v="1+ Failures"/>
    <n v="1"/>
    <s v="5-10 hrs"/>
    <s v="12+ months"/>
    <x v="0"/>
  </r>
  <r>
    <n v="62"/>
    <d v="2023-11-08T00:00:00"/>
    <s v="Standard"/>
    <n v="399"/>
    <n v="15.6"/>
    <n v="4"/>
    <n v="3"/>
    <n v="12"/>
    <n v="35"/>
    <s v="No"/>
    <s v="No"/>
    <s v="Yes"/>
    <s v="No"/>
    <s v="Yes"/>
    <s v="No"/>
    <m/>
    <s v="1+ Failures"/>
    <n v="0"/>
    <s v="10-20hrs"/>
    <s v="6-12months"/>
    <x v="1"/>
  </r>
  <r>
    <n v="63"/>
    <d v="2023-08-07T00:00:00"/>
    <s v="Standard"/>
    <n v="399"/>
    <n v="11"/>
    <n v="5"/>
    <n v="3"/>
    <n v="14"/>
    <n v="28"/>
    <s v="Yes"/>
    <s v="No"/>
    <s v="Yes"/>
    <s v="Yes"/>
    <s v="Yes"/>
    <s v="No"/>
    <m/>
    <s v="1+ Failures"/>
    <n v="1"/>
    <s v="10-20hrs"/>
    <s v="12+ months"/>
    <x v="1"/>
  </r>
  <r>
    <n v="64"/>
    <d v="2024-11-10T00:00:00"/>
    <s v="Premium"/>
    <n v="699"/>
    <n v="19.899999999999999"/>
    <n v="2"/>
    <n v="5"/>
    <n v="31"/>
    <n v="5"/>
    <s v="Yes"/>
    <s v="No"/>
    <s v="Yes"/>
    <s v="No"/>
    <s v="No"/>
    <s v="No"/>
    <m/>
    <s v="1+ Failures"/>
    <n v="1"/>
    <s v="10-20hrs"/>
    <s v="12+ months"/>
    <x v="0"/>
  </r>
  <r>
    <n v="65"/>
    <d v="2023-07-23T00:00:00"/>
    <s v="Premium"/>
    <n v="699"/>
    <n v="2.8"/>
    <n v="3"/>
    <n v="5"/>
    <n v="22"/>
    <n v="19"/>
    <s v="Yes"/>
    <s v="Yes"/>
    <s v="Yes"/>
    <s v="No"/>
    <s v="Yes"/>
    <s v="No"/>
    <m/>
    <s v="1+ Failures"/>
    <n v="1"/>
    <s v="0-5 hrs"/>
    <s v="12+ months"/>
    <x v="0"/>
  </r>
  <r>
    <n v="66"/>
    <d v="2024-04-11T00:00:00"/>
    <s v="Basic"/>
    <n v="199"/>
    <n v="1.6"/>
    <n v="7"/>
    <n v="4"/>
    <n v="2"/>
    <n v="54"/>
    <s v="Yes"/>
    <s v="Yes"/>
    <s v="Yes"/>
    <s v="Yes"/>
    <s v="Yes"/>
    <s v="Yes"/>
    <m/>
    <s v="1+ Failures"/>
    <n v="1"/>
    <s v="0-5 hrs"/>
    <s v="0-3months"/>
    <x v="1"/>
  </r>
  <r>
    <n v="67"/>
    <d v="2024-11-02T00:00:00"/>
    <s v="Standard"/>
    <n v="399"/>
    <n v="18.100000000000001"/>
    <n v="6"/>
    <n v="3"/>
    <n v="13"/>
    <n v="25"/>
    <s v="Yes"/>
    <s v="No"/>
    <s v="Yes"/>
    <s v="Yes"/>
    <s v="Yes"/>
    <s v="No"/>
    <m/>
    <s v="1+ Failures"/>
    <n v="1"/>
    <s v="10-20hrs"/>
    <s v="12+ months"/>
    <x v="1"/>
  </r>
  <r>
    <n v="68"/>
    <d v="2024-12-13T00:00:00"/>
    <s v="Premium"/>
    <n v="699"/>
    <n v="22.4"/>
    <n v="1"/>
    <n v="3"/>
    <n v="1"/>
    <n v="14"/>
    <s v="Yes"/>
    <s v="No"/>
    <s v="Yes"/>
    <s v="No"/>
    <s v="No"/>
    <s v="Yes"/>
    <m/>
    <s v="1+ Failures"/>
    <n v="1"/>
    <s v="20+ hrs"/>
    <s v="0-3months"/>
    <x v="0"/>
  </r>
  <r>
    <n v="69"/>
    <d v="2024-04-20T00:00:00"/>
    <s v="Premium"/>
    <n v="699"/>
    <n v="1.7"/>
    <n v="3"/>
    <n v="0"/>
    <n v="30"/>
    <n v="29"/>
    <s v="Yes"/>
    <s v="Yes"/>
    <s v="No"/>
    <s v="No"/>
    <s v="Yes"/>
    <s v="No"/>
    <m/>
    <s v="0 Failures"/>
    <n v="1"/>
    <s v="0-5 hrs"/>
    <s v="12+ months"/>
    <x v="0"/>
  </r>
  <r>
    <n v="70"/>
    <d v="2024-05-31T00:00:00"/>
    <s v="Premium"/>
    <n v="699"/>
    <n v="24.7"/>
    <n v="5"/>
    <n v="3"/>
    <n v="34"/>
    <n v="39"/>
    <s v="No"/>
    <s v="No"/>
    <s v="Yes"/>
    <s v="Yes"/>
    <s v="Yes"/>
    <s v="No"/>
    <m/>
    <s v="1+ Failures"/>
    <n v="0"/>
    <s v="20+ hrs"/>
    <s v="12+ months"/>
    <x v="0"/>
  </r>
  <r>
    <n v="71"/>
    <d v="2023-09-23T00:00:00"/>
    <s v="Standard"/>
    <n v="399"/>
    <n v="11.4"/>
    <n v="2"/>
    <n v="5"/>
    <n v="36"/>
    <n v="55"/>
    <s v="Yes"/>
    <s v="No"/>
    <s v="Yes"/>
    <s v="No"/>
    <s v="Yes"/>
    <s v="No"/>
    <m/>
    <s v="1+ Failures"/>
    <n v="1"/>
    <s v="10-20hrs"/>
    <s v="12+ months"/>
    <x v="1"/>
  </r>
  <r>
    <n v="72"/>
    <d v="2024-03-26T00:00:00"/>
    <s v="Basic"/>
    <n v="199"/>
    <n v="19.3"/>
    <n v="8"/>
    <n v="3"/>
    <n v="18"/>
    <n v="40"/>
    <s v="Yes"/>
    <s v="No"/>
    <s v="Yes"/>
    <s v="Yes"/>
    <s v="Yes"/>
    <s v="No"/>
    <m/>
    <s v="1+ Failures"/>
    <n v="1"/>
    <s v="10-20hrs"/>
    <s v="12+ months"/>
    <x v="1"/>
  </r>
  <r>
    <n v="73"/>
    <d v="2023-05-22T00:00:00"/>
    <s v="Basic"/>
    <n v="199"/>
    <n v="6.2"/>
    <n v="5"/>
    <n v="2"/>
    <n v="19"/>
    <n v="57"/>
    <s v="Yes"/>
    <s v="No"/>
    <s v="Yes"/>
    <s v="Yes"/>
    <s v="Yes"/>
    <s v="No"/>
    <m/>
    <s v="1+ Failures"/>
    <n v="1"/>
    <s v="5-10 hrs"/>
    <s v="12+ months"/>
    <x v="1"/>
  </r>
  <r>
    <n v="74"/>
    <d v="2024-02-22T00:00:00"/>
    <s v="Basic"/>
    <n v="199"/>
    <n v="9.9"/>
    <n v="2"/>
    <n v="5"/>
    <n v="15"/>
    <n v="13"/>
    <s v="Yes"/>
    <s v="No"/>
    <s v="Yes"/>
    <s v="No"/>
    <s v="No"/>
    <s v="No"/>
    <m/>
    <s v="1+ Failures"/>
    <n v="1"/>
    <s v="5-10 hrs"/>
    <s v="12+ months"/>
    <x v="1"/>
  </r>
  <r>
    <n v="75"/>
    <d v="2024-08-21T00:00:00"/>
    <s v="Standard"/>
    <n v="399"/>
    <n v="11.9"/>
    <n v="0"/>
    <n v="1"/>
    <n v="35"/>
    <n v="53"/>
    <s v="No"/>
    <s v="No"/>
    <s v="Yes"/>
    <s v="No"/>
    <s v="Yes"/>
    <s v="No"/>
    <m/>
    <s v="1+ Failures"/>
    <n v="0"/>
    <s v="10-20hrs"/>
    <s v="12+ months"/>
    <x v="1"/>
  </r>
  <r>
    <n v="76"/>
    <d v="2023-11-02T00:00:00"/>
    <s v="Premium"/>
    <n v="699"/>
    <n v="21.5"/>
    <n v="6"/>
    <n v="3"/>
    <n v="2"/>
    <n v="0"/>
    <s v="No"/>
    <s v="No"/>
    <s v="Yes"/>
    <s v="Yes"/>
    <s v="No"/>
    <s v="Yes"/>
    <m/>
    <s v="1+ Failures"/>
    <n v="0"/>
    <s v="20+ hrs"/>
    <s v="0-3months"/>
    <x v="0"/>
  </r>
  <r>
    <n v="77"/>
    <d v="2023-08-13T00:00:00"/>
    <s v="Standard"/>
    <n v="399"/>
    <n v="13.7"/>
    <n v="8"/>
    <n v="4"/>
    <n v="27"/>
    <n v="57"/>
    <s v="Yes"/>
    <s v="No"/>
    <s v="Yes"/>
    <s v="Yes"/>
    <s v="Yes"/>
    <s v="No"/>
    <m/>
    <s v="1+ Failures"/>
    <n v="1"/>
    <s v="10-20hrs"/>
    <s v="12+ months"/>
    <x v="1"/>
  </r>
  <r>
    <n v="78"/>
    <d v="2024-02-19T00:00:00"/>
    <s v="Standard"/>
    <n v="399"/>
    <n v="12.4"/>
    <n v="6"/>
    <n v="2"/>
    <n v="28"/>
    <n v="42"/>
    <s v="Yes"/>
    <s v="No"/>
    <s v="Yes"/>
    <s v="Yes"/>
    <s v="Yes"/>
    <s v="No"/>
    <m/>
    <s v="1+ Failures"/>
    <n v="1"/>
    <s v="10-20hrs"/>
    <s v="12+ months"/>
    <x v="1"/>
  </r>
  <r>
    <n v="79"/>
    <d v="2024-02-08T00:00:00"/>
    <s v="Premium"/>
    <n v="699"/>
    <n v="21.1"/>
    <n v="2"/>
    <n v="4"/>
    <n v="11"/>
    <n v="34"/>
    <s v="Yes"/>
    <s v="No"/>
    <s v="Yes"/>
    <s v="No"/>
    <s v="Yes"/>
    <s v="No"/>
    <m/>
    <s v="1+ Failures"/>
    <n v="1"/>
    <s v="20+ hrs"/>
    <s v="6-12months"/>
    <x v="0"/>
  </r>
  <r>
    <n v="80"/>
    <d v="2023-02-21T00:00:00"/>
    <s v="Premium"/>
    <n v="699"/>
    <n v="2.6"/>
    <n v="6"/>
    <n v="1"/>
    <n v="2"/>
    <n v="55"/>
    <s v="Yes"/>
    <s v="Yes"/>
    <s v="Yes"/>
    <s v="Yes"/>
    <s v="Yes"/>
    <s v="Yes"/>
    <m/>
    <s v="1+ Failures"/>
    <n v="1"/>
    <s v="0-5 hrs"/>
    <s v="0-3months"/>
    <x v="0"/>
  </r>
  <r>
    <n v="81"/>
    <d v="2024-01-24T00:00:00"/>
    <s v="Standard"/>
    <n v="399"/>
    <n v="8.5"/>
    <n v="7"/>
    <n v="2"/>
    <n v="25"/>
    <n v="21"/>
    <s v="No"/>
    <s v="No"/>
    <s v="Yes"/>
    <s v="Yes"/>
    <s v="Yes"/>
    <s v="No"/>
    <m/>
    <s v="1+ Failures"/>
    <n v="0"/>
    <s v="5-10 hrs"/>
    <s v="12+ months"/>
    <x v="1"/>
  </r>
  <r>
    <n v="82"/>
    <d v="2023-02-23T00:00:00"/>
    <s v="Standard"/>
    <n v="399"/>
    <n v="6.7"/>
    <n v="1"/>
    <n v="3"/>
    <n v="27"/>
    <n v="1"/>
    <s v="No"/>
    <s v="No"/>
    <s v="Yes"/>
    <s v="No"/>
    <s v="No"/>
    <s v="No"/>
    <m/>
    <s v="1+ Failures"/>
    <n v="0"/>
    <s v="5-10 hrs"/>
    <s v="12+ months"/>
    <x v="1"/>
  </r>
  <r>
    <n v="83"/>
    <d v="2023-01-21T00:00:00"/>
    <s v="Standard"/>
    <n v="399"/>
    <n v="16.399999999999999"/>
    <n v="0"/>
    <n v="0"/>
    <n v="15"/>
    <n v="60"/>
    <s v="Yes"/>
    <s v="No"/>
    <s v="No"/>
    <s v="No"/>
    <s v="Yes"/>
    <s v="No"/>
    <m/>
    <s v="0 Failures"/>
    <n v="1"/>
    <s v="10-20hrs"/>
    <s v="12+ months"/>
    <x v="1"/>
  </r>
  <r>
    <n v="84"/>
    <d v="2023-08-12T00:00:00"/>
    <s v="Premium"/>
    <n v="699"/>
    <n v="6.3"/>
    <n v="7"/>
    <n v="5"/>
    <n v="10"/>
    <n v="7"/>
    <s v="No"/>
    <s v="No"/>
    <s v="Yes"/>
    <s v="Yes"/>
    <s v="No"/>
    <s v="No"/>
    <m/>
    <s v="1+ Failures"/>
    <n v="0"/>
    <s v="5-10 hrs"/>
    <s v="6-12months"/>
    <x v="0"/>
  </r>
  <r>
    <n v="85"/>
    <d v="2023-04-28T00:00:00"/>
    <s v="Standard"/>
    <n v="399"/>
    <n v="19.3"/>
    <n v="2"/>
    <n v="4"/>
    <n v="17"/>
    <n v="38"/>
    <s v="No"/>
    <s v="No"/>
    <s v="Yes"/>
    <s v="No"/>
    <s v="Yes"/>
    <s v="No"/>
    <m/>
    <s v="1+ Failures"/>
    <n v="0"/>
    <s v="10-20hrs"/>
    <s v="12+ months"/>
    <x v="1"/>
  </r>
  <r>
    <n v="86"/>
    <d v="2024-01-20T00:00:00"/>
    <s v="Basic"/>
    <n v="199"/>
    <n v="3.1"/>
    <n v="0"/>
    <n v="2"/>
    <n v="20"/>
    <n v="36"/>
    <s v="Yes"/>
    <s v="Yes"/>
    <s v="Yes"/>
    <s v="No"/>
    <s v="Yes"/>
    <s v="No"/>
    <m/>
    <s v="1+ Failures"/>
    <n v="1"/>
    <s v="0-5 hrs"/>
    <s v="12+ months"/>
    <x v="1"/>
  </r>
  <r>
    <n v="87"/>
    <d v="2024-12-01T00:00:00"/>
    <s v="Standard"/>
    <n v="399"/>
    <n v="2.4"/>
    <n v="3"/>
    <n v="0"/>
    <n v="13"/>
    <n v="44"/>
    <s v="No"/>
    <s v="Yes"/>
    <s v="No"/>
    <s v="No"/>
    <s v="Yes"/>
    <s v="No"/>
    <m/>
    <s v="0 Failures"/>
    <n v="0"/>
    <s v="0-5 hrs"/>
    <s v="12+ months"/>
    <x v="1"/>
  </r>
  <r>
    <n v="88"/>
    <d v="2024-01-15T00:00:00"/>
    <s v="Premium"/>
    <n v="699"/>
    <n v="20"/>
    <n v="0"/>
    <n v="2"/>
    <n v="8"/>
    <n v="34"/>
    <s v="Yes"/>
    <s v="No"/>
    <s v="Yes"/>
    <s v="No"/>
    <s v="Yes"/>
    <s v="No"/>
    <m/>
    <s v="1+ Failures"/>
    <n v="1"/>
    <s v="10-20hrs"/>
    <s v="6-12months"/>
    <x v="0"/>
  </r>
  <r>
    <n v="89"/>
    <d v="2024-03-19T00:00:00"/>
    <s v="Basic"/>
    <n v="199"/>
    <n v="16.399999999999999"/>
    <n v="0"/>
    <n v="3"/>
    <n v="33"/>
    <n v="52"/>
    <s v="Yes"/>
    <s v="No"/>
    <s v="Yes"/>
    <s v="No"/>
    <s v="Yes"/>
    <s v="No"/>
    <m/>
    <s v="1+ Failures"/>
    <n v="1"/>
    <s v="10-20hrs"/>
    <s v="12+ months"/>
    <x v="1"/>
  </r>
  <r>
    <n v="90"/>
    <d v="2024-10-28T00:00:00"/>
    <s v="Standard"/>
    <n v="399"/>
    <n v="17.8"/>
    <n v="6"/>
    <n v="1"/>
    <n v="30"/>
    <n v="46"/>
    <s v="No"/>
    <s v="No"/>
    <s v="Yes"/>
    <s v="Yes"/>
    <s v="Yes"/>
    <s v="No"/>
    <m/>
    <s v="1+ Failures"/>
    <n v="0"/>
    <s v="10-20hrs"/>
    <s v="12+ months"/>
    <x v="1"/>
  </r>
  <r>
    <n v="91"/>
    <d v="2023-10-02T00:00:00"/>
    <s v="Standard"/>
    <n v="399"/>
    <n v="19.5"/>
    <n v="7"/>
    <n v="3"/>
    <n v="35"/>
    <n v="52"/>
    <s v="Yes"/>
    <s v="No"/>
    <s v="Yes"/>
    <s v="Yes"/>
    <s v="Yes"/>
    <s v="No"/>
    <m/>
    <s v="1+ Failures"/>
    <n v="1"/>
    <s v="10-20hrs"/>
    <s v="12+ months"/>
    <x v="1"/>
  </r>
  <r>
    <n v="92"/>
    <d v="2024-04-20T00:00:00"/>
    <s v="Standard"/>
    <n v="399"/>
    <n v="20.9"/>
    <n v="1"/>
    <n v="2"/>
    <n v="16"/>
    <n v="56"/>
    <s v="Yes"/>
    <s v="No"/>
    <s v="Yes"/>
    <s v="No"/>
    <s v="Yes"/>
    <s v="No"/>
    <m/>
    <s v="1+ Failures"/>
    <n v="1"/>
    <s v="20+ hrs"/>
    <s v="12+ months"/>
    <x v="1"/>
  </r>
  <r>
    <n v="93"/>
    <d v="2023-12-30T00:00:00"/>
    <s v="Premium"/>
    <n v="699"/>
    <n v="8.6999999999999993"/>
    <n v="7"/>
    <n v="2"/>
    <n v="25"/>
    <n v="11"/>
    <s v="Yes"/>
    <s v="No"/>
    <s v="Yes"/>
    <s v="Yes"/>
    <s v="No"/>
    <s v="No"/>
    <m/>
    <s v="1+ Failures"/>
    <n v="1"/>
    <s v="5-10 hrs"/>
    <s v="12+ months"/>
    <x v="0"/>
  </r>
  <r>
    <n v="94"/>
    <d v="2023-07-15T00:00:00"/>
    <s v="Standard"/>
    <n v="399"/>
    <n v="7.4"/>
    <n v="4"/>
    <n v="4"/>
    <n v="22"/>
    <n v="0"/>
    <s v="No"/>
    <s v="No"/>
    <s v="Yes"/>
    <s v="No"/>
    <s v="No"/>
    <s v="No"/>
    <m/>
    <s v="1+ Failures"/>
    <n v="0"/>
    <s v="5-10 hrs"/>
    <s v="12+ months"/>
    <x v="1"/>
  </r>
  <r>
    <n v="95"/>
    <d v="2024-05-02T00:00:00"/>
    <s v="Basic"/>
    <n v="199"/>
    <n v="18.100000000000001"/>
    <n v="7"/>
    <n v="4"/>
    <n v="16"/>
    <n v="48"/>
    <s v="Yes"/>
    <s v="No"/>
    <s v="Yes"/>
    <s v="Yes"/>
    <s v="Yes"/>
    <s v="No"/>
    <m/>
    <s v="1+ Failures"/>
    <n v="1"/>
    <s v="10-20hrs"/>
    <s v="12+ months"/>
    <x v="1"/>
  </r>
  <r>
    <n v="96"/>
    <d v="2024-12-09T00:00:00"/>
    <s v="Premium"/>
    <n v="699"/>
    <n v="11.5"/>
    <n v="0"/>
    <n v="0"/>
    <n v="32"/>
    <n v="18"/>
    <s v="No"/>
    <s v="No"/>
    <s v="No"/>
    <s v="No"/>
    <s v="Yes"/>
    <s v="No"/>
    <m/>
    <s v="0 Failures"/>
    <n v="0"/>
    <s v="10-20hrs"/>
    <s v="12+ months"/>
    <x v="0"/>
  </r>
  <r>
    <n v="97"/>
    <d v="2024-03-11T00:00:00"/>
    <s v="Basic"/>
    <n v="199"/>
    <n v="16.8"/>
    <n v="5"/>
    <n v="3"/>
    <n v="20"/>
    <n v="35"/>
    <s v="Yes"/>
    <s v="No"/>
    <s v="Yes"/>
    <s v="Yes"/>
    <s v="Yes"/>
    <s v="No"/>
    <m/>
    <s v="1+ Failures"/>
    <n v="1"/>
    <s v="10-20hrs"/>
    <s v="12+ months"/>
    <x v="1"/>
  </r>
  <r>
    <n v="98"/>
    <d v="2023-05-04T00:00:00"/>
    <s v="Premium"/>
    <n v="699"/>
    <n v="8.6"/>
    <n v="7"/>
    <n v="2"/>
    <n v="36"/>
    <n v="19"/>
    <s v="Yes"/>
    <s v="No"/>
    <s v="Yes"/>
    <s v="Yes"/>
    <s v="Yes"/>
    <s v="No"/>
    <m/>
    <s v="1+ Failures"/>
    <n v="1"/>
    <s v="5-10 hrs"/>
    <s v="12+ months"/>
    <x v="0"/>
  </r>
  <r>
    <n v="99"/>
    <d v="2024-05-10T00:00:00"/>
    <s v="Premium"/>
    <n v="699"/>
    <n v="8.1999999999999993"/>
    <n v="8"/>
    <n v="5"/>
    <n v="13"/>
    <n v="11"/>
    <s v="Yes"/>
    <s v="No"/>
    <s v="Yes"/>
    <s v="Yes"/>
    <s v="No"/>
    <s v="No"/>
    <m/>
    <s v="1+ Failures"/>
    <n v="1"/>
    <s v="5-10 hrs"/>
    <s v="12+ months"/>
    <x v="0"/>
  </r>
  <r>
    <n v="100"/>
    <d v="2023-07-03T00:00:00"/>
    <s v="Standard"/>
    <n v="399"/>
    <n v="15.1"/>
    <n v="1"/>
    <n v="1"/>
    <n v="34"/>
    <n v="18"/>
    <s v="No"/>
    <s v="No"/>
    <s v="Yes"/>
    <s v="No"/>
    <s v="Yes"/>
    <s v="No"/>
    <m/>
    <s v="1+ Failures"/>
    <n v="0"/>
    <s v="10-20hrs"/>
    <s v="12+ months"/>
    <x v="1"/>
  </r>
  <r>
    <n v="101"/>
    <d v="2024-07-20T00:00:00"/>
    <s v="Standard"/>
    <n v="399"/>
    <n v="17.8"/>
    <n v="2"/>
    <n v="2"/>
    <n v="1"/>
    <n v="2"/>
    <s v="No"/>
    <s v="No"/>
    <s v="Yes"/>
    <s v="No"/>
    <s v="No"/>
    <s v="Yes"/>
    <m/>
    <s v="1+ Failures"/>
    <n v="0"/>
    <s v="10-20hrs"/>
    <s v="0-3months"/>
    <x v="1"/>
  </r>
  <r>
    <n v="102"/>
    <d v="2023-10-19T00:00:00"/>
    <s v="Standard"/>
    <n v="399"/>
    <n v="16.100000000000001"/>
    <n v="7"/>
    <n v="0"/>
    <n v="9"/>
    <n v="55"/>
    <s v="Yes"/>
    <s v="No"/>
    <s v="No"/>
    <s v="Yes"/>
    <s v="Yes"/>
    <s v="No"/>
    <m/>
    <s v="0 Failures"/>
    <n v="1"/>
    <s v="10-20hrs"/>
    <s v="6-12months"/>
    <x v="1"/>
  </r>
  <r>
    <n v="103"/>
    <d v="2024-05-04T00:00:00"/>
    <s v="Standard"/>
    <n v="399"/>
    <n v="11.3"/>
    <n v="2"/>
    <n v="0"/>
    <n v="31"/>
    <n v="16"/>
    <s v="No"/>
    <s v="No"/>
    <s v="No"/>
    <s v="No"/>
    <s v="Yes"/>
    <s v="No"/>
    <m/>
    <s v="0 Failures"/>
    <n v="0"/>
    <s v="10-20hrs"/>
    <s v="12+ months"/>
    <x v="1"/>
  </r>
  <r>
    <n v="104"/>
    <d v="2023-06-05T00:00:00"/>
    <s v="Basic"/>
    <n v="199"/>
    <n v="10.3"/>
    <n v="1"/>
    <n v="4"/>
    <n v="5"/>
    <n v="40"/>
    <s v="No"/>
    <s v="No"/>
    <s v="Yes"/>
    <s v="No"/>
    <s v="Yes"/>
    <s v="Yes"/>
    <m/>
    <s v="1+ Failures"/>
    <n v="0"/>
    <s v="10-20hrs"/>
    <s v="3-6months"/>
    <x v="1"/>
  </r>
  <r>
    <n v="105"/>
    <d v="2024-09-12T00:00:00"/>
    <s v="Basic"/>
    <n v="199"/>
    <n v="2.6"/>
    <n v="3"/>
    <n v="0"/>
    <n v="20"/>
    <n v="35"/>
    <s v="No"/>
    <s v="Yes"/>
    <s v="No"/>
    <s v="No"/>
    <s v="Yes"/>
    <s v="No"/>
    <m/>
    <s v="0 Failures"/>
    <n v="0"/>
    <s v="0-5 hrs"/>
    <s v="12+ months"/>
    <x v="1"/>
  </r>
  <r>
    <n v="106"/>
    <d v="2024-08-25T00:00:00"/>
    <s v="Premium"/>
    <n v="699"/>
    <n v="19.5"/>
    <n v="6"/>
    <n v="3"/>
    <n v="15"/>
    <n v="58"/>
    <s v="Yes"/>
    <s v="No"/>
    <s v="Yes"/>
    <s v="Yes"/>
    <s v="Yes"/>
    <s v="No"/>
    <m/>
    <s v="1+ Failures"/>
    <n v="1"/>
    <s v="10-20hrs"/>
    <s v="12+ months"/>
    <x v="0"/>
  </r>
  <r>
    <n v="107"/>
    <d v="2023-08-01T00:00:00"/>
    <s v="Standard"/>
    <n v="399"/>
    <n v="14.4"/>
    <n v="0"/>
    <n v="4"/>
    <n v="20"/>
    <n v="47"/>
    <s v="Yes"/>
    <s v="No"/>
    <s v="Yes"/>
    <s v="No"/>
    <s v="Yes"/>
    <s v="No"/>
    <m/>
    <s v="1+ Failures"/>
    <n v="1"/>
    <s v="10-20hrs"/>
    <s v="12+ months"/>
    <x v="1"/>
  </r>
  <r>
    <n v="108"/>
    <d v="2023-03-18T00:00:00"/>
    <s v="Premium"/>
    <n v="699"/>
    <n v="7"/>
    <n v="1"/>
    <n v="1"/>
    <n v="14"/>
    <n v="15"/>
    <s v="No"/>
    <s v="No"/>
    <s v="Yes"/>
    <s v="No"/>
    <s v="Yes"/>
    <s v="No"/>
    <m/>
    <s v="1+ Failures"/>
    <n v="0"/>
    <s v="5-10 hrs"/>
    <s v="12+ months"/>
    <x v="0"/>
  </r>
  <r>
    <n v="109"/>
    <d v="2024-12-24T00:00:00"/>
    <s v="Basic"/>
    <n v="199"/>
    <n v="10.5"/>
    <n v="7"/>
    <n v="2"/>
    <n v="1"/>
    <n v="2"/>
    <s v="Yes"/>
    <s v="No"/>
    <s v="Yes"/>
    <s v="Yes"/>
    <s v="No"/>
    <s v="Yes"/>
    <m/>
    <s v="1+ Failures"/>
    <n v="1"/>
    <s v="10-20hrs"/>
    <s v="0-3months"/>
    <x v="1"/>
  </r>
  <r>
    <n v="110"/>
    <d v="2024-08-26T00:00:00"/>
    <s v="Standard"/>
    <n v="399"/>
    <n v="2.2000000000000002"/>
    <n v="3"/>
    <n v="2"/>
    <n v="30"/>
    <n v="50"/>
    <s v="Yes"/>
    <s v="Yes"/>
    <s v="Yes"/>
    <s v="No"/>
    <s v="Yes"/>
    <s v="No"/>
    <m/>
    <s v="1+ Failures"/>
    <n v="1"/>
    <s v="0-5 hrs"/>
    <s v="12+ months"/>
    <x v="1"/>
  </r>
  <r>
    <n v="111"/>
    <d v="2023-09-30T00:00:00"/>
    <s v="Premium"/>
    <n v="699"/>
    <n v="10.9"/>
    <n v="8"/>
    <n v="1"/>
    <n v="13"/>
    <n v="41"/>
    <s v="Yes"/>
    <s v="No"/>
    <s v="Yes"/>
    <s v="Yes"/>
    <s v="Yes"/>
    <s v="No"/>
    <m/>
    <s v="1+ Failures"/>
    <n v="1"/>
    <s v="10-20hrs"/>
    <s v="12+ months"/>
    <x v="0"/>
  </r>
  <r>
    <n v="112"/>
    <d v="2023-10-23T00:00:00"/>
    <s v="Basic"/>
    <n v="199"/>
    <n v="2"/>
    <n v="4"/>
    <n v="4"/>
    <n v="5"/>
    <n v="47"/>
    <s v="Yes"/>
    <s v="Yes"/>
    <s v="Yes"/>
    <s v="No"/>
    <s v="Yes"/>
    <s v="Yes"/>
    <m/>
    <s v="1+ Failures"/>
    <n v="1"/>
    <s v="0-5 hrs"/>
    <s v="3-6months"/>
    <x v="1"/>
  </r>
  <r>
    <n v="113"/>
    <d v="2024-05-27T00:00:00"/>
    <s v="Standard"/>
    <n v="399"/>
    <n v="12"/>
    <n v="4"/>
    <n v="5"/>
    <n v="8"/>
    <n v="25"/>
    <s v="No"/>
    <s v="No"/>
    <s v="Yes"/>
    <s v="No"/>
    <s v="Yes"/>
    <s v="No"/>
    <m/>
    <s v="1+ Failures"/>
    <n v="0"/>
    <s v="10-20hrs"/>
    <s v="6-12months"/>
    <x v="1"/>
  </r>
  <r>
    <n v="114"/>
    <d v="2023-09-14T00:00:00"/>
    <s v="Premium"/>
    <n v="699"/>
    <n v="11.2"/>
    <n v="0"/>
    <n v="3"/>
    <n v="32"/>
    <n v="47"/>
    <s v="Yes"/>
    <s v="No"/>
    <s v="Yes"/>
    <s v="No"/>
    <s v="Yes"/>
    <s v="No"/>
    <m/>
    <s v="1+ Failures"/>
    <n v="1"/>
    <s v="10-20hrs"/>
    <s v="12+ months"/>
    <x v="0"/>
  </r>
  <r>
    <n v="115"/>
    <d v="2023-02-11T00:00:00"/>
    <s v="Basic"/>
    <n v="199"/>
    <n v="6.1"/>
    <n v="0"/>
    <n v="5"/>
    <n v="6"/>
    <n v="52"/>
    <s v="Yes"/>
    <s v="No"/>
    <s v="Yes"/>
    <s v="No"/>
    <s v="Yes"/>
    <s v="No"/>
    <m/>
    <s v="1+ Failures"/>
    <n v="1"/>
    <s v="5-10 hrs"/>
    <s v="3-6months"/>
    <x v="1"/>
  </r>
  <r>
    <n v="116"/>
    <d v="2024-03-22T00:00:00"/>
    <s v="Basic"/>
    <n v="199"/>
    <n v="13.2"/>
    <n v="7"/>
    <n v="2"/>
    <n v="31"/>
    <n v="11"/>
    <s v="No"/>
    <s v="No"/>
    <s v="Yes"/>
    <s v="Yes"/>
    <s v="No"/>
    <s v="No"/>
    <m/>
    <s v="1+ Failures"/>
    <n v="0"/>
    <s v="10-20hrs"/>
    <s v="12+ months"/>
    <x v="1"/>
  </r>
  <r>
    <n v="117"/>
    <d v="2024-11-17T00:00:00"/>
    <s v="Premium"/>
    <n v="699"/>
    <n v="24.2"/>
    <n v="7"/>
    <n v="2"/>
    <n v="32"/>
    <n v="26"/>
    <s v="Yes"/>
    <s v="No"/>
    <s v="Yes"/>
    <s v="Yes"/>
    <s v="Yes"/>
    <s v="No"/>
    <m/>
    <s v="1+ Failures"/>
    <n v="1"/>
    <s v="20+ hrs"/>
    <s v="12+ months"/>
    <x v="0"/>
  </r>
  <r>
    <n v="118"/>
    <d v="2024-07-17T00:00:00"/>
    <s v="Basic"/>
    <n v="199"/>
    <n v="8.6"/>
    <n v="7"/>
    <n v="2"/>
    <n v="11"/>
    <n v="42"/>
    <s v="No"/>
    <s v="No"/>
    <s v="Yes"/>
    <s v="Yes"/>
    <s v="Yes"/>
    <s v="No"/>
    <m/>
    <s v="1+ Failures"/>
    <n v="0"/>
    <s v="5-10 hrs"/>
    <s v="6-12months"/>
    <x v="1"/>
  </r>
  <r>
    <n v="119"/>
    <d v="2024-02-18T00:00:00"/>
    <s v="Basic"/>
    <n v="199"/>
    <n v="2.7"/>
    <n v="4"/>
    <n v="2"/>
    <n v="30"/>
    <n v="7"/>
    <s v="No"/>
    <s v="Yes"/>
    <s v="Yes"/>
    <s v="No"/>
    <s v="No"/>
    <s v="No"/>
    <m/>
    <s v="1+ Failures"/>
    <n v="0"/>
    <s v="0-5 hrs"/>
    <s v="12+ months"/>
    <x v="1"/>
  </r>
  <r>
    <n v="120"/>
    <d v="2024-06-14T00:00:00"/>
    <s v="Premium"/>
    <n v="699"/>
    <n v="16.600000000000001"/>
    <n v="8"/>
    <n v="3"/>
    <n v="1"/>
    <n v="26"/>
    <s v="Yes"/>
    <s v="No"/>
    <s v="Yes"/>
    <s v="Yes"/>
    <s v="Yes"/>
    <s v="Yes"/>
    <m/>
    <s v="1+ Failures"/>
    <n v="1"/>
    <s v="10-20hrs"/>
    <s v="0-3months"/>
    <x v="0"/>
  </r>
  <r>
    <n v="121"/>
    <d v="2023-10-22T00:00:00"/>
    <s v="Standard"/>
    <n v="399"/>
    <n v="15.8"/>
    <n v="0"/>
    <n v="1"/>
    <n v="32"/>
    <n v="17"/>
    <s v="No"/>
    <s v="No"/>
    <s v="Yes"/>
    <s v="No"/>
    <s v="Yes"/>
    <s v="No"/>
    <m/>
    <s v="1+ Failures"/>
    <n v="0"/>
    <s v="10-20hrs"/>
    <s v="12+ months"/>
    <x v="1"/>
  </r>
  <r>
    <n v="122"/>
    <d v="2023-01-15T00:00:00"/>
    <s v="Standard"/>
    <n v="399"/>
    <n v="3.5"/>
    <n v="3"/>
    <n v="5"/>
    <n v="32"/>
    <n v="10"/>
    <s v="Yes"/>
    <s v="Yes"/>
    <s v="Yes"/>
    <s v="No"/>
    <s v="No"/>
    <s v="No"/>
    <m/>
    <s v="1+ Failures"/>
    <n v="1"/>
    <s v="0-5 hrs"/>
    <s v="12+ months"/>
    <x v="1"/>
  </r>
  <r>
    <n v="123"/>
    <d v="2023-06-07T00:00:00"/>
    <s v="Premium"/>
    <n v="699"/>
    <n v="2.8"/>
    <n v="1"/>
    <n v="3"/>
    <n v="27"/>
    <n v="60"/>
    <s v="Yes"/>
    <s v="Yes"/>
    <s v="Yes"/>
    <s v="No"/>
    <s v="Yes"/>
    <s v="No"/>
    <m/>
    <s v="1+ Failures"/>
    <n v="1"/>
    <s v="0-5 hrs"/>
    <s v="12+ months"/>
    <x v="0"/>
  </r>
  <r>
    <n v="124"/>
    <d v="2024-04-28T00:00:00"/>
    <s v="Standard"/>
    <n v="399"/>
    <n v="13"/>
    <n v="4"/>
    <n v="3"/>
    <n v="19"/>
    <n v="53"/>
    <s v="Yes"/>
    <s v="No"/>
    <s v="Yes"/>
    <s v="No"/>
    <s v="Yes"/>
    <s v="No"/>
    <m/>
    <s v="1+ Failures"/>
    <n v="1"/>
    <s v="10-20hrs"/>
    <s v="12+ months"/>
    <x v="1"/>
  </r>
  <r>
    <n v="125"/>
    <d v="2023-05-20T00:00:00"/>
    <s v="Basic"/>
    <n v="199"/>
    <n v="14"/>
    <n v="6"/>
    <n v="1"/>
    <n v="30"/>
    <n v="58"/>
    <s v="No"/>
    <s v="No"/>
    <s v="Yes"/>
    <s v="Yes"/>
    <s v="Yes"/>
    <s v="No"/>
    <m/>
    <s v="1+ Failures"/>
    <n v="0"/>
    <s v="10-20hrs"/>
    <s v="12+ months"/>
    <x v="1"/>
  </r>
  <r>
    <n v="126"/>
    <d v="2023-10-01T00:00:00"/>
    <s v="Basic"/>
    <n v="199"/>
    <n v="19.399999999999999"/>
    <n v="6"/>
    <n v="2"/>
    <n v="18"/>
    <n v="59"/>
    <s v="No"/>
    <s v="No"/>
    <s v="Yes"/>
    <s v="Yes"/>
    <s v="Yes"/>
    <s v="No"/>
    <m/>
    <s v="1+ Failures"/>
    <n v="0"/>
    <s v="10-20hrs"/>
    <s v="12+ months"/>
    <x v="1"/>
  </r>
  <r>
    <n v="127"/>
    <d v="2023-12-20T00:00:00"/>
    <s v="Basic"/>
    <n v="199"/>
    <n v="18.3"/>
    <n v="7"/>
    <n v="1"/>
    <n v="19"/>
    <n v="28"/>
    <s v="No"/>
    <s v="No"/>
    <s v="Yes"/>
    <s v="Yes"/>
    <s v="Yes"/>
    <s v="No"/>
    <m/>
    <s v="1+ Failures"/>
    <n v="0"/>
    <s v="10-20hrs"/>
    <s v="12+ months"/>
    <x v="1"/>
  </r>
  <r>
    <n v="128"/>
    <d v="2023-07-13T00:00:00"/>
    <s v="Standard"/>
    <n v="399"/>
    <n v="19.2"/>
    <n v="6"/>
    <n v="3"/>
    <n v="36"/>
    <n v="59"/>
    <s v="Yes"/>
    <s v="No"/>
    <s v="Yes"/>
    <s v="Yes"/>
    <s v="Yes"/>
    <s v="No"/>
    <m/>
    <s v="1+ Failures"/>
    <n v="1"/>
    <s v="10-20hrs"/>
    <s v="12+ months"/>
    <x v="1"/>
  </r>
  <r>
    <n v="129"/>
    <d v="2024-04-29T00:00:00"/>
    <s v="Premium"/>
    <n v="699"/>
    <n v="14.5"/>
    <n v="3"/>
    <n v="3"/>
    <n v="16"/>
    <n v="2"/>
    <s v="Yes"/>
    <s v="No"/>
    <s v="Yes"/>
    <s v="No"/>
    <s v="No"/>
    <s v="No"/>
    <m/>
    <s v="1+ Failures"/>
    <n v="1"/>
    <s v="10-20hrs"/>
    <s v="12+ months"/>
    <x v="0"/>
  </r>
  <r>
    <n v="130"/>
    <d v="2024-08-27T00:00:00"/>
    <s v="Premium"/>
    <n v="699"/>
    <n v="10"/>
    <n v="2"/>
    <n v="3"/>
    <n v="25"/>
    <n v="2"/>
    <s v="Yes"/>
    <s v="No"/>
    <s v="Yes"/>
    <s v="No"/>
    <s v="No"/>
    <s v="No"/>
    <m/>
    <s v="1+ Failures"/>
    <n v="1"/>
    <s v="5-10 hrs"/>
    <s v="12+ months"/>
    <x v="0"/>
  </r>
  <r>
    <n v="131"/>
    <d v="2023-01-16T00:00:00"/>
    <s v="Standard"/>
    <n v="399"/>
    <n v="21.9"/>
    <n v="7"/>
    <n v="0"/>
    <n v="7"/>
    <n v="33"/>
    <s v="No"/>
    <s v="No"/>
    <s v="No"/>
    <s v="Yes"/>
    <s v="Yes"/>
    <s v="No"/>
    <m/>
    <s v="0 Failures"/>
    <n v="0"/>
    <s v="20+ hrs"/>
    <s v="6-12months"/>
    <x v="1"/>
  </r>
  <r>
    <n v="132"/>
    <d v="2023-09-29T00:00:00"/>
    <s v="Premium"/>
    <n v="699"/>
    <n v="10.5"/>
    <n v="2"/>
    <n v="0"/>
    <n v="10"/>
    <n v="30"/>
    <s v="No"/>
    <s v="No"/>
    <s v="No"/>
    <s v="No"/>
    <s v="Yes"/>
    <s v="No"/>
    <m/>
    <s v="0 Failures"/>
    <n v="0"/>
    <s v="10-20hrs"/>
    <s v="6-12months"/>
    <x v="0"/>
  </r>
  <r>
    <n v="133"/>
    <d v="2023-11-21T00:00:00"/>
    <s v="Standard"/>
    <n v="399"/>
    <n v="16.399999999999999"/>
    <n v="5"/>
    <n v="5"/>
    <n v="26"/>
    <n v="54"/>
    <s v="Yes"/>
    <s v="No"/>
    <s v="Yes"/>
    <s v="Yes"/>
    <s v="Yes"/>
    <s v="No"/>
    <m/>
    <s v="1+ Failures"/>
    <n v="1"/>
    <s v="10-20hrs"/>
    <s v="12+ months"/>
    <x v="1"/>
  </r>
  <r>
    <n v="134"/>
    <d v="2024-12-01T00:00:00"/>
    <s v="Premium"/>
    <n v="699"/>
    <n v="21.9"/>
    <n v="0"/>
    <n v="4"/>
    <n v="32"/>
    <n v="4"/>
    <s v="Yes"/>
    <s v="No"/>
    <s v="Yes"/>
    <s v="No"/>
    <s v="No"/>
    <s v="No"/>
    <m/>
    <s v="1+ Failures"/>
    <n v="1"/>
    <s v="20+ hrs"/>
    <s v="12+ months"/>
    <x v="0"/>
  </r>
  <r>
    <n v="135"/>
    <d v="2023-04-13T00:00:00"/>
    <s v="Standard"/>
    <n v="399"/>
    <n v="18.8"/>
    <n v="6"/>
    <n v="0"/>
    <n v="15"/>
    <n v="48"/>
    <s v="No"/>
    <s v="No"/>
    <s v="No"/>
    <s v="Yes"/>
    <s v="Yes"/>
    <s v="No"/>
    <m/>
    <s v="0 Failures"/>
    <n v="0"/>
    <s v="10-20hrs"/>
    <s v="12+ months"/>
    <x v="1"/>
  </r>
  <r>
    <n v="136"/>
    <d v="2023-10-28T00:00:00"/>
    <s v="Standard"/>
    <n v="399"/>
    <n v="17.5"/>
    <n v="0"/>
    <n v="0"/>
    <n v="11"/>
    <n v="20"/>
    <s v="No"/>
    <s v="No"/>
    <s v="No"/>
    <s v="No"/>
    <s v="Yes"/>
    <s v="No"/>
    <m/>
    <s v="0 Failures"/>
    <n v="0"/>
    <s v="10-20hrs"/>
    <s v="6-12months"/>
    <x v="1"/>
  </r>
  <r>
    <n v="137"/>
    <d v="2023-07-04T00:00:00"/>
    <s v="Standard"/>
    <n v="399"/>
    <n v="11.1"/>
    <n v="3"/>
    <n v="4"/>
    <n v="24"/>
    <n v="26"/>
    <s v="Yes"/>
    <s v="No"/>
    <s v="Yes"/>
    <s v="No"/>
    <s v="Yes"/>
    <s v="No"/>
    <m/>
    <s v="1+ Failures"/>
    <n v="1"/>
    <s v="10-20hrs"/>
    <s v="12+ months"/>
    <x v="1"/>
  </r>
  <r>
    <n v="138"/>
    <d v="2024-08-20T00:00:00"/>
    <s v="Basic"/>
    <n v="199"/>
    <n v="2.4"/>
    <n v="6"/>
    <n v="4"/>
    <n v="12"/>
    <n v="43"/>
    <s v="Yes"/>
    <s v="Yes"/>
    <s v="Yes"/>
    <s v="Yes"/>
    <s v="Yes"/>
    <s v="No"/>
    <m/>
    <s v="1+ Failures"/>
    <n v="1"/>
    <s v="0-5 hrs"/>
    <s v="6-12months"/>
    <x v="1"/>
  </r>
  <r>
    <n v="139"/>
    <d v="2024-04-21T00:00:00"/>
    <s v="Basic"/>
    <n v="199"/>
    <n v="11.8"/>
    <n v="4"/>
    <n v="3"/>
    <n v="15"/>
    <n v="16"/>
    <s v="No"/>
    <s v="No"/>
    <s v="Yes"/>
    <s v="No"/>
    <s v="Yes"/>
    <s v="No"/>
    <m/>
    <s v="1+ Failures"/>
    <n v="0"/>
    <s v="10-20hrs"/>
    <s v="12+ months"/>
    <x v="1"/>
  </r>
  <r>
    <n v="140"/>
    <d v="2024-03-10T00:00:00"/>
    <s v="Standard"/>
    <n v="399"/>
    <n v="4.4000000000000004"/>
    <n v="7"/>
    <n v="2"/>
    <n v="35"/>
    <n v="37"/>
    <s v="Yes"/>
    <s v="Yes"/>
    <s v="Yes"/>
    <s v="Yes"/>
    <s v="Yes"/>
    <s v="No"/>
    <m/>
    <s v="1+ Failures"/>
    <n v="1"/>
    <s v="0-5 hrs"/>
    <s v="12+ months"/>
    <x v="1"/>
  </r>
  <r>
    <n v="141"/>
    <d v="2023-04-20T00:00:00"/>
    <s v="Premium"/>
    <n v="699"/>
    <n v="11.7"/>
    <n v="4"/>
    <n v="1"/>
    <n v="17"/>
    <n v="24"/>
    <s v="No"/>
    <s v="No"/>
    <s v="Yes"/>
    <s v="No"/>
    <s v="Yes"/>
    <s v="No"/>
    <m/>
    <s v="1+ Failures"/>
    <n v="0"/>
    <s v="10-20hrs"/>
    <s v="12+ months"/>
    <x v="0"/>
  </r>
  <r>
    <n v="142"/>
    <d v="2024-11-05T00:00:00"/>
    <s v="Basic"/>
    <n v="199"/>
    <n v="14.5"/>
    <n v="4"/>
    <n v="5"/>
    <n v="25"/>
    <n v="18"/>
    <s v="Yes"/>
    <s v="No"/>
    <s v="Yes"/>
    <s v="No"/>
    <s v="Yes"/>
    <s v="No"/>
    <m/>
    <s v="1+ Failures"/>
    <n v="1"/>
    <s v="10-20hrs"/>
    <s v="12+ months"/>
    <x v="1"/>
  </r>
  <r>
    <n v="143"/>
    <d v="2023-10-21T00:00:00"/>
    <s v="Standard"/>
    <n v="399"/>
    <n v="0.7"/>
    <n v="0"/>
    <n v="4"/>
    <n v="18"/>
    <n v="47"/>
    <s v="Yes"/>
    <s v="Yes"/>
    <s v="Yes"/>
    <s v="No"/>
    <s v="Yes"/>
    <s v="No"/>
    <m/>
    <s v="1+ Failures"/>
    <n v="1"/>
    <s v="0-5 hrs"/>
    <s v="12+ months"/>
    <x v="1"/>
  </r>
  <r>
    <n v="144"/>
    <d v="2024-11-06T00:00:00"/>
    <s v="Basic"/>
    <n v="199"/>
    <n v="5.9"/>
    <n v="3"/>
    <n v="4"/>
    <n v="23"/>
    <n v="16"/>
    <s v="No"/>
    <s v="No"/>
    <s v="Yes"/>
    <s v="No"/>
    <s v="Yes"/>
    <s v="No"/>
    <m/>
    <s v="1+ Failures"/>
    <n v="0"/>
    <s v="5-10 hrs"/>
    <s v="12+ months"/>
    <x v="1"/>
  </r>
  <r>
    <n v="145"/>
    <d v="2024-08-16T00:00:00"/>
    <s v="Premium"/>
    <n v="699"/>
    <n v="15.9"/>
    <n v="0"/>
    <n v="2"/>
    <n v="9"/>
    <n v="50"/>
    <s v="Yes"/>
    <s v="No"/>
    <s v="Yes"/>
    <s v="No"/>
    <s v="Yes"/>
    <s v="No"/>
    <m/>
    <s v="1+ Failures"/>
    <n v="1"/>
    <s v="10-20hrs"/>
    <s v="6-12months"/>
    <x v="0"/>
  </r>
  <r>
    <n v="146"/>
    <d v="2023-07-25T00:00:00"/>
    <s v="Standard"/>
    <n v="399"/>
    <n v="2.7"/>
    <n v="4"/>
    <n v="2"/>
    <n v="9"/>
    <n v="47"/>
    <s v="Yes"/>
    <s v="Yes"/>
    <s v="Yes"/>
    <s v="No"/>
    <s v="Yes"/>
    <s v="No"/>
    <m/>
    <s v="1+ Failures"/>
    <n v="1"/>
    <s v="0-5 hrs"/>
    <s v="6-12months"/>
    <x v="1"/>
  </r>
  <r>
    <n v="147"/>
    <d v="2023-06-18T00:00:00"/>
    <s v="Basic"/>
    <n v="199"/>
    <n v="22"/>
    <n v="5"/>
    <n v="4"/>
    <n v="35"/>
    <n v="32"/>
    <s v="No"/>
    <s v="No"/>
    <s v="Yes"/>
    <s v="Yes"/>
    <s v="Yes"/>
    <s v="No"/>
    <m/>
    <s v="1+ Failures"/>
    <n v="0"/>
    <s v="20+ hrs"/>
    <s v="12+ months"/>
    <x v="1"/>
  </r>
  <r>
    <n v="148"/>
    <d v="2023-04-28T00:00:00"/>
    <s v="Standard"/>
    <n v="399"/>
    <n v="24.2"/>
    <n v="4"/>
    <n v="5"/>
    <n v="31"/>
    <n v="55"/>
    <s v="Yes"/>
    <s v="No"/>
    <s v="Yes"/>
    <s v="No"/>
    <s v="Yes"/>
    <s v="No"/>
    <m/>
    <s v="1+ Failures"/>
    <n v="1"/>
    <s v="20+ hrs"/>
    <s v="12+ months"/>
    <x v="1"/>
  </r>
  <r>
    <n v="149"/>
    <d v="2024-02-11T00:00:00"/>
    <s v="Standard"/>
    <n v="399"/>
    <n v="3.9"/>
    <n v="3"/>
    <n v="5"/>
    <n v="5"/>
    <n v="46"/>
    <s v="Yes"/>
    <s v="Yes"/>
    <s v="Yes"/>
    <s v="No"/>
    <s v="Yes"/>
    <s v="Yes"/>
    <m/>
    <s v="1+ Failures"/>
    <n v="1"/>
    <s v="0-5 hrs"/>
    <s v="3-6months"/>
    <x v="1"/>
  </r>
  <r>
    <n v="150"/>
    <d v="2024-04-10T00:00:00"/>
    <s v="Premium"/>
    <n v="699"/>
    <n v="2.7"/>
    <n v="6"/>
    <n v="0"/>
    <n v="24"/>
    <n v="16"/>
    <s v="No"/>
    <s v="Yes"/>
    <s v="No"/>
    <s v="Yes"/>
    <s v="Yes"/>
    <s v="No"/>
    <m/>
    <s v="0 Failures"/>
    <n v="0"/>
    <s v="0-5 hrs"/>
    <s v="12+ months"/>
    <x v="0"/>
  </r>
  <r>
    <n v="151"/>
    <d v="2023-01-26T00:00:00"/>
    <s v="Standard"/>
    <n v="399"/>
    <n v="14.8"/>
    <n v="5"/>
    <n v="0"/>
    <n v="17"/>
    <n v="43"/>
    <s v="Yes"/>
    <s v="No"/>
    <s v="No"/>
    <s v="Yes"/>
    <s v="Yes"/>
    <s v="No"/>
    <m/>
    <s v="0 Failures"/>
    <n v="1"/>
    <s v="10-20hrs"/>
    <s v="12+ months"/>
    <x v="1"/>
  </r>
  <r>
    <n v="152"/>
    <d v="2024-04-20T00:00:00"/>
    <s v="Premium"/>
    <n v="699"/>
    <n v="8.5"/>
    <n v="3"/>
    <n v="5"/>
    <n v="36"/>
    <n v="4"/>
    <s v="No"/>
    <s v="No"/>
    <s v="Yes"/>
    <s v="No"/>
    <s v="No"/>
    <s v="No"/>
    <m/>
    <s v="1+ Failures"/>
    <n v="0"/>
    <s v="5-10 hrs"/>
    <s v="12+ months"/>
    <x v="0"/>
  </r>
  <r>
    <n v="153"/>
    <d v="2023-11-08T00:00:00"/>
    <s v="Premium"/>
    <n v="699"/>
    <n v="16.399999999999999"/>
    <n v="1"/>
    <n v="1"/>
    <n v="20"/>
    <n v="2"/>
    <s v="No"/>
    <s v="No"/>
    <s v="Yes"/>
    <s v="No"/>
    <s v="No"/>
    <s v="No"/>
    <m/>
    <s v="1+ Failures"/>
    <n v="0"/>
    <s v="10-20hrs"/>
    <s v="12+ months"/>
    <x v="0"/>
  </r>
  <r>
    <n v="154"/>
    <d v="2024-11-17T00:00:00"/>
    <s v="Standard"/>
    <n v="399"/>
    <n v="2.9"/>
    <n v="8"/>
    <n v="1"/>
    <n v="8"/>
    <n v="24"/>
    <s v="Yes"/>
    <s v="Yes"/>
    <s v="Yes"/>
    <s v="Yes"/>
    <s v="Yes"/>
    <s v="No"/>
    <m/>
    <s v="1+ Failures"/>
    <n v="1"/>
    <s v="0-5 hrs"/>
    <s v="6-12months"/>
    <x v="1"/>
  </r>
  <r>
    <n v="155"/>
    <d v="2024-05-16T00:00:00"/>
    <s v="Premium"/>
    <n v="699"/>
    <n v="10.8"/>
    <n v="2"/>
    <n v="3"/>
    <n v="35"/>
    <n v="41"/>
    <s v="Yes"/>
    <s v="No"/>
    <s v="Yes"/>
    <s v="No"/>
    <s v="Yes"/>
    <s v="No"/>
    <m/>
    <s v="1+ Failures"/>
    <n v="1"/>
    <s v="10-20hrs"/>
    <s v="12+ months"/>
    <x v="0"/>
  </r>
  <r>
    <n v="156"/>
    <d v="2024-03-30T00:00:00"/>
    <s v="Premium"/>
    <n v="699"/>
    <n v="23.5"/>
    <n v="4"/>
    <n v="0"/>
    <n v="27"/>
    <n v="44"/>
    <s v="Yes"/>
    <s v="No"/>
    <s v="No"/>
    <s v="No"/>
    <s v="Yes"/>
    <s v="No"/>
    <m/>
    <s v="0 Failures"/>
    <n v="1"/>
    <s v="20+ hrs"/>
    <s v="12+ months"/>
    <x v="0"/>
  </r>
  <r>
    <n v="157"/>
    <d v="2024-10-22T00:00:00"/>
    <s v="Standard"/>
    <n v="399"/>
    <n v="21.5"/>
    <n v="1"/>
    <n v="5"/>
    <n v="16"/>
    <n v="23"/>
    <s v="Yes"/>
    <s v="No"/>
    <s v="Yes"/>
    <s v="No"/>
    <s v="Yes"/>
    <s v="No"/>
    <m/>
    <s v="1+ Failures"/>
    <n v="1"/>
    <s v="20+ hrs"/>
    <s v="12+ months"/>
    <x v="1"/>
  </r>
  <r>
    <n v="158"/>
    <d v="2024-04-10T00:00:00"/>
    <s v="Standard"/>
    <n v="399"/>
    <n v="10.3"/>
    <n v="3"/>
    <n v="0"/>
    <n v="4"/>
    <n v="60"/>
    <s v="No"/>
    <s v="No"/>
    <s v="No"/>
    <s v="No"/>
    <s v="Yes"/>
    <s v="Yes"/>
    <m/>
    <s v="0 Failures"/>
    <n v="0"/>
    <s v="10-20hrs"/>
    <s v="3-6months"/>
    <x v="1"/>
  </r>
  <r>
    <n v="159"/>
    <d v="2023-05-09T00:00:00"/>
    <s v="Basic"/>
    <n v="199"/>
    <n v="16.2"/>
    <n v="0"/>
    <n v="0"/>
    <n v="14"/>
    <n v="50"/>
    <s v="Yes"/>
    <s v="No"/>
    <s v="No"/>
    <s v="No"/>
    <s v="Yes"/>
    <s v="No"/>
    <m/>
    <s v="0 Failures"/>
    <n v="1"/>
    <s v="10-20hrs"/>
    <s v="12+ months"/>
    <x v="1"/>
  </r>
  <r>
    <n v="160"/>
    <d v="2023-08-27T00:00:00"/>
    <s v="Premium"/>
    <n v="699"/>
    <n v="2.2000000000000002"/>
    <n v="8"/>
    <n v="1"/>
    <n v="14"/>
    <n v="37"/>
    <s v="Yes"/>
    <s v="Yes"/>
    <s v="Yes"/>
    <s v="Yes"/>
    <s v="Yes"/>
    <s v="No"/>
    <m/>
    <s v="1+ Failures"/>
    <n v="1"/>
    <s v="0-5 hrs"/>
    <s v="12+ months"/>
    <x v="0"/>
  </r>
  <r>
    <n v="161"/>
    <d v="2023-05-14T00:00:00"/>
    <s v="Standard"/>
    <n v="399"/>
    <n v="19.8"/>
    <n v="0"/>
    <n v="2"/>
    <n v="10"/>
    <n v="54"/>
    <s v="No"/>
    <s v="No"/>
    <s v="Yes"/>
    <s v="No"/>
    <s v="Yes"/>
    <s v="No"/>
    <m/>
    <s v="1+ Failures"/>
    <n v="0"/>
    <s v="10-20hrs"/>
    <s v="6-12months"/>
    <x v="1"/>
  </r>
  <r>
    <n v="162"/>
    <d v="2023-01-16T00:00:00"/>
    <s v="Premium"/>
    <n v="699"/>
    <n v="20.100000000000001"/>
    <n v="1"/>
    <n v="5"/>
    <n v="17"/>
    <n v="55"/>
    <s v="Yes"/>
    <s v="No"/>
    <s v="Yes"/>
    <s v="No"/>
    <s v="Yes"/>
    <s v="No"/>
    <m/>
    <s v="1+ Failures"/>
    <n v="1"/>
    <s v="20+ hrs"/>
    <s v="12+ months"/>
    <x v="0"/>
  </r>
  <r>
    <n v="163"/>
    <d v="2024-03-07T00:00:00"/>
    <s v="Standard"/>
    <n v="399"/>
    <n v="14.9"/>
    <n v="0"/>
    <n v="1"/>
    <n v="16"/>
    <n v="16"/>
    <s v="Yes"/>
    <s v="No"/>
    <s v="Yes"/>
    <s v="No"/>
    <s v="Yes"/>
    <s v="No"/>
    <m/>
    <s v="1+ Failures"/>
    <n v="1"/>
    <s v="10-20hrs"/>
    <s v="12+ months"/>
    <x v="1"/>
  </r>
  <r>
    <n v="164"/>
    <d v="2024-08-30T00:00:00"/>
    <s v="Premium"/>
    <n v="699"/>
    <n v="18.8"/>
    <n v="7"/>
    <n v="3"/>
    <n v="8"/>
    <n v="49"/>
    <s v="Yes"/>
    <s v="No"/>
    <s v="Yes"/>
    <s v="Yes"/>
    <s v="Yes"/>
    <s v="No"/>
    <m/>
    <s v="1+ Failures"/>
    <n v="1"/>
    <s v="10-20hrs"/>
    <s v="6-12months"/>
    <x v="0"/>
  </r>
  <r>
    <n v="165"/>
    <d v="2024-11-05T00:00:00"/>
    <s v="Basic"/>
    <n v="199"/>
    <n v="12.8"/>
    <n v="0"/>
    <n v="5"/>
    <n v="29"/>
    <n v="50"/>
    <s v="No"/>
    <s v="No"/>
    <s v="Yes"/>
    <s v="No"/>
    <s v="Yes"/>
    <s v="No"/>
    <m/>
    <s v="1+ Failures"/>
    <n v="0"/>
    <s v="10-20hrs"/>
    <s v="12+ months"/>
    <x v="1"/>
  </r>
  <r>
    <n v="166"/>
    <d v="2024-03-12T00:00:00"/>
    <s v="Premium"/>
    <n v="699"/>
    <n v="11.7"/>
    <n v="0"/>
    <n v="0"/>
    <n v="20"/>
    <n v="30"/>
    <s v="No"/>
    <s v="No"/>
    <s v="No"/>
    <s v="No"/>
    <s v="Yes"/>
    <s v="No"/>
    <m/>
    <s v="0 Failures"/>
    <n v="0"/>
    <s v="10-20hrs"/>
    <s v="12+ months"/>
    <x v="0"/>
  </r>
  <r>
    <n v="167"/>
    <d v="2024-09-14T00:00:00"/>
    <s v="Premium"/>
    <n v="699"/>
    <n v="12.5"/>
    <n v="7"/>
    <n v="0"/>
    <n v="7"/>
    <n v="57"/>
    <s v="Yes"/>
    <s v="No"/>
    <s v="No"/>
    <s v="Yes"/>
    <s v="Yes"/>
    <s v="No"/>
    <m/>
    <s v="0 Failures"/>
    <n v="1"/>
    <s v="10-20hrs"/>
    <s v="6-12months"/>
    <x v="0"/>
  </r>
  <r>
    <n v="168"/>
    <d v="2024-09-03T00:00:00"/>
    <s v="Basic"/>
    <n v="199"/>
    <n v="3.6"/>
    <n v="8"/>
    <n v="5"/>
    <n v="5"/>
    <n v="20"/>
    <s v="Yes"/>
    <s v="Yes"/>
    <s v="Yes"/>
    <s v="Yes"/>
    <s v="Yes"/>
    <s v="Yes"/>
    <m/>
    <s v="1+ Failures"/>
    <n v="1"/>
    <s v="0-5 hrs"/>
    <s v="3-6months"/>
    <x v="1"/>
  </r>
  <r>
    <n v="169"/>
    <d v="2024-11-01T00:00:00"/>
    <s v="Premium"/>
    <n v="699"/>
    <n v="11.6"/>
    <n v="6"/>
    <n v="0"/>
    <n v="19"/>
    <n v="50"/>
    <s v="No"/>
    <s v="No"/>
    <s v="No"/>
    <s v="Yes"/>
    <s v="Yes"/>
    <s v="No"/>
    <m/>
    <s v="0 Failures"/>
    <n v="0"/>
    <s v="10-20hrs"/>
    <s v="12+ months"/>
    <x v="0"/>
  </r>
  <r>
    <n v="170"/>
    <d v="2024-02-28T00:00:00"/>
    <s v="Premium"/>
    <n v="699"/>
    <n v="18.2"/>
    <n v="3"/>
    <n v="3"/>
    <n v="36"/>
    <n v="28"/>
    <s v="No"/>
    <s v="No"/>
    <s v="Yes"/>
    <s v="No"/>
    <s v="Yes"/>
    <s v="No"/>
    <m/>
    <s v="1+ Failures"/>
    <n v="0"/>
    <s v="10-20hrs"/>
    <s v="12+ months"/>
    <x v="0"/>
  </r>
  <r>
    <n v="171"/>
    <d v="2023-09-19T00:00:00"/>
    <s v="Standard"/>
    <n v="399"/>
    <n v="10.3"/>
    <n v="1"/>
    <n v="2"/>
    <n v="30"/>
    <n v="27"/>
    <s v="Yes"/>
    <s v="No"/>
    <s v="Yes"/>
    <s v="No"/>
    <s v="Yes"/>
    <s v="No"/>
    <m/>
    <s v="1+ Failures"/>
    <n v="1"/>
    <s v="10-20hrs"/>
    <s v="12+ months"/>
    <x v="1"/>
  </r>
  <r>
    <n v="172"/>
    <d v="2023-04-06T00:00:00"/>
    <s v="Standard"/>
    <n v="399"/>
    <n v="17.3"/>
    <n v="7"/>
    <n v="0"/>
    <n v="10"/>
    <n v="5"/>
    <s v="No"/>
    <s v="No"/>
    <s v="No"/>
    <s v="Yes"/>
    <s v="No"/>
    <s v="No"/>
    <m/>
    <s v="0 Failures"/>
    <n v="0"/>
    <s v="10-20hrs"/>
    <s v="6-12months"/>
    <x v="1"/>
  </r>
  <r>
    <n v="173"/>
    <d v="2024-07-29T00:00:00"/>
    <s v="Standard"/>
    <n v="399"/>
    <n v="18.7"/>
    <n v="5"/>
    <n v="1"/>
    <n v="7"/>
    <n v="35"/>
    <s v="Yes"/>
    <s v="No"/>
    <s v="Yes"/>
    <s v="Yes"/>
    <s v="Yes"/>
    <s v="No"/>
    <m/>
    <s v="1+ Failures"/>
    <n v="1"/>
    <s v="10-20hrs"/>
    <s v="6-12months"/>
    <x v="1"/>
  </r>
  <r>
    <n v="174"/>
    <d v="2024-03-09T00:00:00"/>
    <s v="Premium"/>
    <n v="699"/>
    <n v="16.899999999999999"/>
    <n v="6"/>
    <n v="2"/>
    <n v="22"/>
    <n v="55"/>
    <s v="Yes"/>
    <s v="No"/>
    <s v="Yes"/>
    <s v="Yes"/>
    <s v="Yes"/>
    <s v="No"/>
    <m/>
    <s v="1+ Failures"/>
    <n v="1"/>
    <s v="10-20hrs"/>
    <s v="12+ months"/>
    <x v="0"/>
  </r>
  <r>
    <n v="175"/>
    <d v="2023-08-06T00:00:00"/>
    <s v="Premium"/>
    <n v="699"/>
    <n v="24.2"/>
    <n v="4"/>
    <n v="2"/>
    <n v="4"/>
    <n v="6"/>
    <s v="No"/>
    <s v="No"/>
    <s v="Yes"/>
    <s v="No"/>
    <s v="No"/>
    <s v="Yes"/>
    <m/>
    <s v="1+ Failures"/>
    <n v="0"/>
    <s v="20+ hrs"/>
    <s v="3-6months"/>
    <x v="0"/>
  </r>
  <r>
    <n v="176"/>
    <d v="2023-04-28T00:00:00"/>
    <s v="Basic"/>
    <n v="199"/>
    <n v="6"/>
    <n v="1"/>
    <n v="2"/>
    <n v="31"/>
    <n v="54"/>
    <s v="Yes"/>
    <s v="No"/>
    <s v="Yes"/>
    <s v="No"/>
    <s v="Yes"/>
    <s v="No"/>
    <m/>
    <s v="1+ Failures"/>
    <n v="1"/>
    <s v="5-10 hrs"/>
    <s v="12+ months"/>
    <x v="1"/>
  </r>
  <r>
    <n v="177"/>
    <d v="2024-07-24T00:00:00"/>
    <s v="Standard"/>
    <n v="399"/>
    <n v="20.3"/>
    <n v="8"/>
    <n v="4"/>
    <n v="15"/>
    <n v="39"/>
    <s v="Yes"/>
    <s v="No"/>
    <s v="Yes"/>
    <s v="Yes"/>
    <s v="Yes"/>
    <s v="No"/>
    <m/>
    <s v="1+ Failures"/>
    <n v="1"/>
    <s v="20+ hrs"/>
    <s v="12+ months"/>
    <x v="1"/>
  </r>
  <r>
    <n v="178"/>
    <d v="2023-12-14T00:00:00"/>
    <s v="Basic"/>
    <n v="199"/>
    <n v="1.2"/>
    <n v="4"/>
    <n v="5"/>
    <n v="18"/>
    <n v="48"/>
    <s v="Yes"/>
    <s v="Yes"/>
    <s v="Yes"/>
    <s v="No"/>
    <s v="Yes"/>
    <s v="No"/>
    <m/>
    <s v="1+ Failures"/>
    <n v="1"/>
    <s v="0-5 hrs"/>
    <s v="12+ months"/>
    <x v="1"/>
  </r>
  <r>
    <n v="179"/>
    <d v="2023-05-26T00:00:00"/>
    <s v="Standard"/>
    <n v="399"/>
    <n v="4.9000000000000004"/>
    <n v="2"/>
    <n v="4"/>
    <n v="1"/>
    <n v="42"/>
    <s v="Yes"/>
    <s v="Yes"/>
    <s v="Yes"/>
    <s v="No"/>
    <s v="Yes"/>
    <s v="Yes"/>
    <m/>
    <s v="1+ Failures"/>
    <n v="1"/>
    <s v="0-5 hrs"/>
    <s v="0-3months"/>
    <x v="1"/>
  </r>
  <r>
    <n v="180"/>
    <d v="2023-12-16T00:00:00"/>
    <s v="Premium"/>
    <n v="699"/>
    <n v="2.7"/>
    <n v="8"/>
    <n v="1"/>
    <n v="2"/>
    <n v="24"/>
    <s v="Yes"/>
    <s v="Yes"/>
    <s v="Yes"/>
    <s v="Yes"/>
    <s v="Yes"/>
    <s v="Yes"/>
    <m/>
    <s v="1+ Failures"/>
    <n v="1"/>
    <s v="0-5 hrs"/>
    <s v="0-3months"/>
    <x v="0"/>
  </r>
  <r>
    <n v="181"/>
    <d v="2023-02-23T00:00:00"/>
    <s v="Basic"/>
    <n v="199"/>
    <n v="8.1"/>
    <n v="5"/>
    <n v="4"/>
    <n v="24"/>
    <n v="38"/>
    <s v="Yes"/>
    <s v="No"/>
    <s v="Yes"/>
    <s v="Yes"/>
    <s v="Yes"/>
    <s v="No"/>
    <m/>
    <s v="1+ Failures"/>
    <n v="1"/>
    <s v="5-10 hrs"/>
    <s v="12+ months"/>
    <x v="1"/>
  </r>
  <r>
    <n v="182"/>
    <d v="2024-11-08T00:00:00"/>
    <s v="Basic"/>
    <n v="199"/>
    <n v="19"/>
    <n v="0"/>
    <n v="5"/>
    <n v="11"/>
    <n v="5"/>
    <s v="Yes"/>
    <s v="No"/>
    <s v="Yes"/>
    <s v="No"/>
    <s v="No"/>
    <s v="No"/>
    <m/>
    <s v="1+ Failures"/>
    <n v="1"/>
    <s v="10-20hrs"/>
    <s v="6-12months"/>
    <x v="1"/>
  </r>
  <r>
    <n v="183"/>
    <d v="2023-04-27T00:00:00"/>
    <s v="Standard"/>
    <n v="399"/>
    <n v="15.4"/>
    <n v="6"/>
    <n v="2"/>
    <n v="32"/>
    <n v="13"/>
    <s v="No"/>
    <s v="No"/>
    <s v="Yes"/>
    <s v="Yes"/>
    <s v="No"/>
    <s v="No"/>
    <m/>
    <s v="1+ Failures"/>
    <n v="0"/>
    <s v="10-20hrs"/>
    <s v="12+ months"/>
    <x v="1"/>
  </r>
  <r>
    <n v="184"/>
    <d v="2023-08-14T00:00:00"/>
    <s v="Standard"/>
    <n v="399"/>
    <n v="3.2"/>
    <n v="7"/>
    <n v="4"/>
    <n v="28"/>
    <n v="42"/>
    <s v="Yes"/>
    <s v="Yes"/>
    <s v="Yes"/>
    <s v="Yes"/>
    <s v="Yes"/>
    <s v="No"/>
    <m/>
    <s v="1+ Failures"/>
    <n v="1"/>
    <s v="0-5 hrs"/>
    <s v="12+ months"/>
    <x v="1"/>
  </r>
  <r>
    <n v="185"/>
    <d v="2023-09-19T00:00:00"/>
    <s v="Standard"/>
    <n v="399"/>
    <n v="0.7"/>
    <n v="4"/>
    <n v="1"/>
    <n v="4"/>
    <n v="49"/>
    <s v="Yes"/>
    <s v="Yes"/>
    <s v="Yes"/>
    <s v="No"/>
    <s v="Yes"/>
    <s v="Yes"/>
    <m/>
    <s v="1+ Failures"/>
    <n v="1"/>
    <s v="0-5 hrs"/>
    <s v="3-6months"/>
    <x v="1"/>
  </r>
  <r>
    <n v="186"/>
    <d v="2024-01-25T00:00:00"/>
    <s v="Standard"/>
    <n v="399"/>
    <n v="3.4"/>
    <n v="7"/>
    <n v="5"/>
    <n v="21"/>
    <n v="27"/>
    <s v="Yes"/>
    <s v="Yes"/>
    <s v="Yes"/>
    <s v="Yes"/>
    <s v="Yes"/>
    <s v="No"/>
    <m/>
    <s v="1+ Failures"/>
    <n v="1"/>
    <s v="0-5 hrs"/>
    <s v="12+ months"/>
    <x v="1"/>
  </r>
  <r>
    <n v="187"/>
    <d v="2023-02-13T00:00:00"/>
    <s v="Premium"/>
    <n v="699"/>
    <n v="12.8"/>
    <n v="5"/>
    <n v="0"/>
    <n v="15"/>
    <n v="25"/>
    <s v="No"/>
    <s v="No"/>
    <s v="No"/>
    <s v="Yes"/>
    <s v="Yes"/>
    <s v="No"/>
    <m/>
    <s v="0 Failures"/>
    <n v="0"/>
    <s v="10-20hrs"/>
    <s v="12+ months"/>
    <x v="0"/>
  </r>
  <r>
    <n v="188"/>
    <d v="2024-02-19T00:00:00"/>
    <s v="Standard"/>
    <n v="399"/>
    <n v="11.8"/>
    <n v="1"/>
    <n v="2"/>
    <n v="2"/>
    <n v="36"/>
    <s v="Yes"/>
    <s v="No"/>
    <s v="Yes"/>
    <s v="No"/>
    <s v="Yes"/>
    <s v="Yes"/>
    <m/>
    <s v="1+ Failures"/>
    <n v="1"/>
    <s v="10-20hrs"/>
    <s v="0-3months"/>
    <x v="1"/>
  </r>
  <r>
    <n v="189"/>
    <d v="2024-09-24T00:00:00"/>
    <s v="Premium"/>
    <n v="699"/>
    <n v="7.6"/>
    <n v="6"/>
    <n v="0"/>
    <n v="27"/>
    <n v="20"/>
    <s v="Yes"/>
    <s v="No"/>
    <s v="No"/>
    <s v="Yes"/>
    <s v="Yes"/>
    <s v="No"/>
    <m/>
    <s v="0 Failures"/>
    <n v="1"/>
    <s v="5-10 hrs"/>
    <s v="12+ months"/>
    <x v="0"/>
  </r>
  <r>
    <n v="190"/>
    <d v="2024-06-20T00:00:00"/>
    <s v="Standard"/>
    <n v="399"/>
    <n v="2.7"/>
    <n v="1"/>
    <n v="1"/>
    <n v="24"/>
    <n v="27"/>
    <s v="Yes"/>
    <s v="Yes"/>
    <s v="Yes"/>
    <s v="No"/>
    <s v="Yes"/>
    <s v="No"/>
    <m/>
    <s v="1+ Failures"/>
    <n v="1"/>
    <s v="0-5 hrs"/>
    <s v="12+ months"/>
    <x v="1"/>
  </r>
  <r>
    <n v="191"/>
    <d v="2023-03-20T00:00:00"/>
    <s v="Basic"/>
    <n v="199"/>
    <n v="21.8"/>
    <n v="5"/>
    <n v="1"/>
    <n v="26"/>
    <n v="21"/>
    <s v="No"/>
    <s v="No"/>
    <s v="Yes"/>
    <s v="Yes"/>
    <s v="Yes"/>
    <s v="No"/>
    <m/>
    <s v="1+ Failures"/>
    <n v="0"/>
    <s v="20+ hrs"/>
    <s v="12+ months"/>
    <x v="1"/>
  </r>
  <r>
    <n v="192"/>
    <d v="2024-10-22T00:00:00"/>
    <s v="Premium"/>
    <n v="699"/>
    <n v="13.5"/>
    <n v="3"/>
    <n v="2"/>
    <n v="8"/>
    <n v="22"/>
    <s v="No"/>
    <s v="No"/>
    <s v="Yes"/>
    <s v="No"/>
    <s v="Yes"/>
    <s v="No"/>
    <m/>
    <s v="1+ Failures"/>
    <n v="0"/>
    <s v="10-20hrs"/>
    <s v="6-12months"/>
    <x v="0"/>
  </r>
  <r>
    <n v="193"/>
    <d v="2024-11-02T00:00:00"/>
    <s v="Basic"/>
    <n v="199"/>
    <n v="3"/>
    <n v="4"/>
    <n v="1"/>
    <n v="16"/>
    <n v="11"/>
    <s v="No"/>
    <s v="Yes"/>
    <s v="Yes"/>
    <s v="No"/>
    <s v="No"/>
    <s v="No"/>
    <m/>
    <s v="1+ Failures"/>
    <n v="0"/>
    <s v="0-5 hrs"/>
    <s v="12+ months"/>
    <x v="1"/>
  </r>
  <r>
    <n v="194"/>
    <d v="2024-08-16T00:00:00"/>
    <s v="Basic"/>
    <n v="199"/>
    <n v="23.8"/>
    <n v="7"/>
    <n v="3"/>
    <n v="12"/>
    <n v="48"/>
    <s v="Yes"/>
    <s v="No"/>
    <s v="Yes"/>
    <s v="Yes"/>
    <s v="Yes"/>
    <s v="No"/>
    <m/>
    <s v="1+ Failures"/>
    <n v="1"/>
    <s v="20+ hrs"/>
    <s v="6-12months"/>
    <x v="1"/>
  </r>
  <r>
    <n v="195"/>
    <d v="2024-03-28T00:00:00"/>
    <s v="Standard"/>
    <n v="399"/>
    <n v="21.7"/>
    <n v="5"/>
    <n v="1"/>
    <n v="21"/>
    <n v="28"/>
    <s v="Yes"/>
    <s v="No"/>
    <s v="Yes"/>
    <s v="Yes"/>
    <s v="Yes"/>
    <s v="No"/>
    <m/>
    <s v="1+ Failures"/>
    <n v="1"/>
    <s v="20+ hrs"/>
    <s v="12+ months"/>
    <x v="1"/>
  </r>
  <r>
    <n v="196"/>
    <d v="2024-04-17T00:00:00"/>
    <s v="Premium"/>
    <n v="699"/>
    <n v="20"/>
    <n v="0"/>
    <n v="2"/>
    <n v="20"/>
    <n v="32"/>
    <s v="Yes"/>
    <s v="No"/>
    <s v="Yes"/>
    <s v="No"/>
    <s v="Yes"/>
    <s v="No"/>
    <m/>
    <s v="1+ Failures"/>
    <n v="1"/>
    <s v="10-20hrs"/>
    <s v="12+ months"/>
    <x v="0"/>
  </r>
  <r>
    <n v="197"/>
    <d v="2023-04-03T00:00:00"/>
    <s v="Standard"/>
    <n v="399"/>
    <n v="1.9"/>
    <n v="4"/>
    <n v="0"/>
    <n v="3"/>
    <n v="41"/>
    <s v="No"/>
    <s v="Yes"/>
    <s v="No"/>
    <s v="No"/>
    <s v="Yes"/>
    <s v="Yes"/>
    <m/>
    <s v="0 Failures"/>
    <n v="0"/>
    <s v="0-5 hrs"/>
    <s v="0-3months"/>
    <x v="1"/>
  </r>
  <r>
    <n v="198"/>
    <d v="2024-08-08T00:00:00"/>
    <s v="Premium"/>
    <n v="699"/>
    <n v="9.9"/>
    <n v="8"/>
    <n v="5"/>
    <n v="33"/>
    <n v="57"/>
    <s v="Yes"/>
    <s v="No"/>
    <s v="Yes"/>
    <s v="Yes"/>
    <s v="Yes"/>
    <s v="No"/>
    <m/>
    <s v="1+ Failures"/>
    <n v="1"/>
    <s v="5-10 hrs"/>
    <s v="12+ months"/>
    <x v="0"/>
  </r>
  <r>
    <n v="199"/>
    <d v="2024-04-06T00:00:00"/>
    <s v="Premium"/>
    <n v="699"/>
    <n v="8.4"/>
    <n v="7"/>
    <n v="4"/>
    <n v="13"/>
    <n v="9"/>
    <s v="No"/>
    <s v="No"/>
    <s v="Yes"/>
    <s v="Yes"/>
    <s v="No"/>
    <s v="No"/>
    <m/>
    <s v="1+ Failures"/>
    <n v="0"/>
    <s v="5-10 hrs"/>
    <s v="12+ months"/>
    <x v="0"/>
  </r>
  <r>
    <n v="200"/>
    <d v="2023-09-11T00:00:00"/>
    <s v="Basic"/>
    <n v="199"/>
    <n v="24.6"/>
    <n v="1"/>
    <n v="4"/>
    <n v="22"/>
    <n v="41"/>
    <s v="Yes"/>
    <s v="No"/>
    <s v="Yes"/>
    <s v="No"/>
    <s v="Yes"/>
    <s v="No"/>
    <m/>
    <s v="1+ Failures"/>
    <n v="1"/>
    <s v="20+ hrs"/>
    <s v="12+ months"/>
    <x v="1"/>
  </r>
  <r>
    <n v="201"/>
    <d v="2024-01-17T00:00:00"/>
    <s v="Premium"/>
    <n v="699"/>
    <n v="24.8"/>
    <n v="8"/>
    <n v="4"/>
    <n v="29"/>
    <n v="39"/>
    <s v="Yes"/>
    <s v="No"/>
    <s v="Yes"/>
    <s v="Yes"/>
    <s v="Yes"/>
    <s v="No"/>
    <m/>
    <s v="1+ Failures"/>
    <n v="1"/>
    <s v="20+ hrs"/>
    <s v="12+ months"/>
    <x v="0"/>
  </r>
  <r>
    <n v="202"/>
    <d v="2024-10-08T00:00:00"/>
    <s v="Standard"/>
    <n v="399"/>
    <n v="10.5"/>
    <n v="5"/>
    <n v="5"/>
    <n v="25"/>
    <n v="38"/>
    <s v="Yes"/>
    <s v="No"/>
    <s v="Yes"/>
    <s v="Yes"/>
    <s v="Yes"/>
    <s v="No"/>
    <m/>
    <s v="1+ Failures"/>
    <n v="1"/>
    <s v="10-20hrs"/>
    <s v="12+ months"/>
    <x v="1"/>
  </r>
  <r>
    <n v="203"/>
    <d v="2023-09-16T00:00:00"/>
    <s v="Premium"/>
    <n v="699"/>
    <n v="2.1"/>
    <n v="1"/>
    <n v="4"/>
    <n v="22"/>
    <n v="43"/>
    <s v="Yes"/>
    <s v="Yes"/>
    <s v="Yes"/>
    <s v="No"/>
    <s v="Yes"/>
    <s v="No"/>
    <m/>
    <s v="1+ Failures"/>
    <n v="1"/>
    <s v="0-5 hrs"/>
    <s v="12+ months"/>
    <x v="0"/>
  </r>
  <r>
    <n v="204"/>
    <d v="2024-12-16T00:00:00"/>
    <s v="Premium"/>
    <n v="699"/>
    <n v="8.6999999999999993"/>
    <n v="2"/>
    <n v="2"/>
    <n v="10"/>
    <n v="19"/>
    <s v="No"/>
    <s v="No"/>
    <s v="Yes"/>
    <s v="No"/>
    <s v="Yes"/>
    <s v="No"/>
    <m/>
    <s v="1+ Failures"/>
    <n v="0"/>
    <s v="5-10 hrs"/>
    <s v="6-12months"/>
    <x v="0"/>
  </r>
  <r>
    <n v="205"/>
    <d v="2023-12-03T00:00:00"/>
    <s v="Premium"/>
    <n v="699"/>
    <n v="3.7"/>
    <n v="1"/>
    <n v="2"/>
    <n v="26"/>
    <n v="35"/>
    <s v="Yes"/>
    <s v="Yes"/>
    <s v="Yes"/>
    <s v="No"/>
    <s v="Yes"/>
    <s v="No"/>
    <m/>
    <s v="1+ Failures"/>
    <n v="1"/>
    <s v="0-5 hrs"/>
    <s v="12+ months"/>
    <x v="0"/>
  </r>
  <r>
    <n v="206"/>
    <d v="2023-11-13T00:00:00"/>
    <s v="Basic"/>
    <n v="199"/>
    <n v="2.8"/>
    <n v="6"/>
    <n v="4"/>
    <n v="34"/>
    <n v="23"/>
    <s v="Yes"/>
    <s v="Yes"/>
    <s v="Yes"/>
    <s v="Yes"/>
    <s v="Yes"/>
    <s v="No"/>
    <m/>
    <s v="1+ Failures"/>
    <n v="1"/>
    <s v="0-5 hrs"/>
    <s v="12+ months"/>
    <x v="1"/>
  </r>
  <r>
    <n v="207"/>
    <d v="2023-06-08T00:00:00"/>
    <s v="Basic"/>
    <n v="199"/>
    <n v="8.9"/>
    <n v="7"/>
    <n v="1"/>
    <n v="14"/>
    <n v="14"/>
    <s v="No"/>
    <s v="No"/>
    <s v="Yes"/>
    <s v="Yes"/>
    <s v="No"/>
    <s v="No"/>
    <m/>
    <s v="1+ Failures"/>
    <n v="0"/>
    <s v="5-10 hrs"/>
    <s v="12+ months"/>
    <x v="1"/>
  </r>
  <r>
    <n v="208"/>
    <d v="2024-06-23T00:00:00"/>
    <s v="Basic"/>
    <n v="199"/>
    <n v="21.2"/>
    <n v="1"/>
    <n v="4"/>
    <n v="19"/>
    <n v="49"/>
    <s v="Yes"/>
    <s v="No"/>
    <s v="Yes"/>
    <s v="No"/>
    <s v="Yes"/>
    <s v="No"/>
    <m/>
    <s v="1+ Failures"/>
    <n v="1"/>
    <s v="20+ hrs"/>
    <s v="12+ months"/>
    <x v="1"/>
  </r>
  <r>
    <n v="209"/>
    <d v="2023-07-05T00:00:00"/>
    <s v="Basic"/>
    <n v="199"/>
    <n v="22"/>
    <n v="2"/>
    <n v="4"/>
    <n v="22"/>
    <n v="24"/>
    <s v="Yes"/>
    <s v="No"/>
    <s v="Yes"/>
    <s v="No"/>
    <s v="Yes"/>
    <s v="No"/>
    <m/>
    <s v="1+ Failures"/>
    <n v="1"/>
    <s v="20+ hrs"/>
    <s v="12+ months"/>
    <x v="1"/>
  </r>
  <r>
    <n v="210"/>
    <d v="2023-09-01T00:00:00"/>
    <s v="Premium"/>
    <n v="699"/>
    <n v="18.2"/>
    <n v="0"/>
    <n v="3"/>
    <n v="11"/>
    <n v="23"/>
    <s v="No"/>
    <s v="No"/>
    <s v="Yes"/>
    <s v="No"/>
    <s v="Yes"/>
    <s v="No"/>
    <m/>
    <s v="1+ Failures"/>
    <n v="0"/>
    <s v="10-20hrs"/>
    <s v="6-12months"/>
    <x v="0"/>
  </r>
  <r>
    <n v="211"/>
    <d v="2024-04-25T00:00:00"/>
    <s v="Standard"/>
    <n v="399"/>
    <n v="18.899999999999999"/>
    <n v="7"/>
    <n v="1"/>
    <n v="19"/>
    <n v="34"/>
    <s v="Yes"/>
    <s v="No"/>
    <s v="Yes"/>
    <s v="Yes"/>
    <s v="Yes"/>
    <s v="No"/>
    <m/>
    <s v="1+ Failures"/>
    <n v="1"/>
    <s v="10-20hrs"/>
    <s v="12+ months"/>
    <x v="1"/>
  </r>
  <r>
    <n v="212"/>
    <d v="2024-01-27T00:00:00"/>
    <s v="Basic"/>
    <n v="199"/>
    <n v="17.100000000000001"/>
    <n v="7"/>
    <n v="3"/>
    <n v="24"/>
    <n v="49"/>
    <s v="Yes"/>
    <s v="No"/>
    <s v="Yes"/>
    <s v="Yes"/>
    <s v="Yes"/>
    <s v="No"/>
    <m/>
    <s v="1+ Failures"/>
    <n v="1"/>
    <s v="10-20hrs"/>
    <s v="12+ months"/>
    <x v="1"/>
  </r>
  <r>
    <n v="213"/>
    <d v="2023-09-14T00:00:00"/>
    <s v="Premium"/>
    <n v="699"/>
    <n v="10.8"/>
    <n v="2"/>
    <n v="1"/>
    <n v="34"/>
    <n v="51"/>
    <s v="No"/>
    <s v="No"/>
    <s v="Yes"/>
    <s v="No"/>
    <s v="Yes"/>
    <s v="No"/>
    <m/>
    <s v="1+ Failures"/>
    <n v="0"/>
    <s v="10-20hrs"/>
    <s v="12+ months"/>
    <x v="0"/>
  </r>
  <r>
    <n v="214"/>
    <d v="2023-05-08T00:00:00"/>
    <s v="Basic"/>
    <n v="199"/>
    <n v="21.9"/>
    <n v="8"/>
    <n v="0"/>
    <n v="31"/>
    <n v="45"/>
    <s v="No"/>
    <s v="No"/>
    <s v="No"/>
    <s v="Yes"/>
    <s v="Yes"/>
    <s v="No"/>
    <m/>
    <s v="0 Failures"/>
    <n v="0"/>
    <s v="20+ hrs"/>
    <s v="12+ months"/>
    <x v="1"/>
  </r>
  <r>
    <n v="215"/>
    <d v="2024-03-23T00:00:00"/>
    <s v="Standard"/>
    <n v="399"/>
    <n v="19.2"/>
    <n v="4"/>
    <n v="3"/>
    <n v="6"/>
    <n v="57"/>
    <s v="Yes"/>
    <s v="No"/>
    <s v="Yes"/>
    <s v="No"/>
    <s v="Yes"/>
    <s v="No"/>
    <m/>
    <s v="1+ Failures"/>
    <n v="1"/>
    <s v="10-20hrs"/>
    <s v="3-6months"/>
    <x v="1"/>
  </r>
  <r>
    <n v="216"/>
    <d v="2024-05-29T00:00:00"/>
    <s v="Basic"/>
    <n v="199"/>
    <n v="20.5"/>
    <n v="5"/>
    <n v="0"/>
    <n v="15"/>
    <n v="26"/>
    <s v="Yes"/>
    <s v="No"/>
    <s v="No"/>
    <s v="Yes"/>
    <s v="Yes"/>
    <s v="No"/>
    <m/>
    <s v="0 Failures"/>
    <n v="1"/>
    <s v="20+ hrs"/>
    <s v="12+ months"/>
    <x v="1"/>
  </r>
  <r>
    <n v="217"/>
    <d v="2023-04-12T00:00:00"/>
    <s v="Standard"/>
    <n v="399"/>
    <n v="10"/>
    <n v="1"/>
    <n v="2"/>
    <n v="16"/>
    <n v="14"/>
    <s v="Yes"/>
    <s v="No"/>
    <s v="Yes"/>
    <s v="No"/>
    <s v="No"/>
    <s v="No"/>
    <m/>
    <s v="1+ Failures"/>
    <n v="1"/>
    <s v="5-10 hrs"/>
    <s v="12+ months"/>
    <x v="1"/>
  </r>
  <r>
    <n v="218"/>
    <d v="2024-04-28T00:00:00"/>
    <s v="Premium"/>
    <n v="699"/>
    <n v="19.899999999999999"/>
    <n v="2"/>
    <n v="0"/>
    <n v="22"/>
    <n v="18"/>
    <s v="No"/>
    <s v="No"/>
    <s v="No"/>
    <s v="No"/>
    <s v="Yes"/>
    <s v="No"/>
    <m/>
    <s v="0 Failures"/>
    <n v="0"/>
    <s v="10-20hrs"/>
    <s v="12+ months"/>
    <x v="0"/>
  </r>
  <r>
    <n v="219"/>
    <d v="2023-03-23T00:00:00"/>
    <s v="Premium"/>
    <n v="699"/>
    <n v="19.100000000000001"/>
    <n v="7"/>
    <n v="3"/>
    <n v="9"/>
    <n v="39"/>
    <s v="Yes"/>
    <s v="No"/>
    <s v="Yes"/>
    <s v="Yes"/>
    <s v="Yes"/>
    <s v="No"/>
    <m/>
    <s v="1+ Failures"/>
    <n v="1"/>
    <s v="10-20hrs"/>
    <s v="6-12months"/>
    <x v="0"/>
  </r>
  <r>
    <n v="220"/>
    <d v="2024-06-24T00:00:00"/>
    <s v="Basic"/>
    <n v="199"/>
    <n v="5.8"/>
    <n v="2"/>
    <n v="4"/>
    <n v="17"/>
    <n v="60"/>
    <s v="No"/>
    <s v="No"/>
    <s v="Yes"/>
    <s v="No"/>
    <s v="Yes"/>
    <s v="No"/>
    <m/>
    <s v="1+ Failures"/>
    <n v="0"/>
    <s v="5-10 hrs"/>
    <s v="12+ months"/>
    <x v="1"/>
  </r>
  <r>
    <n v="221"/>
    <d v="2024-03-05T00:00:00"/>
    <s v="Standard"/>
    <n v="399"/>
    <n v="19.5"/>
    <n v="3"/>
    <n v="2"/>
    <n v="8"/>
    <n v="7"/>
    <s v="Yes"/>
    <s v="No"/>
    <s v="Yes"/>
    <s v="No"/>
    <s v="No"/>
    <s v="No"/>
    <m/>
    <s v="1+ Failures"/>
    <n v="1"/>
    <s v="10-20hrs"/>
    <s v="6-12months"/>
    <x v="1"/>
  </r>
  <r>
    <n v="222"/>
    <d v="2024-06-11T00:00:00"/>
    <s v="Premium"/>
    <n v="699"/>
    <n v="2"/>
    <n v="7"/>
    <n v="4"/>
    <n v="30"/>
    <n v="34"/>
    <s v="Yes"/>
    <s v="Yes"/>
    <s v="Yes"/>
    <s v="Yes"/>
    <s v="Yes"/>
    <s v="No"/>
    <m/>
    <s v="1+ Failures"/>
    <n v="1"/>
    <s v="0-5 hrs"/>
    <s v="12+ months"/>
    <x v="0"/>
  </r>
  <r>
    <n v="223"/>
    <d v="2023-09-04T00:00:00"/>
    <s v="Premium"/>
    <n v="699"/>
    <n v="18.100000000000001"/>
    <n v="4"/>
    <n v="3"/>
    <n v="16"/>
    <n v="0"/>
    <s v="No"/>
    <s v="No"/>
    <s v="Yes"/>
    <s v="No"/>
    <s v="No"/>
    <s v="No"/>
    <m/>
    <s v="1+ Failures"/>
    <n v="0"/>
    <s v="10-20hrs"/>
    <s v="12+ months"/>
    <x v="0"/>
  </r>
  <r>
    <n v="224"/>
    <d v="2024-06-22T00:00:00"/>
    <s v="Premium"/>
    <n v="699"/>
    <n v="5.0999999999999996"/>
    <n v="1"/>
    <n v="4"/>
    <n v="27"/>
    <n v="23"/>
    <s v="Yes"/>
    <s v="No"/>
    <s v="Yes"/>
    <s v="No"/>
    <s v="Yes"/>
    <s v="No"/>
    <m/>
    <s v="1+ Failures"/>
    <n v="1"/>
    <s v="5-10 hrs"/>
    <s v="12+ months"/>
    <x v="0"/>
  </r>
  <r>
    <n v="225"/>
    <d v="2024-04-26T00:00:00"/>
    <s v="Premium"/>
    <n v="699"/>
    <n v="19.8"/>
    <n v="8"/>
    <n v="4"/>
    <n v="33"/>
    <n v="1"/>
    <s v="Yes"/>
    <s v="No"/>
    <s v="Yes"/>
    <s v="Yes"/>
    <s v="No"/>
    <s v="No"/>
    <m/>
    <s v="1+ Failures"/>
    <n v="1"/>
    <s v="10-20hrs"/>
    <s v="12+ months"/>
    <x v="0"/>
  </r>
  <r>
    <n v="226"/>
    <d v="2023-03-11T00:00:00"/>
    <s v="Basic"/>
    <n v="199"/>
    <n v="24.5"/>
    <n v="4"/>
    <n v="5"/>
    <n v="25"/>
    <n v="1"/>
    <s v="Yes"/>
    <s v="No"/>
    <s v="Yes"/>
    <s v="No"/>
    <s v="No"/>
    <s v="No"/>
    <m/>
    <s v="1+ Failures"/>
    <n v="1"/>
    <s v="20+ hrs"/>
    <s v="12+ months"/>
    <x v="1"/>
  </r>
  <r>
    <n v="227"/>
    <d v="2023-05-17T00:00:00"/>
    <s v="Standard"/>
    <n v="399"/>
    <n v="18.5"/>
    <n v="1"/>
    <n v="4"/>
    <n v="16"/>
    <n v="47"/>
    <s v="No"/>
    <s v="No"/>
    <s v="Yes"/>
    <s v="No"/>
    <s v="Yes"/>
    <s v="No"/>
    <m/>
    <s v="1+ Failures"/>
    <n v="0"/>
    <s v="10-20hrs"/>
    <s v="12+ months"/>
    <x v="1"/>
  </r>
  <r>
    <n v="228"/>
    <d v="2024-05-05T00:00:00"/>
    <s v="Basic"/>
    <n v="199"/>
    <n v="13.9"/>
    <n v="2"/>
    <n v="5"/>
    <n v="23"/>
    <n v="29"/>
    <s v="No"/>
    <s v="No"/>
    <s v="Yes"/>
    <s v="No"/>
    <s v="Yes"/>
    <s v="No"/>
    <m/>
    <s v="1+ Failures"/>
    <n v="0"/>
    <s v="10-20hrs"/>
    <s v="12+ months"/>
    <x v="1"/>
  </r>
  <r>
    <n v="229"/>
    <d v="2023-02-07T00:00:00"/>
    <s v="Premium"/>
    <n v="699"/>
    <n v="20.399999999999999"/>
    <n v="1"/>
    <n v="5"/>
    <n v="12"/>
    <n v="49"/>
    <s v="No"/>
    <s v="No"/>
    <s v="Yes"/>
    <s v="No"/>
    <s v="Yes"/>
    <s v="No"/>
    <m/>
    <s v="1+ Failures"/>
    <n v="0"/>
    <s v="20+ hrs"/>
    <s v="6-12months"/>
    <x v="0"/>
  </r>
  <r>
    <n v="230"/>
    <d v="2024-06-11T00:00:00"/>
    <s v="Standard"/>
    <n v="399"/>
    <n v="1.6"/>
    <n v="3"/>
    <n v="0"/>
    <n v="13"/>
    <n v="20"/>
    <s v="No"/>
    <s v="Yes"/>
    <s v="No"/>
    <s v="No"/>
    <s v="Yes"/>
    <s v="No"/>
    <m/>
    <s v="0 Failures"/>
    <n v="0"/>
    <s v="0-5 hrs"/>
    <s v="12+ months"/>
    <x v="1"/>
  </r>
  <r>
    <n v="231"/>
    <d v="2023-02-18T00:00:00"/>
    <s v="Standard"/>
    <n v="399"/>
    <n v="12.1"/>
    <n v="0"/>
    <n v="5"/>
    <n v="35"/>
    <n v="12"/>
    <s v="Yes"/>
    <s v="No"/>
    <s v="Yes"/>
    <s v="No"/>
    <s v="No"/>
    <s v="No"/>
    <m/>
    <s v="1+ Failures"/>
    <n v="1"/>
    <s v="10-20hrs"/>
    <s v="12+ months"/>
    <x v="1"/>
  </r>
  <r>
    <n v="232"/>
    <d v="2024-03-26T00:00:00"/>
    <s v="Premium"/>
    <n v="699"/>
    <n v="7.2"/>
    <n v="5"/>
    <n v="3"/>
    <n v="22"/>
    <n v="56"/>
    <s v="Yes"/>
    <s v="No"/>
    <s v="Yes"/>
    <s v="Yes"/>
    <s v="Yes"/>
    <s v="No"/>
    <m/>
    <s v="1+ Failures"/>
    <n v="1"/>
    <s v="5-10 hrs"/>
    <s v="12+ months"/>
    <x v="0"/>
  </r>
  <r>
    <n v="233"/>
    <d v="2024-06-15T00:00:00"/>
    <s v="Standard"/>
    <n v="399"/>
    <n v="24.4"/>
    <n v="7"/>
    <n v="5"/>
    <n v="22"/>
    <n v="31"/>
    <s v="Yes"/>
    <s v="No"/>
    <s v="Yes"/>
    <s v="Yes"/>
    <s v="Yes"/>
    <s v="No"/>
    <m/>
    <s v="1+ Failures"/>
    <n v="1"/>
    <s v="20+ hrs"/>
    <s v="12+ months"/>
    <x v="1"/>
  </r>
  <r>
    <n v="234"/>
    <d v="2023-07-04T00:00:00"/>
    <s v="Standard"/>
    <n v="399"/>
    <n v="18.3"/>
    <n v="1"/>
    <n v="3"/>
    <n v="6"/>
    <n v="38"/>
    <s v="No"/>
    <s v="No"/>
    <s v="Yes"/>
    <s v="No"/>
    <s v="Yes"/>
    <s v="No"/>
    <m/>
    <s v="1+ Failures"/>
    <n v="0"/>
    <s v="10-20hrs"/>
    <s v="3-6months"/>
    <x v="1"/>
  </r>
  <r>
    <n v="235"/>
    <d v="2024-04-01T00:00:00"/>
    <s v="Premium"/>
    <n v="699"/>
    <n v="8.4"/>
    <n v="1"/>
    <n v="2"/>
    <n v="19"/>
    <n v="42"/>
    <s v="Yes"/>
    <s v="No"/>
    <s v="Yes"/>
    <s v="No"/>
    <s v="Yes"/>
    <s v="No"/>
    <m/>
    <s v="1+ Failures"/>
    <n v="1"/>
    <s v="5-10 hrs"/>
    <s v="12+ months"/>
    <x v="0"/>
  </r>
  <r>
    <n v="236"/>
    <d v="2023-12-28T00:00:00"/>
    <s v="Premium"/>
    <n v="699"/>
    <n v="4.5999999999999996"/>
    <n v="7"/>
    <n v="2"/>
    <n v="28"/>
    <n v="28"/>
    <s v="Yes"/>
    <s v="Yes"/>
    <s v="Yes"/>
    <s v="Yes"/>
    <s v="Yes"/>
    <s v="No"/>
    <m/>
    <s v="1+ Failures"/>
    <n v="1"/>
    <s v="0-5 hrs"/>
    <s v="12+ months"/>
    <x v="0"/>
  </r>
  <r>
    <n v="237"/>
    <d v="2024-01-08T00:00:00"/>
    <s v="Premium"/>
    <n v="699"/>
    <n v="7.2"/>
    <n v="0"/>
    <n v="0"/>
    <n v="28"/>
    <n v="42"/>
    <s v="No"/>
    <s v="No"/>
    <s v="No"/>
    <s v="No"/>
    <s v="Yes"/>
    <s v="No"/>
    <m/>
    <s v="0 Failures"/>
    <n v="0"/>
    <s v="5-10 hrs"/>
    <s v="12+ months"/>
    <x v="0"/>
  </r>
  <r>
    <n v="238"/>
    <d v="2023-02-05T00:00:00"/>
    <s v="Premium"/>
    <n v="699"/>
    <n v="23.8"/>
    <n v="2"/>
    <n v="4"/>
    <n v="11"/>
    <n v="43"/>
    <s v="No"/>
    <s v="No"/>
    <s v="Yes"/>
    <s v="No"/>
    <s v="Yes"/>
    <s v="No"/>
    <m/>
    <s v="1+ Failures"/>
    <n v="0"/>
    <s v="20+ hrs"/>
    <s v="6-12months"/>
    <x v="0"/>
  </r>
  <r>
    <n v="239"/>
    <d v="2023-02-03T00:00:00"/>
    <s v="Basic"/>
    <n v="199"/>
    <n v="6.3"/>
    <n v="5"/>
    <n v="2"/>
    <n v="5"/>
    <n v="24"/>
    <s v="No"/>
    <s v="No"/>
    <s v="Yes"/>
    <s v="Yes"/>
    <s v="Yes"/>
    <s v="Yes"/>
    <m/>
    <s v="1+ Failures"/>
    <n v="0"/>
    <s v="5-10 hrs"/>
    <s v="3-6months"/>
    <x v="1"/>
  </r>
  <r>
    <n v="240"/>
    <d v="2024-08-10T00:00:00"/>
    <s v="Premium"/>
    <n v="699"/>
    <n v="17.100000000000001"/>
    <n v="5"/>
    <n v="2"/>
    <n v="10"/>
    <n v="28"/>
    <s v="No"/>
    <s v="No"/>
    <s v="Yes"/>
    <s v="Yes"/>
    <s v="Yes"/>
    <s v="No"/>
    <m/>
    <s v="1+ Failures"/>
    <n v="0"/>
    <s v="10-20hrs"/>
    <s v="6-12months"/>
    <x v="0"/>
  </r>
  <r>
    <n v="241"/>
    <d v="2023-04-27T00:00:00"/>
    <s v="Basic"/>
    <n v="199"/>
    <n v="9.5"/>
    <n v="5"/>
    <n v="5"/>
    <n v="34"/>
    <n v="17"/>
    <s v="Yes"/>
    <s v="No"/>
    <s v="Yes"/>
    <s v="Yes"/>
    <s v="Yes"/>
    <s v="No"/>
    <m/>
    <s v="1+ Failures"/>
    <n v="1"/>
    <s v="5-10 hrs"/>
    <s v="12+ months"/>
    <x v="1"/>
  </r>
  <r>
    <n v="242"/>
    <d v="2023-09-24T00:00:00"/>
    <s v="Basic"/>
    <n v="199"/>
    <n v="12.7"/>
    <n v="6"/>
    <n v="4"/>
    <n v="12"/>
    <n v="7"/>
    <s v="Yes"/>
    <s v="No"/>
    <s v="Yes"/>
    <s v="Yes"/>
    <s v="No"/>
    <s v="No"/>
    <m/>
    <s v="1+ Failures"/>
    <n v="1"/>
    <s v="10-20hrs"/>
    <s v="6-12months"/>
    <x v="1"/>
  </r>
  <r>
    <n v="243"/>
    <d v="2023-07-24T00:00:00"/>
    <s v="Premium"/>
    <n v="699"/>
    <n v="5.8"/>
    <n v="4"/>
    <n v="5"/>
    <n v="29"/>
    <n v="58"/>
    <s v="No"/>
    <s v="No"/>
    <s v="Yes"/>
    <s v="No"/>
    <s v="Yes"/>
    <s v="No"/>
    <m/>
    <s v="1+ Failures"/>
    <n v="0"/>
    <s v="5-10 hrs"/>
    <s v="12+ months"/>
    <x v="0"/>
  </r>
  <r>
    <n v="244"/>
    <d v="2023-03-31T00:00:00"/>
    <s v="Basic"/>
    <n v="199"/>
    <n v="21.4"/>
    <n v="7"/>
    <n v="1"/>
    <n v="9"/>
    <n v="57"/>
    <s v="No"/>
    <s v="No"/>
    <s v="Yes"/>
    <s v="Yes"/>
    <s v="Yes"/>
    <s v="No"/>
    <m/>
    <s v="1+ Failures"/>
    <n v="0"/>
    <s v="20+ hrs"/>
    <s v="6-12months"/>
    <x v="1"/>
  </r>
  <r>
    <n v="245"/>
    <d v="2023-11-04T00:00:00"/>
    <s v="Premium"/>
    <n v="699"/>
    <n v="16.899999999999999"/>
    <n v="1"/>
    <n v="4"/>
    <n v="21"/>
    <n v="34"/>
    <s v="Yes"/>
    <s v="No"/>
    <s v="Yes"/>
    <s v="No"/>
    <s v="Yes"/>
    <s v="No"/>
    <m/>
    <s v="1+ Failures"/>
    <n v="1"/>
    <s v="10-20hrs"/>
    <s v="12+ months"/>
    <x v="0"/>
  </r>
  <r>
    <n v="246"/>
    <d v="2023-05-23T00:00:00"/>
    <s v="Basic"/>
    <n v="199"/>
    <n v="19.899999999999999"/>
    <n v="8"/>
    <n v="1"/>
    <n v="12"/>
    <n v="7"/>
    <s v="No"/>
    <s v="No"/>
    <s v="Yes"/>
    <s v="Yes"/>
    <s v="No"/>
    <s v="No"/>
    <m/>
    <s v="1+ Failures"/>
    <n v="0"/>
    <s v="10-20hrs"/>
    <s v="6-12months"/>
    <x v="1"/>
  </r>
  <r>
    <n v="247"/>
    <d v="2024-07-18T00:00:00"/>
    <s v="Basic"/>
    <n v="199"/>
    <n v="1.1000000000000001"/>
    <n v="8"/>
    <n v="4"/>
    <n v="32"/>
    <n v="23"/>
    <s v="Yes"/>
    <s v="Yes"/>
    <s v="Yes"/>
    <s v="Yes"/>
    <s v="Yes"/>
    <s v="No"/>
    <m/>
    <s v="1+ Failures"/>
    <n v="1"/>
    <s v="0-5 hrs"/>
    <s v="12+ months"/>
    <x v="1"/>
  </r>
  <r>
    <n v="248"/>
    <d v="2024-02-25T00:00:00"/>
    <s v="Basic"/>
    <n v="199"/>
    <n v="2.1"/>
    <n v="6"/>
    <n v="5"/>
    <n v="6"/>
    <n v="46"/>
    <s v="Yes"/>
    <s v="Yes"/>
    <s v="Yes"/>
    <s v="Yes"/>
    <s v="Yes"/>
    <s v="No"/>
    <m/>
    <s v="1+ Failures"/>
    <n v="1"/>
    <s v="0-5 hrs"/>
    <s v="3-6months"/>
    <x v="1"/>
  </r>
  <r>
    <n v="249"/>
    <d v="2024-11-27T00:00:00"/>
    <s v="Standard"/>
    <n v="399"/>
    <n v="3.6"/>
    <n v="5"/>
    <n v="5"/>
    <n v="5"/>
    <n v="4"/>
    <s v="Yes"/>
    <s v="Yes"/>
    <s v="Yes"/>
    <s v="Yes"/>
    <s v="No"/>
    <s v="Yes"/>
    <m/>
    <s v="1+ Failures"/>
    <n v="1"/>
    <s v="0-5 hrs"/>
    <s v="3-6months"/>
    <x v="1"/>
  </r>
  <r>
    <n v="250"/>
    <d v="2023-05-13T00:00:00"/>
    <s v="Premium"/>
    <n v="699"/>
    <n v="3.6"/>
    <n v="8"/>
    <n v="5"/>
    <n v="23"/>
    <n v="37"/>
    <s v="Yes"/>
    <s v="Yes"/>
    <s v="Yes"/>
    <s v="Yes"/>
    <s v="Yes"/>
    <s v="No"/>
    <m/>
    <s v="1+ Failures"/>
    <n v="1"/>
    <s v="0-5 hrs"/>
    <s v="12+ months"/>
    <x v="0"/>
  </r>
  <r>
    <n v="251"/>
    <d v="2023-06-18T00:00:00"/>
    <s v="Standard"/>
    <n v="399"/>
    <n v="22.8"/>
    <n v="0"/>
    <n v="0"/>
    <n v="33"/>
    <n v="33"/>
    <s v="Yes"/>
    <s v="No"/>
    <s v="No"/>
    <s v="No"/>
    <s v="Yes"/>
    <s v="No"/>
    <m/>
    <s v="0 Failures"/>
    <n v="1"/>
    <s v="20+ hrs"/>
    <s v="12+ months"/>
    <x v="1"/>
  </r>
  <r>
    <n v="252"/>
    <d v="2023-10-18T00:00:00"/>
    <s v="Basic"/>
    <n v="199"/>
    <n v="23.4"/>
    <n v="3"/>
    <n v="2"/>
    <n v="21"/>
    <n v="60"/>
    <s v="No"/>
    <s v="No"/>
    <s v="Yes"/>
    <s v="No"/>
    <s v="Yes"/>
    <s v="No"/>
    <m/>
    <s v="1+ Failures"/>
    <n v="0"/>
    <s v="20+ hrs"/>
    <s v="12+ months"/>
    <x v="1"/>
  </r>
  <r>
    <n v="253"/>
    <d v="2024-09-21T00:00:00"/>
    <s v="Basic"/>
    <n v="199"/>
    <n v="5.3"/>
    <n v="8"/>
    <n v="2"/>
    <n v="17"/>
    <n v="8"/>
    <s v="No"/>
    <s v="No"/>
    <s v="Yes"/>
    <s v="Yes"/>
    <s v="No"/>
    <s v="No"/>
    <m/>
    <s v="1+ Failures"/>
    <n v="0"/>
    <s v="5-10 hrs"/>
    <s v="12+ months"/>
    <x v="1"/>
  </r>
  <r>
    <n v="254"/>
    <d v="2023-06-25T00:00:00"/>
    <s v="Premium"/>
    <n v="699"/>
    <n v="12.8"/>
    <n v="2"/>
    <n v="4"/>
    <n v="6"/>
    <n v="60"/>
    <s v="Yes"/>
    <s v="No"/>
    <s v="Yes"/>
    <s v="No"/>
    <s v="Yes"/>
    <s v="No"/>
    <m/>
    <s v="1+ Failures"/>
    <n v="1"/>
    <s v="10-20hrs"/>
    <s v="3-6months"/>
    <x v="0"/>
  </r>
  <r>
    <n v="255"/>
    <d v="2024-10-18T00:00:00"/>
    <s v="Premium"/>
    <n v="699"/>
    <n v="21.1"/>
    <n v="0"/>
    <n v="0"/>
    <n v="22"/>
    <n v="5"/>
    <s v="Yes"/>
    <s v="No"/>
    <s v="No"/>
    <s v="No"/>
    <s v="No"/>
    <s v="No"/>
    <m/>
    <s v="0 Failures"/>
    <n v="1"/>
    <s v="20+ hrs"/>
    <s v="12+ months"/>
    <x v="0"/>
  </r>
  <r>
    <n v="256"/>
    <d v="2024-10-04T00:00:00"/>
    <s v="Premium"/>
    <n v="699"/>
    <n v="16.5"/>
    <n v="6"/>
    <n v="4"/>
    <n v="17"/>
    <n v="40"/>
    <s v="Yes"/>
    <s v="No"/>
    <s v="Yes"/>
    <s v="Yes"/>
    <s v="Yes"/>
    <s v="No"/>
    <m/>
    <s v="1+ Failures"/>
    <n v="1"/>
    <s v="10-20hrs"/>
    <s v="12+ months"/>
    <x v="0"/>
  </r>
  <r>
    <n v="257"/>
    <d v="2024-12-02T00:00:00"/>
    <s v="Premium"/>
    <n v="699"/>
    <n v="16.2"/>
    <n v="4"/>
    <n v="3"/>
    <n v="19"/>
    <n v="15"/>
    <s v="No"/>
    <s v="No"/>
    <s v="Yes"/>
    <s v="No"/>
    <s v="Yes"/>
    <s v="No"/>
    <m/>
    <s v="1+ Failures"/>
    <n v="0"/>
    <s v="10-20hrs"/>
    <s v="12+ months"/>
    <x v="0"/>
  </r>
  <r>
    <n v="258"/>
    <d v="2024-04-20T00:00:00"/>
    <s v="Standard"/>
    <n v="399"/>
    <n v="11.6"/>
    <n v="0"/>
    <n v="1"/>
    <n v="20"/>
    <n v="28"/>
    <s v="No"/>
    <s v="No"/>
    <s v="Yes"/>
    <s v="No"/>
    <s v="Yes"/>
    <s v="No"/>
    <m/>
    <s v="1+ Failures"/>
    <n v="0"/>
    <s v="10-20hrs"/>
    <s v="12+ months"/>
    <x v="1"/>
  </r>
  <r>
    <n v="259"/>
    <d v="2023-12-20T00:00:00"/>
    <s v="Basic"/>
    <n v="199"/>
    <n v="15.4"/>
    <n v="5"/>
    <n v="5"/>
    <n v="22"/>
    <n v="20"/>
    <s v="No"/>
    <s v="No"/>
    <s v="Yes"/>
    <s v="Yes"/>
    <s v="Yes"/>
    <s v="No"/>
    <m/>
    <s v="1+ Failures"/>
    <n v="0"/>
    <s v="10-20hrs"/>
    <s v="12+ months"/>
    <x v="1"/>
  </r>
  <r>
    <n v="260"/>
    <d v="2024-04-22T00:00:00"/>
    <s v="Standard"/>
    <n v="399"/>
    <n v="19.100000000000001"/>
    <n v="8"/>
    <n v="4"/>
    <n v="9"/>
    <n v="6"/>
    <s v="Yes"/>
    <s v="No"/>
    <s v="Yes"/>
    <s v="Yes"/>
    <s v="No"/>
    <s v="No"/>
    <m/>
    <s v="1+ Failures"/>
    <n v="1"/>
    <s v="10-20hrs"/>
    <s v="6-12months"/>
    <x v="1"/>
  </r>
  <r>
    <n v="261"/>
    <d v="2024-01-29T00:00:00"/>
    <s v="Basic"/>
    <n v="199"/>
    <n v="11.5"/>
    <n v="2"/>
    <n v="0"/>
    <n v="18"/>
    <n v="3"/>
    <s v="No"/>
    <s v="No"/>
    <s v="No"/>
    <s v="No"/>
    <s v="No"/>
    <s v="No"/>
    <m/>
    <s v="0 Failures"/>
    <n v="0"/>
    <s v="10-20hrs"/>
    <s v="12+ months"/>
    <x v="1"/>
  </r>
  <r>
    <n v="262"/>
    <d v="2023-11-17T00:00:00"/>
    <s v="Premium"/>
    <n v="699"/>
    <n v="6.6"/>
    <n v="2"/>
    <n v="2"/>
    <n v="27"/>
    <n v="59"/>
    <s v="Yes"/>
    <s v="No"/>
    <s v="Yes"/>
    <s v="No"/>
    <s v="Yes"/>
    <s v="No"/>
    <m/>
    <s v="1+ Failures"/>
    <n v="1"/>
    <s v="5-10 hrs"/>
    <s v="12+ months"/>
    <x v="0"/>
  </r>
  <r>
    <n v="263"/>
    <d v="2024-05-24T00:00:00"/>
    <s v="Basic"/>
    <n v="199"/>
    <n v="12.7"/>
    <n v="8"/>
    <n v="3"/>
    <n v="11"/>
    <n v="31"/>
    <s v="No"/>
    <s v="No"/>
    <s v="Yes"/>
    <s v="Yes"/>
    <s v="Yes"/>
    <s v="No"/>
    <m/>
    <s v="1+ Failures"/>
    <n v="0"/>
    <s v="10-20hrs"/>
    <s v="6-12months"/>
    <x v="1"/>
  </r>
  <r>
    <n v="264"/>
    <d v="2023-12-28T00:00:00"/>
    <s v="Basic"/>
    <n v="199"/>
    <n v="23.7"/>
    <n v="8"/>
    <n v="3"/>
    <n v="6"/>
    <n v="15"/>
    <s v="Yes"/>
    <s v="No"/>
    <s v="Yes"/>
    <s v="Yes"/>
    <s v="Yes"/>
    <s v="No"/>
    <m/>
    <s v="1+ Failures"/>
    <n v="1"/>
    <s v="20+ hrs"/>
    <s v="3-6months"/>
    <x v="1"/>
  </r>
  <r>
    <n v="265"/>
    <d v="2023-04-21T00:00:00"/>
    <s v="Basic"/>
    <n v="199"/>
    <n v="7.4"/>
    <n v="7"/>
    <n v="2"/>
    <n v="4"/>
    <n v="34"/>
    <s v="Yes"/>
    <s v="No"/>
    <s v="Yes"/>
    <s v="Yes"/>
    <s v="Yes"/>
    <s v="Yes"/>
    <m/>
    <s v="1+ Failures"/>
    <n v="1"/>
    <s v="5-10 hrs"/>
    <s v="3-6months"/>
    <x v="1"/>
  </r>
  <r>
    <n v="266"/>
    <d v="2023-02-22T00:00:00"/>
    <s v="Standard"/>
    <n v="399"/>
    <n v="22.1"/>
    <n v="5"/>
    <n v="3"/>
    <n v="9"/>
    <n v="23"/>
    <s v="Yes"/>
    <s v="No"/>
    <s v="Yes"/>
    <s v="Yes"/>
    <s v="Yes"/>
    <s v="No"/>
    <m/>
    <s v="1+ Failures"/>
    <n v="1"/>
    <s v="20+ hrs"/>
    <s v="6-12months"/>
    <x v="1"/>
  </r>
  <r>
    <n v="267"/>
    <d v="2024-04-06T00:00:00"/>
    <s v="Premium"/>
    <n v="699"/>
    <n v="5.3"/>
    <n v="8"/>
    <n v="2"/>
    <n v="36"/>
    <n v="4"/>
    <s v="Yes"/>
    <s v="No"/>
    <s v="Yes"/>
    <s v="Yes"/>
    <s v="No"/>
    <s v="No"/>
    <m/>
    <s v="1+ Failures"/>
    <n v="1"/>
    <s v="5-10 hrs"/>
    <s v="12+ months"/>
    <x v="0"/>
  </r>
  <r>
    <n v="268"/>
    <d v="2023-12-14T00:00:00"/>
    <s v="Premium"/>
    <n v="699"/>
    <n v="20.7"/>
    <n v="1"/>
    <n v="1"/>
    <n v="18"/>
    <n v="6"/>
    <s v="No"/>
    <s v="No"/>
    <s v="Yes"/>
    <s v="No"/>
    <s v="No"/>
    <s v="No"/>
    <m/>
    <s v="1+ Failures"/>
    <n v="0"/>
    <s v="20+ hrs"/>
    <s v="12+ months"/>
    <x v="0"/>
  </r>
  <r>
    <n v="269"/>
    <d v="2023-02-11T00:00:00"/>
    <s v="Premium"/>
    <n v="699"/>
    <n v="19"/>
    <n v="3"/>
    <n v="4"/>
    <n v="24"/>
    <n v="32"/>
    <s v="Yes"/>
    <s v="No"/>
    <s v="Yes"/>
    <s v="No"/>
    <s v="Yes"/>
    <s v="No"/>
    <m/>
    <s v="1+ Failures"/>
    <n v="1"/>
    <s v="10-20hrs"/>
    <s v="12+ months"/>
    <x v="0"/>
  </r>
  <r>
    <n v="270"/>
    <d v="2024-09-12T00:00:00"/>
    <s v="Basic"/>
    <n v="199"/>
    <n v="3.9"/>
    <n v="5"/>
    <n v="3"/>
    <n v="3"/>
    <n v="33"/>
    <s v="Yes"/>
    <s v="Yes"/>
    <s v="Yes"/>
    <s v="Yes"/>
    <s v="Yes"/>
    <s v="Yes"/>
    <m/>
    <s v="1+ Failures"/>
    <n v="1"/>
    <s v="0-5 hrs"/>
    <s v="0-3months"/>
    <x v="1"/>
  </r>
  <r>
    <n v="271"/>
    <d v="2023-11-03T00:00:00"/>
    <s v="Premium"/>
    <n v="699"/>
    <n v="8.5"/>
    <n v="5"/>
    <n v="1"/>
    <n v="9"/>
    <n v="25"/>
    <s v="No"/>
    <s v="No"/>
    <s v="Yes"/>
    <s v="Yes"/>
    <s v="Yes"/>
    <s v="No"/>
    <m/>
    <s v="1+ Failures"/>
    <n v="0"/>
    <s v="5-10 hrs"/>
    <s v="6-12months"/>
    <x v="0"/>
  </r>
  <r>
    <n v="272"/>
    <d v="2023-11-03T00:00:00"/>
    <s v="Premium"/>
    <n v="699"/>
    <n v="12.9"/>
    <n v="8"/>
    <n v="4"/>
    <n v="22"/>
    <n v="31"/>
    <s v="Yes"/>
    <s v="No"/>
    <s v="Yes"/>
    <s v="Yes"/>
    <s v="Yes"/>
    <s v="No"/>
    <m/>
    <s v="1+ Failures"/>
    <n v="1"/>
    <s v="10-20hrs"/>
    <s v="12+ months"/>
    <x v="0"/>
  </r>
  <r>
    <n v="273"/>
    <d v="2024-12-05T00:00:00"/>
    <s v="Standard"/>
    <n v="399"/>
    <n v="9.5"/>
    <n v="1"/>
    <n v="3"/>
    <n v="2"/>
    <n v="37"/>
    <s v="Yes"/>
    <s v="No"/>
    <s v="Yes"/>
    <s v="No"/>
    <s v="Yes"/>
    <s v="Yes"/>
    <m/>
    <s v="1+ Failures"/>
    <n v="1"/>
    <s v="5-10 hrs"/>
    <s v="0-3months"/>
    <x v="1"/>
  </r>
  <r>
    <n v="274"/>
    <d v="2024-08-15T00:00:00"/>
    <s v="Premium"/>
    <n v="699"/>
    <n v="15.1"/>
    <n v="4"/>
    <n v="5"/>
    <n v="2"/>
    <n v="50"/>
    <s v="No"/>
    <s v="No"/>
    <s v="Yes"/>
    <s v="No"/>
    <s v="Yes"/>
    <s v="Yes"/>
    <m/>
    <s v="1+ Failures"/>
    <n v="0"/>
    <s v="10-20hrs"/>
    <s v="0-3months"/>
    <x v="0"/>
  </r>
  <r>
    <n v="275"/>
    <d v="2024-09-26T00:00:00"/>
    <s v="Premium"/>
    <n v="699"/>
    <n v="18.2"/>
    <n v="7"/>
    <n v="1"/>
    <n v="15"/>
    <n v="33"/>
    <s v="No"/>
    <s v="No"/>
    <s v="Yes"/>
    <s v="Yes"/>
    <s v="Yes"/>
    <s v="No"/>
    <m/>
    <s v="1+ Failures"/>
    <n v="0"/>
    <s v="10-20hrs"/>
    <s v="12+ months"/>
    <x v="0"/>
  </r>
  <r>
    <n v="276"/>
    <d v="2023-04-23T00:00:00"/>
    <s v="Standard"/>
    <n v="399"/>
    <n v="20.6"/>
    <n v="3"/>
    <n v="0"/>
    <n v="10"/>
    <n v="36"/>
    <s v="No"/>
    <s v="No"/>
    <s v="No"/>
    <s v="No"/>
    <s v="Yes"/>
    <s v="No"/>
    <m/>
    <s v="0 Failures"/>
    <n v="0"/>
    <s v="20+ hrs"/>
    <s v="6-12months"/>
    <x v="1"/>
  </r>
  <r>
    <n v="277"/>
    <d v="2024-02-25T00:00:00"/>
    <s v="Basic"/>
    <n v="199"/>
    <n v="11.3"/>
    <n v="6"/>
    <n v="1"/>
    <n v="2"/>
    <n v="26"/>
    <s v="No"/>
    <s v="No"/>
    <s v="Yes"/>
    <s v="Yes"/>
    <s v="Yes"/>
    <s v="Yes"/>
    <m/>
    <s v="1+ Failures"/>
    <n v="0"/>
    <s v="10-20hrs"/>
    <s v="0-3months"/>
    <x v="1"/>
  </r>
  <r>
    <n v="278"/>
    <d v="2024-07-28T00:00:00"/>
    <s v="Premium"/>
    <n v="699"/>
    <n v="21.9"/>
    <n v="0"/>
    <n v="5"/>
    <n v="31"/>
    <n v="8"/>
    <s v="No"/>
    <s v="No"/>
    <s v="Yes"/>
    <s v="No"/>
    <s v="No"/>
    <s v="No"/>
    <m/>
    <s v="1+ Failures"/>
    <n v="0"/>
    <s v="20+ hrs"/>
    <s v="12+ months"/>
    <x v="0"/>
  </r>
  <r>
    <n v="279"/>
    <d v="2023-12-17T00:00:00"/>
    <s v="Standard"/>
    <n v="399"/>
    <n v="13.4"/>
    <n v="5"/>
    <n v="1"/>
    <n v="31"/>
    <n v="29"/>
    <s v="No"/>
    <s v="No"/>
    <s v="Yes"/>
    <s v="Yes"/>
    <s v="Yes"/>
    <s v="No"/>
    <m/>
    <s v="1+ Failures"/>
    <n v="0"/>
    <s v="10-20hrs"/>
    <s v="12+ months"/>
    <x v="1"/>
  </r>
  <r>
    <n v="280"/>
    <d v="2023-09-10T00:00:00"/>
    <s v="Premium"/>
    <n v="699"/>
    <n v="17.100000000000001"/>
    <n v="4"/>
    <n v="4"/>
    <n v="23"/>
    <n v="30"/>
    <s v="Yes"/>
    <s v="No"/>
    <s v="Yes"/>
    <s v="No"/>
    <s v="Yes"/>
    <s v="No"/>
    <m/>
    <s v="1+ Failures"/>
    <n v="1"/>
    <s v="10-20hrs"/>
    <s v="12+ months"/>
    <x v="0"/>
  </r>
  <r>
    <n v="281"/>
    <d v="2024-12-22T00:00:00"/>
    <s v="Standard"/>
    <n v="399"/>
    <n v="7.8"/>
    <n v="4"/>
    <n v="2"/>
    <n v="36"/>
    <n v="45"/>
    <s v="Yes"/>
    <s v="No"/>
    <s v="Yes"/>
    <s v="No"/>
    <s v="Yes"/>
    <s v="No"/>
    <m/>
    <s v="1+ Failures"/>
    <n v="1"/>
    <s v="5-10 hrs"/>
    <s v="12+ months"/>
    <x v="1"/>
  </r>
  <r>
    <n v="282"/>
    <d v="2024-08-10T00:00:00"/>
    <s v="Standard"/>
    <n v="399"/>
    <n v="12.3"/>
    <n v="8"/>
    <n v="5"/>
    <n v="21"/>
    <n v="17"/>
    <s v="Yes"/>
    <s v="No"/>
    <s v="Yes"/>
    <s v="Yes"/>
    <s v="Yes"/>
    <s v="No"/>
    <m/>
    <s v="1+ Failures"/>
    <n v="1"/>
    <s v="10-20hrs"/>
    <s v="12+ months"/>
    <x v="1"/>
  </r>
  <r>
    <n v="283"/>
    <d v="2023-10-25T00:00:00"/>
    <s v="Premium"/>
    <n v="699"/>
    <n v="9.8000000000000007"/>
    <n v="6"/>
    <n v="2"/>
    <n v="35"/>
    <n v="49"/>
    <s v="No"/>
    <s v="No"/>
    <s v="Yes"/>
    <s v="Yes"/>
    <s v="Yes"/>
    <s v="No"/>
    <m/>
    <s v="1+ Failures"/>
    <n v="0"/>
    <s v="5-10 hrs"/>
    <s v="12+ months"/>
    <x v="0"/>
  </r>
  <r>
    <n v="284"/>
    <d v="2023-09-20T00:00:00"/>
    <s v="Basic"/>
    <n v="199"/>
    <n v="23.9"/>
    <n v="1"/>
    <n v="2"/>
    <n v="19"/>
    <n v="59"/>
    <s v="Yes"/>
    <s v="No"/>
    <s v="Yes"/>
    <s v="No"/>
    <s v="Yes"/>
    <s v="No"/>
    <m/>
    <s v="1+ Failures"/>
    <n v="1"/>
    <s v="20+ hrs"/>
    <s v="12+ months"/>
    <x v="1"/>
  </r>
  <r>
    <n v="285"/>
    <d v="2023-10-06T00:00:00"/>
    <s v="Premium"/>
    <n v="699"/>
    <n v="5.7"/>
    <n v="8"/>
    <n v="2"/>
    <n v="31"/>
    <n v="59"/>
    <s v="Yes"/>
    <s v="No"/>
    <s v="Yes"/>
    <s v="Yes"/>
    <s v="Yes"/>
    <s v="No"/>
    <m/>
    <s v="1+ Failures"/>
    <n v="1"/>
    <s v="5-10 hrs"/>
    <s v="12+ months"/>
    <x v="0"/>
  </r>
  <r>
    <n v="286"/>
    <d v="2024-06-27T00:00:00"/>
    <s v="Basic"/>
    <n v="199"/>
    <n v="15.6"/>
    <n v="3"/>
    <n v="1"/>
    <n v="7"/>
    <n v="3"/>
    <s v="No"/>
    <s v="No"/>
    <s v="Yes"/>
    <s v="No"/>
    <s v="No"/>
    <s v="No"/>
    <m/>
    <s v="1+ Failures"/>
    <n v="0"/>
    <s v="10-20hrs"/>
    <s v="6-12months"/>
    <x v="1"/>
  </r>
  <r>
    <n v="287"/>
    <d v="2024-11-28T00:00:00"/>
    <s v="Basic"/>
    <n v="199"/>
    <n v="1.8"/>
    <n v="6"/>
    <n v="2"/>
    <n v="15"/>
    <n v="45"/>
    <s v="Yes"/>
    <s v="Yes"/>
    <s v="Yes"/>
    <s v="Yes"/>
    <s v="Yes"/>
    <s v="No"/>
    <m/>
    <s v="1+ Failures"/>
    <n v="1"/>
    <s v="0-5 hrs"/>
    <s v="12+ months"/>
    <x v="1"/>
  </r>
  <r>
    <n v="288"/>
    <d v="2024-05-02T00:00:00"/>
    <s v="Basic"/>
    <n v="199"/>
    <n v="24.1"/>
    <n v="2"/>
    <n v="3"/>
    <n v="1"/>
    <n v="41"/>
    <s v="No"/>
    <s v="No"/>
    <s v="Yes"/>
    <s v="No"/>
    <s v="Yes"/>
    <s v="Yes"/>
    <m/>
    <s v="1+ Failures"/>
    <n v="0"/>
    <s v="20+ hrs"/>
    <s v="0-3months"/>
    <x v="1"/>
  </r>
  <r>
    <n v="289"/>
    <d v="2023-04-02T00:00:00"/>
    <s v="Standard"/>
    <n v="399"/>
    <n v="19"/>
    <n v="4"/>
    <n v="2"/>
    <n v="13"/>
    <n v="18"/>
    <s v="No"/>
    <s v="No"/>
    <s v="Yes"/>
    <s v="No"/>
    <s v="Yes"/>
    <s v="No"/>
    <m/>
    <s v="1+ Failures"/>
    <n v="0"/>
    <s v="10-20hrs"/>
    <s v="12+ months"/>
    <x v="1"/>
  </r>
  <r>
    <n v="290"/>
    <d v="2023-06-30T00:00:00"/>
    <s v="Premium"/>
    <n v="699"/>
    <n v="13.6"/>
    <n v="0"/>
    <n v="1"/>
    <n v="15"/>
    <n v="26"/>
    <s v="No"/>
    <s v="No"/>
    <s v="Yes"/>
    <s v="No"/>
    <s v="Yes"/>
    <s v="No"/>
    <m/>
    <s v="1+ Failures"/>
    <n v="0"/>
    <s v="10-20hrs"/>
    <s v="12+ months"/>
    <x v="0"/>
  </r>
  <r>
    <n v="291"/>
    <d v="2023-02-08T00:00:00"/>
    <s v="Basic"/>
    <n v="199"/>
    <n v="19.8"/>
    <n v="2"/>
    <n v="5"/>
    <n v="26"/>
    <n v="55"/>
    <s v="No"/>
    <s v="No"/>
    <s v="Yes"/>
    <s v="No"/>
    <s v="Yes"/>
    <s v="No"/>
    <m/>
    <s v="1+ Failures"/>
    <n v="0"/>
    <s v="10-20hrs"/>
    <s v="12+ months"/>
    <x v="1"/>
  </r>
  <r>
    <n v="292"/>
    <d v="2024-10-18T00:00:00"/>
    <s v="Basic"/>
    <n v="199"/>
    <n v="14.4"/>
    <n v="1"/>
    <n v="2"/>
    <n v="20"/>
    <n v="18"/>
    <s v="No"/>
    <s v="No"/>
    <s v="Yes"/>
    <s v="No"/>
    <s v="Yes"/>
    <s v="No"/>
    <m/>
    <s v="1+ Failures"/>
    <n v="0"/>
    <s v="10-20hrs"/>
    <s v="12+ months"/>
    <x v="1"/>
  </r>
  <r>
    <n v="293"/>
    <d v="2023-04-26T00:00:00"/>
    <s v="Premium"/>
    <n v="699"/>
    <n v="12.6"/>
    <n v="2"/>
    <n v="4"/>
    <n v="34"/>
    <n v="29"/>
    <s v="Yes"/>
    <s v="No"/>
    <s v="Yes"/>
    <s v="No"/>
    <s v="Yes"/>
    <s v="No"/>
    <m/>
    <s v="1+ Failures"/>
    <n v="1"/>
    <s v="10-20hrs"/>
    <s v="12+ months"/>
    <x v="0"/>
  </r>
  <r>
    <n v="294"/>
    <d v="2023-12-12T00:00:00"/>
    <s v="Standard"/>
    <n v="399"/>
    <n v="18.399999999999999"/>
    <n v="4"/>
    <n v="5"/>
    <n v="11"/>
    <n v="11"/>
    <s v="Yes"/>
    <s v="No"/>
    <s v="Yes"/>
    <s v="No"/>
    <s v="No"/>
    <s v="No"/>
    <m/>
    <s v="1+ Failures"/>
    <n v="1"/>
    <s v="10-20hrs"/>
    <s v="6-12months"/>
    <x v="1"/>
  </r>
  <r>
    <n v="295"/>
    <d v="2024-02-15T00:00:00"/>
    <s v="Standard"/>
    <n v="399"/>
    <n v="4.8"/>
    <n v="6"/>
    <n v="3"/>
    <n v="13"/>
    <n v="32"/>
    <s v="Yes"/>
    <s v="Yes"/>
    <s v="Yes"/>
    <s v="Yes"/>
    <s v="Yes"/>
    <s v="No"/>
    <m/>
    <s v="1+ Failures"/>
    <n v="1"/>
    <s v="0-5 hrs"/>
    <s v="12+ months"/>
    <x v="1"/>
  </r>
  <r>
    <n v="296"/>
    <d v="2023-01-07T00:00:00"/>
    <s v="Premium"/>
    <n v="699"/>
    <n v="5"/>
    <n v="2"/>
    <n v="3"/>
    <n v="7"/>
    <n v="20"/>
    <s v="No"/>
    <s v="No"/>
    <s v="Yes"/>
    <s v="No"/>
    <s v="Yes"/>
    <s v="No"/>
    <m/>
    <s v="1+ Failures"/>
    <n v="0"/>
    <s v="0-5 hrs"/>
    <s v="6-12months"/>
    <x v="0"/>
  </r>
  <r>
    <n v="297"/>
    <d v="2024-08-09T00:00:00"/>
    <s v="Standard"/>
    <n v="399"/>
    <n v="6.3"/>
    <n v="4"/>
    <n v="2"/>
    <n v="25"/>
    <n v="19"/>
    <s v="No"/>
    <s v="No"/>
    <s v="Yes"/>
    <s v="No"/>
    <s v="Yes"/>
    <s v="No"/>
    <m/>
    <s v="1+ Failures"/>
    <n v="0"/>
    <s v="5-10 hrs"/>
    <s v="12+ months"/>
    <x v="1"/>
  </r>
  <r>
    <n v="298"/>
    <d v="2023-11-11T00:00:00"/>
    <s v="Basic"/>
    <n v="199"/>
    <n v="16.5"/>
    <n v="3"/>
    <n v="0"/>
    <n v="17"/>
    <n v="42"/>
    <s v="Yes"/>
    <s v="No"/>
    <s v="No"/>
    <s v="No"/>
    <s v="Yes"/>
    <s v="No"/>
    <m/>
    <s v="0 Failures"/>
    <n v="1"/>
    <s v="10-20hrs"/>
    <s v="12+ months"/>
    <x v="1"/>
  </r>
  <r>
    <n v="299"/>
    <d v="2023-10-30T00:00:00"/>
    <s v="Basic"/>
    <n v="199"/>
    <n v="17.3"/>
    <n v="4"/>
    <n v="5"/>
    <n v="26"/>
    <n v="7"/>
    <s v="No"/>
    <s v="No"/>
    <s v="Yes"/>
    <s v="No"/>
    <s v="No"/>
    <s v="No"/>
    <m/>
    <s v="1+ Failures"/>
    <n v="0"/>
    <s v="10-20hrs"/>
    <s v="12+ months"/>
    <x v="1"/>
  </r>
  <r>
    <n v="300"/>
    <d v="2024-09-12T00:00:00"/>
    <s v="Standard"/>
    <n v="399"/>
    <n v="5.9"/>
    <n v="2"/>
    <n v="3"/>
    <n v="15"/>
    <n v="9"/>
    <s v="No"/>
    <s v="No"/>
    <s v="Yes"/>
    <s v="No"/>
    <s v="No"/>
    <s v="No"/>
    <m/>
    <s v="1+ Failures"/>
    <n v="0"/>
    <s v="5-10 hrs"/>
    <s v="12+ months"/>
    <x v="1"/>
  </r>
  <r>
    <n v="301"/>
    <d v="2023-08-12T00:00:00"/>
    <s v="Standard"/>
    <n v="399"/>
    <n v="17.7"/>
    <n v="7"/>
    <n v="4"/>
    <n v="27"/>
    <n v="51"/>
    <s v="Yes"/>
    <s v="No"/>
    <s v="Yes"/>
    <s v="Yes"/>
    <s v="Yes"/>
    <s v="No"/>
    <m/>
    <s v="1+ Failures"/>
    <n v="1"/>
    <s v="10-20hrs"/>
    <s v="12+ months"/>
    <x v="1"/>
  </r>
  <r>
    <n v="302"/>
    <d v="2024-07-31T00:00:00"/>
    <s v="Basic"/>
    <n v="199"/>
    <n v="13.4"/>
    <n v="8"/>
    <n v="5"/>
    <n v="6"/>
    <n v="23"/>
    <s v="Yes"/>
    <s v="No"/>
    <s v="Yes"/>
    <s v="Yes"/>
    <s v="Yes"/>
    <s v="No"/>
    <m/>
    <s v="1+ Failures"/>
    <n v="1"/>
    <s v="10-20hrs"/>
    <s v="3-6months"/>
    <x v="1"/>
  </r>
  <r>
    <n v="303"/>
    <d v="2023-06-18T00:00:00"/>
    <s v="Basic"/>
    <n v="199"/>
    <n v="20.8"/>
    <n v="8"/>
    <n v="1"/>
    <n v="4"/>
    <n v="36"/>
    <s v="No"/>
    <s v="No"/>
    <s v="Yes"/>
    <s v="Yes"/>
    <s v="Yes"/>
    <s v="Yes"/>
    <m/>
    <s v="1+ Failures"/>
    <n v="0"/>
    <s v="20+ hrs"/>
    <s v="3-6months"/>
    <x v="1"/>
  </r>
  <r>
    <n v="304"/>
    <d v="2024-06-06T00:00:00"/>
    <s v="Standard"/>
    <n v="399"/>
    <n v="11.3"/>
    <n v="3"/>
    <n v="5"/>
    <n v="34"/>
    <n v="37"/>
    <s v="Yes"/>
    <s v="No"/>
    <s v="Yes"/>
    <s v="No"/>
    <s v="Yes"/>
    <s v="No"/>
    <m/>
    <s v="1+ Failures"/>
    <n v="1"/>
    <s v="10-20hrs"/>
    <s v="12+ months"/>
    <x v="1"/>
  </r>
  <r>
    <n v="305"/>
    <d v="2024-07-26T00:00:00"/>
    <s v="Standard"/>
    <n v="399"/>
    <n v="11.6"/>
    <n v="8"/>
    <n v="3"/>
    <n v="4"/>
    <n v="29"/>
    <s v="Yes"/>
    <s v="No"/>
    <s v="Yes"/>
    <s v="Yes"/>
    <s v="Yes"/>
    <s v="Yes"/>
    <m/>
    <s v="1+ Failures"/>
    <n v="1"/>
    <s v="10-20hrs"/>
    <s v="3-6months"/>
    <x v="1"/>
  </r>
  <r>
    <n v="306"/>
    <d v="2023-08-12T00:00:00"/>
    <s v="Standard"/>
    <n v="399"/>
    <n v="18.2"/>
    <n v="6"/>
    <n v="2"/>
    <n v="20"/>
    <n v="52"/>
    <s v="Yes"/>
    <s v="No"/>
    <s v="Yes"/>
    <s v="Yes"/>
    <s v="Yes"/>
    <s v="No"/>
    <m/>
    <s v="1+ Failures"/>
    <n v="1"/>
    <s v="10-20hrs"/>
    <s v="12+ months"/>
    <x v="1"/>
  </r>
  <r>
    <n v="307"/>
    <d v="2023-03-03T00:00:00"/>
    <s v="Premium"/>
    <n v="699"/>
    <n v="1.6"/>
    <n v="5"/>
    <n v="5"/>
    <n v="5"/>
    <n v="4"/>
    <s v="Yes"/>
    <s v="Yes"/>
    <s v="Yes"/>
    <s v="Yes"/>
    <s v="No"/>
    <s v="Yes"/>
    <m/>
    <s v="1+ Failures"/>
    <n v="1"/>
    <s v="0-5 hrs"/>
    <s v="3-6months"/>
    <x v="0"/>
  </r>
  <r>
    <n v="308"/>
    <d v="2024-10-18T00:00:00"/>
    <s v="Basic"/>
    <n v="199"/>
    <n v="1.3"/>
    <n v="6"/>
    <n v="1"/>
    <n v="31"/>
    <n v="49"/>
    <s v="Yes"/>
    <s v="Yes"/>
    <s v="Yes"/>
    <s v="Yes"/>
    <s v="Yes"/>
    <s v="No"/>
    <m/>
    <s v="1+ Failures"/>
    <n v="1"/>
    <s v="0-5 hrs"/>
    <s v="12+ months"/>
    <x v="1"/>
  </r>
  <r>
    <n v="309"/>
    <d v="2024-01-22T00:00:00"/>
    <s v="Premium"/>
    <n v="699"/>
    <n v="9.6999999999999993"/>
    <n v="6"/>
    <n v="3"/>
    <n v="27"/>
    <n v="55"/>
    <s v="No"/>
    <s v="No"/>
    <s v="Yes"/>
    <s v="Yes"/>
    <s v="Yes"/>
    <s v="No"/>
    <m/>
    <s v="1+ Failures"/>
    <n v="0"/>
    <s v="5-10 hrs"/>
    <s v="12+ months"/>
    <x v="0"/>
  </r>
  <r>
    <n v="310"/>
    <d v="2023-05-02T00:00:00"/>
    <s v="Standard"/>
    <n v="399"/>
    <n v="17.2"/>
    <n v="8"/>
    <n v="1"/>
    <n v="6"/>
    <n v="41"/>
    <s v="No"/>
    <s v="No"/>
    <s v="Yes"/>
    <s v="Yes"/>
    <s v="Yes"/>
    <s v="No"/>
    <m/>
    <s v="1+ Failures"/>
    <n v="0"/>
    <s v="10-20hrs"/>
    <s v="3-6months"/>
    <x v="1"/>
  </r>
  <r>
    <n v="311"/>
    <d v="2023-01-24T00:00:00"/>
    <s v="Basic"/>
    <n v="199"/>
    <n v="10.1"/>
    <n v="2"/>
    <n v="5"/>
    <n v="35"/>
    <n v="14"/>
    <s v="No"/>
    <s v="No"/>
    <s v="Yes"/>
    <s v="No"/>
    <s v="No"/>
    <s v="No"/>
    <m/>
    <s v="1+ Failures"/>
    <n v="0"/>
    <s v="10-20hrs"/>
    <s v="12+ months"/>
    <x v="1"/>
  </r>
  <r>
    <n v="312"/>
    <d v="2023-08-24T00:00:00"/>
    <s v="Standard"/>
    <n v="399"/>
    <n v="17"/>
    <n v="8"/>
    <n v="3"/>
    <n v="30"/>
    <n v="34"/>
    <s v="Yes"/>
    <s v="No"/>
    <s v="Yes"/>
    <s v="Yes"/>
    <s v="Yes"/>
    <s v="No"/>
    <m/>
    <s v="1+ Failures"/>
    <n v="1"/>
    <s v="10-20hrs"/>
    <s v="12+ months"/>
    <x v="1"/>
  </r>
  <r>
    <n v="313"/>
    <d v="2023-04-26T00:00:00"/>
    <s v="Basic"/>
    <n v="199"/>
    <n v="9"/>
    <n v="4"/>
    <n v="1"/>
    <n v="30"/>
    <n v="59"/>
    <s v="No"/>
    <s v="No"/>
    <s v="Yes"/>
    <s v="No"/>
    <s v="Yes"/>
    <s v="No"/>
    <m/>
    <s v="1+ Failures"/>
    <n v="0"/>
    <s v="5-10 hrs"/>
    <s v="12+ months"/>
    <x v="1"/>
  </r>
  <r>
    <n v="314"/>
    <d v="2024-08-31T00:00:00"/>
    <s v="Basic"/>
    <n v="199"/>
    <n v="15.6"/>
    <n v="0"/>
    <n v="1"/>
    <n v="27"/>
    <n v="13"/>
    <s v="Yes"/>
    <s v="No"/>
    <s v="Yes"/>
    <s v="No"/>
    <s v="No"/>
    <s v="No"/>
    <m/>
    <s v="1+ Failures"/>
    <n v="1"/>
    <s v="10-20hrs"/>
    <s v="12+ months"/>
    <x v="1"/>
  </r>
  <r>
    <n v="315"/>
    <d v="2024-03-25T00:00:00"/>
    <s v="Basic"/>
    <n v="199"/>
    <n v="15.1"/>
    <n v="0"/>
    <n v="1"/>
    <n v="29"/>
    <n v="47"/>
    <s v="Yes"/>
    <s v="No"/>
    <s v="Yes"/>
    <s v="No"/>
    <s v="Yes"/>
    <s v="No"/>
    <m/>
    <s v="1+ Failures"/>
    <n v="1"/>
    <s v="10-20hrs"/>
    <s v="12+ months"/>
    <x v="1"/>
  </r>
  <r>
    <n v="316"/>
    <d v="2023-08-28T00:00:00"/>
    <s v="Basic"/>
    <n v="199"/>
    <n v="5.8"/>
    <n v="0"/>
    <n v="1"/>
    <n v="35"/>
    <n v="32"/>
    <s v="No"/>
    <s v="No"/>
    <s v="Yes"/>
    <s v="No"/>
    <s v="Yes"/>
    <s v="No"/>
    <m/>
    <s v="1+ Failures"/>
    <n v="0"/>
    <s v="5-10 hrs"/>
    <s v="12+ months"/>
    <x v="1"/>
  </r>
  <r>
    <n v="317"/>
    <d v="2024-11-07T00:00:00"/>
    <s v="Premium"/>
    <n v="699"/>
    <n v="14.6"/>
    <n v="5"/>
    <n v="1"/>
    <n v="21"/>
    <n v="19"/>
    <s v="No"/>
    <s v="No"/>
    <s v="Yes"/>
    <s v="Yes"/>
    <s v="Yes"/>
    <s v="No"/>
    <m/>
    <s v="1+ Failures"/>
    <n v="0"/>
    <s v="10-20hrs"/>
    <s v="12+ months"/>
    <x v="0"/>
  </r>
  <r>
    <n v="318"/>
    <d v="2023-06-29T00:00:00"/>
    <s v="Premium"/>
    <n v="699"/>
    <n v="10.6"/>
    <n v="4"/>
    <n v="0"/>
    <n v="15"/>
    <n v="35"/>
    <s v="No"/>
    <s v="No"/>
    <s v="No"/>
    <s v="No"/>
    <s v="Yes"/>
    <s v="No"/>
    <m/>
    <s v="0 Failures"/>
    <n v="0"/>
    <s v="10-20hrs"/>
    <s v="12+ months"/>
    <x v="0"/>
  </r>
  <r>
    <n v="319"/>
    <d v="2024-01-26T00:00:00"/>
    <s v="Premium"/>
    <n v="699"/>
    <n v="14.1"/>
    <n v="0"/>
    <n v="2"/>
    <n v="28"/>
    <n v="60"/>
    <s v="No"/>
    <s v="No"/>
    <s v="Yes"/>
    <s v="No"/>
    <s v="Yes"/>
    <s v="No"/>
    <m/>
    <s v="1+ Failures"/>
    <n v="0"/>
    <s v="10-20hrs"/>
    <s v="12+ months"/>
    <x v="0"/>
  </r>
  <r>
    <n v="320"/>
    <d v="2024-07-04T00:00:00"/>
    <s v="Premium"/>
    <n v="699"/>
    <n v="17.600000000000001"/>
    <n v="6"/>
    <n v="1"/>
    <n v="21"/>
    <n v="19"/>
    <s v="No"/>
    <s v="No"/>
    <s v="Yes"/>
    <s v="Yes"/>
    <s v="Yes"/>
    <s v="No"/>
    <m/>
    <s v="1+ Failures"/>
    <n v="0"/>
    <s v="10-20hrs"/>
    <s v="12+ months"/>
    <x v="0"/>
  </r>
  <r>
    <n v="321"/>
    <d v="2023-03-01T00:00:00"/>
    <s v="Standard"/>
    <n v="399"/>
    <n v="21.3"/>
    <n v="4"/>
    <n v="5"/>
    <n v="16"/>
    <n v="9"/>
    <s v="No"/>
    <s v="No"/>
    <s v="Yes"/>
    <s v="No"/>
    <s v="No"/>
    <s v="No"/>
    <m/>
    <s v="1+ Failures"/>
    <n v="0"/>
    <s v="20+ hrs"/>
    <s v="12+ months"/>
    <x v="1"/>
  </r>
  <r>
    <n v="322"/>
    <d v="2023-09-19T00:00:00"/>
    <s v="Premium"/>
    <n v="699"/>
    <n v="24.2"/>
    <n v="8"/>
    <n v="4"/>
    <n v="27"/>
    <n v="8"/>
    <s v="Yes"/>
    <s v="No"/>
    <s v="Yes"/>
    <s v="Yes"/>
    <s v="No"/>
    <s v="No"/>
    <m/>
    <s v="1+ Failures"/>
    <n v="1"/>
    <s v="20+ hrs"/>
    <s v="12+ months"/>
    <x v="0"/>
  </r>
  <r>
    <n v="323"/>
    <d v="2023-07-15T00:00:00"/>
    <s v="Basic"/>
    <n v="199"/>
    <n v="16.3"/>
    <n v="7"/>
    <n v="2"/>
    <n v="22"/>
    <n v="5"/>
    <s v="No"/>
    <s v="No"/>
    <s v="Yes"/>
    <s v="Yes"/>
    <s v="No"/>
    <s v="No"/>
    <m/>
    <s v="1+ Failures"/>
    <n v="0"/>
    <s v="10-20hrs"/>
    <s v="12+ months"/>
    <x v="1"/>
  </r>
  <r>
    <n v="324"/>
    <d v="2024-08-24T00:00:00"/>
    <s v="Basic"/>
    <n v="199"/>
    <n v="9.6999999999999993"/>
    <n v="0"/>
    <n v="0"/>
    <n v="18"/>
    <n v="12"/>
    <s v="No"/>
    <s v="No"/>
    <s v="No"/>
    <s v="No"/>
    <s v="No"/>
    <s v="No"/>
    <m/>
    <s v="0 Failures"/>
    <n v="0"/>
    <s v="5-10 hrs"/>
    <s v="12+ months"/>
    <x v="1"/>
  </r>
  <r>
    <n v="325"/>
    <d v="2023-01-16T00:00:00"/>
    <s v="Premium"/>
    <n v="699"/>
    <n v="5.8"/>
    <n v="3"/>
    <n v="2"/>
    <n v="36"/>
    <n v="19"/>
    <s v="No"/>
    <s v="No"/>
    <s v="Yes"/>
    <s v="No"/>
    <s v="Yes"/>
    <s v="No"/>
    <m/>
    <s v="1+ Failures"/>
    <n v="0"/>
    <s v="5-10 hrs"/>
    <s v="12+ months"/>
    <x v="0"/>
  </r>
  <r>
    <n v="326"/>
    <d v="2023-09-06T00:00:00"/>
    <s v="Basic"/>
    <n v="199"/>
    <n v="24.1"/>
    <n v="1"/>
    <n v="5"/>
    <n v="13"/>
    <n v="48"/>
    <s v="Yes"/>
    <s v="No"/>
    <s v="Yes"/>
    <s v="No"/>
    <s v="Yes"/>
    <s v="No"/>
    <m/>
    <s v="1+ Failures"/>
    <n v="1"/>
    <s v="20+ hrs"/>
    <s v="12+ months"/>
    <x v="1"/>
  </r>
  <r>
    <n v="327"/>
    <d v="2024-01-25T00:00:00"/>
    <s v="Premium"/>
    <n v="699"/>
    <n v="10.199999999999999"/>
    <n v="3"/>
    <n v="4"/>
    <n v="14"/>
    <n v="20"/>
    <s v="No"/>
    <s v="No"/>
    <s v="Yes"/>
    <s v="No"/>
    <s v="Yes"/>
    <s v="No"/>
    <m/>
    <s v="1+ Failures"/>
    <n v="0"/>
    <s v="10-20hrs"/>
    <s v="12+ months"/>
    <x v="0"/>
  </r>
  <r>
    <n v="328"/>
    <d v="2024-05-24T00:00:00"/>
    <s v="Standard"/>
    <n v="399"/>
    <n v="16.399999999999999"/>
    <n v="4"/>
    <n v="2"/>
    <n v="35"/>
    <n v="23"/>
    <s v="Yes"/>
    <s v="No"/>
    <s v="Yes"/>
    <s v="No"/>
    <s v="Yes"/>
    <s v="No"/>
    <m/>
    <s v="1+ Failures"/>
    <n v="1"/>
    <s v="10-20hrs"/>
    <s v="12+ months"/>
    <x v="1"/>
  </r>
  <r>
    <n v="329"/>
    <d v="2023-11-17T00:00:00"/>
    <s v="Standard"/>
    <n v="399"/>
    <n v="20.2"/>
    <n v="7"/>
    <n v="2"/>
    <n v="7"/>
    <n v="58"/>
    <s v="Yes"/>
    <s v="No"/>
    <s v="Yes"/>
    <s v="Yes"/>
    <s v="Yes"/>
    <s v="No"/>
    <m/>
    <s v="1+ Failures"/>
    <n v="1"/>
    <s v="20+ hrs"/>
    <s v="6-12months"/>
    <x v="1"/>
  </r>
  <r>
    <n v="330"/>
    <d v="2024-07-20T00:00:00"/>
    <s v="Standard"/>
    <n v="399"/>
    <n v="14.3"/>
    <n v="3"/>
    <n v="5"/>
    <n v="3"/>
    <n v="9"/>
    <s v="Yes"/>
    <s v="No"/>
    <s v="Yes"/>
    <s v="No"/>
    <s v="No"/>
    <s v="Yes"/>
    <m/>
    <s v="1+ Failures"/>
    <n v="1"/>
    <s v="10-20hrs"/>
    <s v="0-3months"/>
    <x v="1"/>
  </r>
  <r>
    <n v="331"/>
    <d v="2023-09-09T00:00:00"/>
    <s v="Premium"/>
    <n v="699"/>
    <n v="7.7"/>
    <n v="3"/>
    <n v="2"/>
    <n v="27"/>
    <n v="14"/>
    <s v="No"/>
    <s v="No"/>
    <s v="Yes"/>
    <s v="No"/>
    <s v="No"/>
    <s v="No"/>
    <m/>
    <s v="1+ Failures"/>
    <n v="0"/>
    <s v="5-10 hrs"/>
    <s v="12+ months"/>
    <x v="0"/>
  </r>
  <r>
    <n v="332"/>
    <d v="2024-10-19T00:00:00"/>
    <s v="Standard"/>
    <n v="399"/>
    <n v="16.5"/>
    <n v="5"/>
    <n v="2"/>
    <n v="36"/>
    <n v="48"/>
    <s v="No"/>
    <s v="No"/>
    <s v="Yes"/>
    <s v="Yes"/>
    <s v="Yes"/>
    <s v="No"/>
    <m/>
    <s v="1+ Failures"/>
    <n v="0"/>
    <s v="10-20hrs"/>
    <s v="12+ months"/>
    <x v="1"/>
  </r>
  <r>
    <n v="333"/>
    <d v="2024-05-15T00:00:00"/>
    <s v="Premium"/>
    <n v="699"/>
    <n v="11.8"/>
    <n v="5"/>
    <n v="1"/>
    <n v="32"/>
    <n v="8"/>
    <s v="No"/>
    <s v="No"/>
    <s v="Yes"/>
    <s v="Yes"/>
    <s v="No"/>
    <s v="No"/>
    <m/>
    <s v="1+ Failures"/>
    <n v="0"/>
    <s v="10-20hrs"/>
    <s v="12+ months"/>
    <x v="0"/>
  </r>
  <r>
    <n v="334"/>
    <d v="2023-03-18T00:00:00"/>
    <s v="Basic"/>
    <n v="199"/>
    <n v="24.8"/>
    <n v="0"/>
    <n v="4"/>
    <n v="35"/>
    <n v="2"/>
    <s v="No"/>
    <s v="No"/>
    <s v="Yes"/>
    <s v="No"/>
    <s v="No"/>
    <s v="No"/>
    <m/>
    <s v="1+ Failures"/>
    <n v="0"/>
    <s v="20+ hrs"/>
    <s v="12+ months"/>
    <x v="1"/>
  </r>
  <r>
    <n v="335"/>
    <d v="2023-03-11T00:00:00"/>
    <s v="Premium"/>
    <n v="699"/>
    <n v="19.2"/>
    <n v="6"/>
    <n v="1"/>
    <n v="4"/>
    <n v="53"/>
    <s v="No"/>
    <s v="No"/>
    <s v="Yes"/>
    <s v="Yes"/>
    <s v="Yes"/>
    <s v="Yes"/>
    <m/>
    <s v="1+ Failures"/>
    <n v="0"/>
    <s v="10-20hrs"/>
    <s v="3-6months"/>
    <x v="0"/>
  </r>
  <r>
    <n v="336"/>
    <d v="2024-10-15T00:00:00"/>
    <s v="Premium"/>
    <n v="699"/>
    <n v="0.7"/>
    <n v="8"/>
    <n v="3"/>
    <n v="10"/>
    <n v="23"/>
    <s v="Yes"/>
    <s v="Yes"/>
    <s v="Yes"/>
    <s v="Yes"/>
    <s v="Yes"/>
    <s v="No"/>
    <m/>
    <s v="1+ Failures"/>
    <n v="1"/>
    <s v="0-5 hrs"/>
    <s v="6-12months"/>
    <x v="0"/>
  </r>
  <r>
    <n v="337"/>
    <d v="2023-01-13T00:00:00"/>
    <s v="Premium"/>
    <n v="699"/>
    <n v="16.7"/>
    <n v="0"/>
    <n v="0"/>
    <n v="31"/>
    <n v="34"/>
    <s v="No"/>
    <s v="No"/>
    <s v="No"/>
    <s v="No"/>
    <s v="Yes"/>
    <s v="No"/>
    <m/>
    <s v="0 Failures"/>
    <n v="0"/>
    <s v="10-20hrs"/>
    <s v="12+ months"/>
    <x v="0"/>
  </r>
  <r>
    <n v="338"/>
    <d v="2024-12-15T00:00:00"/>
    <s v="Basic"/>
    <n v="199"/>
    <n v="18.2"/>
    <n v="8"/>
    <n v="2"/>
    <n v="34"/>
    <n v="1"/>
    <s v="No"/>
    <s v="No"/>
    <s v="Yes"/>
    <s v="Yes"/>
    <s v="No"/>
    <s v="No"/>
    <m/>
    <s v="1+ Failures"/>
    <n v="0"/>
    <s v="10-20hrs"/>
    <s v="12+ months"/>
    <x v="1"/>
  </r>
  <r>
    <n v="339"/>
    <d v="2023-06-02T00:00:00"/>
    <s v="Premium"/>
    <n v="699"/>
    <n v="20.3"/>
    <n v="2"/>
    <n v="0"/>
    <n v="28"/>
    <n v="58"/>
    <s v="Yes"/>
    <s v="No"/>
    <s v="No"/>
    <s v="No"/>
    <s v="Yes"/>
    <s v="No"/>
    <m/>
    <s v="0 Failures"/>
    <n v="1"/>
    <s v="20+ hrs"/>
    <s v="12+ months"/>
    <x v="0"/>
  </r>
  <r>
    <n v="340"/>
    <d v="2023-03-22T00:00:00"/>
    <s v="Basic"/>
    <n v="199"/>
    <n v="15.7"/>
    <n v="4"/>
    <n v="2"/>
    <n v="13"/>
    <n v="17"/>
    <s v="No"/>
    <s v="No"/>
    <s v="Yes"/>
    <s v="No"/>
    <s v="Yes"/>
    <s v="No"/>
    <m/>
    <s v="1+ Failures"/>
    <n v="0"/>
    <s v="10-20hrs"/>
    <s v="12+ months"/>
    <x v="1"/>
  </r>
  <r>
    <n v="341"/>
    <d v="2023-03-24T00:00:00"/>
    <s v="Standard"/>
    <n v="399"/>
    <n v="11.7"/>
    <n v="3"/>
    <n v="5"/>
    <n v="26"/>
    <n v="14"/>
    <s v="Yes"/>
    <s v="No"/>
    <s v="Yes"/>
    <s v="No"/>
    <s v="No"/>
    <s v="No"/>
    <m/>
    <s v="1+ Failures"/>
    <n v="1"/>
    <s v="10-20hrs"/>
    <s v="12+ months"/>
    <x v="1"/>
  </r>
  <r>
    <n v="342"/>
    <d v="2024-10-14T00:00:00"/>
    <s v="Premium"/>
    <n v="699"/>
    <n v="2.8"/>
    <n v="6"/>
    <n v="3"/>
    <n v="3"/>
    <n v="35"/>
    <s v="Yes"/>
    <s v="Yes"/>
    <s v="Yes"/>
    <s v="Yes"/>
    <s v="Yes"/>
    <s v="Yes"/>
    <m/>
    <s v="1+ Failures"/>
    <n v="1"/>
    <s v="0-5 hrs"/>
    <s v="0-3months"/>
    <x v="0"/>
  </r>
  <r>
    <n v="343"/>
    <d v="2023-04-08T00:00:00"/>
    <s v="Basic"/>
    <n v="199"/>
    <n v="2.5"/>
    <n v="6"/>
    <n v="5"/>
    <n v="11"/>
    <n v="50"/>
    <s v="Yes"/>
    <s v="Yes"/>
    <s v="Yes"/>
    <s v="Yes"/>
    <s v="Yes"/>
    <s v="No"/>
    <m/>
    <s v="1+ Failures"/>
    <n v="1"/>
    <s v="0-5 hrs"/>
    <s v="6-12months"/>
    <x v="1"/>
  </r>
  <r>
    <n v="344"/>
    <d v="2024-12-01T00:00:00"/>
    <s v="Premium"/>
    <n v="699"/>
    <n v="6.1"/>
    <n v="7"/>
    <n v="2"/>
    <n v="3"/>
    <n v="2"/>
    <s v="No"/>
    <s v="No"/>
    <s v="Yes"/>
    <s v="Yes"/>
    <s v="No"/>
    <s v="Yes"/>
    <m/>
    <s v="1+ Failures"/>
    <n v="0"/>
    <s v="5-10 hrs"/>
    <s v="0-3months"/>
    <x v="0"/>
  </r>
  <r>
    <n v="345"/>
    <d v="2023-01-17T00:00:00"/>
    <s v="Standard"/>
    <n v="399"/>
    <n v="14.3"/>
    <n v="0"/>
    <n v="1"/>
    <n v="35"/>
    <n v="59"/>
    <s v="No"/>
    <s v="No"/>
    <s v="Yes"/>
    <s v="No"/>
    <s v="Yes"/>
    <s v="No"/>
    <m/>
    <s v="1+ Failures"/>
    <n v="0"/>
    <s v="10-20hrs"/>
    <s v="12+ months"/>
    <x v="1"/>
  </r>
  <r>
    <n v="346"/>
    <d v="2023-09-04T00:00:00"/>
    <s v="Basic"/>
    <n v="199"/>
    <n v="18.899999999999999"/>
    <n v="6"/>
    <n v="0"/>
    <n v="10"/>
    <n v="19"/>
    <s v="Yes"/>
    <s v="No"/>
    <s v="No"/>
    <s v="Yes"/>
    <s v="Yes"/>
    <s v="No"/>
    <m/>
    <s v="0 Failures"/>
    <n v="1"/>
    <s v="10-20hrs"/>
    <s v="6-12months"/>
    <x v="1"/>
  </r>
  <r>
    <n v="347"/>
    <d v="2023-05-24T00:00:00"/>
    <s v="Premium"/>
    <n v="699"/>
    <n v="17.100000000000001"/>
    <n v="8"/>
    <n v="2"/>
    <n v="25"/>
    <n v="24"/>
    <s v="No"/>
    <s v="No"/>
    <s v="Yes"/>
    <s v="Yes"/>
    <s v="Yes"/>
    <s v="No"/>
    <m/>
    <s v="1+ Failures"/>
    <n v="0"/>
    <s v="10-20hrs"/>
    <s v="12+ months"/>
    <x v="0"/>
  </r>
  <r>
    <n v="348"/>
    <d v="2023-03-19T00:00:00"/>
    <s v="Premium"/>
    <n v="699"/>
    <n v="12.8"/>
    <n v="5"/>
    <n v="0"/>
    <n v="6"/>
    <n v="6"/>
    <s v="No"/>
    <s v="No"/>
    <s v="No"/>
    <s v="Yes"/>
    <s v="No"/>
    <s v="No"/>
    <m/>
    <s v="0 Failures"/>
    <n v="0"/>
    <s v="10-20hrs"/>
    <s v="3-6months"/>
    <x v="0"/>
  </r>
  <r>
    <n v="349"/>
    <d v="2024-04-06T00:00:00"/>
    <s v="Standard"/>
    <n v="399"/>
    <n v="24.2"/>
    <n v="5"/>
    <n v="0"/>
    <n v="26"/>
    <n v="40"/>
    <s v="Yes"/>
    <s v="No"/>
    <s v="No"/>
    <s v="Yes"/>
    <s v="Yes"/>
    <s v="No"/>
    <m/>
    <s v="0 Failures"/>
    <n v="1"/>
    <s v="20+ hrs"/>
    <s v="12+ months"/>
    <x v="1"/>
  </r>
  <r>
    <n v="350"/>
    <d v="2024-11-07T00:00:00"/>
    <s v="Standard"/>
    <n v="399"/>
    <n v="9.1999999999999993"/>
    <n v="6"/>
    <n v="3"/>
    <n v="15"/>
    <n v="11"/>
    <s v="No"/>
    <s v="No"/>
    <s v="Yes"/>
    <s v="Yes"/>
    <s v="No"/>
    <s v="No"/>
    <m/>
    <s v="1+ Failures"/>
    <n v="0"/>
    <s v="5-10 hrs"/>
    <s v="12+ months"/>
    <x v="1"/>
  </r>
  <r>
    <n v="351"/>
    <d v="2023-10-02T00:00:00"/>
    <s v="Standard"/>
    <n v="399"/>
    <n v="19.399999999999999"/>
    <n v="4"/>
    <n v="1"/>
    <n v="6"/>
    <n v="45"/>
    <s v="Yes"/>
    <s v="No"/>
    <s v="Yes"/>
    <s v="No"/>
    <s v="Yes"/>
    <s v="No"/>
    <m/>
    <s v="1+ Failures"/>
    <n v="1"/>
    <s v="10-20hrs"/>
    <s v="3-6months"/>
    <x v="1"/>
  </r>
  <r>
    <n v="352"/>
    <d v="2023-04-20T00:00:00"/>
    <s v="Basic"/>
    <n v="199"/>
    <n v="17.899999999999999"/>
    <n v="2"/>
    <n v="5"/>
    <n v="25"/>
    <n v="24"/>
    <s v="Yes"/>
    <s v="No"/>
    <s v="Yes"/>
    <s v="No"/>
    <s v="Yes"/>
    <s v="No"/>
    <m/>
    <s v="1+ Failures"/>
    <n v="1"/>
    <s v="10-20hrs"/>
    <s v="12+ months"/>
    <x v="1"/>
  </r>
  <r>
    <n v="353"/>
    <d v="2023-05-16T00:00:00"/>
    <s v="Basic"/>
    <n v="199"/>
    <n v="23.6"/>
    <n v="7"/>
    <n v="2"/>
    <n v="1"/>
    <n v="48"/>
    <s v="Yes"/>
    <s v="No"/>
    <s v="Yes"/>
    <s v="Yes"/>
    <s v="Yes"/>
    <s v="Yes"/>
    <m/>
    <s v="1+ Failures"/>
    <n v="1"/>
    <s v="20+ hrs"/>
    <s v="0-3months"/>
    <x v="1"/>
  </r>
  <r>
    <n v="354"/>
    <d v="2023-01-27T00:00:00"/>
    <s v="Basic"/>
    <n v="199"/>
    <n v="11.1"/>
    <n v="8"/>
    <n v="4"/>
    <n v="12"/>
    <n v="32"/>
    <s v="Yes"/>
    <s v="No"/>
    <s v="Yes"/>
    <s v="Yes"/>
    <s v="Yes"/>
    <s v="No"/>
    <m/>
    <s v="1+ Failures"/>
    <n v="1"/>
    <s v="10-20hrs"/>
    <s v="6-12months"/>
    <x v="1"/>
  </r>
  <r>
    <n v="355"/>
    <d v="2024-02-02T00:00:00"/>
    <s v="Basic"/>
    <n v="199"/>
    <n v="14.1"/>
    <n v="5"/>
    <n v="3"/>
    <n v="23"/>
    <n v="0"/>
    <s v="Yes"/>
    <s v="No"/>
    <s v="Yes"/>
    <s v="Yes"/>
    <s v="No"/>
    <s v="No"/>
    <m/>
    <s v="1+ Failures"/>
    <n v="1"/>
    <s v="10-20hrs"/>
    <s v="12+ months"/>
    <x v="1"/>
  </r>
  <r>
    <n v="356"/>
    <d v="2024-01-25T00:00:00"/>
    <s v="Basic"/>
    <n v="199"/>
    <n v="22.7"/>
    <n v="3"/>
    <n v="4"/>
    <n v="36"/>
    <n v="33"/>
    <s v="Yes"/>
    <s v="No"/>
    <s v="Yes"/>
    <s v="No"/>
    <s v="Yes"/>
    <s v="No"/>
    <m/>
    <s v="1+ Failures"/>
    <n v="1"/>
    <s v="20+ hrs"/>
    <s v="12+ months"/>
    <x v="1"/>
  </r>
  <r>
    <n v="357"/>
    <d v="2024-03-21T00:00:00"/>
    <s v="Basic"/>
    <n v="199"/>
    <n v="7.1"/>
    <n v="4"/>
    <n v="3"/>
    <n v="9"/>
    <n v="9"/>
    <s v="Yes"/>
    <s v="No"/>
    <s v="Yes"/>
    <s v="No"/>
    <s v="No"/>
    <s v="No"/>
    <m/>
    <s v="1+ Failures"/>
    <n v="1"/>
    <s v="5-10 hrs"/>
    <s v="6-12months"/>
    <x v="1"/>
  </r>
  <r>
    <n v="358"/>
    <d v="2024-10-02T00:00:00"/>
    <s v="Standard"/>
    <n v="399"/>
    <n v="7.8"/>
    <n v="1"/>
    <n v="2"/>
    <n v="27"/>
    <n v="16"/>
    <s v="No"/>
    <s v="No"/>
    <s v="Yes"/>
    <s v="No"/>
    <s v="Yes"/>
    <s v="No"/>
    <m/>
    <s v="1+ Failures"/>
    <n v="0"/>
    <s v="5-10 hrs"/>
    <s v="12+ months"/>
    <x v="1"/>
  </r>
  <r>
    <n v="359"/>
    <d v="2023-12-07T00:00:00"/>
    <s v="Standard"/>
    <n v="399"/>
    <n v="11.7"/>
    <n v="2"/>
    <n v="2"/>
    <n v="13"/>
    <n v="0"/>
    <s v="No"/>
    <s v="No"/>
    <s v="Yes"/>
    <s v="No"/>
    <s v="No"/>
    <s v="No"/>
    <m/>
    <s v="1+ Failures"/>
    <n v="0"/>
    <s v="10-20hrs"/>
    <s v="12+ months"/>
    <x v="1"/>
  </r>
  <r>
    <n v="360"/>
    <d v="2024-10-28T00:00:00"/>
    <s v="Premium"/>
    <n v="699"/>
    <n v="20.2"/>
    <n v="5"/>
    <n v="3"/>
    <n v="25"/>
    <n v="21"/>
    <s v="Yes"/>
    <s v="No"/>
    <s v="Yes"/>
    <s v="Yes"/>
    <s v="Yes"/>
    <s v="No"/>
    <m/>
    <s v="1+ Failures"/>
    <n v="1"/>
    <s v="20+ hrs"/>
    <s v="12+ months"/>
    <x v="0"/>
  </r>
  <r>
    <n v="361"/>
    <d v="2024-02-12T00:00:00"/>
    <s v="Premium"/>
    <n v="699"/>
    <n v="7.9"/>
    <n v="3"/>
    <n v="3"/>
    <n v="9"/>
    <n v="20"/>
    <s v="Yes"/>
    <s v="No"/>
    <s v="Yes"/>
    <s v="No"/>
    <s v="Yes"/>
    <s v="No"/>
    <m/>
    <s v="1+ Failures"/>
    <n v="1"/>
    <s v="5-10 hrs"/>
    <s v="6-12months"/>
    <x v="0"/>
  </r>
  <r>
    <n v="362"/>
    <d v="2024-01-21T00:00:00"/>
    <s v="Standard"/>
    <n v="399"/>
    <n v="18.5"/>
    <n v="7"/>
    <n v="4"/>
    <n v="19"/>
    <n v="50"/>
    <s v="Yes"/>
    <s v="No"/>
    <s v="Yes"/>
    <s v="Yes"/>
    <s v="Yes"/>
    <s v="No"/>
    <m/>
    <s v="1+ Failures"/>
    <n v="1"/>
    <s v="10-20hrs"/>
    <s v="12+ months"/>
    <x v="1"/>
  </r>
  <r>
    <n v="363"/>
    <d v="2024-07-17T00:00:00"/>
    <s v="Standard"/>
    <n v="399"/>
    <n v="9.4"/>
    <n v="3"/>
    <n v="4"/>
    <n v="26"/>
    <n v="34"/>
    <s v="Yes"/>
    <s v="No"/>
    <s v="Yes"/>
    <s v="No"/>
    <s v="Yes"/>
    <s v="No"/>
    <m/>
    <s v="1+ Failures"/>
    <n v="1"/>
    <s v="5-10 hrs"/>
    <s v="12+ months"/>
    <x v="1"/>
  </r>
  <r>
    <n v="364"/>
    <d v="2024-12-10T00:00:00"/>
    <s v="Basic"/>
    <n v="199"/>
    <n v="23.6"/>
    <n v="3"/>
    <n v="3"/>
    <n v="30"/>
    <n v="51"/>
    <s v="Yes"/>
    <s v="No"/>
    <s v="Yes"/>
    <s v="No"/>
    <s v="Yes"/>
    <s v="No"/>
    <m/>
    <s v="1+ Failures"/>
    <n v="1"/>
    <s v="20+ hrs"/>
    <s v="12+ months"/>
    <x v="1"/>
  </r>
  <r>
    <n v="365"/>
    <d v="2024-11-05T00:00:00"/>
    <s v="Basic"/>
    <n v="199"/>
    <n v="17"/>
    <n v="2"/>
    <n v="5"/>
    <n v="27"/>
    <n v="19"/>
    <s v="Yes"/>
    <s v="No"/>
    <s v="Yes"/>
    <s v="No"/>
    <s v="Yes"/>
    <s v="No"/>
    <m/>
    <s v="1+ Failures"/>
    <n v="1"/>
    <s v="10-20hrs"/>
    <s v="12+ months"/>
    <x v="1"/>
  </r>
  <r>
    <n v="366"/>
    <d v="2024-02-15T00:00:00"/>
    <s v="Basic"/>
    <n v="199"/>
    <n v="19.8"/>
    <n v="1"/>
    <n v="3"/>
    <n v="28"/>
    <n v="38"/>
    <s v="Yes"/>
    <s v="No"/>
    <s v="Yes"/>
    <s v="No"/>
    <s v="Yes"/>
    <s v="No"/>
    <m/>
    <s v="1+ Failures"/>
    <n v="1"/>
    <s v="10-20hrs"/>
    <s v="12+ months"/>
    <x v="1"/>
  </r>
  <r>
    <n v="367"/>
    <d v="2024-01-04T00:00:00"/>
    <s v="Premium"/>
    <n v="699"/>
    <n v="23.1"/>
    <n v="6"/>
    <n v="4"/>
    <n v="33"/>
    <n v="2"/>
    <s v="No"/>
    <s v="No"/>
    <s v="Yes"/>
    <s v="Yes"/>
    <s v="No"/>
    <s v="No"/>
    <m/>
    <s v="1+ Failures"/>
    <n v="0"/>
    <s v="20+ hrs"/>
    <s v="12+ months"/>
    <x v="0"/>
  </r>
  <r>
    <n v="368"/>
    <d v="2024-11-11T00:00:00"/>
    <s v="Premium"/>
    <n v="699"/>
    <n v="15"/>
    <n v="1"/>
    <n v="0"/>
    <n v="35"/>
    <n v="49"/>
    <s v="Yes"/>
    <s v="No"/>
    <s v="No"/>
    <s v="No"/>
    <s v="Yes"/>
    <s v="No"/>
    <m/>
    <s v="0 Failures"/>
    <n v="1"/>
    <s v="10-20hrs"/>
    <s v="12+ months"/>
    <x v="0"/>
  </r>
  <r>
    <n v="369"/>
    <d v="2024-02-14T00:00:00"/>
    <s v="Standard"/>
    <n v="399"/>
    <n v="16.399999999999999"/>
    <n v="0"/>
    <n v="4"/>
    <n v="11"/>
    <n v="41"/>
    <s v="No"/>
    <s v="No"/>
    <s v="Yes"/>
    <s v="No"/>
    <s v="Yes"/>
    <s v="No"/>
    <m/>
    <s v="1+ Failures"/>
    <n v="0"/>
    <s v="10-20hrs"/>
    <s v="6-12months"/>
    <x v="1"/>
  </r>
  <r>
    <n v="370"/>
    <d v="2024-06-15T00:00:00"/>
    <s v="Standard"/>
    <n v="399"/>
    <n v="3.1"/>
    <n v="1"/>
    <n v="2"/>
    <n v="28"/>
    <n v="14"/>
    <s v="Yes"/>
    <s v="Yes"/>
    <s v="Yes"/>
    <s v="No"/>
    <s v="No"/>
    <s v="No"/>
    <m/>
    <s v="1+ Failures"/>
    <n v="1"/>
    <s v="0-5 hrs"/>
    <s v="12+ months"/>
    <x v="1"/>
  </r>
  <r>
    <n v="371"/>
    <d v="2024-12-08T00:00:00"/>
    <s v="Premium"/>
    <n v="699"/>
    <n v="11.4"/>
    <n v="6"/>
    <n v="3"/>
    <n v="15"/>
    <n v="49"/>
    <s v="Yes"/>
    <s v="No"/>
    <s v="Yes"/>
    <s v="Yes"/>
    <s v="Yes"/>
    <s v="No"/>
    <m/>
    <s v="1+ Failures"/>
    <n v="1"/>
    <s v="10-20hrs"/>
    <s v="12+ months"/>
    <x v="0"/>
  </r>
  <r>
    <n v="372"/>
    <d v="2023-03-29T00:00:00"/>
    <s v="Premium"/>
    <n v="699"/>
    <n v="9"/>
    <n v="0"/>
    <n v="3"/>
    <n v="10"/>
    <n v="6"/>
    <s v="Yes"/>
    <s v="No"/>
    <s v="Yes"/>
    <s v="No"/>
    <s v="No"/>
    <s v="No"/>
    <m/>
    <s v="1+ Failures"/>
    <n v="1"/>
    <s v="5-10 hrs"/>
    <s v="6-12months"/>
    <x v="0"/>
  </r>
  <r>
    <n v="373"/>
    <d v="2024-05-09T00:00:00"/>
    <s v="Basic"/>
    <n v="199"/>
    <n v="9"/>
    <n v="5"/>
    <n v="3"/>
    <n v="10"/>
    <n v="50"/>
    <s v="Yes"/>
    <s v="No"/>
    <s v="Yes"/>
    <s v="Yes"/>
    <s v="Yes"/>
    <s v="No"/>
    <m/>
    <s v="1+ Failures"/>
    <n v="1"/>
    <s v="5-10 hrs"/>
    <s v="6-12months"/>
    <x v="1"/>
  </r>
  <r>
    <n v="374"/>
    <d v="2024-12-28T00:00:00"/>
    <s v="Standard"/>
    <n v="399"/>
    <n v="2.9"/>
    <n v="7"/>
    <n v="2"/>
    <n v="31"/>
    <n v="4"/>
    <s v="Yes"/>
    <s v="Yes"/>
    <s v="Yes"/>
    <s v="Yes"/>
    <s v="No"/>
    <s v="No"/>
    <m/>
    <s v="1+ Failures"/>
    <n v="1"/>
    <s v="0-5 hrs"/>
    <s v="12+ months"/>
    <x v="1"/>
  </r>
  <r>
    <n v="375"/>
    <d v="2023-09-07T00:00:00"/>
    <s v="Basic"/>
    <n v="199"/>
    <n v="21.3"/>
    <n v="1"/>
    <n v="5"/>
    <n v="2"/>
    <n v="51"/>
    <s v="Yes"/>
    <s v="No"/>
    <s v="Yes"/>
    <s v="No"/>
    <s v="Yes"/>
    <s v="Yes"/>
    <m/>
    <s v="1+ Failures"/>
    <n v="1"/>
    <s v="20+ hrs"/>
    <s v="0-3months"/>
    <x v="1"/>
  </r>
  <r>
    <n v="376"/>
    <d v="2023-08-26T00:00:00"/>
    <s v="Premium"/>
    <n v="699"/>
    <n v="14"/>
    <n v="5"/>
    <n v="4"/>
    <n v="12"/>
    <n v="27"/>
    <s v="No"/>
    <s v="No"/>
    <s v="Yes"/>
    <s v="Yes"/>
    <s v="Yes"/>
    <s v="No"/>
    <m/>
    <s v="1+ Failures"/>
    <n v="0"/>
    <s v="10-20hrs"/>
    <s v="6-12months"/>
    <x v="0"/>
  </r>
  <r>
    <n v="377"/>
    <d v="2023-07-22T00:00:00"/>
    <s v="Standard"/>
    <n v="399"/>
    <n v="5.0999999999999996"/>
    <n v="6"/>
    <n v="3"/>
    <n v="12"/>
    <n v="1"/>
    <s v="No"/>
    <s v="No"/>
    <s v="Yes"/>
    <s v="Yes"/>
    <s v="No"/>
    <s v="No"/>
    <m/>
    <s v="1+ Failures"/>
    <n v="0"/>
    <s v="5-10 hrs"/>
    <s v="6-12months"/>
    <x v="1"/>
  </r>
  <r>
    <n v="378"/>
    <d v="2023-03-06T00:00:00"/>
    <s v="Standard"/>
    <n v="399"/>
    <n v="10"/>
    <n v="3"/>
    <n v="1"/>
    <n v="28"/>
    <n v="17"/>
    <s v="No"/>
    <s v="No"/>
    <s v="Yes"/>
    <s v="No"/>
    <s v="Yes"/>
    <s v="No"/>
    <m/>
    <s v="1+ Failures"/>
    <n v="0"/>
    <s v="5-10 hrs"/>
    <s v="12+ months"/>
    <x v="1"/>
  </r>
  <r>
    <n v="379"/>
    <d v="2024-04-13T00:00:00"/>
    <s v="Premium"/>
    <n v="699"/>
    <n v="20.100000000000001"/>
    <n v="8"/>
    <n v="1"/>
    <n v="7"/>
    <n v="23"/>
    <s v="Yes"/>
    <s v="No"/>
    <s v="Yes"/>
    <s v="Yes"/>
    <s v="Yes"/>
    <s v="No"/>
    <m/>
    <s v="1+ Failures"/>
    <n v="1"/>
    <s v="20+ hrs"/>
    <s v="6-12months"/>
    <x v="0"/>
  </r>
  <r>
    <n v="380"/>
    <d v="2024-02-02T00:00:00"/>
    <s v="Basic"/>
    <n v="199"/>
    <n v="16.899999999999999"/>
    <n v="7"/>
    <n v="4"/>
    <n v="17"/>
    <n v="40"/>
    <s v="Yes"/>
    <s v="No"/>
    <s v="Yes"/>
    <s v="Yes"/>
    <s v="Yes"/>
    <s v="No"/>
    <m/>
    <s v="1+ Failures"/>
    <n v="1"/>
    <s v="10-20hrs"/>
    <s v="12+ months"/>
    <x v="1"/>
  </r>
  <r>
    <n v="381"/>
    <d v="2023-06-26T00:00:00"/>
    <s v="Premium"/>
    <n v="699"/>
    <n v="14.9"/>
    <n v="5"/>
    <n v="2"/>
    <n v="26"/>
    <n v="54"/>
    <s v="Yes"/>
    <s v="No"/>
    <s v="Yes"/>
    <s v="Yes"/>
    <s v="Yes"/>
    <s v="No"/>
    <m/>
    <s v="1+ Failures"/>
    <n v="1"/>
    <s v="10-20hrs"/>
    <s v="12+ months"/>
    <x v="0"/>
  </r>
  <r>
    <n v="382"/>
    <d v="2023-09-02T00:00:00"/>
    <s v="Premium"/>
    <n v="699"/>
    <n v="23"/>
    <n v="1"/>
    <n v="5"/>
    <n v="20"/>
    <n v="8"/>
    <s v="Yes"/>
    <s v="No"/>
    <s v="Yes"/>
    <s v="No"/>
    <s v="No"/>
    <s v="No"/>
    <m/>
    <s v="1+ Failures"/>
    <n v="1"/>
    <s v="20+ hrs"/>
    <s v="12+ months"/>
    <x v="0"/>
  </r>
  <r>
    <n v="383"/>
    <d v="2023-05-22T00:00:00"/>
    <s v="Standard"/>
    <n v="399"/>
    <n v="5"/>
    <n v="2"/>
    <n v="4"/>
    <n v="8"/>
    <n v="24"/>
    <s v="Yes"/>
    <s v="No"/>
    <s v="Yes"/>
    <s v="No"/>
    <s v="Yes"/>
    <s v="No"/>
    <m/>
    <s v="1+ Failures"/>
    <n v="1"/>
    <s v="0-5 hrs"/>
    <s v="6-12months"/>
    <x v="1"/>
  </r>
  <r>
    <n v="384"/>
    <d v="2024-10-22T00:00:00"/>
    <s v="Premium"/>
    <n v="699"/>
    <n v="10.9"/>
    <n v="7"/>
    <n v="5"/>
    <n v="25"/>
    <n v="34"/>
    <s v="Yes"/>
    <s v="No"/>
    <s v="Yes"/>
    <s v="Yes"/>
    <s v="Yes"/>
    <s v="No"/>
    <m/>
    <s v="1+ Failures"/>
    <n v="1"/>
    <s v="10-20hrs"/>
    <s v="12+ months"/>
    <x v="0"/>
  </r>
  <r>
    <n v="385"/>
    <d v="2024-04-06T00:00:00"/>
    <s v="Basic"/>
    <n v="199"/>
    <n v="4.5999999999999996"/>
    <n v="4"/>
    <n v="1"/>
    <n v="36"/>
    <n v="11"/>
    <s v="Yes"/>
    <s v="Yes"/>
    <s v="Yes"/>
    <s v="No"/>
    <s v="No"/>
    <s v="No"/>
    <m/>
    <s v="1+ Failures"/>
    <n v="1"/>
    <s v="0-5 hrs"/>
    <s v="12+ months"/>
    <x v="1"/>
  </r>
  <r>
    <n v="386"/>
    <d v="2024-01-29T00:00:00"/>
    <s v="Premium"/>
    <n v="699"/>
    <n v="21.7"/>
    <n v="0"/>
    <n v="3"/>
    <n v="4"/>
    <n v="8"/>
    <s v="Yes"/>
    <s v="No"/>
    <s v="Yes"/>
    <s v="No"/>
    <s v="No"/>
    <s v="Yes"/>
    <m/>
    <s v="1+ Failures"/>
    <n v="1"/>
    <s v="20+ hrs"/>
    <s v="3-6months"/>
    <x v="0"/>
  </r>
  <r>
    <n v="387"/>
    <d v="2024-03-30T00:00:00"/>
    <s v="Premium"/>
    <n v="699"/>
    <n v="16.5"/>
    <n v="6"/>
    <n v="5"/>
    <n v="33"/>
    <n v="31"/>
    <s v="Yes"/>
    <s v="No"/>
    <s v="Yes"/>
    <s v="Yes"/>
    <s v="Yes"/>
    <s v="No"/>
    <m/>
    <s v="1+ Failures"/>
    <n v="1"/>
    <s v="10-20hrs"/>
    <s v="12+ months"/>
    <x v="0"/>
  </r>
  <r>
    <n v="388"/>
    <d v="2023-08-19T00:00:00"/>
    <s v="Standard"/>
    <n v="399"/>
    <n v="2.5"/>
    <n v="0"/>
    <n v="1"/>
    <n v="11"/>
    <n v="18"/>
    <s v="Yes"/>
    <s v="Yes"/>
    <s v="Yes"/>
    <s v="No"/>
    <s v="Yes"/>
    <s v="No"/>
    <m/>
    <s v="1+ Failures"/>
    <n v="1"/>
    <s v="0-5 hrs"/>
    <s v="6-12months"/>
    <x v="1"/>
  </r>
  <r>
    <n v="389"/>
    <d v="2024-05-22T00:00:00"/>
    <s v="Premium"/>
    <n v="699"/>
    <n v="4.5999999999999996"/>
    <n v="7"/>
    <n v="4"/>
    <n v="19"/>
    <n v="47"/>
    <s v="Yes"/>
    <s v="Yes"/>
    <s v="Yes"/>
    <s v="Yes"/>
    <s v="Yes"/>
    <s v="No"/>
    <m/>
    <s v="1+ Failures"/>
    <n v="1"/>
    <s v="0-5 hrs"/>
    <s v="12+ months"/>
    <x v="0"/>
  </r>
  <r>
    <n v="390"/>
    <d v="2024-01-11T00:00:00"/>
    <s v="Premium"/>
    <n v="699"/>
    <n v="3.3"/>
    <n v="1"/>
    <n v="2"/>
    <n v="33"/>
    <n v="49"/>
    <s v="Yes"/>
    <s v="Yes"/>
    <s v="Yes"/>
    <s v="No"/>
    <s v="Yes"/>
    <s v="No"/>
    <m/>
    <s v="1+ Failures"/>
    <n v="1"/>
    <s v="0-5 hrs"/>
    <s v="12+ months"/>
    <x v="0"/>
  </r>
  <r>
    <n v="391"/>
    <d v="2023-04-15T00:00:00"/>
    <s v="Premium"/>
    <n v="699"/>
    <n v="19.100000000000001"/>
    <n v="7"/>
    <n v="4"/>
    <n v="3"/>
    <n v="13"/>
    <s v="No"/>
    <s v="No"/>
    <s v="Yes"/>
    <s v="Yes"/>
    <s v="No"/>
    <s v="Yes"/>
    <m/>
    <s v="1+ Failures"/>
    <n v="0"/>
    <s v="10-20hrs"/>
    <s v="0-3months"/>
    <x v="0"/>
  </r>
  <r>
    <n v="392"/>
    <d v="2023-03-31T00:00:00"/>
    <s v="Premium"/>
    <n v="699"/>
    <n v="7.8"/>
    <n v="0"/>
    <n v="3"/>
    <n v="16"/>
    <n v="16"/>
    <s v="Yes"/>
    <s v="No"/>
    <s v="Yes"/>
    <s v="No"/>
    <s v="Yes"/>
    <s v="No"/>
    <m/>
    <s v="1+ Failures"/>
    <n v="1"/>
    <s v="5-10 hrs"/>
    <s v="12+ months"/>
    <x v="0"/>
  </r>
  <r>
    <n v="393"/>
    <d v="2024-12-06T00:00:00"/>
    <s v="Standard"/>
    <n v="399"/>
    <n v="19.5"/>
    <n v="3"/>
    <n v="1"/>
    <n v="8"/>
    <n v="51"/>
    <s v="No"/>
    <s v="No"/>
    <s v="Yes"/>
    <s v="No"/>
    <s v="Yes"/>
    <s v="No"/>
    <m/>
    <s v="1+ Failures"/>
    <n v="0"/>
    <s v="10-20hrs"/>
    <s v="6-12months"/>
    <x v="1"/>
  </r>
  <r>
    <n v="394"/>
    <d v="2023-03-02T00:00:00"/>
    <s v="Standard"/>
    <n v="399"/>
    <n v="4.5999999999999996"/>
    <n v="2"/>
    <n v="1"/>
    <n v="28"/>
    <n v="52"/>
    <s v="Yes"/>
    <s v="Yes"/>
    <s v="Yes"/>
    <s v="No"/>
    <s v="Yes"/>
    <s v="No"/>
    <m/>
    <s v="1+ Failures"/>
    <n v="1"/>
    <s v="0-5 hrs"/>
    <s v="12+ months"/>
    <x v="1"/>
  </r>
  <r>
    <n v="395"/>
    <d v="2023-10-27T00:00:00"/>
    <s v="Premium"/>
    <n v="699"/>
    <n v="13.5"/>
    <n v="8"/>
    <n v="1"/>
    <n v="23"/>
    <n v="20"/>
    <s v="No"/>
    <s v="No"/>
    <s v="Yes"/>
    <s v="Yes"/>
    <s v="Yes"/>
    <s v="No"/>
    <m/>
    <s v="1+ Failures"/>
    <n v="0"/>
    <s v="10-20hrs"/>
    <s v="12+ months"/>
    <x v="0"/>
  </r>
  <r>
    <n v="396"/>
    <d v="2024-02-26T00:00:00"/>
    <s v="Standard"/>
    <n v="399"/>
    <n v="23.8"/>
    <n v="8"/>
    <n v="5"/>
    <n v="18"/>
    <n v="52"/>
    <s v="Yes"/>
    <s v="No"/>
    <s v="Yes"/>
    <s v="Yes"/>
    <s v="Yes"/>
    <s v="No"/>
    <m/>
    <s v="1+ Failures"/>
    <n v="1"/>
    <s v="20+ hrs"/>
    <s v="12+ months"/>
    <x v="1"/>
  </r>
  <r>
    <n v="397"/>
    <d v="2023-05-30T00:00:00"/>
    <s v="Basic"/>
    <n v="199"/>
    <n v="21.7"/>
    <n v="2"/>
    <n v="5"/>
    <n v="18"/>
    <n v="55"/>
    <s v="Yes"/>
    <s v="No"/>
    <s v="Yes"/>
    <s v="No"/>
    <s v="Yes"/>
    <s v="No"/>
    <m/>
    <s v="1+ Failures"/>
    <n v="1"/>
    <s v="20+ hrs"/>
    <s v="12+ months"/>
    <x v="1"/>
  </r>
  <r>
    <n v="398"/>
    <d v="2023-10-03T00:00:00"/>
    <s v="Premium"/>
    <n v="699"/>
    <n v="20.8"/>
    <n v="6"/>
    <n v="3"/>
    <n v="21"/>
    <n v="9"/>
    <s v="No"/>
    <s v="No"/>
    <s v="Yes"/>
    <s v="Yes"/>
    <s v="No"/>
    <s v="No"/>
    <m/>
    <s v="1+ Failures"/>
    <n v="0"/>
    <s v="20+ hrs"/>
    <s v="12+ months"/>
    <x v="0"/>
  </r>
  <r>
    <n v="399"/>
    <d v="2023-04-06T00:00:00"/>
    <s v="Premium"/>
    <n v="699"/>
    <n v="9.6999999999999993"/>
    <n v="1"/>
    <n v="5"/>
    <n v="27"/>
    <n v="50"/>
    <s v="No"/>
    <s v="No"/>
    <s v="Yes"/>
    <s v="No"/>
    <s v="Yes"/>
    <s v="No"/>
    <m/>
    <s v="1+ Failures"/>
    <n v="0"/>
    <s v="5-10 hrs"/>
    <s v="12+ months"/>
    <x v="0"/>
  </r>
  <r>
    <n v="400"/>
    <d v="2024-08-18T00:00:00"/>
    <s v="Standard"/>
    <n v="399"/>
    <n v="18.899999999999999"/>
    <n v="5"/>
    <n v="3"/>
    <n v="33"/>
    <n v="60"/>
    <s v="Yes"/>
    <s v="No"/>
    <s v="Yes"/>
    <s v="Yes"/>
    <s v="Yes"/>
    <s v="No"/>
    <m/>
    <s v="1+ Failures"/>
    <n v="1"/>
    <s v="10-20hrs"/>
    <s v="12+ months"/>
    <x v="1"/>
  </r>
  <r>
    <n v="401"/>
    <d v="2023-03-06T00:00:00"/>
    <s v="Basic"/>
    <n v="199"/>
    <n v="18.399999999999999"/>
    <n v="7"/>
    <n v="5"/>
    <n v="6"/>
    <n v="42"/>
    <s v="Yes"/>
    <s v="No"/>
    <s v="Yes"/>
    <s v="Yes"/>
    <s v="Yes"/>
    <s v="No"/>
    <m/>
    <s v="1+ Failures"/>
    <n v="1"/>
    <s v="10-20hrs"/>
    <s v="3-6months"/>
    <x v="1"/>
  </r>
  <r>
    <n v="402"/>
    <d v="2023-10-18T00:00:00"/>
    <s v="Premium"/>
    <n v="699"/>
    <n v="5.8"/>
    <n v="6"/>
    <n v="1"/>
    <n v="26"/>
    <n v="31"/>
    <s v="Yes"/>
    <s v="No"/>
    <s v="Yes"/>
    <s v="Yes"/>
    <s v="Yes"/>
    <s v="No"/>
    <m/>
    <s v="1+ Failures"/>
    <n v="1"/>
    <s v="5-10 hrs"/>
    <s v="12+ months"/>
    <x v="0"/>
  </r>
  <r>
    <n v="403"/>
    <d v="2023-02-19T00:00:00"/>
    <s v="Standard"/>
    <n v="399"/>
    <n v="14.7"/>
    <n v="7"/>
    <n v="2"/>
    <n v="36"/>
    <n v="57"/>
    <s v="Yes"/>
    <s v="No"/>
    <s v="Yes"/>
    <s v="Yes"/>
    <s v="Yes"/>
    <s v="No"/>
    <m/>
    <s v="1+ Failures"/>
    <n v="1"/>
    <s v="10-20hrs"/>
    <s v="12+ months"/>
    <x v="1"/>
  </r>
  <r>
    <n v="404"/>
    <d v="2023-06-11T00:00:00"/>
    <s v="Basic"/>
    <n v="199"/>
    <n v="15.8"/>
    <n v="7"/>
    <n v="0"/>
    <n v="7"/>
    <n v="7"/>
    <s v="No"/>
    <s v="No"/>
    <s v="No"/>
    <s v="Yes"/>
    <s v="No"/>
    <s v="No"/>
    <m/>
    <s v="0 Failures"/>
    <n v="0"/>
    <s v="10-20hrs"/>
    <s v="6-12months"/>
    <x v="1"/>
  </r>
  <r>
    <n v="405"/>
    <d v="2024-10-27T00:00:00"/>
    <s v="Standard"/>
    <n v="399"/>
    <n v="0.5"/>
    <n v="6"/>
    <n v="1"/>
    <n v="30"/>
    <n v="44"/>
    <s v="No"/>
    <s v="Yes"/>
    <s v="Yes"/>
    <s v="Yes"/>
    <s v="Yes"/>
    <s v="No"/>
    <m/>
    <s v="1+ Failures"/>
    <n v="0"/>
    <s v="0-5 hrs"/>
    <s v="12+ months"/>
    <x v="1"/>
  </r>
  <r>
    <n v="406"/>
    <d v="2023-03-26T00:00:00"/>
    <s v="Standard"/>
    <n v="399"/>
    <n v="21.9"/>
    <n v="4"/>
    <n v="0"/>
    <n v="11"/>
    <n v="41"/>
    <s v="Yes"/>
    <s v="No"/>
    <s v="No"/>
    <s v="No"/>
    <s v="Yes"/>
    <s v="No"/>
    <m/>
    <s v="0 Failures"/>
    <n v="1"/>
    <s v="20+ hrs"/>
    <s v="6-12months"/>
    <x v="1"/>
  </r>
  <r>
    <n v="407"/>
    <d v="2024-03-15T00:00:00"/>
    <s v="Standard"/>
    <n v="399"/>
    <n v="1.8"/>
    <n v="4"/>
    <n v="5"/>
    <n v="11"/>
    <n v="44"/>
    <s v="Yes"/>
    <s v="Yes"/>
    <s v="Yes"/>
    <s v="No"/>
    <s v="Yes"/>
    <s v="No"/>
    <m/>
    <s v="1+ Failures"/>
    <n v="1"/>
    <s v="0-5 hrs"/>
    <s v="6-12months"/>
    <x v="1"/>
  </r>
  <r>
    <n v="408"/>
    <d v="2024-08-30T00:00:00"/>
    <s v="Premium"/>
    <n v="699"/>
    <n v="17.7"/>
    <n v="0"/>
    <n v="1"/>
    <n v="6"/>
    <n v="30"/>
    <s v="Yes"/>
    <s v="No"/>
    <s v="Yes"/>
    <s v="No"/>
    <s v="Yes"/>
    <s v="No"/>
    <m/>
    <s v="1+ Failures"/>
    <n v="1"/>
    <s v="10-20hrs"/>
    <s v="3-6months"/>
    <x v="0"/>
  </r>
  <r>
    <n v="409"/>
    <d v="2023-05-04T00:00:00"/>
    <s v="Basic"/>
    <n v="199"/>
    <n v="17.2"/>
    <n v="0"/>
    <n v="0"/>
    <n v="34"/>
    <n v="44"/>
    <s v="Yes"/>
    <s v="No"/>
    <s v="No"/>
    <s v="No"/>
    <s v="Yes"/>
    <s v="No"/>
    <m/>
    <s v="0 Failures"/>
    <n v="1"/>
    <s v="10-20hrs"/>
    <s v="12+ months"/>
    <x v="1"/>
  </r>
  <r>
    <n v="410"/>
    <d v="2023-04-15T00:00:00"/>
    <s v="Standard"/>
    <n v="399"/>
    <n v="12.2"/>
    <n v="3"/>
    <n v="3"/>
    <n v="9"/>
    <n v="5"/>
    <s v="No"/>
    <s v="No"/>
    <s v="Yes"/>
    <s v="No"/>
    <s v="No"/>
    <s v="No"/>
    <m/>
    <s v="1+ Failures"/>
    <n v="0"/>
    <s v="10-20hrs"/>
    <s v="6-12months"/>
    <x v="1"/>
  </r>
  <r>
    <n v="411"/>
    <d v="2023-05-17T00:00:00"/>
    <s v="Basic"/>
    <n v="199"/>
    <n v="9.5"/>
    <n v="4"/>
    <n v="1"/>
    <n v="21"/>
    <n v="24"/>
    <s v="No"/>
    <s v="No"/>
    <s v="Yes"/>
    <s v="No"/>
    <s v="Yes"/>
    <s v="No"/>
    <m/>
    <s v="1+ Failures"/>
    <n v="0"/>
    <s v="5-10 hrs"/>
    <s v="12+ months"/>
    <x v="1"/>
  </r>
  <r>
    <n v="412"/>
    <d v="2023-12-26T00:00:00"/>
    <s v="Premium"/>
    <n v="699"/>
    <n v="2.2000000000000002"/>
    <n v="0"/>
    <n v="4"/>
    <n v="10"/>
    <n v="41"/>
    <s v="Yes"/>
    <s v="Yes"/>
    <s v="Yes"/>
    <s v="No"/>
    <s v="Yes"/>
    <s v="No"/>
    <m/>
    <s v="1+ Failures"/>
    <n v="1"/>
    <s v="0-5 hrs"/>
    <s v="6-12months"/>
    <x v="0"/>
  </r>
  <r>
    <n v="413"/>
    <d v="2023-08-11T00:00:00"/>
    <s v="Premium"/>
    <n v="699"/>
    <n v="15.9"/>
    <n v="2"/>
    <n v="3"/>
    <n v="14"/>
    <n v="39"/>
    <s v="No"/>
    <s v="No"/>
    <s v="Yes"/>
    <s v="No"/>
    <s v="Yes"/>
    <s v="No"/>
    <m/>
    <s v="1+ Failures"/>
    <n v="0"/>
    <s v="10-20hrs"/>
    <s v="12+ months"/>
    <x v="0"/>
  </r>
  <r>
    <n v="414"/>
    <d v="2024-03-15T00:00:00"/>
    <s v="Basic"/>
    <n v="199"/>
    <n v="3.9"/>
    <n v="1"/>
    <n v="4"/>
    <n v="7"/>
    <n v="46"/>
    <s v="Yes"/>
    <s v="Yes"/>
    <s v="Yes"/>
    <s v="No"/>
    <s v="Yes"/>
    <s v="No"/>
    <m/>
    <s v="1+ Failures"/>
    <n v="1"/>
    <s v="0-5 hrs"/>
    <s v="6-12months"/>
    <x v="1"/>
  </r>
  <r>
    <n v="415"/>
    <d v="2024-09-14T00:00:00"/>
    <s v="Standard"/>
    <n v="399"/>
    <n v="6.6"/>
    <n v="1"/>
    <n v="1"/>
    <n v="9"/>
    <n v="35"/>
    <s v="No"/>
    <s v="No"/>
    <s v="Yes"/>
    <s v="No"/>
    <s v="Yes"/>
    <s v="No"/>
    <m/>
    <s v="1+ Failures"/>
    <n v="0"/>
    <s v="5-10 hrs"/>
    <s v="6-12months"/>
    <x v="1"/>
  </r>
  <r>
    <n v="416"/>
    <d v="2023-07-13T00:00:00"/>
    <s v="Standard"/>
    <n v="399"/>
    <n v="21.3"/>
    <n v="4"/>
    <n v="1"/>
    <n v="2"/>
    <n v="33"/>
    <s v="No"/>
    <s v="No"/>
    <s v="Yes"/>
    <s v="No"/>
    <s v="Yes"/>
    <s v="Yes"/>
    <m/>
    <s v="1+ Failures"/>
    <n v="0"/>
    <s v="20+ hrs"/>
    <s v="0-3months"/>
    <x v="1"/>
  </r>
  <r>
    <n v="417"/>
    <d v="2023-09-04T00:00:00"/>
    <s v="Premium"/>
    <n v="699"/>
    <n v="7.7"/>
    <n v="0"/>
    <n v="1"/>
    <n v="26"/>
    <n v="31"/>
    <s v="No"/>
    <s v="No"/>
    <s v="Yes"/>
    <s v="No"/>
    <s v="Yes"/>
    <s v="No"/>
    <m/>
    <s v="1+ Failures"/>
    <n v="0"/>
    <s v="5-10 hrs"/>
    <s v="12+ months"/>
    <x v="0"/>
  </r>
  <r>
    <n v="418"/>
    <d v="2024-02-01T00:00:00"/>
    <s v="Standard"/>
    <n v="399"/>
    <n v="13.4"/>
    <n v="0"/>
    <n v="2"/>
    <n v="5"/>
    <n v="59"/>
    <s v="Yes"/>
    <s v="No"/>
    <s v="Yes"/>
    <s v="No"/>
    <s v="Yes"/>
    <s v="Yes"/>
    <m/>
    <s v="1+ Failures"/>
    <n v="1"/>
    <s v="10-20hrs"/>
    <s v="3-6months"/>
    <x v="1"/>
  </r>
  <r>
    <n v="419"/>
    <d v="2024-08-24T00:00:00"/>
    <s v="Premium"/>
    <n v="699"/>
    <n v="9.5"/>
    <n v="2"/>
    <n v="3"/>
    <n v="27"/>
    <n v="49"/>
    <s v="Yes"/>
    <s v="No"/>
    <s v="Yes"/>
    <s v="No"/>
    <s v="Yes"/>
    <s v="No"/>
    <m/>
    <s v="1+ Failures"/>
    <n v="1"/>
    <s v="5-10 hrs"/>
    <s v="12+ months"/>
    <x v="0"/>
  </r>
  <r>
    <n v="420"/>
    <d v="2024-06-02T00:00:00"/>
    <s v="Basic"/>
    <n v="199"/>
    <n v="6.9"/>
    <n v="0"/>
    <n v="0"/>
    <n v="1"/>
    <n v="60"/>
    <s v="No"/>
    <s v="No"/>
    <s v="No"/>
    <s v="No"/>
    <s v="Yes"/>
    <s v="Yes"/>
    <m/>
    <s v="0 Failures"/>
    <n v="0"/>
    <s v="5-10 hrs"/>
    <s v="0-3months"/>
    <x v="1"/>
  </r>
  <r>
    <n v="421"/>
    <d v="2024-07-03T00:00:00"/>
    <s v="Standard"/>
    <n v="399"/>
    <n v="19.3"/>
    <n v="6"/>
    <n v="5"/>
    <n v="33"/>
    <n v="25"/>
    <s v="Yes"/>
    <s v="No"/>
    <s v="Yes"/>
    <s v="Yes"/>
    <s v="Yes"/>
    <s v="No"/>
    <m/>
    <s v="1+ Failures"/>
    <n v="1"/>
    <s v="10-20hrs"/>
    <s v="12+ months"/>
    <x v="1"/>
  </r>
  <r>
    <n v="422"/>
    <d v="2023-06-09T00:00:00"/>
    <s v="Premium"/>
    <n v="699"/>
    <n v="7.3"/>
    <n v="4"/>
    <n v="0"/>
    <n v="10"/>
    <n v="32"/>
    <s v="No"/>
    <s v="No"/>
    <s v="No"/>
    <s v="No"/>
    <s v="Yes"/>
    <s v="No"/>
    <m/>
    <s v="0 Failures"/>
    <n v="0"/>
    <s v="5-10 hrs"/>
    <s v="6-12months"/>
    <x v="0"/>
  </r>
  <r>
    <n v="423"/>
    <d v="2023-09-02T00:00:00"/>
    <s v="Premium"/>
    <n v="699"/>
    <n v="10.1"/>
    <n v="1"/>
    <n v="2"/>
    <n v="21"/>
    <n v="44"/>
    <s v="Yes"/>
    <s v="No"/>
    <s v="Yes"/>
    <s v="No"/>
    <s v="Yes"/>
    <s v="No"/>
    <m/>
    <s v="1+ Failures"/>
    <n v="1"/>
    <s v="10-20hrs"/>
    <s v="12+ months"/>
    <x v="0"/>
  </r>
  <r>
    <n v="424"/>
    <d v="2023-02-26T00:00:00"/>
    <s v="Basic"/>
    <n v="199"/>
    <n v="2.6"/>
    <n v="6"/>
    <n v="0"/>
    <n v="16"/>
    <n v="29"/>
    <s v="Yes"/>
    <s v="Yes"/>
    <s v="No"/>
    <s v="Yes"/>
    <s v="Yes"/>
    <s v="No"/>
    <m/>
    <s v="0 Failures"/>
    <n v="1"/>
    <s v="0-5 hrs"/>
    <s v="12+ months"/>
    <x v="1"/>
  </r>
  <r>
    <n v="425"/>
    <d v="2023-12-22T00:00:00"/>
    <s v="Standard"/>
    <n v="399"/>
    <n v="3.4"/>
    <n v="2"/>
    <n v="5"/>
    <n v="12"/>
    <n v="0"/>
    <s v="Yes"/>
    <s v="Yes"/>
    <s v="Yes"/>
    <s v="No"/>
    <s v="No"/>
    <s v="No"/>
    <m/>
    <s v="1+ Failures"/>
    <n v="1"/>
    <s v="0-5 hrs"/>
    <s v="6-12months"/>
    <x v="1"/>
  </r>
  <r>
    <n v="426"/>
    <d v="2023-10-03T00:00:00"/>
    <s v="Premium"/>
    <n v="699"/>
    <n v="19.7"/>
    <n v="4"/>
    <n v="1"/>
    <n v="34"/>
    <n v="23"/>
    <s v="Yes"/>
    <s v="No"/>
    <s v="Yes"/>
    <s v="No"/>
    <s v="Yes"/>
    <s v="No"/>
    <m/>
    <s v="1+ Failures"/>
    <n v="1"/>
    <s v="10-20hrs"/>
    <s v="12+ months"/>
    <x v="0"/>
  </r>
  <r>
    <n v="427"/>
    <d v="2024-06-20T00:00:00"/>
    <s v="Premium"/>
    <n v="699"/>
    <n v="19.399999999999999"/>
    <n v="0"/>
    <n v="2"/>
    <n v="8"/>
    <n v="51"/>
    <s v="Yes"/>
    <s v="No"/>
    <s v="Yes"/>
    <s v="No"/>
    <s v="Yes"/>
    <s v="No"/>
    <m/>
    <s v="1+ Failures"/>
    <n v="1"/>
    <s v="10-20hrs"/>
    <s v="6-12months"/>
    <x v="0"/>
  </r>
  <r>
    <n v="428"/>
    <d v="2023-02-26T00:00:00"/>
    <s v="Basic"/>
    <n v="199"/>
    <n v="18"/>
    <n v="1"/>
    <n v="3"/>
    <n v="17"/>
    <n v="29"/>
    <s v="Yes"/>
    <s v="No"/>
    <s v="Yes"/>
    <s v="No"/>
    <s v="Yes"/>
    <s v="No"/>
    <m/>
    <s v="1+ Failures"/>
    <n v="1"/>
    <s v="10-20hrs"/>
    <s v="12+ months"/>
    <x v="1"/>
  </r>
  <r>
    <n v="429"/>
    <d v="2023-04-29T00:00:00"/>
    <s v="Standard"/>
    <n v="399"/>
    <n v="9.5"/>
    <n v="4"/>
    <n v="0"/>
    <n v="11"/>
    <n v="57"/>
    <s v="No"/>
    <s v="No"/>
    <s v="No"/>
    <s v="No"/>
    <s v="Yes"/>
    <s v="No"/>
    <m/>
    <s v="0 Failures"/>
    <n v="0"/>
    <s v="5-10 hrs"/>
    <s v="6-12months"/>
    <x v="1"/>
  </r>
  <r>
    <n v="430"/>
    <d v="2024-01-28T00:00:00"/>
    <s v="Basic"/>
    <n v="199"/>
    <n v="0.6"/>
    <n v="0"/>
    <n v="1"/>
    <n v="33"/>
    <n v="2"/>
    <s v="No"/>
    <s v="Yes"/>
    <s v="Yes"/>
    <s v="No"/>
    <s v="No"/>
    <s v="No"/>
    <m/>
    <s v="1+ Failures"/>
    <n v="0"/>
    <s v="0-5 hrs"/>
    <s v="12+ months"/>
    <x v="1"/>
  </r>
  <r>
    <n v="431"/>
    <d v="2024-11-02T00:00:00"/>
    <s v="Basic"/>
    <n v="199"/>
    <n v="23.3"/>
    <n v="0"/>
    <n v="4"/>
    <n v="12"/>
    <n v="51"/>
    <s v="No"/>
    <s v="No"/>
    <s v="Yes"/>
    <s v="No"/>
    <s v="Yes"/>
    <s v="No"/>
    <m/>
    <s v="1+ Failures"/>
    <n v="0"/>
    <s v="20+ hrs"/>
    <s v="6-12months"/>
    <x v="1"/>
  </r>
  <r>
    <n v="432"/>
    <d v="2023-03-21T00:00:00"/>
    <s v="Standard"/>
    <n v="399"/>
    <n v="8.4"/>
    <n v="6"/>
    <n v="5"/>
    <n v="15"/>
    <n v="20"/>
    <s v="Yes"/>
    <s v="No"/>
    <s v="Yes"/>
    <s v="Yes"/>
    <s v="Yes"/>
    <s v="No"/>
    <m/>
    <s v="1+ Failures"/>
    <n v="1"/>
    <s v="5-10 hrs"/>
    <s v="12+ months"/>
    <x v="1"/>
  </r>
  <r>
    <n v="433"/>
    <d v="2023-02-17T00:00:00"/>
    <s v="Premium"/>
    <n v="699"/>
    <n v="3.4"/>
    <n v="0"/>
    <n v="1"/>
    <n v="24"/>
    <n v="14"/>
    <s v="No"/>
    <s v="Yes"/>
    <s v="Yes"/>
    <s v="No"/>
    <s v="No"/>
    <s v="No"/>
    <m/>
    <s v="1+ Failures"/>
    <n v="0"/>
    <s v="0-5 hrs"/>
    <s v="12+ months"/>
    <x v="0"/>
  </r>
  <r>
    <n v="434"/>
    <d v="2024-04-12T00:00:00"/>
    <s v="Standard"/>
    <n v="399"/>
    <n v="22"/>
    <n v="4"/>
    <n v="2"/>
    <n v="5"/>
    <n v="20"/>
    <s v="Yes"/>
    <s v="No"/>
    <s v="Yes"/>
    <s v="No"/>
    <s v="Yes"/>
    <s v="Yes"/>
    <m/>
    <s v="1+ Failures"/>
    <n v="1"/>
    <s v="20+ hrs"/>
    <s v="3-6months"/>
    <x v="1"/>
  </r>
  <r>
    <n v="435"/>
    <d v="2024-01-13T00:00:00"/>
    <s v="Basic"/>
    <n v="199"/>
    <n v="5.4"/>
    <n v="4"/>
    <n v="5"/>
    <n v="24"/>
    <n v="39"/>
    <s v="Yes"/>
    <s v="No"/>
    <s v="Yes"/>
    <s v="No"/>
    <s v="Yes"/>
    <s v="No"/>
    <m/>
    <s v="1+ Failures"/>
    <n v="1"/>
    <s v="5-10 hrs"/>
    <s v="12+ months"/>
    <x v="1"/>
  </r>
  <r>
    <n v="436"/>
    <d v="2023-09-09T00:00:00"/>
    <s v="Premium"/>
    <n v="699"/>
    <n v="24.9"/>
    <n v="3"/>
    <n v="5"/>
    <n v="32"/>
    <n v="57"/>
    <s v="Yes"/>
    <s v="No"/>
    <s v="Yes"/>
    <s v="No"/>
    <s v="Yes"/>
    <s v="No"/>
    <m/>
    <s v="1+ Failures"/>
    <n v="1"/>
    <s v="20+ hrs"/>
    <s v="12+ months"/>
    <x v="0"/>
  </r>
  <r>
    <n v="437"/>
    <d v="2024-12-11T00:00:00"/>
    <s v="Basic"/>
    <n v="199"/>
    <n v="23.3"/>
    <n v="0"/>
    <n v="1"/>
    <n v="1"/>
    <n v="34"/>
    <s v="Yes"/>
    <s v="No"/>
    <s v="Yes"/>
    <s v="No"/>
    <s v="Yes"/>
    <s v="Yes"/>
    <m/>
    <s v="1+ Failures"/>
    <n v="1"/>
    <s v="20+ hrs"/>
    <s v="0-3months"/>
    <x v="1"/>
  </r>
  <r>
    <n v="438"/>
    <d v="2023-07-30T00:00:00"/>
    <s v="Basic"/>
    <n v="199"/>
    <n v="0.5"/>
    <n v="6"/>
    <n v="5"/>
    <n v="22"/>
    <n v="46"/>
    <s v="Yes"/>
    <s v="Yes"/>
    <s v="Yes"/>
    <s v="Yes"/>
    <s v="Yes"/>
    <s v="No"/>
    <m/>
    <s v="1+ Failures"/>
    <n v="1"/>
    <s v="0-5 hrs"/>
    <s v="12+ months"/>
    <x v="1"/>
  </r>
  <r>
    <n v="439"/>
    <d v="2023-02-14T00:00:00"/>
    <s v="Premium"/>
    <n v="699"/>
    <n v="10.8"/>
    <n v="0"/>
    <n v="1"/>
    <n v="16"/>
    <n v="45"/>
    <s v="Yes"/>
    <s v="No"/>
    <s v="Yes"/>
    <s v="No"/>
    <s v="Yes"/>
    <s v="No"/>
    <m/>
    <s v="1+ Failures"/>
    <n v="1"/>
    <s v="10-20hrs"/>
    <s v="12+ months"/>
    <x v="0"/>
  </r>
  <r>
    <n v="440"/>
    <d v="2023-04-08T00:00:00"/>
    <s v="Basic"/>
    <n v="199"/>
    <n v="10.6"/>
    <n v="5"/>
    <n v="3"/>
    <n v="34"/>
    <n v="47"/>
    <s v="Yes"/>
    <s v="No"/>
    <s v="Yes"/>
    <s v="Yes"/>
    <s v="Yes"/>
    <s v="No"/>
    <m/>
    <s v="1+ Failures"/>
    <n v="1"/>
    <s v="10-20hrs"/>
    <s v="12+ months"/>
    <x v="1"/>
  </r>
  <r>
    <n v="441"/>
    <d v="2024-03-21T00:00:00"/>
    <s v="Premium"/>
    <n v="699"/>
    <n v="16.100000000000001"/>
    <n v="6"/>
    <n v="0"/>
    <n v="9"/>
    <n v="37"/>
    <s v="No"/>
    <s v="No"/>
    <s v="No"/>
    <s v="Yes"/>
    <s v="Yes"/>
    <s v="No"/>
    <m/>
    <s v="0 Failures"/>
    <n v="0"/>
    <s v="10-20hrs"/>
    <s v="6-12months"/>
    <x v="0"/>
  </r>
  <r>
    <n v="442"/>
    <d v="2024-12-18T00:00:00"/>
    <s v="Premium"/>
    <n v="699"/>
    <n v="6.3"/>
    <n v="4"/>
    <n v="2"/>
    <n v="9"/>
    <n v="59"/>
    <s v="No"/>
    <s v="No"/>
    <s v="Yes"/>
    <s v="No"/>
    <s v="Yes"/>
    <s v="No"/>
    <m/>
    <s v="1+ Failures"/>
    <n v="0"/>
    <s v="5-10 hrs"/>
    <s v="6-12months"/>
    <x v="0"/>
  </r>
  <r>
    <n v="443"/>
    <d v="2023-05-20T00:00:00"/>
    <s v="Premium"/>
    <n v="699"/>
    <n v="8.3000000000000007"/>
    <n v="4"/>
    <n v="1"/>
    <n v="21"/>
    <n v="4"/>
    <s v="No"/>
    <s v="No"/>
    <s v="Yes"/>
    <s v="No"/>
    <s v="No"/>
    <s v="No"/>
    <m/>
    <s v="1+ Failures"/>
    <n v="0"/>
    <s v="5-10 hrs"/>
    <s v="12+ months"/>
    <x v="0"/>
  </r>
  <r>
    <n v="444"/>
    <d v="2023-05-04T00:00:00"/>
    <s v="Premium"/>
    <n v="699"/>
    <n v="4.3"/>
    <n v="2"/>
    <n v="3"/>
    <n v="7"/>
    <n v="29"/>
    <s v="Yes"/>
    <s v="Yes"/>
    <s v="Yes"/>
    <s v="No"/>
    <s v="Yes"/>
    <s v="No"/>
    <m/>
    <s v="1+ Failures"/>
    <n v="1"/>
    <s v="0-5 hrs"/>
    <s v="6-12months"/>
    <x v="0"/>
  </r>
  <r>
    <n v="445"/>
    <d v="2023-05-03T00:00:00"/>
    <s v="Premium"/>
    <n v="699"/>
    <n v="24.1"/>
    <n v="3"/>
    <n v="3"/>
    <n v="23"/>
    <n v="19"/>
    <s v="No"/>
    <s v="No"/>
    <s v="Yes"/>
    <s v="No"/>
    <s v="Yes"/>
    <s v="No"/>
    <m/>
    <s v="1+ Failures"/>
    <n v="0"/>
    <s v="20+ hrs"/>
    <s v="12+ months"/>
    <x v="0"/>
  </r>
  <r>
    <n v="446"/>
    <d v="2023-08-09T00:00:00"/>
    <s v="Basic"/>
    <n v="199"/>
    <n v="20.3"/>
    <n v="4"/>
    <n v="5"/>
    <n v="11"/>
    <n v="44"/>
    <s v="Yes"/>
    <s v="No"/>
    <s v="Yes"/>
    <s v="No"/>
    <s v="Yes"/>
    <s v="No"/>
    <m/>
    <s v="1+ Failures"/>
    <n v="1"/>
    <s v="20+ hrs"/>
    <s v="6-12months"/>
    <x v="1"/>
  </r>
  <r>
    <n v="447"/>
    <d v="2024-11-24T00:00:00"/>
    <s v="Standard"/>
    <n v="399"/>
    <n v="2.7"/>
    <n v="3"/>
    <n v="2"/>
    <n v="10"/>
    <n v="25"/>
    <s v="Yes"/>
    <s v="Yes"/>
    <s v="Yes"/>
    <s v="No"/>
    <s v="Yes"/>
    <s v="No"/>
    <m/>
    <s v="1+ Failures"/>
    <n v="1"/>
    <s v="0-5 hrs"/>
    <s v="6-12months"/>
    <x v="1"/>
  </r>
  <r>
    <n v="448"/>
    <d v="2024-04-08T00:00:00"/>
    <s v="Standard"/>
    <n v="399"/>
    <n v="20.6"/>
    <n v="2"/>
    <n v="0"/>
    <n v="17"/>
    <n v="60"/>
    <s v="No"/>
    <s v="No"/>
    <s v="No"/>
    <s v="No"/>
    <s v="Yes"/>
    <s v="No"/>
    <m/>
    <s v="0 Failures"/>
    <n v="0"/>
    <s v="20+ hrs"/>
    <s v="12+ months"/>
    <x v="1"/>
  </r>
  <r>
    <n v="449"/>
    <d v="2023-05-05T00:00:00"/>
    <s v="Premium"/>
    <n v="699"/>
    <n v="6.6"/>
    <n v="7"/>
    <n v="0"/>
    <n v="36"/>
    <n v="51"/>
    <s v="No"/>
    <s v="No"/>
    <s v="No"/>
    <s v="Yes"/>
    <s v="Yes"/>
    <s v="No"/>
    <m/>
    <s v="0 Failures"/>
    <n v="0"/>
    <s v="5-10 hrs"/>
    <s v="12+ months"/>
    <x v="0"/>
  </r>
  <r>
    <n v="450"/>
    <d v="2024-01-17T00:00:00"/>
    <s v="Basic"/>
    <n v="199"/>
    <n v="20.8"/>
    <n v="3"/>
    <n v="1"/>
    <n v="4"/>
    <n v="12"/>
    <s v="No"/>
    <s v="No"/>
    <s v="Yes"/>
    <s v="No"/>
    <s v="No"/>
    <s v="Yes"/>
    <m/>
    <s v="1+ Failures"/>
    <n v="0"/>
    <s v="20+ hrs"/>
    <s v="3-6months"/>
    <x v="1"/>
  </r>
  <r>
    <n v="451"/>
    <d v="2023-07-22T00:00:00"/>
    <s v="Premium"/>
    <n v="699"/>
    <n v="14.8"/>
    <n v="4"/>
    <n v="0"/>
    <n v="6"/>
    <n v="1"/>
    <s v="No"/>
    <s v="No"/>
    <s v="No"/>
    <s v="No"/>
    <s v="No"/>
    <s v="No"/>
    <m/>
    <s v="0 Failures"/>
    <n v="0"/>
    <s v="10-20hrs"/>
    <s v="3-6months"/>
    <x v="0"/>
  </r>
  <r>
    <n v="452"/>
    <d v="2024-04-17T00:00:00"/>
    <s v="Premium"/>
    <n v="699"/>
    <n v="20.3"/>
    <n v="1"/>
    <n v="2"/>
    <n v="29"/>
    <n v="7"/>
    <s v="Yes"/>
    <s v="No"/>
    <s v="Yes"/>
    <s v="No"/>
    <s v="No"/>
    <s v="No"/>
    <m/>
    <s v="1+ Failures"/>
    <n v="1"/>
    <s v="20+ hrs"/>
    <s v="12+ months"/>
    <x v="0"/>
  </r>
  <r>
    <n v="453"/>
    <d v="2024-01-27T00:00:00"/>
    <s v="Basic"/>
    <n v="199"/>
    <n v="23.1"/>
    <n v="6"/>
    <n v="5"/>
    <n v="11"/>
    <n v="25"/>
    <s v="Yes"/>
    <s v="No"/>
    <s v="Yes"/>
    <s v="Yes"/>
    <s v="Yes"/>
    <s v="No"/>
    <m/>
    <s v="1+ Failures"/>
    <n v="1"/>
    <s v="20+ hrs"/>
    <s v="6-12months"/>
    <x v="1"/>
  </r>
  <r>
    <n v="454"/>
    <d v="2023-06-02T00:00:00"/>
    <s v="Premium"/>
    <n v="699"/>
    <n v="4.7"/>
    <n v="3"/>
    <n v="1"/>
    <n v="28"/>
    <n v="17"/>
    <s v="Yes"/>
    <s v="Yes"/>
    <s v="Yes"/>
    <s v="No"/>
    <s v="Yes"/>
    <s v="No"/>
    <m/>
    <s v="1+ Failures"/>
    <n v="1"/>
    <s v="0-5 hrs"/>
    <s v="12+ months"/>
    <x v="0"/>
  </r>
  <r>
    <n v="455"/>
    <d v="2023-03-04T00:00:00"/>
    <s v="Basic"/>
    <n v="199"/>
    <n v="16.399999999999999"/>
    <n v="7"/>
    <n v="3"/>
    <n v="16"/>
    <n v="56"/>
    <s v="Yes"/>
    <s v="No"/>
    <s v="Yes"/>
    <s v="Yes"/>
    <s v="Yes"/>
    <s v="No"/>
    <m/>
    <s v="1+ Failures"/>
    <n v="1"/>
    <s v="10-20hrs"/>
    <s v="12+ months"/>
    <x v="1"/>
  </r>
  <r>
    <n v="456"/>
    <d v="2024-06-22T00:00:00"/>
    <s v="Basic"/>
    <n v="199"/>
    <n v="9.9"/>
    <n v="6"/>
    <n v="1"/>
    <n v="18"/>
    <n v="41"/>
    <s v="No"/>
    <s v="No"/>
    <s v="Yes"/>
    <s v="Yes"/>
    <s v="Yes"/>
    <s v="No"/>
    <m/>
    <s v="1+ Failures"/>
    <n v="0"/>
    <s v="5-10 hrs"/>
    <s v="12+ months"/>
    <x v="1"/>
  </r>
  <r>
    <n v="457"/>
    <d v="2024-05-11T00:00:00"/>
    <s v="Basic"/>
    <n v="199"/>
    <n v="20"/>
    <n v="6"/>
    <n v="5"/>
    <n v="35"/>
    <n v="22"/>
    <s v="Yes"/>
    <s v="No"/>
    <s v="Yes"/>
    <s v="Yes"/>
    <s v="Yes"/>
    <s v="No"/>
    <m/>
    <s v="1+ Failures"/>
    <n v="1"/>
    <s v="10-20hrs"/>
    <s v="12+ months"/>
    <x v="1"/>
  </r>
  <r>
    <n v="458"/>
    <d v="2023-08-13T00:00:00"/>
    <s v="Standard"/>
    <n v="399"/>
    <n v="8.4"/>
    <n v="4"/>
    <n v="1"/>
    <n v="33"/>
    <n v="1"/>
    <s v="No"/>
    <s v="No"/>
    <s v="Yes"/>
    <s v="No"/>
    <s v="No"/>
    <s v="No"/>
    <m/>
    <s v="1+ Failures"/>
    <n v="0"/>
    <s v="5-10 hrs"/>
    <s v="12+ months"/>
    <x v="1"/>
  </r>
  <r>
    <n v="459"/>
    <d v="2023-08-27T00:00:00"/>
    <s v="Basic"/>
    <n v="199"/>
    <n v="1.9"/>
    <n v="7"/>
    <n v="4"/>
    <n v="18"/>
    <n v="22"/>
    <s v="Yes"/>
    <s v="Yes"/>
    <s v="Yes"/>
    <s v="Yes"/>
    <s v="Yes"/>
    <s v="No"/>
    <m/>
    <s v="1+ Failures"/>
    <n v="1"/>
    <s v="0-5 hrs"/>
    <s v="12+ months"/>
    <x v="1"/>
  </r>
  <r>
    <n v="460"/>
    <d v="2023-02-27T00:00:00"/>
    <s v="Basic"/>
    <n v="199"/>
    <n v="6.6"/>
    <n v="3"/>
    <n v="2"/>
    <n v="7"/>
    <n v="34"/>
    <s v="No"/>
    <s v="No"/>
    <s v="Yes"/>
    <s v="No"/>
    <s v="Yes"/>
    <s v="No"/>
    <m/>
    <s v="1+ Failures"/>
    <n v="0"/>
    <s v="5-10 hrs"/>
    <s v="6-12months"/>
    <x v="1"/>
  </r>
  <r>
    <n v="461"/>
    <d v="2024-12-15T00:00:00"/>
    <s v="Basic"/>
    <n v="199"/>
    <n v="9.1999999999999993"/>
    <n v="2"/>
    <n v="1"/>
    <n v="25"/>
    <n v="15"/>
    <s v="No"/>
    <s v="No"/>
    <s v="Yes"/>
    <s v="No"/>
    <s v="Yes"/>
    <s v="No"/>
    <m/>
    <s v="1+ Failures"/>
    <n v="0"/>
    <s v="5-10 hrs"/>
    <s v="12+ months"/>
    <x v="1"/>
  </r>
  <r>
    <n v="462"/>
    <d v="2023-07-12T00:00:00"/>
    <s v="Standard"/>
    <n v="399"/>
    <n v="17.7"/>
    <n v="5"/>
    <n v="4"/>
    <n v="2"/>
    <n v="36"/>
    <s v="Yes"/>
    <s v="No"/>
    <s v="Yes"/>
    <s v="Yes"/>
    <s v="Yes"/>
    <s v="Yes"/>
    <m/>
    <s v="1+ Failures"/>
    <n v="1"/>
    <s v="10-20hrs"/>
    <s v="0-3months"/>
    <x v="1"/>
  </r>
  <r>
    <n v="463"/>
    <d v="2024-09-08T00:00:00"/>
    <s v="Standard"/>
    <n v="399"/>
    <n v="8.1"/>
    <n v="7"/>
    <n v="0"/>
    <n v="35"/>
    <n v="5"/>
    <s v="Yes"/>
    <s v="No"/>
    <s v="No"/>
    <s v="Yes"/>
    <s v="No"/>
    <s v="No"/>
    <m/>
    <s v="0 Failures"/>
    <n v="1"/>
    <s v="5-10 hrs"/>
    <s v="12+ months"/>
    <x v="1"/>
  </r>
  <r>
    <n v="464"/>
    <d v="2023-05-14T00:00:00"/>
    <s v="Basic"/>
    <n v="199"/>
    <n v="13.4"/>
    <n v="0"/>
    <n v="2"/>
    <n v="2"/>
    <n v="58"/>
    <s v="No"/>
    <s v="No"/>
    <s v="Yes"/>
    <s v="No"/>
    <s v="Yes"/>
    <s v="Yes"/>
    <m/>
    <s v="1+ Failures"/>
    <n v="0"/>
    <s v="10-20hrs"/>
    <s v="0-3months"/>
    <x v="1"/>
  </r>
  <r>
    <n v="465"/>
    <d v="2024-12-22T00:00:00"/>
    <s v="Standard"/>
    <n v="399"/>
    <n v="23"/>
    <n v="5"/>
    <n v="0"/>
    <n v="12"/>
    <n v="1"/>
    <s v="Yes"/>
    <s v="No"/>
    <s v="No"/>
    <s v="Yes"/>
    <s v="No"/>
    <s v="No"/>
    <m/>
    <s v="0 Failures"/>
    <n v="1"/>
    <s v="20+ hrs"/>
    <s v="6-12months"/>
    <x v="1"/>
  </r>
  <r>
    <n v="466"/>
    <d v="2024-11-09T00:00:00"/>
    <s v="Basic"/>
    <n v="199"/>
    <n v="21.2"/>
    <n v="5"/>
    <n v="0"/>
    <n v="8"/>
    <n v="23"/>
    <s v="No"/>
    <s v="No"/>
    <s v="No"/>
    <s v="Yes"/>
    <s v="Yes"/>
    <s v="No"/>
    <m/>
    <s v="0 Failures"/>
    <n v="0"/>
    <s v="20+ hrs"/>
    <s v="6-12months"/>
    <x v="1"/>
  </r>
  <r>
    <n v="467"/>
    <d v="2024-03-23T00:00:00"/>
    <s v="Standard"/>
    <n v="399"/>
    <n v="8.6999999999999993"/>
    <n v="5"/>
    <n v="1"/>
    <n v="7"/>
    <n v="10"/>
    <s v="No"/>
    <s v="No"/>
    <s v="Yes"/>
    <s v="Yes"/>
    <s v="No"/>
    <s v="No"/>
    <m/>
    <s v="1+ Failures"/>
    <n v="0"/>
    <s v="5-10 hrs"/>
    <s v="6-12months"/>
    <x v="1"/>
  </r>
  <r>
    <n v="468"/>
    <d v="2024-09-20T00:00:00"/>
    <s v="Premium"/>
    <n v="699"/>
    <n v="16.399999999999999"/>
    <n v="2"/>
    <n v="5"/>
    <n v="32"/>
    <n v="35"/>
    <s v="No"/>
    <s v="No"/>
    <s v="Yes"/>
    <s v="No"/>
    <s v="Yes"/>
    <s v="No"/>
    <m/>
    <s v="1+ Failures"/>
    <n v="0"/>
    <s v="10-20hrs"/>
    <s v="12+ months"/>
    <x v="0"/>
  </r>
  <r>
    <n v="469"/>
    <d v="2023-10-29T00:00:00"/>
    <s v="Standard"/>
    <n v="399"/>
    <n v="16.8"/>
    <n v="2"/>
    <n v="3"/>
    <n v="15"/>
    <n v="19"/>
    <s v="No"/>
    <s v="No"/>
    <s v="Yes"/>
    <s v="No"/>
    <s v="Yes"/>
    <s v="No"/>
    <m/>
    <s v="1+ Failures"/>
    <n v="0"/>
    <s v="10-20hrs"/>
    <s v="12+ months"/>
    <x v="1"/>
  </r>
  <r>
    <n v="470"/>
    <d v="2023-11-22T00:00:00"/>
    <s v="Basic"/>
    <n v="199"/>
    <n v="18.399999999999999"/>
    <n v="6"/>
    <n v="4"/>
    <n v="12"/>
    <n v="2"/>
    <s v="Yes"/>
    <s v="No"/>
    <s v="Yes"/>
    <s v="Yes"/>
    <s v="No"/>
    <s v="No"/>
    <m/>
    <s v="1+ Failures"/>
    <n v="1"/>
    <s v="10-20hrs"/>
    <s v="6-12months"/>
    <x v="1"/>
  </r>
  <r>
    <n v="471"/>
    <d v="2023-03-21T00:00:00"/>
    <s v="Premium"/>
    <n v="699"/>
    <n v="16.2"/>
    <n v="1"/>
    <n v="3"/>
    <n v="15"/>
    <n v="9"/>
    <s v="Yes"/>
    <s v="No"/>
    <s v="Yes"/>
    <s v="No"/>
    <s v="No"/>
    <s v="No"/>
    <m/>
    <s v="1+ Failures"/>
    <n v="1"/>
    <s v="10-20hrs"/>
    <s v="12+ months"/>
    <x v="0"/>
  </r>
  <r>
    <n v="472"/>
    <d v="2024-12-26T00:00:00"/>
    <s v="Basic"/>
    <n v="199"/>
    <n v="24.6"/>
    <n v="2"/>
    <n v="5"/>
    <n v="23"/>
    <n v="56"/>
    <s v="No"/>
    <s v="No"/>
    <s v="Yes"/>
    <s v="No"/>
    <s v="Yes"/>
    <s v="No"/>
    <m/>
    <s v="1+ Failures"/>
    <n v="0"/>
    <s v="20+ hrs"/>
    <s v="12+ months"/>
    <x v="1"/>
  </r>
  <r>
    <n v="473"/>
    <d v="2023-12-25T00:00:00"/>
    <s v="Premium"/>
    <n v="699"/>
    <n v="11.4"/>
    <n v="4"/>
    <n v="1"/>
    <n v="22"/>
    <n v="15"/>
    <s v="No"/>
    <s v="No"/>
    <s v="Yes"/>
    <s v="No"/>
    <s v="Yes"/>
    <s v="No"/>
    <m/>
    <s v="1+ Failures"/>
    <n v="0"/>
    <s v="10-20hrs"/>
    <s v="12+ months"/>
    <x v="0"/>
  </r>
  <r>
    <n v="474"/>
    <d v="2023-06-20T00:00:00"/>
    <s v="Standard"/>
    <n v="399"/>
    <n v="18.2"/>
    <n v="0"/>
    <n v="3"/>
    <n v="7"/>
    <n v="28"/>
    <s v="No"/>
    <s v="No"/>
    <s v="Yes"/>
    <s v="No"/>
    <s v="Yes"/>
    <s v="No"/>
    <m/>
    <s v="1+ Failures"/>
    <n v="0"/>
    <s v="10-20hrs"/>
    <s v="6-12months"/>
    <x v="1"/>
  </r>
  <r>
    <n v="475"/>
    <d v="2024-05-05T00:00:00"/>
    <s v="Standard"/>
    <n v="399"/>
    <n v="22.1"/>
    <n v="5"/>
    <n v="4"/>
    <n v="32"/>
    <n v="24"/>
    <s v="Yes"/>
    <s v="No"/>
    <s v="Yes"/>
    <s v="Yes"/>
    <s v="Yes"/>
    <s v="No"/>
    <m/>
    <s v="1+ Failures"/>
    <n v="1"/>
    <s v="20+ hrs"/>
    <s v="12+ months"/>
    <x v="1"/>
  </r>
  <r>
    <n v="476"/>
    <d v="2023-09-25T00:00:00"/>
    <s v="Premium"/>
    <n v="699"/>
    <n v="4.5"/>
    <n v="1"/>
    <n v="0"/>
    <n v="15"/>
    <n v="18"/>
    <s v="Yes"/>
    <s v="Yes"/>
    <s v="No"/>
    <s v="No"/>
    <s v="Yes"/>
    <s v="No"/>
    <m/>
    <s v="0 Failures"/>
    <n v="1"/>
    <s v="0-5 hrs"/>
    <s v="12+ months"/>
    <x v="0"/>
  </r>
  <r>
    <n v="477"/>
    <d v="2023-04-06T00:00:00"/>
    <s v="Basic"/>
    <n v="199"/>
    <n v="8.9"/>
    <n v="6"/>
    <n v="1"/>
    <n v="5"/>
    <n v="46"/>
    <s v="Yes"/>
    <s v="No"/>
    <s v="Yes"/>
    <s v="Yes"/>
    <s v="Yes"/>
    <s v="Yes"/>
    <m/>
    <s v="1+ Failures"/>
    <n v="1"/>
    <s v="5-10 hrs"/>
    <s v="3-6months"/>
    <x v="1"/>
  </r>
  <r>
    <n v="478"/>
    <d v="2024-03-20T00:00:00"/>
    <s v="Standard"/>
    <n v="399"/>
    <n v="17.8"/>
    <n v="6"/>
    <n v="5"/>
    <n v="31"/>
    <n v="10"/>
    <s v="No"/>
    <s v="No"/>
    <s v="Yes"/>
    <s v="Yes"/>
    <s v="No"/>
    <s v="No"/>
    <m/>
    <s v="1+ Failures"/>
    <n v="0"/>
    <s v="10-20hrs"/>
    <s v="12+ months"/>
    <x v="1"/>
  </r>
  <r>
    <n v="479"/>
    <d v="2024-07-07T00:00:00"/>
    <s v="Basic"/>
    <n v="199"/>
    <n v="3"/>
    <n v="3"/>
    <n v="1"/>
    <n v="4"/>
    <n v="26"/>
    <s v="No"/>
    <s v="Yes"/>
    <s v="Yes"/>
    <s v="No"/>
    <s v="Yes"/>
    <s v="Yes"/>
    <m/>
    <s v="1+ Failures"/>
    <n v="0"/>
    <s v="0-5 hrs"/>
    <s v="3-6months"/>
    <x v="1"/>
  </r>
  <r>
    <n v="480"/>
    <d v="2024-05-17T00:00:00"/>
    <s v="Standard"/>
    <n v="399"/>
    <n v="7.8"/>
    <n v="1"/>
    <n v="0"/>
    <n v="19"/>
    <n v="25"/>
    <s v="No"/>
    <s v="No"/>
    <s v="No"/>
    <s v="No"/>
    <s v="Yes"/>
    <s v="No"/>
    <m/>
    <s v="0 Failures"/>
    <n v="0"/>
    <s v="5-10 hrs"/>
    <s v="12+ months"/>
    <x v="1"/>
  </r>
  <r>
    <n v="481"/>
    <d v="2024-10-02T00:00:00"/>
    <s v="Basic"/>
    <n v="199"/>
    <n v="9.3000000000000007"/>
    <n v="6"/>
    <n v="0"/>
    <n v="4"/>
    <n v="18"/>
    <s v="No"/>
    <s v="No"/>
    <s v="No"/>
    <s v="Yes"/>
    <s v="Yes"/>
    <s v="Yes"/>
    <m/>
    <s v="0 Failures"/>
    <n v="0"/>
    <s v="5-10 hrs"/>
    <s v="3-6months"/>
    <x v="1"/>
  </r>
  <r>
    <n v="482"/>
    <d v="2023-03-25T00:00:00"/>
    <s v="Premium"/>
    <n v="699"/>
    <n v="5.4"/>
    <n v="0"/>
    <n v="1"/>
    <n v="31"/>
    <n v="10"/>
    <s v="No"/>
    <s v="No"/>
    <s v="Yes"/>
    <s v="No"/>
    <s v="No"/>
    <s v="No"/>
    <m/>
    <s v="1+ Failures"/>
    <n v="0"/>
    <s v="5-10 hrs"/>
    <s v="12+ months"/>
    <x v="0"/>
  </r>
  <r>
    <n v="483"/>
    <d v="2023-09-29T00:00:00"/>
    <s v="Standard"/>
    <n v="399"/>
    <n v="8.1"/>
    <n v="6"/>
    <n v="3"/>
    <n v="8"/>
    <n v="31"/>
    <s v="No"/>
    <s v="No"/>
    <s v="Yes"/>
    <s v="Yes"/>
    <s v="Yes"/>
    <s v="No"/>
    <m/>
    <s v="1+ Failures"/>
    <n v="0"/>
    <s v="5-10 hrs"/>
    <s v="6-12months"/>
    <x v="1"/>
  </r>
  <r>
    <n v="484"/>
    <d v="2023-02-15T00:00:00"/>
    <s v="Basic"/>
    <n v="199"/>
    <n v="10"/>
    <n v="5"/>
    <n v="3"/>
    <n v="35"/>
    <n v="23"/>
    <s v="Yes"/>
    <s v="No"/>
    <s v="Yes"/>
    <s v="Yes"/>
    <s v="Yes"/>
    <s v="No"/>
    <m/>
    <s v="1+ Failures"/>
    <n v="1"/>
    <s v="5-10 hrs"/>
    <s v="12+ months"/>
    <x v="1"/>
  </r>
  <r>
    <n v="485"/>
    <d v="2024-12-14T00:00:00"/>
    <s v="Standard"/>
    <n v="399"/>
    <n v="11.9"/>
    <n v="3"/>
    <n v="2"/>
    <n v="29"/>
    <n v="36"/>
    <s v="Yes"/>
    <s v="No"/>
    <s v="Yes"/>
    <s v="No"/>
    <s v="Yes"/>
    <s v="No"/>
    <m/>
    <s v="1+ Failures"/>
    <n v="1"/>
    <s v="10-20hrs"/>
    <s v="12+ months"/>
    <x v="1"/>
  </r>
  <r>
    <n v="486"/>
    <d v="2024-08-26T00:00:00"/>
    <s v="Premium"/>
    <n v="699"/>
    <n v="2.6"/>
    <n v="5"/>
    <n v="4"/>
    <n v="7"/>
    <n v="26"/>
    <s v="Yes"/>
    <s v="Yes"/>
    <s v="Yes"/>
    <s v="Yes"/>
    <s v="Yes"/>
    <s v="No"/>
    <m/>
    <s v="1+ Failures"/>
    <n v="1"/>
    <s v="0-5 hrs"/>
    <s v="6-12months"/>
    <x v="0"/>
  </r>
  <r>
    <n v="487"/>
    <d v="2024-12-04T00:00:00"/>
    <s v="Basic"/>
    <n v="199"/>
    <n v="2"/>
    <n v="6"/>
    <n v="4"/>
    <n v="36"/>
    <n v="26"/>
    <s v="Yes"/>
    <s v="Yes"/>
    <s v="Yes"/>
    <s v="Yes"/>
    <s v="Yes"/>
    <s v="No"/>
    <m/>
    <s v="1+ Failures"/>
    <n v="1"/>
    <s v="0-5 hrs"/>
    <s v="12+ months"/>
    <x v="1"/>
  </r>
  <r>
    <n v="488"/>
    <d v="2023-02-05T00:00:00"/>
    <s v="Standard"/>
    <n v="399"/>
    <n v="12.2"/>
    <n v="1"/>
    <n v="3"/>
    <n v="16"/>
    <n v="57"/>
    <s v="No"/>
    <s v="No"/>
    <s v="Yes"/>
    <s v="No"/>
    <s v="Yes"/>
    <s v="No"/>
    <m/>
    <s v="1+ Failures"/>
    <n v="0"/>
    <s v="10-20hrs"/>
    <s v="12+ months"/>
    <x v="1"/>
  </r>
  <r>
    <n v="489"/>
    <d v="2023-06-27T00:00:00"/>
    <s v="Premium"/>
    <n v="699"/>
    <n v="20.100000000000001"/>
    <n v="2"/>
    <n v="0"/>
    <n v="34"/>
    <n v="60"/>
    <s v="No"/>
    <s v="No"/>
    <s v="No"/>
    <s v="No"/>
    <s v="Yes"/>
    <s v="No"/>
    <m/>
    <s v="0 Failures"/>
    <n v="0"/>
    <s v="20+ hrs"/>
    <s v="12+ months"/>
    <x v="0"/>
  </r>
  <r>
    <n v="490"/>
    <d v="2024-11-30T00:00:00"/>
    <s v="Basic"/>
    <n v="199"/>
    <n v="20.3"/>
    <n v="2"/>
    <n v="0"/>
    <n v="14"/>
    <n v="27"/>
    <s v="Yes"/>
    <s v="No"/>
    <s v="No"/>
    <s v="No"/>
    <s v="Yes"/>
    <s v="No"/>
    <m/>
    <s v="0 Failures"/>
    <n v="1"/>
    <s v="20+ hrs"/>
    <s v="12+ months"/>
    <x v="1"/>
  </r>
  <r>
    <n v="491"/>
    <d v="2023-03-10T00:00:00"/>
    <s v="Standard"/>
    <n v="399"/>
    <n v="24.9"/>
    <n v="2"/>
    <n v="4"/>
    <n v="13"/>
    <n v="16"/>
    <s v="Yes"/>
    <s v="No"/>
    <s v="Yes"/>
    <s v="No"/>
    <s v="Yes"/>
    <s v="No"/>
    <m/>
    <s v="1+ Failures"/>
    <n v="1"/>
    <s v="20+ hrs"/>
    <s v="12+ months"/>
    <x v="1"/>
  </r>
  <r>
    <n v="492"/>
    <d v="2024-04-14T00:00:00"/>
    <s v="Basic"/>
    <n v="199"/>
    <n v="14.1"/>
    <n v="8"/>
    <n v="2"/>
    <n v="25"/>
    <n v="54"/>
    <s v="Yes"/>
    <s v="No"/>
    <s v="Yes"/>
    <s v="Yes"/>
    <s v="Yes"/>
    <s v="No"/>
    <m/>
    <s v="1+ Failures"/>
    <n v="1"/>
    <s v="10-20hrs"/>
    <s v="12+ months"/>
    <x v="1"/>
  </r>
  <r>
    <n v="493"/>
    <d v="2024-08-25T00:00:00"/>
    <s v="Basic"/>
    <n v="199"/>
    <n v="19.7"/>
    <n v="1"/>
    <n v="3"/>
    <n v="34"/>
    <n v="9"/>
    <s v="Yes"/>
    <s v="No"/>
    <s v="Yes"/>
    <s v="No"/>
    <s v="No"/>
    <s v="No"/>
    <m/>
    <s v="1+ Failures"/>
    <n v="1"/>
    <s v="10-20hrs"/>
    <s v="12+ months"/>
    <x v="1"/>
  </r>
  <r>
    <n v="494"/>
    <d v="2023-12-19T00:00:00"/>
    <s v="Premium"/>
    <n v="699"/>
    <n v="23.2"/>
    <n v="1"/>
    <n v="2"/>
    <n v="7"/>
    <n v="55"/>
    <s v="Yes"/>
    <s v="No"/>
    <s v="Yes"/>
    <s v="No"/>
    <s v="Yes"/>
    <s v="No"/>
    <m/>
    <s v="1+ Failures"/>
    <n v="1"/>
    <s v="20+ hrs"/>
    <s v="6-12months"/>
    <x v="0"/>
  </r>
  <r>
    <n v="495"/>
    <d v="2023-06-26T00:00:00"/>
    <s v="Standard"/>
    <n v="399"/>
    <n v="9.9"/>
    <n v="7"/>
    <n v="4"/>
    <n v="17"/>
    <n v="38"/>
    <s v="Yes"/>
    <s v="No"/>
    <s v="Yes"/>
    <s v="Yes"/>
    <s v="Yes"/>
    <s v="No"/>
    <m/>
    <s v="1+ Failures"/>
    <n v="1"/>
    <s v="5-10 hrs"/>
    <s v="12+ months"/>
    <x v="1"/>
  </r>
  <r>
    <n v="496"/>
    <d v="2023-12-06T00:00:00"/>
    <s v="Standard"/>
    <n v="399"/>
    <n v="4"/>
    <n v="6"/>
    <n v="0"/>
    <n v="26"/>
    <n v="25"/>
    <s v="No"/>
    <s v="Yes"/>
    <s v="No"/>
    <s v="Yes"/>
    <s v="Yes"/>
    <s v="No"/>
    <m/>
    <s v="0 Failures"/>
    <n v="0"/>
    <s v="0-5 hrs"/>
    <s v="12+ months"/>
    <x v="1"/>
  </r>
  <r>
    <n v="497"/>
    <d v="2023-12-12T00:00:00"/>
    <s v="Premium"/>
    <n v="699"/>
    <n v="1.7"/>
    <n v="7"/>
    <n v="2"/>
    <n v="16"/>
    <n v="57"/>
    <s v="Yes"/>
    <s v="Yes"/>
    <s v="Yes"/>
    <s v="Yes"/>
    <s v="Yes"/>
    <s v="No"/>
    <m/>
    <s v="1+ Failures"/>
    <n v="1"/>
    <s v="0-5 hrs"/>
    <s v="12+ months"/>
    <x v="0"/>
  </r>
  <r>
    <n v="498"/>
    <d v="2023-08-22T00:00:00"/>
    <s v="Standard"/>
    <n v="399"/>
    <n v="7.4"/>
    <n v="7"/>
    <n v="5"/>
    <n v="20"/>
    <n v="43"/>
    <s v="Yes"/>
    <s v="No"/>
    <s v="Yes"/>
    <s v="Yes"/>
    <s v="Yes"/>
    <s v="No"/>
    <m/>
    <s v="1+ Failures"/>
    <n v="1"/>
    <s v="5-10 hrs"/>
    <s v="12+ months"/>
    <x v="1"/>
  </r>
  <r>
    <n v="499"/>
    <d v="2024-09-11T00:00:00"/>
    <s v="Basic"/>
    <n v="199"/>
    <n v="24.4"/>
    <n v="7"/>
    <n v="2"/>
    <n v="20"/>
    <n v="17"/>
    <s v="No"/>
    <s v="No"/>
    <s v="Yes"/>
    <s v="Yes"/>
    <s v="Yes"/>
    <s v="No"/>
    <m/>
    <s v="1+ Failures"/>
    <n v="0"/>
    <s v="20+ hrs"/>
    <s v="12+ months"/>
    <x v="1"/>
  </r>
  <r>
    <n v="500"/>
    <d v="2024-06-12T00:00:00"/>
    <s v="Premium"/>
    <n v="699"/>
    <n v="5.0999999999999996"/>
    <n v="3"/>
    <n v="3"/>
    <n v="6"/>
    <n v="47"/>
    <s v="Yes"/>
    <s v="No"/>
    <s v="Yes"/>
    <s v="No"/>
    <s v="Yes"/>
    <s v="No"/>
    <m/>
    <s v="1+ Failures"/>
    <n v="1"/>
    <s v="5-10 hrs"/>
    <s v="3-6months"/>
    <x v="0"/>
  </r>
  <r>
    <n v="501"/>
    <d v="2024-02-18T00:00:00"/>
    <s v="Standard"/>
    <n v="399"/>
    <n v="13.1"/>
    <n v="2"/>
    <n v="0"/>
    <n v="4"/>
    <n v="19"/>
    <s v="No"/>
    <s v="No"/>
    <s v="No"/>
    <s v="No"/>
    <s v="Yes"/>
    <s v="Yes"/>
    <m/>
    <s v="0 Failures"/>
    <n v="0"/>
    <s v="10-20hrs"/>
    <s v="3-6months"/>
    <x v="1"/>
  </r>
  <r>
    <n v="502"/>
    <d v="2023-07-25T00:00:00"/>
    <s v="Basic"/>
    <n v="199"/>
    <n v="22"/>
    <n v="0"/>
    <n v="1"/>
    <n v="34"/>
    <n v="12"/>
    <s v="No"/>
    <s v="No"/>
    <s v="Yes"/>
    <s v="No"/>
    <s v="No"/>
    <s v="No"/>
    <m/>
    <s v="1+ Failures"/>
    <n v="0"/>
    <s v="20+ hrs"/>
    <s v="12+ months"/>
    <x v="1"/>
  </r>
  <r>
    <n v="503"/>
    <d v="2024-01-13T00:00:00"/>
    <s v="Basic"/>
    <n v="199"/>
    <n v="1.3"/>
    <n v="0"/>
    <n v="2"/>
    <n v="16"/>
    <n v="45"/>
    <s v="Yes"/>
    <s v="Yes"/>
    <s v="Yes"/>
    <s v="No"/>
    <s v="Yes"/>
    <s v="No"/>
    <m/>
    <s v="1+ Failures"/>
    <n v="1"/>
    <s v="0-5 hrs"/>
    <s v="12+ months"/>
    <x v="1"/>
  </r>
  <r>
    <n v="504"/>
    <d v="2024-05-15T00:00:00"/>
    <s v="Standard"/>
    <n v="399"/>
    <n v="10.199999999999999"/>
    <n v="1"/>
    <n v="5"/>
    <n v="33"/>
    <n v="1"/>
    <s v="Yes"/>
    <s v="No"/>
    <s v="Yes"/>
    <s v="No"/>
    <s v="No"/>
    <s v="No"/>
    <m/>
    <s v="1+ Failures"/>
    <n v="1"/>
    <s v="10-20hrs"/>
    <s v="12+ months"/>
    <x v="1"/>
  </r>
  <r>
    <n v="505"/>
    <d v="2023-06-17T00:00:00"/>
    <s v="Premium"/>
    <n v="699"/>
    <n v="4.9000000000000004"/>
    <n v="7"/>
    <n v="4"/>
    <n v="29"/>
    <n v="35"/>
    <s v="Yes"/>
    <s v="Yes"/>
    <s v="Yes"/>
    <s v="Yes"/>
    <s v="Yes"/>
    <s v="No"/>
    <m/>
    <s v="1+ Failures"/>
    <n v="1"/>
    <s v="0-5 hrs"/>
    <s v="12+ months"/>
    <x v="0"/>
  </r>
  <r>
    <n v="506"/>
    <d v="2023-08-08T00:00:00"/>
    <s v="Standard"/>
    <n v="399"/>
    <n v="7.5"/>
    <n v="6"/>
    <n v="0"/>
    <n v="6"/>
    <n v="10"/>
    <s v="No"/>
    <s v="No"/>
    <s v="No"/>
    <s v="Yes"/>
    <s v="No"/>
    <s v="No"/>
    <m/>
    <s v="0 Failures"/>
    <n v="0"/>
    <s v="5-10 hrs"/>
    <s v="3-6months"/>
    <x v="1"/>
  </r>
  <r>
    <n v="507"/>
    <d v="2024-11-29T00:00:00"/>
    <s v="Basic"/>
    <n v="199"/>
    <n v="17.100000000000001"/>
    <n v="4"/>
    <n v="5"/>
    <n v="15"/>
    <n v="26"/>
    <s v="Yes"/>
    <s v="No"/>
    <s v="Yes"/>
    <s v="No"/>
    <s v="Yes"/>
    <s v="No"/>
    <m/>
    <s v="1+ Failures"/>
    <n v="1"/>
    <s v="10-20hrs"/>
    <s v="12+ months"/>
    <x v="1"/>
  </r>
  <r>
    <n v="508"/>
    <d v="2023-09-16T00:00:00"/>
    <s v="Basic"/>
    <n v="199"/>
    <n v="22.8"/>
    <n v="2"/>
    <n v="4"/>
    <n v="31"/>
    <n v="51"/>
    <s v="Yes"/>
    <s v="No"/>
    <s v="Yes"/>
    <s v="No"/>
    <s v="Yes"/>
    <s v="No"/>
    <m/>
    <s v="1+ Failures"/>
    <n v="1"/>
    <s v="20+ hrs"/>
    <s v="12+ months"/>
    <x v="1"/>
  </r>
  <r>
    <n v="509"/>
    <d v="2023-12-24T00:00:00"/>
    <s v="Premium"/>
    <n v="699"/>
    <n v="18"/>
    <n v="4"/>
    <n v="3"/>
    <n v="20"/>
    <n v="57"/>
    <s v="Yes"/>
    <s v="No"/>
    <s v="Yes"/>
    <s v="No"/>
    <s v="Yes"/>
    <s v="No"/>
    <m/>
    <s v="1+ Failures"/>
    <n v="1"/>
    <s v="10-20hrs"/>
    <s v="12+ months"/>
    <x v="0"/>
  </r>
  <r>
    <n v="510"/>
    <d v="2024-02-11T00:00:00"/>
    <s v="Standard"/>
    <n v="399"/>
    <n v="5.8"/>
    <n v="4"/>
    <n v="5"/>
    <n v="17"/>
    <n v="33"/>
    <s v="No"/>
    <s v="No"/>
    <s v="Yes"/>
    <s v="No"/>
    <s v="Yes"/>
    <s v="No"/>
    <m/>
    <s v="1+ Failures"/>
    <n v="0"/>
    <s v="5-10 hrs"/>
    <s v="12+ months"/>
    <x v="1"/>
  </r>
  <r>
    <n v="511"/>
    <d v="2023-10-17T00:00:00"/>
    <s v="Premium"/>
    <n v="699"/>
    <n v="0.7"/>
    <n v="5"/>
    <n v="4"/>
    <n v="7"/>
    <n v="41"/>
    <s v="Yes"/>
    <s v="Yes"/>
    <s v="Yes"/>
    <s v="Yes"/>
    <s v="Yes"/>
    <s v="No"/>
    <m/>
    <s v="1+ Failures"/>
    <n v="1"/>
    <s v="0-5 hrs"/>
    <s v="6-12months"/>
    <x v="0"/>
  </r>
  <r>
    <n v="512"/>
    <d v="2023-10-11T00:00:00"/>
    <s v="Standard"/>
    <n v="399"/>
    <n v="12.3"/>
    <n v="5"/>
    <n v="2"/>
    <n v="7"/>
    <n v="40"/>
    <s v="Yes"/>
    <s v="No"/>
    <s v="Yes"/>
    <s v="Yes"/>
    <s v="Yes"/>
    <s v="No"/>
    <m/>
    <s v="1+ Failures"/>
    <n v="1"/>
    <s v="10-20hrs"/>
    <s v="6-12months"/>
    <x v="1"/>
  </r>
  <r>
    <n v="513"/>
    <d v="2024-09-06T00:00:00"/>
    <s v="Standard"/>
    <n v="399"/>
    <n v="5.0999999999999996"/>
    <n v="8"/>
    <n v="1"/>
    <n v="20"/>
    <n v="57"/>
    <s v="Yes"/>
    <s v="No"/>
    <s v="Yes"/>
    <s v="Yes"/>
    <s v="Yes"/>
    <s v="No"/>
    <m/>
    <s v="1+ Failures"/>
    <n v="1"/>
    <s v="5-10 hrs"/>
    <s v="12+ months"/>
    <x v="1"/>
  </r>
  <r>
    <n v="514"/>
    <d v="2023-09-23T00:00:00"/>
    <s v="Standard"/>
    <n v="399"/>
    <n v="17.2"/>
    <n v="0"/>
    <n v="5"/>
    <n v="21"/>
    <n v="31"/>
    <s v="No"/>
    <s v="No"/>
    <s v="Yes"/>
    <s v="No"/>
    <s v="Yes"/>
    <s v="No"/>
    <m/>
    <s v="1+ Failures"/>
    <n v="0"/>
    <s v="10-20hrs"/>
    <s v="12+ months"/>
    <x v="1"/>
  </r>
  <r>
    <n v="515"/>
    <d v="2023-07-14T00:00:00"/>
    <s v="Standard"/>
    <n v="399"/>
    <n v="10"/>
    <n v="0"/>
    <n v="4"/>
    <n v="26"/>
    <n v="45"/>
    <s v="No"/>
    <s v="No"/>
    <s v="Yes"/>
    <s v="No"/>
    <s v="Yes"/>
    <s v="No"/>
    <m/>
    <s v="1+ Failures"/>
    <n v="0"/>
    <s v="5-10 hrs"/>
    <s v="12+ months"/>
    <x v="1"/>
  </r>
  <r>
    <n v="516"/>
    <d v="2023-06-24T00:00:00"/>
    <s v="Standard"/>
    <n v="399"/>
    <n v="17.3"/>
    <n v="7"/>
    <n v="5"/>
    <n v="15"/>
    <n v="22"/>
    <s v="Yes"/>
    <s v="No"/>
    <s v="Yes"/>
    <s v="Yes"/>
    <s v="Yes"/>
    <s v="No"/>
    <m/>
    <s v="1+ Failures"/>
    <n v="1"/>
    <s v="10-20hrs"/>
    <s v="12+ months"/>
    <x v="1"/>
  </r>
  <r>
    <n v="517"/>
    <d v="2024-07-26T00:00:00"/>
    <s v="Premium"/>
    <n v="699"/>
    <n v="4.9000000000000004"/>
    <n v="1"/>
    <n v="3"/>
    <n v="36"/>
    <n v="8"/>
    <s v="No"/>
    <s v="Yes"/>
    <s v="Yes"/>
    <s v="No"/>
    <s v="No"/>
    <s v="No"/>
    <m/>
    <s v="1+ Failures"/>
    <n v="0"/>
    <s v="0-5 hrs"/>
    <s v="12+ months"/>
    <x v="0"/>
  </r>
  <r>
    <n v="518"/>
    <d v="2023-11-11T00:00:00"/>
    <s v="Basic"/>
    <n v="199"/>
    <n v="16.5"/>
    <n v="3"/>
    <n v="2"/>
    <n v="22"/>
    <n v="14"/>
    <s v="No"/>
    <s v="No"/>
    <s v="Yes"/>
    <s v="No"/>
    <s v="No"/>
    <s v="No"/>
    <m/>
    <s v="1+ Failures"/>
    <n v="0"/>
    <s v="10-20hrs"/>
    <s v="12+ months"/>
    <x v="1"/>
  </r>
  <r>
    <n v="519"/>
    <d v="2023-02-24T00:00:00"/>
    <s v="Standard"/>
    <n v="399"/>
    <n v="9.6"/>
    <n v="4"/>
    <n v="3"/>
    <n v="22"/>
    <n v="54"/>
    <s v="Yes"/>
    <s v="No"/>
    <s v="Yes"/>
    <s v="No"/>
    <s v="Yes"/>
    <s v="No"/>
    <m/>
    <s v="1+ Failures"/>
    <n v="1"/>
    <s v="5-10 hrs"/>
    <s v="12+ months"/>
    <x v="1"/>
  </r>
  <r>
    <n v="520"/>
    <d v="2024-01-26T00:00:00"/>
    <s v="Premium"/>
    <n v="699"/>
    <n v="12.1"/>
    <n v="3"/>
    <n v="4"/>
    <n v="5"/>
    <n v="7"/>
    <s v="No"/>
    <s v="No"/>
    <s v="Yes"/>
    <s v="No"/>
    <s v="No"/>
    <s v="Yes"/>
    <m/>
    <s v="1+ Failures"/>
    <n v="0"/>
    <s v="10-20hrs"/>
    <s v="3-6months"/>
    <x v="0"/>
  </r>
  <r>
    <n v="521"/>
    <d v="2024-08-06T00:00:00"/>
    <s v="Premium"/>
    <n v="699"/>
    <n v="10.6"/>
    <n v="2"/>
    <n v="1"/>
    <n v="20"/>
    <n v="12"/>
    <s v="No"/>
    <s v="No"/>
    <s v="Yes"/>
    <s v="No"/>
    <s v="No"/>
    <s v="No"/>
    <m/>
    <s v="1+ Failures"/>
    <n v="0"/>
    <s v="10-20hrs"/>
    <s v="12+ months"/>
    <x v="0"/>
  </r>
  <r>
    <n v="522"/>
    <d v="2023-07-01T00:00:00"/>
    <s v="Standard"/>
    <n v="399"/>
    <n v="8.3000000000000007"/>
    <n v="2"/>
    <n v="0"/>
    <n v="10"/>
    <n v="31"/>
    <s v="Yes"/>
    <s v="No"/>
    <s v="No"/>
    <s v="No"/>
    <s v="Yes"/>
    <s v="No"/>
    <m/>
    <s v="0 Failures"/>
    <n v="1"/>
    <s v="5-10 hrs"/>
    <s v="6-12months"/>
    <x v="1"/>
  </r>
  <r>
    <n v="523"/>
    <d v="2024-08-13T00:00:00"/>
    <s v="Standard"/>
    <n v="399"/>
    <n v="0.6"/>
    <n v="4"/>
    <n v="1"/>
    <n v="4"/>
    <n v="48"/>
    <s v="No"/>
    <s v="Yes"/>
    <s v="Yes"/>
    <s v="No"/>
    <s v="Yes"/>
    <s v="Yes"/>
    <m/>
    <s v="1+ Failures"/>
    <n v="0"/>
    <s v="0-5 hrs"/>
    <s v="3-6months"/>
    <x v="1"/>
  </r>
  <r>
    <n v="524"/>
    <d v="2024-03-15T00:00:00"/>
    <s v="Basic"/>
    <n v="199"/>
    <n v="19.7"/>
    <n v="1"/>
    <n v="1"/>
    <n v="32"/>
    <n v="39"/>
    <s v="No"/>
    <s v="No"/>
    <s v="Yes"/>
    <s v="No"/>
    <s v="Yes"/>
    <s v="No"/>
    <m/>
    <s v="1+ Failures"/>
    <n v="0"/>
    <s v="10-20hrs"/>
    <s v="12+ months"/>
    <x v="1"/>
  </r>
  <r>
    <n v="525"/>
    <d v="2024-01-18T00:00:00"/>
    <s v="Standard"/>
    <n v="399"/>
    <n v="24.2"/>
    <n v="6"/>
    <n v="0"/>
    <n v="28"/>
    <n v="2"/>
    <s v="No"/>
    <s v="No"/>
    <s v="No"/>
    <s v="Yes"/>
    <s v="No"/>
    <s v="No"/>
    <m/>
    <s v="0 Failures"/>
    <n v="0"/>
    <s v="20+ hrs"/>
    <s v="12+ months"/>
    <x v="1"/>
  </r>
  <r>
    <n v="526"/>
    <d v="2024-10-03T00:00:00"/>
    <s v="Basic"/>
    <n v="199"/>
    <n v="19"/>
    <n v="8"/>
    <n v="1"/>
    <n v="21"/>
    <n v="1"/>
    <s v="No"/>
    <s v="No"/>
    <s v="Yes"/>
    <s v="Yes"/>
    <s v="No"/>
    <s v="No"/>
    <m/>
    <s v="1+ Failures"/>
    <n v="0"/>
    <s v="10-20hrs"/>
    <s v="12+ months"/>
    <x v="1"/>
  </r>
  <r>
    <n v="527"/>
    <d v="2024-05-30T00:00:00"/>
    <s v="Premium"/>
    <n v="699"/>
    <n v="6"/>
    <n v="5"/>
    <n v="2"/>
    <n v="16"/>
    <n v="8"/>
    <s v="Yes"/>
    <s v="No"/>
    <s v="Yes"/>
    <s v="Yes"/>
    <s v="No"/>
    <s v="No"/>
    <m/>
    <s v="1+ Failures"/>
    <n v="1"/>
    <s v="5-10 hrs"/>
    <s v="12+ months"/>
    <x v="0"/>
  </r>
  <r>
    <n v="528"/>
    <d v="2024-06-16T00:00:00"/>
    <s v="Premium"/>
    <n v="699"/>
    <n v="4.5999999999999996"/>
    <n v="0"/>
    <n v="2"/>
    <n v="20"/>
    <n v="60"/>
    <s v="Yes"/>
    <s v="Yes"/>
    <s v="Yes"/>
    <s v="No"/>
    <s v="Yes"/>
    <s v="No"/>
    <m/>
    <s v="1+ Failures"/>
    <n v="1"/>
    <s v="0-5 hrs"/>
    <s v="12+ months"/>
    <x v="0"/>
  </r>
  <r>
    <n v="529"/>
    <d v="2023-07-12T00:00:00"/>
    <s v="Premium"/>
    <n v="699"/>
    <n v="8.8000000000000007"/>
    <n v="2"/>
    <n v="2"/>
    <n v="34"/>
    <n v="57"/>
    <s v="Yes"/>
    <s v="No"/>
    <s v="Yes"/>
    <s v="No"/>
    <s v="Yes"/>
    <s v="No"/>
    <m/>
    <s v="1+ Failures"/>
    <n v="1"/>
    <s v="5-10 hrs"/>
    <s v="12+ months"/>
    <x v="0"/>
  </r>
  <r>
    <n v="530"/>
    <d v="2023-01-23T00:00:00"/>
    <s v="Basic"/>
    <n v="199"/>
    <n v="1"/>
    <n v="3"/>
    <n v="5"/>
    <n v="26"/>
    <n v="8"/>
    <s v="Yes"/>
    <s v="Yes"/>
    <s v="Yes"/>
    <s v="No"/>
    <s v="No"/>
    <s v="No"/>
    <m/>
    <s v="1+ Failures"/>
    <n v="1"/>
    <s v="0-5 hrs"/>
    <s v="12+ months"/>
    <x v="1"/>
  </r>
  <r>
    <n v="531"/>
    <d v="2024-01-20T00:00:00"/>
    <s v="Premium"/>
    <n v="699"/>
    <n v="4.5999999999999996"/>
    <n v="5"/>
    <n v="5"/>
    <n v="33"/>
    <n v="41"/>
    <s v="Yes"/>
    <s v="Yes"/>
    <s v="Yes"/>
    <s v="Yes"/>
    <s v="Yes"/>
    <s v="No"/>
    <m/>
    <s v="1+ Failures"/>
    <n v="1"/>
    <s v="0-5 hrs"/>
    <s v="12+ months"/>
    <x v="0"/>
  </r>
  <r>
    <n v="532"/>
    <d v="2024-10-31T00:00:00"/>
    <s v="Premium"/>
    <n v="699"/>
    <n v="19.399999999999999"/>
    <n v="0"/>
    <n v="4"/>
    <n v="17"/>
    <n v="3"/>
    <s v="No"/>
    <s v="No"/>
    <s v="Yes"/>
    <s v="No"/>
    <s v="No"/>
    <s v="No"/>
    <m/>
    <s v="1+ Failures"/>
    <n v="0"/>
    <s v="10-20hrs"/>
    <s v="12+ months"/>
    <x v="0"/>
  </r>
  <r>
    <n v="533"/>
    <d v="2023-09-16T00:00:00"/>
    <s v="Basic"/>
    <n v="199"/>
    <n v="17.399999999999999"/>
    <n v="6"/>
    <n v="3"/>
    <n v="4"/>
    <n v="24"/>
    <s v="Yes"/>
    <s v="No"/>
    <s v="Yes"/>
    <s v="Yes"/>
    <s v="Yes"/>
    <s v="Yes"/>
    <m/>
    <s v="1+ Failures"/>
    <n v="1"/>
    <s v="10-20hrs"/>
    <s v="3-6months"/>
    <x v="1"/>
  </r>
  <r>
    <n v="534"/>
    <d v="2024-11-09T00:00:00"/>
    <s v="Standard"/>
    <n v="399"/>
    <n v="5.5"/>
    <n v="0"/>
    <n v="2"/>
    <n v="10"/>
    <n v="26"/>
    <s v="No"/>
    <s v="No"/>
    <s v="Yes"/>
    <s v="No"/>
    <s v="Yes"/>
    <s v="No"/>
    <m/>
    <s v="1+ Failures"/>
    <n v="0"/>
    <s v="5-10 hrs"/>
    <s v="6-12months"/>
    <x v="1"/>
  </r>
  <r>
    <n v="535"/>
    <d v="2024-06-07T00:00:00"/>
    <s v="Premium"/>
    <n v="699"/>
    <n v="15.8"/>
    <n v="2"/>
    <n v="3"/>
    <n v="18"/>
    <n v="53"/>
    <s v="No"/>
    <s v="No"/>
    <s v="Yes"/>
    <s v="No"/>
    <s v="Yes"/>
    <s v="No"/>
    <m/>
    <s v="1+ Failures"/>
    <n v="0"/>
    <s v="10-20hrs"/>
    <s v="12+ months"/>
    <x v="0"/>
  </r>
  <r>
    <n v="536"/>
    <d v="2023-09-27T00:00:00"/>
    <s v="Premium"/>
    <n v="699"/>
    <n v="7.4"/>
    <n v="1"/>
    <n v="3"/>
    <n v="8"/>
    <n v="12"/>
    <s v="No"/>
    <s v="No"/>
    <s v="Yes"/>
    <s v="No"/>
    <s v="No"/>
    <s v="No"/>
    <m/>
    <s v="1+ Failures"/>
    <n v="0"/>
    <s v="5-10 hrs"/>
    <s v="6-12months"/>
    <x v="0"/>
  </r>
  <r>
    <n v="537"/>
    <d v="2024-05-23T00:00:00"/>
    <s v="Premium"/>
    <n v="699"/>
    <n v="9.3000000000000007"/>
    <n v="6"/>
    <n v="2"/>
    <n v="13"/>
    <n v="10"/>
    <s v="Yes"/>
    <s v="No"/>
    <s v="Yes"/>
    <s v="Yes"/>
    <s v="No"/>
    <s v="No"/>
    <m/>
    <s v="1+ Failures"/>
    <n v="1"/>
    <s v="5-10 hrs"/>
    <s v="12+ months"/>
    <x v="0"/>
  </r>
  <r>
    <n v="538"/>
    <d v="2023-04-24T00:00:00"/>
    <s v="Basic"/>
    <n v="199"/>
    <n v="8.6"/>
    <n v="0"/>
    <n v="0"/>
    <n v="31"/>
    <n v="42"/>
    <s v="Yes"/>
    <s v="No"/>
    <s v="No"/>
    <s v="No"/>
    <s v="Yes"/>
    <s v="No"/>
    <m/>
    <s v="0 Failures"/>
    <n v="1"/>
    <s v="5-10 hrs"/>
    <s v="12+ months"/>
    <x v="1"/>
  </r>
  <r>
    <n v="539"/>
    <d v="2023-04-14T00:00:00"/>
    <s v="Premium"/>
    <n v="699"/>
    <n v="4.2"/>
    <n v="1"/>
    <n v="4"/>
    <n v="32"/>
    <n v="4"/>
    <s v="No"/>
    <s v="Yes"/>
    <s v="Yes"/>
    <s v="No"/>
    <s v="No"/>
    <s v="No"/>
    <m/>
    <s v="1+ Failures"/>
    <n v="0"/>
    <s v="0-5 hrs"/>
    <s v="12+ months"/>
    <x v="0"/>
  </r>
  <r>
    <n v="540"/>
    <d v="2023-06-28T00:00:00"/>
    <s v="Standard"/>
    <n v="399"/>
    <n v="11.7"/>
    <n v="4"/>
    <n v="2"/>
    <n v="15"/>
    <n v="29"/>
    <s v="Yes"/>
    <s v="No"/>
    <s v="Yes"/>
    <s v="No"/>
    <s v="Yes"/>
    <s v="No"/>
    <m/>
    <s v="1+ Failures"/>
    <n v="1"/>
    <s v="10-20hrs"/>
    <s v="12+ months"/>
    <x v="1"/>
  </r>
  <r>
    <n v="541"/>
    <d v="2023-02-16T00:00:00"/>
    <s v="Basic"/>
    <n v="199"/>
    <n v="9.3000000000000007"/>
    <n v="5"/>
    <n v="3"/>
    <n v="19"/>
    <n v="47"/>
    <s v="Yes"/>
    <s v="No"/>
    <s v="Yes"/>
    <s v="Yes"/>
    <s v="Yes"/>
    <s v="No"/>
    <m/>
    <s v="1+ Failures"/>
    <n v="1"/>
    <s v="5-10 hrs"/>
    <s v="12+ months"/>
    <x v="1"/>
  </r>
  <r>
    <n v="542"/>
    <d v="2024-09-28T00:00:00"/>
    <s v="Basic"/>
    <n v="199"/>
    <n v="16.8"/>
    <n v="2"/>
    <n v="2"/>
    <n v="9"/>
    <n v="22"/>
    <s v="No"/>
    <s v="No"/>
    <s v="Yes"/>
    <s v="No"/>
    <s v="Yes"/>
    <s v="No"/>
    <m/>
    <s v="1+ Failures"/>
    <n v="0"/>
    <s v="10-20hrs"/>
    <s v="6-12months"/>
    <x v="1"/>
  </r>
  <r>
    <n v="543"/>
    <d v="2024-04-12T00:00:00"/>
    <s v="Standard"/>
    <n v="399"/>
    <n v="9.6"/>
    <n v="5"/>
    <n v="1"/>
    <n v="6"/>
    <n v="7"/>
    <s v="No"/>
    <s v="No"/>
    <s v="Yes"/>
    <s v="Yes"/>
    <s v="No"/>
    <s v="No"/>
    <m/>
    <s v="1+ Failures"/>
    <n v="0"/>
    <s v="5-10 hrs"/>
    <s v="3-6months"/>
    <x v="1"/>
  </r>
  <r>
    <n v="544"/>
    <d v="2023-06-20T00:00:00"/>
    <s v="Standard"/>
    <n v="399"/>
    <n v="17.399999999999999"/>
    <n v="7"/>
    <n v="3"/>
    <n v="25"/>
    <n v="41"/>
    <s v="No"/>
    <s v="No"/>
    <s v="Yes"/>
    <s v="Yes"/>
    <s v="Yes"/>
    <s v="No"/>
    <m/>
    <s v="1+ Failures"/>
    <n v="0"/>
    <s v="10-20hrs"/>
    <s v="12+ months"/>
    <x v="1"/>
  </r>
  <r>
    <n v="545"/>
    <d v="2024-08-27T00:00:00"/>
    <s v="Basic"/>
    <n v="199"/>
    <n v="17.600000000000001"/>
    <n v="0"/>
    <n v="1"/>
    <n v="9"/>
    <n v="6"/>
    <s v="No"/>
    <s v="No"/>
    <s v="Yes"/>
    <s v="No"/>
    <s v="No"/>
    <s v="No"/>
    <m/>
    <s v="1+ Failures"/>
    <n v="0"/>
    <s v="10-20hrs"/>
    <s v="6-12months"/>
    <x v="1"/>
  </r>
  <r>
    <n v="546"/>
    <d v="2024-12-01T00:00:00"/>
    <s v="Standard"/>
    <n v="399"/>
    <n v="4.9000000000000004"/>
    <n v="6"/>
    <n v="2"/>
    <n v="29"/>
    <n v="39"/>
    <s v="Yes"/>
    <s v="Yes"/>
    <s v="Yes"/>
    <s v="Yes"/>
    <s v="Yes"/>
    <s v="No"/>
    <m/>
    <s v="1+ Failures"/>
    <n v="1"/>
    <s v="0-5 hrs"/>
    <s v="12+ months"/>
    <x v="1"/>
  </r>
  <r>
    <n v="547"/>
    <d v="2023-02-17T00:00:00"/>
    <s v="Premium"/>
    <n v="699"/>
    <n v="12.3"/>
    <n v="7"/>
    <n v="0"/>
    <n v="9"/>
    <n v="56"/>
    <s v="Yes"/>
    <s v="No"/>
    <s v="No"/>
    <s v="Yes"/>
    <s v="Yes"/>
    <s v="No"/>
    <m/>
    <s v="0 Failures"/>
    <n v="1"/>
    <s v="10-20hrs"/>
    <s v="6-12months"/>
    <x v="0"/>
  </r>
  <r>
    <n v="548"/>
    <d v="2024-08-13T00:00:00"/>
    <s v="Basic"/>
    <n v="199"/>
    <n v="16.5"/>
    <n v="0"/>
    <n v="5"/>
    <n v="17"/>
    <n v="55"/>
    <s v="No"/>
    <s v="No"/>
    <s v="Yes"/>
    <s v="No"/>
    <s v="Yes"/>
    <s v="No"/>
    <m/>
    <s v="1+ Failures"/>
    <n v="0"/>
    <s v="10-20hrs"/>
    <s v="12+ months"/>
    <x v="1"/>
  </r>
  <r>
    <n v="549"/>
    <d v="2024-09-25T00:00:00"/>
    <s v="Premium"/>
    <n v="699"/>
    <n v="24.5"/>
    <n v="5"/>
    <n v="4"/>
    <n v="15"/>
    <n v="33"/>
    <s v="Yes"/>
    <s v="No"/>
    <s v="Yes"/>
    <s v="Yes"/>
    <s v="Yes"/>
    <s v="No"/>
    <m/>
    <s v="1+ Failures"/>
    <n v="1"/>
    <s v="20+ hrs"/>
    <s v="12+ months"/>
    <x v="0"/>
  </r>
  <r>
    <n v="550"/>
    <d v="2024-10-18T00:00:00"/>
    <s v="Basic"/>
    <n v="199"/>
    <n v="16.7"/>
    <n v="3"/>
    <n v="3"/>
    <n v="28"/>
    <n v="22"/>
    <s v="No"/>
    <s v="No"/>
    <s v="Yes"/>
    <s v="No"/>
    <s v="Yes"/>
    <s v="No"/>
    <m/>
    <s v="1+ Failures"/>
    <n v="0"/>
    <s v="10-20hrs"/>
    <s v="12+ months"/>
    <x v="1"/>
  </r>
  <r>
    <n v="551"/>
    <d v="2023-06-10T00:00:00"/>
    <s v="Standard"/>
    <n v="399"/>
    <n v="21.1"/>
    <n v="8"/>
    <n v="4"/>
    <n v="10"/>
    <n v="3"/>
    <s v="Yes"/>
    <s v="No"/>
    <s v="Yes"/>
    <s v="Yes"/>
    <s v="No"/>
    <s v="No"/>
    <m/>
    <s v="1+ Failures"/>
    <n v="1"/>
    <s v="20+ hrs"/>
    <s v="6-12months"/>
    <x v="1"/>
  </r>
  <r>
    <n v="552"/>
    <d v="2023-09-04T00:00:00"/>
    <s v="Premium"/>
    <n v="699"/>
    <n v="21.4"/>
    <n v="2"/>
    <n v="0"/>
    <n v="31"/>
    <n v="48"/>
    <s v="No"/>
    <s v="No"/>
    <s v="No"/>
    <s v="No"/>
    <s v="Yes"/>
    <s v="No"/>
    <m/>
    <s v="0 Failures"/>
    <n v="0"/>
    <s v="20+ hrs"/>
    <s v="12+ months"/>
    <x v="0"/>
  </r>
  <r>
    <n v="553"/>
    <d v="2023-08-29T00:00:00"/>
    <s v="Standard"/>
    <n v="399"/>
    <n v="1.7"/>
    <n v="3"/>
    <n v="4"/>
    <n v="18"/>
    <n v="41"/>
    <s v="Yes"/>
    <s v="Yes"/>
    <s v="Yes"/>
    <s v="No"/>
    <s v="Yes"/>
    <s v="No"/>
    <m/>
    <s v="1+ Failures"/>
    <n v="1"/>
    <s v="0-5 hrs"/>
    <s v="12+ months"/>
    <x v="1"/>
  </r>
  <r>
    <n v="554"/>
    <d v="2023-11-20T00:00:00"/>
    <s v="Basic"/>
    <n v="199"/>
    <n v="11.4"/>
    <n v="7"/>
    <n v="0"/>
    <n v="30"/>
    <n v="54"/>
    <s v="Yes"/>
    <s v="No"/>
    <s v="No"/>
    <s v="Yes"/>
    <s v="Yes"/>
    <s v="No"/>
    <m/>
    <s v="0 Failures"/>
    <n v="1"/>
    <s v="10-20hrs"/>
    <s v="12+ months"/>
    <x v="1"/>
  </r>
  <r>
    <n v="555"/>
    <d v="2024-07-24T00:00:00"/>
    <s v="Basic"/>
    <n v="199"/>
    <n v="18.8"/>
    <n v="0"/>
    <n v="0"/>
    <n v="32"/>
    <n v="25"/>
    <s v="No"/>
    <s v="No"/>
    <s v="No"/>
    <s v="No"/>
    <s v="Yes"/>
    <s v="No"/>
    <m/>
    <s v="0 Failures"/>
    <n v="0"/>
    <s v="10-20hrs"/>
    <s v="12+ months"/>
    <x v="1"/>
  </r>
  <r>
    <n v="556"/>
    <d v="2024-11-18T00:00:00"/>
    <s v="Premium"/>
    <n v="699"/>
    <n v="20.7"/>
    <n v="4"/>
    <n v="4"/>
    <n v="1"/>
    <n v="35"/>
    <s v="Yes"/>
    <s v="No"/>
    <s v="Yes"/>
    <s v="No"/>
    <s v="Yes"/>
    <s v="Yes"/>
    <m/>
    <s v="1+ Failures"/>
    <n v="1"/>
    <s v="20+ hrs"/>
    <s v="0-3months"/>
    <x v="0"/>
  </r>
  <r>
    <n v="557"/>
    <d v="2024-07-27T00:00:00"/>
    <s v="Standard"/>
    <n v="399"/>
    <n v="9.4"/>
    <n v="0"/>
    <n v="1"/>
    <n v="22"/>
    <n v="54"/>
    <s v="No"/>
    <s v="No"/>
    <s v="Yes"/>
    <s v="No"/>
    <s v="Yes"/>
    <s v="No"/>
    <m/>
    <s v="1+ Failures"/>
    <n v="0"/>
    <s v="5-10 hrs"/>
    <s v="12+ months"/>
    <x v="1"/>
  </r>
  <r>
    <n v="558"/>
    <d v="2024-11-05T00:00:00"/>
    <s v="Premium"/>
    <n v="699"/>
    <n v="18.100000000000001"/>
    <n v="5"/>
    <n v="5"/>
    <n v="31"/>
    <n v="28"/>
    <s v="Yes"/>
    <s v="No"/>
    <s v="Yes"/>
    <s v="Yes"/>
    <s v="Yes"/>
    <s v="No"/>
    <m/>
    <s v="1+ Failures"/>
    <n v="1"/>
    <s v="10-20hrs"/>
    <s v="12+ months"/>
    <x v="0"/>
  </r>
  <r>
    <n v="559"/>
    <d v="2023-04-19T00:00:00"/>
    <s v="Basic"/>
    <n v="199"/>
    <n v="8.9"/>
    <n v="4"/>
    <n v="4"/>
    <n v="1"/>
    <n v="33"/>
    <s v="Yes"/>
    <s v="No"/>
    <s v="Yes"/>
    <s v="No"/>
    <s v="Yes"/>
    <s v="Yes"/>
    <m/>
    <s v="1+ Failures"/>
    <n v="1"/>
    <s v="5-10 hrs"/>
    <s v="0-3months"/>
    <x v="1"/>
  </r>
  <r>
    <n v="560"/>
    <d v="2023-07-12T00:00:00"/>
    <s v="Basic"/>
    <n v="199"/>
    <n v="12.6"/>
    <n v="6"/>
    <n v="0"/>
    <n v="11"/>
    <n v="16"/>
    <s v="No"/>
    <s v="No"/>
    <s v="No"/>
    <s v="Yes"/>
    <s v="Yes"/>
    <s v="No"/>
    <m/>
    <s v="0 Failures"/>
    <n v="0"/>
    <s v="10-20hrs"/>
    <s v="6-12months"/>
    <x v="1"/>
  </r>
  <r>
    <n v="561"/>
    <d v="2024-02-29T00:00:00"/>
    <s v="Basic"/>
    <n v="199"/>
    <n v="5.8"/>
    <n v="3"/>
    <n v="5"/>
    <n v="26"/>
    <n v="21"/>
    <s v="Yes"/>
    <s v="No"/>
    <s v="Yes"/>
    <s v="No"/>
    <s v="Yes"/>
    <s v="No"/>
    <m/>
    <s v="1+ Failures"/>
    <n v="1"/>
    <s v="5-10 hrs"/>
    <s v="12+ months"/>
    <x v="1"/>
  </r>
  <r>
    <n v="562"/>
    <d v="2024-05-31T00:00:00"/>
    <s v="Basic"/>
    <n v="199"/>
    <n v="19.399999999999999"/>
    <n v="7"/>
    <n v="3"/>
    <n v="8"/>
    <n v="42"/>
    <s v="Yes"/>
    <s v="No"/>
    <s v="Yes"/>
    <s v="Yes"/>
    <s v="Yes"/>
    <s v="No"/>
    <m/>
    <s v="1+ Failures"/>
    <n v="1"/>
    <s v="10-20hrs"/>
    <s v="6-12months"/>
    <x v="1"/>
  </r>
  <r>
    <n v="563"/>
    <d v="2024-08-22T00:00:00"/>
    <s v="Basic"/>
    <n v="199"/>
    <n v="0.6"/>
    <n v="0"/>
    <n v="4"/>
    <n v="32"/>
    <n v="59"/>
    <s v="Yes"/>
    <s v="Yes"/>
    <s v="Yes"/>
    <s v="No"/>
    <s v="Yes"/>
    <s v="No"/>
    <m/>
    <s v="1+ Failures"/>
    <n v="1"/>
    <s v="0-5 hrs"/>
    <s v="12+ months"/>
    <x v="1"/>
  </r>
  <r>
    <n v="564"/>
    <d v="2023-05-12T00:00:00"/>
    <s v="Standard"/>
    <n v="399"/>
    <n v="19.600000000000001"/>
    <n v="2"/>
    <n v="5"/>
    <n v="33"/>
    <n v="37"/>
    <s v="Yes"/>
    <s v="No"/>
    <s v="Yes"/>
    <s v="No"/>
    <s v="Yes"/>
    <s v="No"/>
    <m/>
    <s v="1+ Failures"/>
    <n v="1"/>
    <s v="10-20hrs"/>
    <s v="12+ months"/>
    <x v="1"/>
  </r>
  <r>
    <n v="565"/>
    <d v="2024-09-15T00:00:00"/>
    <s v="Basic"/>
    <n v="199"/>
    <n v="16.600000000000001"/>
    <n v="5"/>
    <n v="4"/>
    <n v="25"/>
    <n v="56"/>
    <s v="Yes"/>
    <s v="No"/>
    <s v="Yes"/>
    <s v="Yes"/>
    <s v="Yes"/>
    <s v="No"/>
    <m/>
    <s v="1+ Failures"/>
    <n v="1"/>
    <s v="10-20hrs"/>
    <s v="12+ months"/>
    <x v="1"/>
  </r>
  <r>
    <n v="566"/>
    <d v="2023-05-22T00:00:00"/>
    <s v="Premium"/>
    <n v="699"/>
    <n v="7.2"/>
    <n v="5"/>
    <n v="2"/>
    <n v="16"/>
    <n v="28"/>
    <s v="No"/>
    <s v="No"/>
    <s v="Yes"/>
    <s v="Yes"/>
    <s v="Yes"/>
    <s v="No"/>
    <m/>
    <s v="1+ Failures"/>
    <n v="0"/>
    <s v="5-10 hrs"/>
    <s v="12+ months"/>
    <x v="0"/>
  </r>
  <r>
    <n v="567"/>
    <d v="2024-07-20T00:00:00"/>
    <s v="Standard"/>
    <n v="399"/>
    <n v="7.8"/>
    <n v="8"/>
    <n v="2"/>
    <n v="33"/>
    <n v="45"/>
    <s v="Yes"/>
    <s v="No"/>
    <s v="Yes"/>
    <s v="Yes"/>
    <s v="Yes"/>
    <s v="No"/>
    <m/>
    <s v="1+ Failures"/>
    <n v="1"/>
    <s v="5-10 hrs"/>
    <s v="12+ months"/>
    <x v="1"/>
  </r>
  <r>
    <n v="568"/>
    <d v="2023-05-16T00:00:00"/>
    <s v="Premium"/>
    <n v="699"/>
    <n v="5.4"/>
    <n v="4"/>
    <n v="5"/>
    <n v="14"/>
    <n v="22"/>
    <s v="No"/>
    <s v="No"/>
    <s v="Yes"/>
    <s v="No"/>
    <s v="Yes"/>
    <s v="No"/>
    <m/>
    <s v="1+ Failures"/>
    <n v="0"/>
    <s v="5-10 hrs"/>
    <s v="12+ months"/>
    <x v="0"/>
  </r>
  <r>
    <n v="569"/>
    <d v="2024-07-29T00:00:00"/>
    <s v="Premium"/>
    <n v="699"/>
    <n v="12.8"/>
    <n v="5"/>
    <n v="5"/>
    <n v="12"/>
    <n v="7"/>
    <s v="No"/>
    <s v="No"/>
    <s v="Yes"/>
    <s v="Yes"/>
    <s v="No"/>
    <s v="No"/>
    <m/>
    <s v="1+ Failures"/>
    <n v="0"/>
    <s v="10-20hrs"/>
    <s v="6-12months"/>
    <x v="0"/>
  </r>
  <r>
    <n v="570"/>
    <d v="2023-01-14T00:00:00"/>
    <s v="Standard"/>
    <n v="399"/>
    <n v="17"/>
    <n v="8"/>
    <n v="2"/>
    <n v="27"/>
    <n v="56"/>
    <s v="No"/>
    <s v="No"/>
    <s v="Yes"/>
    <s v="Yes"/>
    <s v="Yes"/>
    <s v="No"/>
    <m/>
    <s v="1+ Failures"/>
    <n v="0"/>
    <s v="10-20hrs"/>
    <s v="12+ months"/>
    <x v="1"/>
  </r>
  <r>
    <n v="571"/>
    <d v="2023-10-01T00:00:00"/>
    <s v="Premium"/>
    <n v="699"/>
    <n v="1.1000000000000001"/>
    <n v="2"/>
    <n v="0"/>
    <n v="7"/>
    <n v="42"/>
    <s v="Yes"/>
    <s v="Yes"/>
    <s v="No"/>
    <s v="No"/>
    <s v="Yes"/>
    <s v="No"/>
    <m/>
    <s v="0 Failures"/>
    <n v="1"/>
    <s v="0-5 hrs"/>
    <s v="6-12months"/>
    <x v="0"/>
  </r>
  <r>
    <n v="572"/>
    <d v="2023-07-28T00:00:00"/>
    <s v="Basic"/>
    <n v="199"/>
    <n v="17.2"/>
    <n v="2"/>
    <n v="0"/>
    <n v="19"/>
    <n v="44"/>
    <s v="No"/>
    <s v="No"/>
    <s v="No"/>
    <s v="No"/>
    <s v="Yes"/>
    <s v="No"/>
    <m/>
    <s v="0 Failures"/>
    <n v="0"/>
    <s v="10-20hrs"/>
    <s v="12+ months"/>
    <x v="1"/>
  </r>
  <r>
    <n v="573"/>
    <d v="2024-07-29T00:00:00"/>
    <s v="Premium"/>
    <n v="699"/>
    <n v="9.3000000000000007"/>
    <n v="7"/>
    <n v="0"/>
    <n v="3"/>
    <n v="39"/>
    <s v="No"/>
    <s v="No"/>
    <s v="No"/>
    <s v="Yes"/>
    <s v="Yes"/>
    <s v="Yes"/>
    <m/>
    <s v="0 Failures"/>
    <n v="0"/>
    <s v="5-10 hrs"/>
    <s v="0-3months"/>
    <x v="0"/>
  </r>
  <r>
    <n v="574"/>
    <d v="2023-02-18T00:00:00"/>
    <s v="Basic"/>
    <n v="199"/>
    <n v="10"/>
    <n v="8"/>
    <n v="5"/>
    <n v="36"/>
    <n v="18"/>
    <s v="No"/>
    <s v="No"/>
    <s v="Yes"/>
    <s v="Yes"/>
    <s v="Yes"/>
    <s v="No"/>
    <m/>
    <s v="1+ Failures"/>
    <n v="0"/>
    <s v="5-10 hrs"/>
    <s v="12+ months"/>
    <x v="1"/>
  </r>
  <r>
    <n v="575"/>
    <d v="2023-09-15T00:00:00"/>
    <s v="Standard"/>
    <n v="399"/>
    <n v="10.7"/>
    <n v="5"/>
    <n v="4"/>
    <n v="25"/>
    <n v="3"/>
    <s v="Yes"/>
    <s v="No"/>
    <s v="Yes"/>
    <s v="Yes"/>
    <s v="No"/>
    <s v="No"/>
    <m/>
    <s v="1+ Failures"/>
    <n v="1"/>
    <s v="10-20hrs"/>
    <s v="12+ months"/>
    <x v="1"/>
  </r>
  <r>
    <n v="576"/>
    <d v="2023-07-21T00:00:00"/>
    <s v="Basic"/>
    <n v="199"/>
    <n v="20.8"/>
    <n v="5"/>
    <n v="4"/>
    <n v="29"/>
    <n v="34"/>
    <s v="Yes"/>
    <s v="No"/>
    <s v="Yes"/>
    <s v="Yes"/>
    <s v="Yes"/>
    <s v="No"/>
    <m/>
    <s v="1+ Failures"/>
    <n v="1"/>
    <s v="20+ hrs"/>
    <s v="12+ months"/>
    <x v="1"/>
  </r>
  <r>
    <n v="577"/>
    <d v="2023-06-27T00:00:00"/>
    <s v="Premium"/>
    <n v="699"/>
    <n v="7.7"/>
    <n v="2"/>
    <n v="5"/>
    <n v="13"/>
    <n v="4"/>
    <s v="Yes"/>
    <s v="No"/>
    <s v="Yes"/>
    <s v="No"/>
    <s v="No"/>
    <s v="No"/>
    <m/>
    <s v="1+ Failures"/>
    <n v="1"/>
    <s v="5-10 hrs"/>
    <s v="12+ months"/>
    <x v="0"/>
  </r>
  <r>
    <n v="578"/>
    <d v="2023-05-14T00:00:00"/>
    <s v="Premium"/>
    <n v="699"/>
    <n v="3.4"/>
    <n v="0"/>
    <n v="3"/>
    <n v="33"/>
    <n v="17"/>
    <s v="Yes"/>
    <s v="Yes"/>
    <s v="Yes"/>
    <s v="No"/>
    <s v="Yes"/>
    <s v="No"/>
    <m/>
    <s v="1+ Failures"/>
    <n v="1"/>
    <s v="0-5 hrs"/>
    <s v="12+ months"/>
    <x v="0"/>
  </r>
  <r>
    <n v="579"/>
    <d v="2023-06-07T00:00:00"/>
    <s v="Basic"/>
    <n v="199"/>
    <n v="0.6"/>
    <n v="7"/>
    <n v="5"/>
    <n v="17"/>
    <n v="59"/>
    <s v="Yes"/>
    <s v="Yes"/>
    <s v="Yes"/>
    <s v="Yes"/>
    <s v="Yes"/>
    <s v="No"/>
    <m/>
    <s v="1+ Failures"/>
    <n v="1"/>
    <s v="0-5 hrs"/>
    <s v="12+ months"/>
    <x v="1"/>
  </r>
  <r>
    <n v="580"/>
    <d v="2024-01-02T00:00:00"/>
    <s v="Standard"/>
    <n v="399"/>
    <n v="19.5"/>
    <n v="4"/>
    <n v="3"/>
    <n v="4"/>
    <n v="50"/>
    <s v="Yes"/>
    <s v="No"/>
    <s v="Yes"/>
    <s v="No"/>
    <s v="Yes"/>
    <s v="Yes"/>
    <m/>
    <s v="1+ Failures"/>
    <n v="1"/>
    <s v="10-20hrs"/>
    <s v="3-6months"/>
    <x v="1"/>
  </r>
  <r>
    <n v="581"/>
    <d v="2023-06-13T00:00:00"/>
    <s v="Basic"/>
    <n v="199"/>
    <n v="13.4"/>
    <n v="2"/>
    <n v="4"/>
    <n v="21"/>
    <n v="4"/>
    <s v="No"/>
    <s v="No"/>
    <s v="Yes"/>
    <s v="No"/>
    <s v="No"/>
    <s v="No"/>
    <m/>
    <s v="1+ Failures"/>
    <n v="0"/>
    <s v="10-20hrs"/>
    <s v="12+ months"/>
    <x v="1"/>
  </r>
  <r>
    <n v="582"/>
    <d v="2024-11-10T00:00:00"/>
    <s v="Standard"/>
    <n v="399"/>
    <n v="13.7"/>
    <n v="1"/>
    <n v="2"/>
    <n v="35"/>
    <n v="14"/>
    <s v="No"/>
    <s v="No"/>
    <s v="Yes"/>
    <s v="No"/>
    <s v="No"/>
    <s v="No"/>
    <m/>
    <s v="1+ Failures"/>
    <n v="0"/>
    <s v="10-20hrs"/>
    <s v="12+ months"/>
    <x v="1"/>
  </r>
  <r>
    <n v="583"/>
    <d v="2024-07-28T00:00:00"/>
    <s v="Standard"/>
    <n v="399"/>
    <n v="9.3000000000000007"/>
    <n v="3"/>
    <n v="4"/>
    <n v="22"/>
    <n v="33"/>
    <s v="Yes"/>
    <s v="No"/>
    <s v="Yes"/>
    <s v="No"/>
    <s v="Yes"/>
    <s v="No"/>
    <m/>
    <s v="1+ Failures"/>
    <n v="1"/>
    <s v="5-10 hrs"/>
    <s v="12+ months"/>
    <x v="1"/>
  </r>
  <r>
    <n v="584"/>
    <d v="2024-09-20T00:00:00"/>
    <s v="Premium"/>
    <n v="699"/>
    <n v="3.3"/>
    <n v="5"/>
    <n v="3"/>
    <n v="1"/>
    <n v="15"/>
    <s v="No"/>
    <s v="Yes"/>
    <s v="Yes"/>
    <s v="Yes"/>
    <s v="Yes"/>
    <s v="Yes"/>
    <m/>
    <s v="1+ Failures"/>
    <n v="0"/>
    <s v="0-5 hrs"/>
    <s v="0-3months"/>
    <x v="0"/>
  </r>
  <r>
    <n v="585"/>
    <d v="2023-04-27T00:00:00"/>
    <s v="Premium"/>
    <n v="699"/>
    <n v="24"/>
    <n v="5"/>
    <n v="3"/>
    <n v="16"/>
    <n v="58"/>
    <s v="No"/>
    <s v="No"/>
    <s v="Yes"/>
    <s v="Yes"/>
    <s v="Yes"/>
    <s v="No"/>
    <m/>
    <s v="1+ Failures"/>
    <n v="0"/>
    <s v="20+ hrs"/>
    <s v="12+ months"/>
    <x v="0"/>
  </r>
  <r>
    <n v="586"/>
    <d v="2024-01-19T00:00:00"/>
    <s v="Standard"/>
    <n v="399"/>
    <n v="13.7"/>
    <n v="4"/>
    <n v="0"/>
    <n v="17"/>
    <n v="58"/>
    <s v="No"/>
    <s v="No"/>
    <s v="No"/>
    <s v="No"/>
    <s v="Yes"/>
    <s v="No"/>
    <m/>
    <s v="0 Failures"/>
    <n v="0"/>
    <s v="10-20hrs"/>
    <s v="12+ months"/>
    <x v="1"/>
  </r>
  <r>
    <n v="587"/>
    <d v="2023-11-25T00:00:00"/>
    <s v="Premium"/>
    <n v="699"/>
    <n v="11.4"/>
    <n v="0"/>
    <n v="2"/>
    <n v="33"/>
    <n v="57"/>
    <s v="No"/>
    <s v="No"/>
    <s v="Yes"/>
    <s v="No"/>
    <s v="Yes"/>
    <s v="No"/>
    <m/>
    <s v="1+ Failures"/>
    <n v="0"/>
    <s v="10-20hrs"/>
    <s v="12+ months"/>
    <x v="0"/>
  </r>
  <r>
    <n v="588"/>
    <d v="2023-03-09T00:00:00"/>
    <s v="Premium"/>
    <n v="699"/>
    <n v="23.7"/>
    <n v="2"/>
    <n v="4"/>
    <n v="6"/>
    <n v="34"/>
    <s v="Yes"/>
    <s v="No"/>
    <s v="Yes"/>
    <s v="No"/>
    <s v="Yes"/>
    <s v="No"/>
    <m/>
    <s v="1+ Failures"/>
    <n v="1"/>
    <s v="20+ hrs"/>
    <s v="3-6months"/>
    <x v="0"/>
  </r>
  <r>
    <n v="589"/>
    <d v="2024-12-20T00:00:00"/>
    <s v="Basic"/>
    <n v="199"/>
    <n v="21.7"/>
    <n v="6"/>
    <n v="0"/>
    <n v="14"/>
    <n v="13"/>
    <s v="No"/>
    <s v="No"/>
    <s v="No"/>
    <s v="Yes"/>
    <s v="No"/>
    <s v="No"/>
    <m/>
    <s v="0 Failures"/>
    <n v="0"/>
    <s v="20+ hrs"/>
    <s v="12+ months"/>
    <x v="1"/>
  </r>
  <r>
    <n v="590"/>
    <d v="2024-04-15T00:00:00"/>
    <s v="Premium"/>
    <n v="699"/>
    <n v="16.3"/>
    <n v="1"/>
    <n v="5"/>
    <n v="28"/>
    <n v="43"/>
    <s v="Yes"/>
    <s v="No"/>
    <s v="Yes"/>
    <s v="No"/>
    <s v="Yes"/>
    <s v="No"/>
    <m/>
    <s v="1+ Failures"/>
    <n v="1"/>
    <s v="10-20hrs"/>
    <s v="12+ months"/>
    <x v="0"/>
  </r>
  <r>
    <n v="591"/>
    <d v="2024-07-25T00:00:00"/>
    <s v="Premium"/>
    <n v="699"/>
    <n v="1.4"/>
    <n v="1"/>
    <n v="0"/>
    <n v="22"/>
    <n v="11"/>
    <s v="No"/>
    <s v="Yes"/>
    <s v="No"/>
    <s v="No"/>
    <s v="No"/>
    <s v="No"/>
    <m/>
    <s v="0 Failures"/>
    <n v="0"/>
    <s v="0-5 hrs"/>
    <s v="12+ months"/>
    <x v="0"/>
  </r>
  <r>
    <n v="592"/>
    <d v="2024-03-19T00:00:00"/>
    <s v="Basic"/>
    <n v="199"/>
    <n v="22.8"/>
    <n v="6"/>
    <n v="3"/>
    <n v="15"/>
    <n v="28"/>
    <s v="Yes"/>
    <s v="No"/>
    <s v="Yes"/>
    <s v="Yes"/>
    <s v="Yes"/>
    <s v="No"/>
    <m/>
    <s v="1+ Failures"/>
    <n v="1"/>
    <s v="20+ hrs"/>
    <s v="12+ months"/>
    <x v="1"/>
  </r>
  <r>
    <n v="593"/>
    <d v="2024-09-25T00:00:00"/>
    <s v="Standard"/>
    <n v="399"/>
    <n v="10"/>
    <n v="1"/>
    <n v="4"/>
    <n v="2"/>
    <n v="0"/>
    <s v="No"/>
    <s v="No"/>
    <s v="Yes"/>
    <s v="No"/>
    <s v="No"/>
    <s v="Yes"/>
    <m/>
    <s v="1+ Failures"/>
    <n v="0"/>
    <s v="5-10 hrs"/>
    <s v="0-3months"/>
    <x v="1"/>
  </r>
  <r>
    <n v="594"/>
    <d v="2023-10-24T00:00:00"/>
    <s v="Basic"/>
    <n v="199"/>
    <n v="17.7"/>
    <n v="1"/>
    <n v="2"/>
    <n v="3"/>
    <n v="59"/>
    <s v="Yes"/>
    <s v="No"/>
    <s v="Yes"/>
    <s v="No"/>
    <s v="Yes"/>
    <s v="Yes"/>
    <m/>
    <s v="1+ Failures"/>
    <n v="1"/>
    <s v="10-20hrs"/>
    <s v="0-3months"/>
    <x v="1"/>
  </r>
  <r>
    <n v="595"/>
    <d v="2024-11-07T00:00:00"/>
    <s v="Premium"/>
    <n v="699"/>
    <n v="15.4"/>
    <n v="4"/>
    <n v="3"/>
    <n v="20"/>
    <n v="24"/>
    <s v="Yes"/>
    <s v="No"/>
    <s v="Yes"/>
    <s v="No"/>
    <s v="Yes"/>
    <s v="No"/>
    <m/>
    <s v="1+ Failures"/>
    <n v="1"/>
    <s v="10-20hrs"/>
    <s v="12+ months"/>
    <x v="0"/>
  </r>
  <r>
    <n v="596"/>
    <d v="2024-07-12T00:00:00"/>
    <s v="Basic"/>
    <n v="199"/>
    <n v="4.3"/>
    <n v="3"/>
    <n v="1"/>
    <n v="31"/>
    <n v="47"/>
    <s v="Yes"/>
    <s v="Yes"/>
    <s v="Yes"/>
    <s v="No"/>
    <s v="Yes"/>
    <s v="No"/>
    <m/>
    <s v="1+ Failures"/>
    <n v="1"/>
    <s v="0-5 hrs"/>
    <s v="12+ months"/>
    <x v="1"/>
  </r>
  <r>
    <n v="597"/>
    <d v="2023-05-25T00:00:00"/>
    <s v="Standard"/>
    <n v="399"/>
    <n v="7.8"/>
    <n v="5"/>
    <n v="0"/>
    <n v="10"/>
    <n v="35"/>
    <s v="No"/>
    <s v="No"/>
    <s v="No"/>
    <s v="Yes"/>
    <s v="Yes"/>
    <s v="No"/>
    <m/>
    <s v="0 Failures"/>
    <n v="0"/>
    <s v="5-10 hrs"/>
    <s v="6-12months"/>
    <x v="1"/>
  </r>
  <r>
    <n v="598"/>
    <d v="2023-11-09T00:00:00"/>
    <s v="Basic"/>
    <n v="199"/>
    <n v="0.6"/>
    <n v="6"/>
    <n v="4"/>
    <n v="3"/>
    <n v="35"/>
    <s v="Yes"/>
    <s v="Yes"/>
    <s v="Yes"/>
    <s v="Yes"/>
    <s v="Yes"/>
    <s v="Yes"/>
    <m/>
    <s v="1+ Failures"/>
    <n v="1"/>
    <s v="0-5 hrs"/>
    <s v="0-3months"/>
    <x v="1"/>
  </r>
  <r>
    <n v="599"/>
    <d v="2024-09-23T00:00:00"/>
    <s v="Basic"/>
    <n v="199"/>
    <n v="5.7"/>
    <n v="8"/>
    <n v="1"/>
    <n v="23"/>
    <n v="10"/>
    <s v="Yes"/>
    <s v="No"/>
    <s v="Yes"/>
    <s v="Yes"/>
    <s v="No"/>
    <s v="No"/>
    <m/>
    <s v="1+ Failures"/>
    <n v="1"/>
    <s v="5-10 hrs"/>
    <s v="12+ months"/>
    <x v="1"/>
  </r>
  <r>
    <n v="600"/>
    <d v="2023-03-16T00:00:00"/>
    <s v="Standard"/>
    <n v="399"/>
    <n v="3.3"/>
    <n v="0"/>
    <n v="4"/>
    <n v="13"/>
    <n v="29"/>
    <s v="Yes"/>
    <s v="Yes"/>
    <s v="Yes"/>
    <s v="No"/>
    <s v="Yes"/>
    <s v="No"/>
    <m/>
    <s v="1+ Failures"/>
    <n v="1"/>
    <s v="0-5 hrs"/>
    <s v="12+ months"/>
    <x v="1"/>
  </r>
  <r>
    <n v="601"/>
    <d v="2023-12-05T00:00:00"/>
    <s v="Standard"/>
    <n v="399"/>
    <n v="6.6"/>
    <n v="3"/>
    <n v="5"/>
    <n v="5"/>
    <n v="37"/>
    <s v="Yes"/>
    <s v="No"/>
    <s v="Yes"/>
    <s v="No"/>
    <s v="Yes"/>
    <s v="Yes"/>
    <m/>
    <s v="1+ Failures"/>
    <n v="1"/>
    <s v="5-10 hrs"/>
    <s v="3-6months"/>
    <x v="1"/>
  </r>
  <r>
    <n v="602"/>
    <d v="2023-07-18T00:00:00"/>
    <s v="Standard"/>
    <n v="399"/>
    <n v="16.899999999999999"/>
    <n v="3"/>
    <n v="0"/>
    <n v="9"/>
    <n v="18"/>
    <s v="No"/>
    <s v="No"/>
    <s v="No"/>
    <s v="No"/>
    <s v="Yes"/>
    <s v="No"/>
    <m/>
    <s v="0 Failures"/>
    <n v="0"/>
    <s v="10-20hrs"/>
    <s v="6-12months"/>
    <x v="1"/>
  </r>
  <r>
    <n v="603"/>
    <d v="2024-08-03T00:00:00"/>
    <s v="Standard"/>
    <n v="399"/>
    <n v="11.5"/>
    <n v="4"/>
    <n v="5"/>
    <n v="32"/>
    <n v="37"/>
    <s v="Yes"/>
    <s v="No"/>
    <s v="Yes"/>
    <s v="No"/>
    <s v="Yes"/>
    <s v="No"/>
    <m/>
    <s v="1+ Failures"/>
    <n v="1"/>
    <s v="10-20hrs"/>
    <s v="12+ months"/>
    <x v="1"/>
  </r>
  <r>
    <n v="604"/>
    <d v="2023-08-15T00:00:00"/>
    <s v="Standard"/>
    <n v="399"/>
    <n v="24"/>
    <n v="2"/>
    <n v="0"/>
    <n v="21"/>
    <n v="20"/>
    <s v="No"/>
    <s v="No"/>
    <s v="No"/>
    <s v="No"/>
    <s v="Yes"/>
    <s v="No"/>
    <m/>
    <s v="0 Failures"/>
    <n v="0"/>
    <s v="20+ hrs"/>
    <s v="12+ months"/>
    <x v="1"/>
  </r>
  <r>
    <n v="605"/>
    <d v="2024-05-06T00:00:00"/>
    <s v="Premium"/>
    <n v="699"/>
    <n v="7.3"/>
    <n v="5"/>
    <n v="1"/>
    <n v="28"/>
    <n v="43"/>
    <s v="No"/>
    <s v="No"/>
    <s v="Yes"/>
    <s v="Yes"/>
    <s v="Yes"/>
    <s v="No"/>
    <m/>
    <s v="1+ Failures"/>
    <n v="0"/>
    <s v="5-10 hrs"/>
    <s v="12+ months"/>
    <x v="0"/>
  </r>
  <r>
    <n v="606"/>
    <d v="2024-10-23T00:00:00"/>
    <s v="Standard"/>
    <n v="399"/>
    <n v="9.3000000000000007"/>
    <n v="4"/>
    <n v="3"/>
    <n v="29"/>
    <n v="35"/>
    <s v="Yes"/>
    <s v="No"/>
    <s v="Yes"/>
    <s v="No"/>
    <s v="Yes"/>
    <s v="No"/>
    <m/>
    <s v="1+ Failures"/>
    <n v="1"/>
    <s v="5-10 hrs"/>
    <s v="12+ months"/>
    <x v="1"/>
  </r>
  <r>
    <n v="607"/>
    <d v="2024-10-03T00:00:00"/>
    <s v="Premium"/>
    <n v="699"/>
    <n v="21.1"/>
    <n v="2"/>
    <n v="4"/>
    <n v="6"/>
    <n v="12"/>
    <s v="Yes"/>
    <s v="No"/>
    <s v="Yes"/>
    <s v="No"/>
    <s v="No"/>
    <s v="No"/>
    <m/>
    <s v="1+ Failures"/>
    <n v="1"/>
    <s v="20+ hrs"/>
    <s v="3-6months"/>
    <x v="0"/>
  </r>
  <r>
    <n v="608"/>
    <d v="2024-08-15T00:00:00"/>
    <s v="Basic"/>
    <n v="199"/>
    <n v="22.4"/>
    <n v="8"/>
    <n v="5"/>
    <n v="5"/>
    <n v="1"/>
    <s v="No"/>
    <s v="No"/>
    <s v="Yes"/>
    <s v="Yes"/>
    <s v="No"/>
    <s v="Yes"/>
    <m/>
    <s v="1+ Failures"/>
    <n v="0"/>
    <s v="20+ hrs"/>
    <s v="3-6months"/>
    <x v="1"/>
  </r>
  <r>
    <n v="609"/>
    <d v="2024-07-06T00:00:00"/>
    <s v="Standard"/>
    <n v="399"/>
    <n v="22.7"/>
    <n v="8"/>
    <n v="2"/>
    <n v="14"/>
    <n v="34"/>
    <s v="No"/>
    <s v="No"/>
    <s v="Yes"/>
    <s v="Yes"/>
    <s v="Yes"/>
    <s v="No"/>
    <m/>
    <s v="1+ Failures"/>
    <n v="0"/>
    <s v="20+ hrs"/>
    <s v="12+ months"/>
    <x v="1"/>
  </r>
  <r>
    <n v="610"/>
    <d v="2023-05-18T00:00:00"/>
    <s v="Standard"/>
    <n v="399"/>
    <n v="9.5"/>
    <n v="3"/>
    <n v="4"/>
    <n v="10"/>
    <n v="46"/>
    <s v="No"/>
    <s v="No"/>
    <s v="Yes"/>
    <s v="No"/>
    <s v="Yes"/>
    <s v="No"/>
    <m/>
    <s v="1+ Failures"/>
    <n v="0"/>
    <s v="5-10 hrs"/>
    <s v="6-12months"/>
    <x v="1"/>
  </r>
  <r>
    <n v="611"/>
    <d v="2023-09-02T00:00:00"/>
    <s v="Standard"/>
    <n v="399"/>
    <n v="13"/>
    <n v="6"/>
    <n v="2"/>
    <n v="33"/>
    <n v="32"/>
    <s v="Yes"/>
    <s v="No"/>
    <s v="Yes"/>
    <s v="Yes"/>
    <s v="Yes"/>
    <s v="No"/>
    <m/>
    <s v="1+ Failures"/>
    <n v="1"/>
    <s v="10-20hrs"/>
    <s v="12+ months"/>
    <x v="1"/>
  </r>
  <r>
    <n v="612"/>
    <d v="2024-08-02T00:00:00"/>
    <s v="Premium"/>
    <n v="699"/>
    <n v="19.100000000000001"/>
    <n v="2"/>
    <n v="3"/>
    <n v="11"/>
    <n v="10"/>
    <s v="Yes"/>
    <s v="No"/>
    <s v="Yes"/>
    <s v="No"/>
    <s v="No"/>
    <s v="No"/>
    <m/>
    <s v="1+ Failures"/>
    <n v="1"/>
    <s v="10-20hrs"/>
    <s v="6-12months"/>
    <x v="0"/>
  </r>
  <r>
    <n v="613"/>
    <d v="2024-05-14T00:00:00"/>
    <s v="Premium"/>
    <n v="699"/>
    <n v="18.5"/>
    <n v="7"/>
    <n v="2"/>
    <n v="10"/>
    <n v="2"/>
    <s v="Yes"/>
    <s v="No"/>
    <s v="Yes"/>
    <s v="Yes"/>
    <s v="No"/>
    <s v="No"/>
    <m/>
    <s v="1+ Failures"/>
    <n v="1"/>
    <s v="10-20hrs"/>
    <s v="6-12months"/>
    <x v="0"/>
  </r>
  <r>
    <n v="614"/>
    <d v="2024-01-05T00:00:00"/>
    <s v="Basic"/>
    <n v="199"/>
    <n v="7"/>
    <n v="3"/>
    <n v="0"/>
    <n v="5"/>
    <n v="42"/>
    <s v="Yes"/>
    <s v="No"/>
    <s v="No"/>
    <s v="No"/>
    <s v="Yes"/>
    <s v="Yes"/>
    <m/>
    <s v="0 Failures"/>
    <n v="1"/>
    <s v="5-10 hrs"/>
    <s v="3-6months"/>
    <x v="1"/>
  </r>
  <r>
    <n v="615"/>
    <d v="2024-12-21T00:00:00"/>
    <s v="Standard"/>
    <n v="399"/>
    <n v="23"/>
    <n v="0"/>
    <n v="0"/>
    <n v="31"/>
    <n v="41"/>
    <s v="Yes"/>
    <s v="No"/>
    <s v="No"/>
    <s v="No"/>
    <s v="Yes"/>
    <s v="No"/>
    <m/>
    <s v="0 Failures"/>
    <n v="1"/>
    <s v="20+ hrs"/>
    <s v="12+ months"/>
    <x v="1"/>
  </r>
  <r>
    <n v="616"/>
    <d v="2024-01-21T00:00:00"/>
    <s v="Premium"/>
    <n v="699"/>
    <n v="21"/>
    <n v="4"/>
    <n v="4"/>
    <n v="18"/>
    <n v="34"/>
    <s v="Yes"/>
    <s v="No"/>
    <s v="Yes"/>
    <s v="No"/>
    <s v="Yes"/>
    <s v="No"/>
    <m/>
    <s v="1+ Failures"/>
    <n v="1"/>
    <s v="20+ hrs"/>
    <s v="12+ months"/>
    <x v="0"/>
  </r>
  <r>
    <n v="617"/>
    <d v="2023-08-17T00:00:00"/>
    <s v="Premium"/>
    <n v="699"/>
    <n v="9.4"/>
    <n v="1"/>
    <n v="4"/>
    <n v="25"/>
    <n v="16"/>
    <s v="No"/>
    <s v="No"/>
    <s v="Yes"/>
    <s v="No"/>
    <s v="Yes"/>
    <s v="No"/>
    <m/>
    <s v="1+ Failures"/>
    <n v="0"/>
    <s v="5-10 hrs"/>
    <s v="12+ months"/>
    <x v="0"/>
  </r>
  <r>
    <n v="618"/>
    <d v="2024-09-10T00:00:00"/>
    <s v="Premium"/>
    <n v="699"/>
    <n v="9.1"/>
    <n v="5"/>
    <n v="3"/>
    <n v="26"/>
    <n v="50"/>
    <s v="Yes"/>
    <s v="No"/>
    <s v="Yes"/>
    <s v="Yes"/>
    <s v="Yes"/>
    <s v="No"/>
    <m/>
    <s v="1+ Failures"/>
    <n v="1"/>
    <s v="5-10 hrs"/>
    <s v="12+ months"/>
    <x v="0"/>
  </r>
  <r>
    <n v="619"/>
    <d v="2024-10-20T00:00:00"/>
    <s v="Basic"/>
    <n v="199"/>
    <n v="22.1"/>
    <n v="7"/>
    <n v="1"/>
    <n v="33"/>
    <n v="14"/>
    <s v="Yes"/>
    <s v="No"/>
    <s v="Yes"/>
    <s v="Yes"/>
    <s v="No"/>
    <s v="No"/>
    <m/>
    <s v="1+ Failures"/>
    <n v="1"/>
    <s v="20+ hrs"/>
    <s v="12+ months"/>
    <x v="1"/>
  </r>
  <r>
    <n v="620"/>
    <d v="2023-05-02T00:00:00"/>
    <s v="Standard"/>
    <n v="399"/>
    <n v="4.2"/>
    <n v="2"/>
    <n v="2"/>
    <n v="14"/>
    <n v="38"/>
    <s v="Yes"/>
    <s v="Yes"/>
    <s v="Yes"/>
    <s v="No"/>
    <s v="Yes"/>
    <s v="No"/>
    <m/>
    <s v="1+ Failures"/>
    <n v="1"/>
    <s v="0-5 hrs"/>
    <s v="12+ months"/>
    <x v="1"/>
  </r>
  <r>
    <n v="621"/>
    <d v="2024-05-05T00:00:00"/>
    <s v="Premium"/>
    <n v="699"/>
    <n v="10.7"/>
    <n v="5"/>
    <n v="5"/>
    <n v="15"/>
    <n v="7"/>
    <s v="Yes"/>
    <s v="No"/>
    <s v="Yes"/>
    <s v="Yes"/>
    <s v="No"/>
    <s v="No"/>
    <m/>
    <s v="1+ Failures"/>
    <n v="1"/>
    <s v="10-20hrs"/>
    <s v="12+ months"/>
    <x v="0"/>
  </r>
  <r>
    <n v="622"/>
    <d v="2024-08-10T00:00:00"/>
    <s v="Standard"/>
    <n v="399"/>
    <n v="15"/>
    <n v="6"/>
    <n v="0"/>
    <n v="14"/>
    <n v="15"/>
    <s v="Yes"/>
    <s v="No"/>
    <s v="No"/>
    <s v="Yes"/>
    <s v="Yes"/>
    <s v="No"/>
    <m/>
    <s v="0 Failures"/>
    <n v="1"/>
    <s v="10-20hrs"/>
    <s v="12+ months"/>
    <x v="1"/>
  </r>
  <r>
    <n v="623"/>
    <d v="2023-02-27T00:00:00"/>
    <s v="Premium"/>
    <n v="699"/>
    <n v="3.8"/>
    <n v="8"/>
    <n v="0"/>
    <n v="11"/>
    <n v="57"/>
    <s v="Yes"/>
    <s v="Yes"/>
    <s v="No"/>
    <s v="Yes"/>
    <s v="Yes"/>
    <s v="No"/>
    <m/>
    <s v="0 Failures"/>
    <n v="1"/>
    <s v="0-5 hrs"/>
    <s v="6-12months"/>
    <x v="0"/>
  </r>
  <r>
    <n v="624"/>
    <d v="2024-10-14T00:00:00"/>
    <s v="Basic"/>
    <n v="199"/>
    <n v="23.1"/>
    <n v="8"/>
    <n v="3"/>
    <n v="17"/>
    <n v="38"/>
    <s v="No"/>
    <s v="No"/>
    <s v="Yes"/>
    <s v="Yes"/>
    <s v="Yes"/>
    <s v="No"/>
    <m/>
    <s v="1+ Failures"/>
    <n v="0"/>
    <s v="20+ hrs"/>
    <s v="12+ months"/>
    <x v="1"/>
  </r>
  <r>
    <n v="625"/>
    <d v="2024-05-08T00:00:00"/>
    <s v="Basic"/>
    <n v="199"/>
    <n v="23.7"/>
    <n v="3"/>
    <n v="3"/>
    <n v="19"/>
    <n v="38"/>
    <s v="No"/>
    <s v="No"/>
    <s v="Yes"/>
    <s v="No"/>
    <s v="Yes"/>
    <s v="No"/>
    <m/>
    <s v="1+ Failures"/>
    <n v="0"/>
    <s v="20+ hrs"/>
    <s v="12+ months"/>
    <x v="1"/>
  </r>
  <r>
    <n v="626"/>
    <d v="2024-09-30T00:00:00"/>
    <s v="Basic"/>
    <n v="199"/>
    <n v="20.8"/>
    <n v="2"/>
    <n v="4"/>
    <n v="15"/>
    <n v="52"/>
    <s v="No"/>
    <s v="No"/>
    <s v="Yes"/>
    <s v="No"/>
    <s v="Yes"/>
    <s v="No"/>
    <m/>
    <s v="1+ Failures"/>
    <n v="0"/>
    <s v="20+ hrs"/>
    <s v="12+ months"/>
    <x v="1"/>
  </r>
  <r>
    <n v="627"/>
    <d v="2023-08-24T00:00:00"/>
    <s v="Premium"/>
    <n v="699"/>
    <n v="7"/>
    <n v="5"/>
    <n v="3"/>
    <n v="33"/>
    <n v="38"/>
    <s v="Yes"/>
    <s v="No"/>
    <s v="Yes"/>
    <s v="Yes"/>
    <s v="Yes"/>
    <s v="No"/>
    <m/>
    <s v="1+ Failures"/>
    <n v="1"/>
    <s v="5-10 hrs"/>
    <s v="12+ months"/>
    <x v="0"/>
  </r>
  <r>
    <n v="628"/>
    <d v="2024-05-31T00:00:00"/>
    <s v="Standard"/>
    <n v="399"/>
    <n v="3.7"/>
    <n v="0"/>
    <n v="1"/>
    <n v="25"/>
    <n v="33"/>
    <s v="No"/>
    <s v="Yes"/>
    <s v="Yes"/>
    <s v="No"/>
    <s v="Yes"/>
    <s v="No"/>
    <m/>
    <s v="1+ Failures"/>
    <n v="0"/>
    <s v="0-5 hrs"/>
    <s v="12+ months"/>
    <x v="1"/>
  </r>
  <r>
    <n v="629"/>
    <d v="2024-09-06T00:00:00"/>
    <s v="Premium"/>
    <n v="699"/>
    <n v="20.7"/>
    <n v="1"/>
    <n v="1"/>
    <n v="27"/>
    <n v="30"/>
    <s v="No"/>
    <s v="No"/>
    <s v="Yes"/>
    <s v="No"/>
    <s v="Yes"/>
    <s v="No"/>
    <m/>
    <s v="1+ Failures"/>
    <n v="0"/>
    <s v="20+ hrs"/>
    <s v="12+ months"/>
    <x v="0"/>
  </r>
  <r>
    <n v="630"/>
    <d v="2024-09-09T00:00:00"/>
    <s v="Basic"/>
    <n v="199"/>
    <n v="12.8"/>
    <n v="1"/>
    <n v="0"/>
    <n v="35"/>
    <n v="30"/>
    <s v="No"/>
    <s v="No"/>
    <s v="No"/>
    <s v="No"/>
    <s v="Yes"/>
    <s v="No"/>
    <m/>
    <s v="0 Failures"/>
    <n v="0"/>
    <s v="10-20hrs"/>
    <s v="12+ months"/>
    <x v="1"/>
  </r>
  <r>
    <n v="631"/>
    <d v="2023-02-14T00:00:00"/>
    <s v="Premium"/>
    <n v="699"/>
    <n v="22.5"/>
    <n v="6"/>
    <n v="4"/>
    <n v="1"/>
    <n v="26"/>
    <s v="Yes"/>
    <s v="No"/>
    <s v="Yes"/>
    <s v="Yes"/>
    <s v="Yes"/>
    <s v="Yes"/>
    <m/>
    <s v="1+ Failures"/>
    <n v="1"/>
    <s v="20+ hrs"/>
    <s v="0-3months"/>
    <x v="0"/>
  </r>
  <r>
    <n v="632"/>
    <d v="2024-12-14T00:00:00"/>
    <s v="Premium"/>
    <n v="699"/>
    <n v="11"/>
    <n v="7"/>
    <n v="3"/>
    <n v="34"/>
    <n v="22"/>
    <s v="Yes"/>
    <s v="No"/>
    <s v="Yes"/>
    <s v="Yes"/>
    <s v="Yes"/>
    <s v="No"/>
    <m/>
    <s v="1+ Failures"/>
    <n v="1"/>
    <s v="10-20hrs"/>
    <s v="12+ months"/>
    <x v="0"/>
  </r>
  <r>
    <n v="633"/>
    <d v="2023-03-27T00:00:00"/>
    <s v="Premium"/>
    <n v="699"/>
    <n v="10.9"/>
    <n v="4"/>
    <n v="3"/>
    <n v="7"/>
    <n v="49"/>
    <s v="Yes"/>
    <s v="No"/>
    <s v="Yes"/>
    <s v="No"/>
    <s v="Yes"/>
    <s v="No"/>
    <m/>
    <s v="1+ Failures"/>
    <n v="1"/>
    <s v="10-20hrs"/>
    <s v="6-12months"/>
    <x v="0"/>
  </r>
  <r>
    <n v="634"/>
    <d v="2023-01-08T00:00:00"/>
    <s v="Standard"/>
    <n v="399"/>
    <n v="10.5"/>
    <n v="3"/>
    <n v="0"/>
    <n v="35"/>
    <n v="45"/>
    <s v="No"/>
    <s v="No"/>
    <s v="No"/>
    <s v="No"/>
    <s v="Yes"/>
    <s v="No"/>
    <m/>
    <s v="0 Failures"/>
    <n v="0"/>
    <s v="10-20hrs"/>
    <s v="12+ months"/>
    <x v="1"/>
  </r>
  <r>
    <n v="635"/>
    <d v="2023-11-20T00:00:00"/>
    <s v="Premium"/>
    <n v="699"/>
    <n v="3.4"/>
    <n v="0"/>
    <n v="3"/>
    <n v="34"/>
    <n v="41"/>
    <s v="Yes"/>
    <s v="Yes"/>
    <s v="Yes"/>
    <s v="No"/>
    <s v="Yes"/>
    <s v="No"/>
    <m/>
    <s v="1+ Failures"/>
    <n v="1"/>
    <s v="0-5 hrs"/>
    <s v="12+ months"/>
    <x v="0"/>
  </r>
  <r>
    <n v="636"/>
    <d v="2024-07-02T00:00:00"/>
    <s v="Standard"/>
    <n v="399"/>
    <n v="3.1"/>
    <n v="6"/>
    <n v="5"/>
    <n v="24"/>
    <n v="37"/>
    <s v="Yes"/>
    <s v="Yes"/>
    <s v="Yes"/>
    <s v="Yes"/>
    <s v="Yes"/>
    <s v="No"/>
    <m/>
    <s v="1+ Failures"/>
    <n v="1"/>
    <s v="0-5 hrs"/>
    <s v="12+ months"/>
    <x v="1"/>
  </r>
  <r>
    <n v="637"/>
    <d v="2024-07-24T00:00:00"/>
    <s v="Standard"/>
    <n v="399"/>
    <n v="15.5"/>
    <n v="6"/>
    <n v="1"/>
    <n v="24"/>
    <n v="26"/>
    <s v="No"/>
    <s v="No"/>
    <s v="Yes"/>
    <s v="Yes"/>
    <s v="Yes"/>
    <s v="No"/>
    <m/>
    <s v="1+ Failures"/>
    <n v="0"/>
    <s v="10-20hrs"/>
    <s v="12+ months"/>
    <x v="1"/>
  </r>
  <r>
    <n v="638"/>
    <d v="2024-08-14T00:00:00"/>
    <s v="Standard"/>
    <n v="399"/>
    <n v="9.6"/>
    <n v="8"/>
    <n v="3"/>
    <n v="12"/>
    <n v="16"/>
    <s v="No"/>
    <s v="No"/>
    <s v="Yes"/>
    <s v="Yes"/>
    <s v="Yes"/>
    <s v="No"/>
    <m/>
    <s v="1+ Failures"/>
    <n v="0"/>
    <s v="5-10 hrs"/>
    <s v="6-12months"/>
    <x v="1"/>
  </r>
  <r>
    <n v="639"/>
    <d v="2024-12-17T00:00:00"/>
    <s v="Standard"/>
    <n v="399"/>
    <n v="18.5"/>
    <n v="1"/>
    <n v="5"/>
    <n v="26"/>
    <n v="14"/>
    <s v="No"/>
    <s v="No"/>
    <s v="Yes"/>
    <s v="No"/>
    <s v="No"/>
    <s v="No"/>
    <m/>
    <s v="1+ Failures"/>
    <n v="0"/>
    <s v="10-20hrs"/>
    <s v="12+ months"/>
    <x v="1"/>
  </r>
  <r>
    <n v="640"/>
    <d v="2024-12-14T00:00:00"/>
    <s v="Basic"/>
    <n v="199"/>
    <n v="5.8"/>
    <n v="6"/>
    <n v="2"/>
    <n v="7"/>
    <n v="51"/>
    <s v="Yes"/>
    <s v="No"/>
    <s v="Yes"/>
    <s v="Yes"/>
    <s v="Yes"/>
    <s v="No"/>
    <m/>
    <s v="1+ Failures"/>
    <n v="1"/>
    <s v="5-10 hrs"/>
    <s v="6-12months"/>
    <x v="1"/>
  </r>
  <r>
    <n v="641"/>
    <d v="2024-09-06T00:00:00"/>
    <s v="Premium"/>
    <n v="699"/>
    <n v="4.4000000000000004"/>
    <n v="0"/>
    <n v="0"/>
    <n v="4"/>
    <n v="52"/>
    <s v="Yes"/>
    <s v="Yes"/>
    <s v="No"/>
    <s v="No"/>
    <s v="Yes"/>
    <s v="Yes"/>
    <m/>
    <s v="0 Failures"/>
    <n v="1"/>
    <s v="0-5 hrs"/>
    <s v="3-6months"/>
    <x v="0"/>
  </r>
  <r>
    <n v="642"/>
    <d v="2024-01-29T00:00:00"/>
    <s v="Standard"/>
    <n v="399"/>
    <n v="2.1"/>
    <n v="3"/>
    <n v="2"/>
    <n v="6"/>
    <n v="5"/>
    <s v="No"/>
    <s v="Yes"/>
    <s v="Yes"/>
    <s v="No"/>
    <s v="No"/>
    <s v="No"/>
    <m/>
    <s v="1+ Failures"/>
    <n v="0"/>
    <s v="0-5 hrs"/>
    <s v="3-6months"/>
    <x v="1"/>
  </r>
  <r>
    <n v="643"/>
    <d v="2023-01-11T00:00:00"/>
    <s v="Standard"/>
    <n v="399"/>
    <n v="7.5"/>
    <n v="0"/>
    <n v="1"/>
    <n v="34"/>
    <n v="40"/>
    <s v="No"/>
    <s v="No"/>
    <s v="Yes"/>
    <s v="No"/>
    <s v="Yes"/>
    <s v="No"/>
    <m/>
    <s v="1+ Failures"/>
    <n v="0"/>
    <s v="5-10 hrs"/>
    <s v="12+ months"/>
    <x v="1"/>
  </r>
  <r>
    <n v="644"/>
    <d v="2023-08-26T00:00:00"/>
    <s v="Basic"/>
    <n v="199"/>
    <n v="7.5"/>
    <n v="0"/>
    <n v="4"/>
    <n v="34"/>
    <n v="32"/>
    <s v="Yes"/>
    <s v="No"/>
    <s v="Yes"/>
    <s v="No"/>
    <s v="Yes"/>
    <s v="No"/>
    <m/>
    <s v="1+ Failures"/>
    <n v="1"/>
    <s v="5-10 hrs"/>
    <s v="12+ months"/>
    <x v="1"/>
  </r>
  <r>
    <n v="645"/>
    <d v="2023-06-11T00:00:00"/>
    <s v="Premium"/>
    <n v="699"/>
    <n v="17"/>
    <n v="5"/>
    <n v="1"/>
    <n v="11"/>
    <n v="41"/>
    <s v="Yes"/>
    <s v="No"/>
    <s v="Yes"/>
    <s v="Yes"/>
    <s v="Yes"/>
    <s v="No"/>
    <m/>
    <s v="1+ Failures"/>
    <n v="1"/>
    <s v="10-20hrs"/>
    <s v="6-12months"/>
    <x v="0"/>
  </r>
  <r>
    <n v="646"/>
    <d v="2023-07-25T00:00:00"/>
    <s v="Basic"/>
    <n v="199"/>
    <n v="19.600000000000001"/>
    <n v="5"/>
    <n v="5"/>
    <n v="18"/>
    <n v="25"/>
    <s v="Yes"/>
    <s v="No"/>
    <s v="Yes"/>
    <s v="Yes"/>
    <s v="Yes"/>
    <s v="No"/>
    <m/>
    <s v="1+ Failures"/>
    <n v="1"/>
    <s v="10-20hrs"/>
    <s v="12+ months"/>
    <x v="1"/>
  </r>
  <r>
    <n v="647"/>
    <d v="2024-07-26T00:00:00"/>
    <s v="Premium"/>
    <n v="699"/>
    <n v="18.600000000000001"/>
    <n v="1"/>
    <n v="0"/>
    <n v="1"/>
    <n v="35"/>
    <s v="Yes"/>
    <s v="No"/>
    <s v="No"/>
    <s v="No"/>
    <s v="Yes"/>
    <s v="Yes"/>
    <m/>
    <s v="0 Failures"/>
    <n v="1"/>
    <s v="10-20hrs"/>
    <s v="0-3months"/>
    <x v="0"/>
  </r>
  <r>
    <n v="648"/>
    <d v="2024-04-10T00:00:00"/>
    <s v="Premium"/>
    <n v="699"/>
    <n v="9"/>
    <n v="4"/>
    <n v="1"/>
    <n v="23"/>
    <n v="38"/>
    <s v="No"/>
    <s v="No"/>
    <s v="Yes"/>
    <s v="No"/>
    <s v="Yes"/>
    <s v="No"/>
    <m/>
    <s v="1+ Failures"/>
    <n v="0"/>
    <s v="5-10 hrs"/>
    <s v="12+ months"/>
    <x v="0"/>
  </r>
  <r>
    <n v="649"/>
    <d v="2024-05-30T00:00:00"/>
    <s v="Standard"/>
    <n v="399"/>
    <n v="6.9"/>
    <n v="6"/>
    <n v="4"/>
    <n v="1"/>
    <n v="6"/>
    <s v="No"/>
    <s v="No"/>
    <s v="Yes"/>
    <s v="Yes"/>
    <s v="No"/>
    <s v="Yes"/>
    <m/>
    <s v="1+ Failures"/>
    <n v="0"/>
    <s v="5-10 hrs"/>
    <s v="0-3months"/>
    <x v="1"/>
  </r>
  <r>
    <n v="650"/>
    <d v="2024-08-11T00:00:00"/>
    <s v="Standard"/>
    <n v="399"/>
    <n v="23.7"/>
    <n v="8"/>
    <n v="2"/>
    <n v="22"/>
    <n v="56"/>
    <s v="Yes"/>
    <s v="No"/>
    <s v="Yes"/>
    <s v="Yes"/>
    <s v="Yes"/>
    <s v="No"/>
    <m/>
    <s v="1+ Failures"/>
    <n v="1"/>
    <s v="20+ hrs"/>
    <s v="12+ months"/>
    <x v="1"/>
  </r>
  <r>
    <n v="651"/>
    <d v="2024-04-14T00:00:00"/>
    <s v="Standard"/>
    <n v="399"/>
    <n v="24.2"/>
    <n v="7"/>
    <n v="1"/>
    <n v="29"/>
    <n v="48"/>
    <s v="Yes"/>
    <s v="No"/>
    <s v="Yes"/>
    <s v="Yes"/>
    <s v="Yes"/>
    <s v="No"/>
    <m/>
    <s v="1+ Failures"/>
    <n v="1"/>
    <s v="20+ hrs"/>
    <s v="12+ months"/>
    <x v="1"/>
  </r>
  <r>
    <n v="652"/>
    <d v="2024-01-27T00:00:00"/>
    <s v="Premium"/>
    <n v="699"/>
    <n v="22.5"/>
    <n v="0"/>
    <n v="3"/>
    <n v="30"/>
    <n v="7"/>
    <s v="Yes"/>
    <s v="No"/>
    <s v="Yes"/>
    <s v="No"/>
    <s v="No"/>
    <s v="No"/>
    <m/>
    <s v="1+ Failures"/>
    <n v="1"/>
    <s v="20+ hrs"/>
    <s v="12+ months"/>
    <x v="0"/>
  </r>
  <r>
    <n v="653"/>
    <d v="2024-06-12T00:00:00"/>
    <s v="Premium"/>
    <n v="699"/>
    <n v="17.100000000000001"/>
    <n v="3"/>
    <n v="2"/>
    <n v="15"/>
    <n v="26"/>
    <s v="No"/>
    <s v="No"/>
    <s v="Yes"/>
    <s v="No"/>
    <s v="Yes"/>
    <s v="No"/>
    <m/>
    <s v="1+ Failures"/>
    <n v="0"/>
    <s v="10-20hrs"/>
    <s v="12+ months"/>
    <x v="0"/>
  </r>
  <r>
    <n v="654"/>
    <d v="2024-11-20T00:00:00"/>
    <s v="Premium"/>
    <n v="699"/>
    <n v="17.7"/>
    <n v="4"/>
    <n v="1"/>
    <n v="1"/>
    <n v="18"/>
    <s v="Yes"/>
    <s v="No"/>
    <s v="Yes"/>
    <s v="No"/>
    <s v="Yes"/>
    <s v="Yes"/>
    <m/>
    <s v="1+ Failures"/>
    <n v="1"/>
    <s v="10-20hrs"/>
    <s v="0-3months"/>
    <x v="0"/>
  </r>
  <r>
    <n v="655"/>
    <d v="2024-08-10T00:00:00"/>
    <s v="Premium"/>
    <n v="699"/>
    <n v="2.4"/>
    <n v="2"/>
    <n v="3"/>
    <n v="22"/>
    <n v="20"/>
    <s v="Yes"/>
    <s v="Yes"/>
    <s v="Yes"/>
    <s v="No"/>
    <s v="Yes"/>
    <s v="No"/>
    <m/>
    <s v="1+ Failures"/>
    <n v="1"/>
    <s v="0-5 hrs"/>
    <s v="12+ months"/>
    <x v="0"/>
  </r>
  <r>
    <n v="656"/>
    <d v="2023-09-05T00:00:00"/>
    <s v="Standard"/>
    <n v="399"/>
    <n v="23.7"/>
    <n v="3"/>
    <n v="3"/>
    <n v="12"/>
    <n v="47"/>
    <s v="Yes"/>
    <s v="No"/>
    <s v="Yes"/>
    <s v="No"/>
    <s v="Yes"/>
    <s v="No"/>
    <m/>
    <s v="1+ Failures"/>
    <n v="1"/>
    <s v="20+ hrs"/>
    <s v="6-12months"/>
    <x v="1"/>
  </r>
  <r>
    <n v="657"/>
    <d v="2023-04-20T00:00:00"/>
    <s v="Standard"/>
    <n v="399"/>
    <n v="6.1"/>
    <n v="3"/>
    <n v="4"/>
    <n v="14"/>
    <n v="22"/>
    <s v="Yes"/>
    <s v="No"/>
    <s v="Yes"/>
    <s v="No"/>
    <s v="Yes"/>
    <s v="No"/>
    <m/>
    <s v="1+ Failures"/>
    <n v="1"/>
    <s v="5-10 hrs"/>
    <s v="12+ months"/>
    <x v="1"/>
  </r>
  <r>
    <n v="658"/>
    <d v="2024-07-08T00:00:00"/>
    <s v="Basic"/>
    <n v="199"/>
    <n v="17.100000000000001"/>
    <n v="7"/>
    <n v="4"/>
    <n v="6"/>
    <n v="0"/>
    <s v="No"/>
    <s v="No"/>
    <s v="Yes"/>
    <s v="Yes"/>
    <s v="No"/>
    <s v="No"/>
    <m/>
    <s v="1+ Failures"/>
    <n v="0"/>
    <s v="10-20hrs"/>
    <s v="3-6months"/>
    <x v="1"/>
  </r>
  <r>
    <n v="659"/>
    <d v="2024-08-11T00:00:00"/>
    <s v="Basic"/>
    <n v="199"/>
    <n v="9.6"/>
    <n v="5"/>
    <n v="3"/>
    <n v="31"/>
    <n v="57"/>
    <s v="No"/>
    <s v="No"/>
    <s v="Yes"/>
    <s v="Yes"/>
    <s v="Yes"/>
    <s v="No"/>
    <m/>
    <s v="1+ Failures"/>
    <n v="0"/>
    <s v="5-10 hrs"/>
    <s v="12+ months"/>
    <x v="1"/>
  </r>
  <r>
    <n v="660"/>
    <d v="2024-08-13T00:00:00"/>
    <s v="Standard"/>
    <n v="399"/>
    <n v="5"/>
    <n v="8"/>
    <n v="2"/>
    <n v="32"/>
    <n v="25"/>
    <s v="Yes"/>
    <s v="No"/>
    <s v="Yes"/>
    <s v="Yes"/>
    <s v="Yes"/>
    <s v="No"/>
    <m/>
    <s v="1+ Failures"/>
    <n v="1"/>
    <s v="0-5 hrs"/>
    <s v="12+ months"/>
    <x v="1"/>
  </r>
  <r>
    <n v="661"/>
    <d v="2024-05-29T00:00:00"/>
    <s v="Basic"/>
    <n v="199"/>
    <n v="13.4"/>
    <n v="6"/>
    <n v="3"/>
    <n v="4"/>
    <n v="60"/>
    <s v="Yes"/>
    <s v="No"/>
    <s v="Yes"/>
    <s v="Yes"/>
    <s v="Yes"/>
    <s v="Yes"/>
    <m/>
    <s v="1+ Failures"/>
    <n v="1"/>
    <s v="10-20hrs"/>
    <s v="3-6months"/>
    <x v="1"/>
  </r>
  <r>
    <n v="662"/>
    <d v="2024-04-16T00:00:00"/>
    <s v="Standard"/>
    <n v="399"/>
    <n v="21.6"/>
    <n v="2"/>
    <n v="3"/>
    <n v="26"/>
    <n v="7"/>
    <s v="No"/>
    <s v="No"/>
    <s v="Yes"/>
    <s v="No"/>
    <s v="No"/>
    <s v="No"/>
    <m/>
    <s v="1+ Failures"/>
    <n v="0"/>
    <s v="20+ hrs"/>
    <s v="12+ months"/>
    <x v="1"/>
  </r>
  <r>
    <n v="663"/>
    <d v="2024-01-06T00:00:00"/>
    <s v="Standard"/>
    <n v="399"/>
    <n v="0.8"/>
    <n v="3"/>
    <n v="3"/>
    <n v="1"/>
    <n v="37"/>
    <s v="Yes"/>
    <s v="Yes"/>
    <s v="Yes"/>
    <s v="No"/>
    <s v="Yes"/>
    <s v="Yes"/>
    <m/>
    <s v="1+ Failures"/>
    <n v="1"/>
    <s v="0-5 hrs"/>
    <s v="0-3months"/>
    <x v="1"/>
  </r>
  <r>
    <n v="664"/>
    <d v="2024-09-19T00:00:00"/>
    <s v="Premium"/>
    <n v="699"/>
    <n v="5.0999999999999996"/>
    <n v="4"/>
    <n v="1"/>
    <n v="17"/>
    <n v="17"/>
    <s v="No"/>
    <s v="No"/>
    <s v="Yes"/>
    <s v="No"/>
    <s v="Yes"/>
    <s v="No"/>
    <m/>
    <s v="1+ Failures"/>
    <n v="0"/>
    <s v="5-10 hrs"/>
    <s v="12+ months"/>
    <x v="0"/>
  </r>
  <r>
    <n v="665"/>
    <d v="2024-01-17T00:00:00"/>
    <s v="Standard"/>
    <n v="399"/>
    <n v="5"/>
    <n v="6"/>
    <n v="1"/>
    <n v="24"/>
    <n v="26"/>
    <s v="No"/>
    <s v="No"/>
    <s v="Yes"/>
    <s v="Yes"/>
    <s v="Yes"/>
    <s v="No"/>
    <m/>
    <s v="1+ Failures"/>
    <n v="0"/>
    <s v="0-5 hrs"/>
    <s v="12+ months"/>
    <x v="1"/>
  </r>
  <r>
    <n v="666"/>
    <d v="2024-12-03T00:00:00"/>
    <s v="Standard"/>
    <n v="399"/>
    <n v="7.4"/>
    <n v="2"/>
    <n v="4"/>
    <n v="26"/>
    <n v="8"/>
    <s v="No"/>
    <s v="No"/>
    <s v="Yes"/>
    <s v="No"/>
    <s v="No"/>
    <s v="No"/>
    <m/>
    <s v="1+ Failures"/>
    <n v="0"/>
    <s v="5-10 hrs"/>
    <s v="12+ months"/>
    <x v="1"/>
  </r>
  <r>
    <n v="667"/>
    <d v="2023-07-20T00:00:00"/>
    <s v="Basic"/>
    <n v="199"/>
    <n v="18.2"/>
    <n v="3"/>
    <n v="4"/>
    <n v="7"/>
    <n v="27"/>
    <s v="No"/>
    <s v="No"/>
    <s v="Yes"/>
    <s v="No"/>
    <s v="Yes"/>
    <s v="No"/>
    <m/>
    <s v="1+ Failures"/>
    <n v="0"/>
    <s v="10-20hrs"/>
    <s v="6-12months"/>
    <x v="1"/>
  </r>
  <r>
    <n v="668"/>
    <d v="2024-10-07T00:00:00"/>
    <s v="Basic"/>
    <n v="199"/>
    <n v="12.1"/>
    <n v="0"/>
    <n v="1"/>
    <n v="10"/>
    <n v="26"/>
    <s v="No"/>
    <s v="No"/>
    <s v="Yes"/>
    <s v="No"/>
    <s v="Yes"/>
    <s v="No"/>
    <m/>
    <s v="1+ Failures"/>
    <n v="0"/>
    <s v="10-20hrs"/>
    <s v="6-12months"/>
    <x v="1"/>
  </r>
  <r>
    <n v="669"/>
    <d v="2024-08-04T00:00:00"/>
    <s v="Premium"/>
    <n v="699"/>
    <n v="18.2"/>
    <n v="7"/>
    <n v="2"/>
    <n v="35"/>
    <n v="16"/>
    <s v="No"/>
    <s v="No"/>
    <s v="Yes"/>
    <s v="Yes"/>
    <s v="Yes"/>
    <s v="No"/>
    <m/>
    <s v="1+ Failures"/>
    <n v="0"/>
    <s v="10-20hrs"/>
    <s v="12+ months"/>
    <x v="0"/>
  </r>
  <r>
    <n v="670"/>
    <d v="2024-05-02T00:00:00"/>
    <s v="Basic"/>
    <n v="199"/>
    <n v="2.9"/>
    <n v="2"/>
    <n v="0"/>
    <n v="26"/>
    <n v="13"/>
    <s v="No"/>
    <s v="Yes"/>
    <s v="No"/>
    <s v="No"/>
    <s v="No"/>
    <s v="No"/>
    <m/>
    <s v="0 Failures"/>
    <n v="0"/>
    <s v="0-5 hrs"/>
    <s v="12+ months"/>
    <x v="1"/>
  </r>
  <r>
    <n v="671"/>
    <d v="2024-07-24T00:00:00"/>
    <s v="Premium"/>
    <n v="699"/>
    <n v="11.5"/>
    <n v="5"/>
    <n v="2"/>
    <n v="7"/>
    <n v="23"/>
    <s v="Yes"/>
    <s v="No"/>
    <s v="Yes"/>
    <s v="Yes"/>
    <s v="Yes"/>
    <s v="No"/>
    <m/>
    <s v="1+ Failures"/>
    <n v="1"/>
    <s v="10-20hrs"/>
    <s v="6-12months"/>
    <x v="0"/>
  </r>
  <r>
    <n v="672"/>
    <d v="2024-09-12T00:00:00"/>
    <s v="Standard"/>
    <n v="399"/>
    <n v="1"/>
    <n v="1"/>
    <n v="2"/>
    <n v="23"/>
    <n v="55"/>
    <s v="Yes"/>
    <s v="Yes"/>
    <s v="Yes"/>
    <s v="No"/>
    <s v="Yes"/>
    <s v="No"/>
    <m/>
    <s v="1+ Failures"/>
    <n v="1"/>
    <s v="0-5 hrs"/>
    <s v="12+ months"/>
    <x v="1"/>
  </r>
  <r>
    <n v="673"/>
    <d v="2024-05-14T00:00:00"/>
    <s v="Basic"/>
    <n v="199"/>
    <n v="4.8"/>
    <n v="4"/>
    <n v="2"/>
    <n v="35"/>
    <n v="20"/>
    <s v="Yes"/>
    <s v="Yes"/>
    <s v="Yes"/>
    <s v="No"/>
    <s v="Yes"/>
    <s v="No"/>
    <m/>
    <s v="1+ Failures"/>
    <n v="1"/>
    <s v="0-5 hrs"/>
    <s v="12+ months"/>
    <x v="1"/>
  </r>
  <r>
    <n v="674"/>
    <d v="2023-05-29T00:00:00"/>
    <s v="Premium"/>
    <n v="699"/>
    <n v="22.3"/>
    <n v="6"/>
    <n v="4"/>
    <n v="29"/>
    <n v="18"/>
    <s v="Yes"/>
    <s v="No"/>
    <s v="Yes"/>
    <s v="Yes"/>
    <s v="Yes"/>
    <s v="No"/>
    <m/>
    <s v="1+ Failures"/>
    <n v="1"/>
    <s v="20+ hrs"/>
    <s v="12+ months"/>
    <x v="0"/>
  </r>
  <r>
    <n v="675"/>
    <d v="2023-08-22T00:00:00"/>
    <s v="Basic"/>
    <n v="199"/>
    <n v="10.8"/>
    <n v="6"/>
    <n v="0"/>
    <n v="22"/>
    <n v="5"/>
    <s v="Yes"/>
    <s v="No"/>
    <s v="No"/>
    <s v="Yes"/>
    <s v="No"/>
    <s v="No"/>
    <m/>
    <s v="0 Failures"/>
    <n v="1"/>
    <s v="10-20hrs"/>
    <s v="12+ months"/>
    <x v="1"/>
  </r>
  <r>
    <n v="676"/>
    <d v="2024-03-31T00:00:00"/>
    <s v="Standard"/>
    <n v="399"/>
    <n v="16.5"/>
    <n v="4"/>
    <n v="4"/>
    <n v="21"/>
    <n v="41"/>
    <s v="Yes"/>
    <s v="No"/>
    <s v="Yes"/>
    <s v="No"/>
    <s v="Yes"/>
    <s v="No"/>
    <m/>
    <s v="1+ Failures"/>
    <n v="1"/>
    <s v="10-20hrs"/>
    <s v="12+ months"/>
    <x v="1"/>
  </r>
  <r>
    <n v="677"/>
    <d v="2023-05-09T00:00:00"/>
    <s v="Standard"/>
    <n v="399"/>
    <n v="24.2"/>
    <n v="6"/>
    <n v="1"/>
    <n v="34"/>
    <n v="11"/>
    <s v="No"/>
    <s v="No"/>
    <s v="Yes"/>
    <s v="Yes"/>
    <s v="No"/>
    <s v="No"/>
    <m/>
    <s v="1+ Failures"/>
    <n v="0"/>
    <s v="20+ hrs"/>
    <s v="12+ months"/>
    <x v="1"/>
  </r>
  <r>
    <n v="678"/>
    <d v="2023-04-08T00:00:00"/>
    <s v="Premium"/>
    <n v="699"/>
    <n v="16.7"/>
    <n v="1"/>
    <n v="1"/>
    <n v="16"/>
    <n v="10"/>
    <s v="No"/>
    <s v="No"/>
    <s v="Yes"/>
    <s v="No"/>
    <s v="No"/>
    <s v="No"/>
    <m/>
    <s v="1+ Failures"/>
    <n v="0"/>
    <s v="10-20hrs"/>
    <s v="12+ months"/>
    <x v="0"/>
  </r>
  <r>
    <n v="679"/>
    <d v="2023-03-27T00:00:00"/>
    <s v="Basic"/>
    <n v="199"/>
    <n v="13.9"/>
    <n v="0"/>
    <n v="3"/>
    <n v="31"/>
    <n v="33"/>
    <s v="No"/>
    <s v="No"/>
    <s v="Yes"/>
    <s v="No"/>
    <s v="Yes"/>
    <s v="No"/>
    <m/>
    <s v="1+ Failures"/>
    <n v="0"/>
    <s v="10-20hrs"/>
    <s v="12+ months"/>
    <x v="1"/>
  </r>
  <r>
    <n v="680"/>
    <d v="2023-11-13T00:00:00"/>
    <s v="Basic"/>
    <n v="199"/>
    <n v="15.6"/>
    <n v="1"/>
    <n v="5"/>
    <n v="17"/>
    <n v="59"/>
    <s v="No"/>
    <s v="No"/>
    <s v="Yes"/>
    <s v="No"/>
    <s v="Yes"/>
    <s v="No"/>
    <m/>
    <s v="1+ Failures"/>
    <n v="0"/>
    <s v="10-20hrs"/>
    <s v="12+ months"/>
    <x v="1"/>
  </r>
  <r>
    <n v="681"/>
    <d v="2023-06-24T00:00:00"/>
    <s v="Basic"/>
    <n v="199"/>
    <n v="18.600000000000001"/>
    <n v="7"/>
    <n v="5"/>
    <n v="16"/>
    <n v="8"/>
    <s v="Yes"/>
    <s v="No"/>
    <s v="Yes"/>
    <s v="Yes"/>
    <s v="No"/>
    <s v="No"/>
    <m/>
    <s v="1+ Failures"/>
    <n v="1"/>
    <s v="10-20hrs"/>
    <s v="12+ months"/>
    <x v="1"/>
  </r>
  <r>
    <n v="682"/>
    <d v="2024-07-07T00:00:00"/>
    <s v="Basic"/>
    <n v="199"/>
    <n v="16.8"/>
    <n v="5"/>
    <n v="3"/>
    <n v="3"/>
    <n v="29"/>
    <s v="No"/>
    <s v="No"/>
    <s v="Yes"/>
    <s v="Yes"/>
    <s v="Yes"/>
    <s v="Yes"/>
    <m/>
    <s v="1+ Failures"/>
    <n v="0"/>
    <s v="10-20hrs"/>
    <s v="0-3months"/>
    <x v="1"/>
  </r>
  <r>
    <n v="683"/>
    <d v="2024-10-08T00:00:00"/>
    <s v="Standard"/>
    <n v="399"/>
    <n v="11.4"/>
    <n v="8"/>
    <n v="1"/>
    <n v="36"/>
    <n v="37"/>
    <s v="No"/>
    <s v="No"/>
    <s v="Yes"/>
    <s v="Yes"/>
    <s v="Yes"/>
    <s v="No"/>
    <m/>
    <s v="1+ Failures"/>
    <n v="0"/>
    <s v="10-20hrs"/>
    <s v="12+ months"/>
    <x v="1"/>
  </r>
  <r>
    <n v="684"/>
    <d v="2024-07-06T00:00:00"/>
    <s v="Premium"/>
    <n v="699"/>
    <n v="13.3"/>
    <n v="8"/>
    <n v="2"/>
    <n v="28"/>
    <n v="58"/>
    <s v="Yes"/>
    <s v="No"/>
    <s v="Yes"/>
    <s v="Yes"/>
    <s v="Yes"/>
    <s v="No"/>
    <m/>
    <s v="1+ Failures"/>
    <n v="1"/>
    <s v="10-20hrs"/>
    <s v="12+ months"/>
    <x v="0"/>
  </r>
  <r>
    <n v="685"/>
    <d v="2023-01-11T00:00:00"/>
    <s v="Basic"/>
    <n v="199"/>
    <n v="11.3"/>
    <n v="5"/>
    <n v="3"/>
    <n v="6"/>
    <n v="16"/>
    <s v="Yes"/>
    <s v="No"/>
    <s v="Yes"/>
    <s v="Yes"/>
    <s v="Yes"/>
    <s v="No"/>
    <m/>
    <s v="1+ Failures"/>
    <n v="1"/>
    <s v="10-20hrs"/>
    <s v="3-6months"/>
    <x v="1"/>
  </r>
  <r>
    <n v="686"/>
    <d v="2023-01-09T00:00:00"/>
    <s v="Basic"/>
    <n v="199"/>
    <n v="20.5"/>
    <n v="2"/>
    <n v="2"/>
    <n v="34"/>
    <n v="18"/>
    <s v="No"/>
    <s v="No"/>
    <s v="Yes"/>
    <s v="No"/>
    <s v="Yes"/>
    <s v="No"/>
    <m/>
    <s v="1+ Failures"/>
    <n v="0"/>
    <s v="20+ hrs"/>
    <s v="12+ months"/>
    <x v="1"/>
  </r>
  <r>
    <n v="687"/>
    <d v="2023-10-27T00:00:00"/>
    <s v="Premium"/>
    <n v="699"/>
    <n v="23.7"/>
    <n v="7"/>
    <n v="2"/>
    <n v="32"/>
    <n v="0"/>
    <s v="No"/>
    <s v="No"/>
    <s v="Yes"/>
    <s v="Yes"/>
    <s v="No"/>
    <s v="No"/>
    <m/>
    <s v="1+ Failures"/>
    <n v="0"/>
    <s v="20+ hrs"/>
    <s v="12+ months"/>
    <x v="0"/>
  </r>
  <r>
    <n v="688"/>
    <d v="2024-07-28T00:00:00"/>
    <s v="Premium"/>
    <n v="699"/>
    <n v="20"/>
    <n v="8"/>
    <n v="2"/>
    <n v="15"/>
    <n v="12"/>
    <s v="Yes"/>
    <s v="No"/>
    <s v="Yes"/>
    <s v="Yes"/>
    <s v="No"/>
    <s v="No"/>
    <m/>
    <s v="1+ Failures"/>
    <n v="1"/>
    <s v="10-20hrs"/>
    <s v="12+ months"/>
    <x v="0"/>
  </r>
  <r>
    <n v="689"/>
    <d v="2024-03-08T00:00:00"/>
    <s v="Standard"/>
    <n v="399"/>
    <n v="6.6"/>
    <n v="6"/>
    <n v="3"/>
    <n v="26"/>
    <n v="14"/>
    <s v="Yes"/>
    <s v="No"/>
    <s v="Yes"/>
    <s v="Yes"/>
    <s v="No"/>
    <s v="No"/>
    <m/>
    <s v="1+ Failures"/>
    <n v="1"/>
    <s v="5-10 hrs"/>
    <s v="12+ months"/>
    <x v="1"/>
  </r>
  <r>
    <n v="690"/>
    <d v="2023-10-03T00:00:00"/>
    <s v="Premium"/>
    <n v="699"/>
    <n v="13.2"/>
    <n v="4"/>
    <n v="2"/>
    <n v="16"/>
    <n v="41"/>
    <s v="Yes"/>
    <s v="No"/>
    <s v="Yes"/>
    <s v="No"/>
    <s v="Yes"/>
    <s v="No"/>
    <m/>
    <s v="1+ Failures"/>
    <n v="1"/>
    <s v="10-20hrs"/>
    <s v="12+ months"/>
    <x v="0"/>
  </r>
  <r>
    <n v="691"/>
    <d v="2024-04-11T00:00:00"/>
    <s v="Standard"/>
    <n v="399"/>
    <n v="21.4"/>
    <n v="2"/>
    <n v="1"/>
    <n v="13"/>
    <n v="18"/>
    <s v="No"/>
    <s v="No"/>
    <s v="Yes"/>
    <s v="No"/>
    <s v="Yes"/>
    <s v="No"/>
    <m/>
    <s v="1+ Failures"/>
    <n v="0"/>
    <s v="20+ hrs"/>
    <s v="12+ months"/>
    <x v="1"/>
  </r>
  <r>
    <n v="692"/>
    <d v="2023-02-20T00:00:00"/>
    <s v="Premium"/>
    <n v="699"/>
    <n v="7.2"/>
    <n v="7"/>
    <n v="1"/>
    <n v="29"/>
    <n v="20"/>
    <s v="Yes"/>
    <s v="No"/>
    <s v="Yes"/>
    <s v="Yes"/>
    <s v="Yes"/>
    <s v="No"/>
    <m/>
    <s v="1+ Failures"/>
    <n v="1"/>
    <s v="5-10 hrs"/>
    <s v="12+ months"/>
    <x v="0"/>
  </r>
  <r>
    <n v="693"/>
    <d v="2024-03-24T00:00:00"/>
    <s v="Premium"/>
    <n v="699"/>
    <n v="5.0999999999999996"/>
    <n v="1"/>
    <n v="2"/>
    <n v="2"/>
    <n v="17"/>
    <s v="Yes"/>
    <s v="No"/>
    <s v="Yes"/>
    <s v="No"/>
    <s v="Yes"/>
    <s v="Yes"/>
    <m/>
    <s v="1+ Failures"/>
    <n v="1"/>
    <s v="5-10 hrs"/>
    <s v="0-3months"/>
    <x v="0"/>
  </r>
  <r>
    <n v="694"/>
    <d v="2024-03-06T00:00:00"/>
    <s v="Premium"/>
    <n v="699"/>
    <n v="6.2"/>
    <n v="2"/>
    <n v="0"/>
    <n v="1"/>
    <n v="31"/>
    <s v="Yes"/>
    <s v="No"/>
    <s v="No"/>
    <s v="No"/>
    <s v="Yes"/>
    <s v="Yes"/>
    <m/>
    <s v="0 Failures"/>
    <n v="1"/>
    <s v="5-10 hrs"/>
    <s v="0-3months"/>
    <x v="0"/>
  </r>
  <r>
    <n v="695"/>
    <d v="2023-03-24T00:00:00"/>
    <s v="Standard"/>
    <n v="399"/>
    <n v="25"/>
    <n v="7"/>
    <n v="5"/>
    <n v="32"/>
    <n v="50"/>
    <s v="Yes"/>
    <s v="No"/>
    <s v="Yes"/>
    <s v="Yes"/>
    <s v="Yes"/>
    <s v="No"/>
    <m/>
    <s v="1+ Failures"/>
    <n v="1"/>
    <s v="20+ hrs"/>
    <s v="12+ months"/>
    <x v="1"/>
  </r>
  <r>
    <n v="696"/>
    <d v="2023-07-16T00:00:00"/>
    <s v="Basic"/>
    <n v="199"/>
    <n v="7"/>
    <n v="6"/>
    <n v="0"/>
    <n v="4"/>
    <n v="34"/>
    <s v="Yes"/>
    <s v="No"/>
    <s v="No"/>
    <s v="Yes"/>
    <s v="Yes"/>
    <s v="Yes"/>
    <m/>
    <s v="0 Failures"/>
    <n v="1"/>
    <s v="5-10 hrs"/>
    <s v="3-6months"/>
    <x v="1"/>
  </r>
  <r>
    <n v="697"/>
    <d v="2024-03-29T00:00:00"/>
    <s v="Standard"/>
    <n v="399"/>
    <n v="20.8"/>
    <n v="1"/>
    <n v="5"/>
    <n v="25"/>
    <n v="15"/>
    <s v="No"/>
    <s v="No"/>
    <s v="Yes"/>
    <s v="No"/>
    <s v="Yes"/>
    <s v="No"/>
    <m/>
    <s v="1+ Failures"/>
    <n v="0"/>
    <s v="20+ hrs"/>
    <s v="12+ months"/>
    <x v="1"/>
  </r>
  <r>
    <n v="698"/>
    <d v="2024-04-29T00:00:00"/>
    <s v="Basic"/>
    <n v="199"/>
    <n v="5.4"/>
    <n v="1"/>
    <n v="4"/>
    <n v="3"/>
    <n v="42"/>
    <s v="No"/>
    <s v="No"/>
    <s v="Yes"/>
    <s v="No"/>
    <s v="Yes"/>
    <s v="Yes"/>
    <m/>
    <s v="1+ Failures"/>
    <n v="0"/>
    <s v="5-10 hrs"/>
    <s v="0-3months"/>
    <x v="1"/>
  </r>
  <r>
    <n v="699"/>
    <d v="2024-07-16T00:00:00"/>
    <s v="Standard"/>
    <n v="399"/>
    <n v="23.4"/>
    <n v="2"/>
    <n v="5"/>
    <n v="20"/>
    <n v="46"/>
    <s v="Yes"/>
    <s v="No"/>
    <s v="Yes"/>
    <s v="No"/>
    <s v="Yes"/>
    <s v="No"/>
    <m/>
    <s v="1+ Failures"/>
    <n v="1"/>
    <s v="20+ hrs"/>
    <s v="12+ months"/>
    <x v="1"/>
  </r>
  <r>
    <n v="700"/>
    <d v="2024-11-13T00:00:00"/>
    <s v="Premium"/>
    <n v="699"/>
    <n v="6.7"/>
    <n v="4"/>
    <n v="1"/>
    <n v="8"/>
    <n v="23"/>
    <s v="No"/>
    <s v="No"/>
    <s v="Yes"/>
    <s v="No"/>
    <s v="Yes"/>
    <s v="No"/>
    <m/>
    <s v="1+ Failures"/>
    <n v="0"/>
    <s v="5-10 hrs"/>
    <s v="6-12months"/>
    <x v="0"/>
  </r>
  <r>
    <n v="701"/>
    <d v="2023-10-10T00:00:00"/>
    <s v="Basic"/>
    <n v="199"/>
    <n v="6.3"/>
    <n v="6"/>
    <n v="2"/>
    <n v="8"/>
    <n v="0"/>
    <s v="Yes"/>
    <s v="No"/>
    <s v="Yes"/>
    <s v="Yes"/>
    <s v="No"/>
    <s v="No"/>
    <m/>
    <s v="1+ Failures"/>
    <n v="1"/>
    <s v="5-10 hrs"/>
    <s v="6-12months"/>
    <x v="1"/>
  </r>
  <r>
    <n v="702"/>
    <d v="2024-12-08T00:00:00"/>
    <s v="Premium"/>
    <n v="699"/>
    <n v="10.199999999999999"/>
    <n v="3"/>
    <n v="0"/>
    <n v="8"/>
    <n v="2"/>
    <s v="No"/>
    <s v="No"/>
    <s v="No"/>
    <s v="No"/>
    <s v="No"/>
    <s v="No"/>
    <m/>
    <s v="0 Failures"/>
    <n v="0"/>
    <s v="10-20hrs"/>
    <s v="6-12months"/>
    <x v="0"/>
  </r>
  <r>
    <n v="703"/>
    <d v="2024-12-03T00:00:00"/>
    <s v="Standard"/>
    <n v="399"/>
    <n v="9.6"/>
    <n v="1"/>
    <n v="1"/>
    <n v="10"/>
    <n v="10"/>
    <s v="No"/>
    <s v="No"/>
    <s v="Yes"/>
    <s v="No"/>
    <s v="No"/>
    <s v="No"/>
    <m/>
    <s v="1+ Failures"/>
    <n v="0"/>
    <s v="5-10 hrs"/>
    <s v="6-12months"/>
    <x v="1"/>
  </r>
  <r>
    <n v="704"/>
    <d v="2024-12-19T00:00:00"/>
    <s v="Premium"/>
    <n v="699"/>
    <n v="23.3"/>
    <n v="0"/>
    <n v="0"/>
    <n v="22"/>
    <n v="22"/>
    <s v="No"/>
    <s v="No"/>
    <s v="No"/>
    <s v="No"/>
    <s v="Yes"/>
    <s v="No"/>
    <m/>
    <s v="0 Failures"/>
    <n v="0"/>
    <s v="20+ hrs"/>
    <s v="12+ months"/>
    <x v="0"/>
  </r>
  <r>
    <n v="705"/>
    <d v="2023-12-22T00:00:00"/>
    <s v="Premium"/>
    <n v="699"/>
    <n v="3.6"/>
    <n v="3"/>
    <n v="2"/>
    <n v="7"/>
    <n v="35"/>
    <s v="Yes"/>
    <s v="Yes"/>
    <s v="Yes"/>
    <s v="No"/>
    <s v="Yes"/>
    <s v="No"/>
    <m/>
    <s v="1+ Failures"/>
    <n v="1"/>
    <s v="0-5 hrs"/>
    <s v="6-12months"/>
    <x v="0"/>
  </r>
  <r>
    <n v="706"/>
    <d v="2023-02-10T00:00:00"/>
    <s v="Standard"/>
    <n v="399"/>
    <n v="1"/>
    <n v="6"/>
    <n v="2"/>
    <n v="13"/>
    <n v="46"/>
    <s v="Yes"/>
    <s v="Yes"/>
    <s v="Yes"/>
    <s v="Yes"/>
    <s v="Yes"/>
    <s v="No"/>
    <m/>
    <s v="1+ Failures"/>
    <n v="1"/>
    <s v="0-5 hrs"/>
    <s v="12+ months"/>
    <x v="1"/>
  </r>
  <r>
    <n v="707"/>
    <d v="2023-07-11T00:00:00"/>
    <s v="Standard"/>
    <n v="399"/>
    <n v="14.2"/>
    <n v="8"/>
    <n v="5"/>
    <n v="29"/>
    <n v="31"/>
    <s v="Yes"/>
    <s v="No"/>
    <s v="Yes"/>
    <s v="Yes"/>
    <s v="Yes"/>
    <s v="No"/>
    <m/>
    <s v="1+ Failures"/>
    <n v="1"/>
    <s v="10-20hrs"/>
    <s v="12+ months"/>
    <x v="1"/>
  </r>
  <r>
    <n v="708"/>
    <d v="2024-07-21T00:00:00"/>
    <s v="Premium"/>
    <n v="699"/>
    <n v="8.4"/>
    <n v="7"/>
    <n v="2"/>
    <n v="23"/>
    <n v="55"/>
    <s v="No"/>
    <s v="No"/>
    <s v="Yes"/>
    <s v="Yes"/>
    <s v="Yes"/>
    <s v="No"/>
    <m/>
    <s v="1+ Failures"/>
    <n v="0"/>
    <s v="5-10 hrs"/>
    <s v="12+ months"/>
    <x v="0"/>
  </r>
  <r>
    <n v="709"/>
    <d v="2024-01-11T00:00:00"/>
    <s v="Basic"/>
    <n v="199"/>
    <n v="13.5"/>
    <n v="7"/>
    <n v="2"/>
    <n v="5"/>
    <n v="52"/>
    <s v="Yes"/>
    <s v="No"/>
    <s v="Yes"/>
    <s v="Yes"/>
    <s v="Yes"/>
    <s v="Yes"/>
    <m/>
    <s v="1+ Failures"/>
    <n v="1"/>
    <s v="10-20hrs"/>
    <s v="3-6months"/>
    <x v="1"/>
  </r>
  <r>
    <n v="710"/>
    <d v="2023-01-20T00:00:00"/>
    <s v="Standard"/>
    <n v="399"/>
    <n v="19.5"/>
    <n v="8"/>
    <n v="3"/>
    <n v="1"/>
    <n v="46"/>
    <s v="Yes"/>
    <s v="No"/>
    <s v="Yes"/>
    <s v="Yes"/>
    <s v="Yes"/>
    <s v="Yes"/>
    <m/>
    <s v="1+ Failures"/>
    <n v="1"/>
    <s v="10-20hrs"/>
    <s v="0-3months"/>
    <x v="1"/>
  </r>
  <r>
    <n v="711"/>
    <d v="2024-07-05T00:00:00"/>
    <s v="Premium"/>
    <n v="699"/>
    <n v="19.5"/>
    <n v="3"/>
    <n v="2"/>
    <n v="24"/>
    <n v="46"/>
    <s v="Yes"/>
    <s v="No"/>
    <s v="Yes"/>
    <s v="No"/>
    <s v="Yes"/>
    <s v="No"/>
    <m/>
    <s v="1+ Failures"/>
    <n v="1"/>
    <s v="10-20hrs"/>
    <s v="12+ months"/>
    <x v="0"/>
  </r>
  <r>
    <n v="712"/>
    <d v="2023-11-27T00:00:00"/>
    <s v="Standard"/>
    <n v="399"/>
    <n v="13.3"/>
    <n v="7"/>
    <n v="4"/>
    <n v="13"/>
    <n v="9"/>
    <s v="No"/>
    <s v="No"/>
    <s v="Yes"/>
    <s v="Yes"/>
    <s v="No"/>
    <s v="No"/>
    <m/>
    <s v="1+ Failures"/>
    <n v="0"/>
    <s v="10-20hrs"/>
    <s v="12+ months"/>
    <x v="1"/>
  </r>
  <r>
    <n v="713"/>
    <d v="2023-05-13T00:00:00"/>
    <s v="Standard"/>
    <n v="399"/>
    <n v="3.2"/>
    <n v="8"/>
    <n v="5"/>
    <n v="21"/>
    <n v="4"/>
    <s v="Yes"/>
    <s v="Yes"/>
    <s v="Yes"/>
    <s v="Yes"/>
    <s v="No"/>
    <s v="No"/>
    <m/>
    <s v="1+ Failures"/>
    <n v="1"/>
    <s v="0-5 hrs"/>
    <s v="12+ months"/>
    <x v="1"/>
  </r>
  <r>
    <n v="714"/>
    <d v="2024-10-19T00:00:00"/>
    <s v="Basic"/>
    <n v="199"/>
    <n v="5.5"/>
    <n v="7"/>
    <n v="1"/>
    <n v="3"/>
    <n v="6"/>
    <s v="Yes"/>
    <s v="No"/>
    <s v="Yes"/>
    <s v="Yes"/>
    <s v="No"/>
    <s v="Yes"/>
    <m/>
    <s v="1+ Failures"/>
    <n v="1"/>
    <s v="5-10 hrs"/>
    <s v="0-3months"/>
    <x v="1"/>
  </r>
  <r>
    <n v="715"/>
    <d v="2023-03-14T00:00:00"/>
    <s v="Standard"/>
    <n v="399"/>
    <n v="13.4"/>
    <n v="4"/>
    <n v="0"/>
    <n v="32"/>
    <n v="23"/>
    <s v="Yes"/>
    <s v="No"/>
    <s v="No"/>
    <s v="No"/>
    <s v="Yes"/>
    <s v="No"/>
    <m/>
    <s v="0 Failures"/>
    <n v="1"/>
    <s v="10-20hrs"/>
    <s v="12+ months"/>
    <x v="1"/>
  </r>
  <r>
    <n v="716"/>
    <d v="2024-01-05T00:00:00"/>
    <s v="Basic"/>
    <n v="199"/>
    <n v="16.600000000000001"/>
    <n v="1"/>
    <n v="3"/>
    <n v="14"/>
    <n v="51"/>
    <s v="No"/>
    <s v="No"/>
    <s v="Yes"/>
    <s v="No"/>
    <s v="Yes"/>
    <s v="No"/>
    <m/>
    <s v="1+ Failures"/>
    <n v="0"/>
    <s v="10-20hrs"/>
    <s v="12+ months"/>
    <x v="1"/>
  </r>
  <r>
    <n v="717"/>
    <d v="2023-03-14T00:00:00"/>
    <s v="Premium"/>
    <n v="699"/>
    <n v="20.6"/>
    <n v="0"/>
    <n v="4"/>
    <n v="27"/>
    <n v="17"/>
    <s v="No"/>
    <s v="No"/>
    <s v="Yes"/>
    <s v="No"/>
    <s v="Yes"/>
    <s v="No"/>
    <m/>
    <s v="1+ Failures"/>
    <n v="0"/>
    <s v="20+ hrs"/>
    <s v="12+ months"/>
    <x v="0"/>
  </r>
  <r>
    <n v="718"/>
    <d v="2024-06-28T00:00:00"/>
    <s v="Standard"/>
    <n v="399"/>
    <n v="23.6"/>
    <n v="8"/>
    <n v="0"/>
    <n v="5"/>
    <n v="6"/>
    <s v="No"/>
    <s v="No"/>
    <s v="No"/>
    <s v="Yes"/>
    <s v="No"/>
    <s v="Yes"/>
    <m/>
    <s v="0 Failures"/>
    <n v="0"/>
    <s v="20+ hrs"/>
    <s v="3-6months"/>
    <x v="1"/>
  </r>
  <r>
    <n v="719"/>
    <d v="2024-07-25T00:00:00"/>
    <s v="Standard"/>
    <n v="399"/>
    <n v="5.2"/>
    <n v="3"/>
    <n v="4"/>
    <n v="13"/>
    <n v="40"/>
    <s v="No"/>
    <s v="No"/>
    <s v="Yes"/>
    <s v="No"/>
    <s v="Yes"/>
    <s v="No"/>
    <m/>
    <s v="1+ Failures"/>
    <n v="0"/>
    <s v="5-10 hrs"/>
    <s v="12+ months"/>
    <x v="1"/>
  </r>
  <r>
    <n v="720"/>
    <d v="2024-04-14T00:00:00"/>
    <s v="Premium"/>
    <n v="699"/>
    <n v="10.7"/>
    <n v="1"/>
    <n v="5"/>
    <n v="36"/>
    <n v="36"/>
    <s v="Yes"/>
    <s v="No"/>
    <s v="Yes"/>
    <s v="No"/>
    <s v="Yes"/>
    <s v="No"/>
    <m/>
    <s v="1+ Failures"/>
    <n v="1"/>
    <s v="10-20hrs"/>
    <s v="12+ months"/>
    <x v="0"/>
  </r>
  <r>
    <n v="721"/>
    <d v="2023-12-12T00:00:00"/>
    <s v="Premium"/>
    <n v="699"/>
    <n v="22.1"/>
    <n v="2"/>
    <n v="1"/>
    <n v="28"/>
    <n v="35"/>
    <s v="No"/>
    <s v="No"/>
    <s v="Yes"/>
    <s v="No"/>
    <s v="Yes"/>
    <s v="No"/>
    <m/>
    <s v="1+ Failures"/>
    <n v="0"/>
    <s v="20+ hrs"/>
    <s v="12+ months"/>
    <x v="0"/>
  </r>
  <r>
    <n v="722"/>
    <d v="2023-11-29T00:00:00"/>
    <s v="Premium"/>
    <n v="699"/>
    <n v="13.6"/>
    <n v="7"/>
    <n v="2"/>
    <n v="11"/>
    <n v="57"/>
    <s v="Yes"/>
    <s v="No"/>
    <s v="Yes"/>
    <s v="Yes"/>
    <s v="Yes"/>
    <s v="No"/>
    <m/>
    <s v="1+ Failures"/>
    <n v="1"/>
    <s v="10-20hrs"/>
    <s v="6-12months"/>
    <x v="0"/>
  </r>
  <r>
    <n v="723"/>
    <d v="2024-07-30T00:00:00"/>
    <s v="Standard"/>
    <n v="399"/>
    <n v="19.2"/>
    <n v="6"/>
    <n v="5"/>
    <n v="27"/>
    <n v="20"/>
    <s v="No"/>
    <s v="No"/>
    <s v="Yes"/>
    <s v="Yes"/>
    <s v="Yes"/>
    <s v="No"/>
    <m/>
    <s v="1+ Failures"/>
    <n v="0"/>
    <s v="10-20hrs"/>
    <s v="12+ months"/>
    <x v="1"/>
  </r>
  <r>
    <n v="724"/>
    <d v="2024-04-08T00:00:00"/>
    <s v="Premium"/>
    <n v="699"/>
    <n v="9.6999999999999993"/>
    <n v="8"/>
    <n v="5"/>
    <n v="14"/>
    <n v="16"/>
    <s v="Yes"/>
    <s v="No"/>
    <s v="Yes"/>
    <s v="Yes"/>
    <s v="Yes"/>
    <s v="No"/>
    <m/>
    <s v="1+ Failures"/>
    <n v="1"/>
    <s v="5-10 hrs"/>
    <s v="12+ months"/>
    <x v="0"/>
  </r>
  <r>
    <n v="725"/>
    <d v="2023-05-19T00:00:00"/>
    <s v="Standard"/>
    <n v="399"/>
    <n v="0.5"/>
    <n v="0"/>
    <n v="2"/>
    <n v="26"/>
    <n v="38"/>
    <s v="Yes"/>
    <s v="Yes"/>
    <s v="Yes"/>
    <s v="No"/>
    <s v="Yes"/>
    <s v="No"/>
    <m/>
    <s v="1+ Failures"/>
    <n v="1"/>
    <s v="0-5 hrs"/>
    <s v="12+ months"/>
    <x v="1"/>
  </r>
  <r>
    <n v="726"/>
    <d v="2024-12-07T00:00:00"/>
    <s v="Standard"/>
    <n v="399"/>
    <n v="7.9"/>
    <n v="3"/>
    <n v="1"/>
    <n v="1"/>
    <n v="54"/>
    <s v="Yes"/>
    <s v="No"/>
    <s v="Yes"/>
    <s v="No"/>
    <s v="Yes"/>
    <s v="Yes"/>
    <m/>
    <s v="1+ Failures"/>
    <n v="1"/>
    <s v="5-10 hrs"/>
    <s v="0-3months"/>
    <x v="1"/>
  </r>
  <r>
    <n v="727"/>
    <d v="2023-06-09T00:00:00"/>
    <s v="Standard"/>
    <n v="399"/>
    <n v="13"/>
    <n v="2"/>
    <n v="0"/>
    <n v="36"/>
    <n v="2"/>
    <s v="No"/>
    <s v="No"/>
    <s v="No"/>
    <s v="No"/>
    <s v="No"/>
    <s v="No"/>
    <m/>
    <s v="0 Failures"/>
    <n v="0"/>
    <s v="10-20hrs"/>
    <s v="12+ months"/>
    <x v="1"/>
  </r>
  <r>
    <n v="728"/>
    <d v="2023-04-05T00:00:00"/>
    <s v="Basic"/>
    <n v="199"/>
    <n v="9.5"/>
    <n v="3"/>
    <n v="1"/>
    <n v="17"/>
    <n v="16"/>
    <s v="No"/>
    <s v="No"/>
    <s v="Yes"/>
    <s v="No"/>
    <s v="Yes"/>
    <s v="No"/>
    <m/>
    <s v="1+ Failures"/>
    <n v="0"/>
    <s v="5-10 hrs"/>
    <s v="12+ months"/>
    <x v="1"/>
  </r>
  <r>
    <n v="729"/>
    <d v="2024-05-09T00:00:00"/>
    <s v="Premium"/>
    <n v="699"/>
    <n v="14.4"/>
    <n v="3"/>
    <n v="5"/>
    <n v="26"/>
    <n v="4"/>
    <s v="No"/>
    <s v="No"/>
    <s v="Yes"/>
    <s v="No"/>
    <s v="No"/>
    <s v="No"/>
    <m/>
    <s v="1+ Failures"/>
    <n v="0"/>
    <s v="10-20hrs"/>
    <s v="12+ months"/>
    <x v="0"/>
  </r>
  <r>
    <n v="730"/>
    <d v="2024-08-13T00:00:00"/>
    <s v="Basic"/>
    <n v="199"/>
    <n v="20.7"/>
    <n v="1"/>
    <n v="4"/>
    <n v="32"/>
    <n v="41"/>
    <s v="Yes"/>
    <s v="No"/>
    <s v="Yes"/>
    <s v="No"/>
    <s v="Yes"/>
    <s v="No"/>
    <m/>
    <s v="1+ Failures"/>
    <n v="1"/>
    <s v="20+ hrs"/>
    <s v="12+ months"/>
    <x v="1"/>
  </r>
  <r>
    <n v="731"/>
    <d v="2024-03-02T00:00:00"/>
    <s v="Standard"/>
    <n v="399"/>
    <n v="19.600000000000001"/>
    <n v="5"/>
    <n v="2"/>
    <n v="6"/>
    <n v="56"/>
    <s v="No"/>
    <s v="No"/>
    <s v="Yes"/>
    <s v="Yes"/>
    <s v="Yes"/>
    <s v="No"/>
    <m/>
    <s v="1+ Failures"/>
    <n v="0"/>
    <s v="10-20hrs"/>
    <s v="3-6months"/>
    <x v="1"/>
  </r>
  <r>
    <n v="732"/>
    <d v="2023-02-25T00:00:00"/>
    <s v="Basic"/>
    <n v="199"/>
    <n v="18.8"/>
    <n v="0"/>
    <n v="5"/>
    <n v="15"/>
    <n v="49"/>
    <s v="No"/>
    <s v="No"/>
    <s v="Yes"/>
    <s v="No"/>
    <s v="Yes"/>
    <s v="No"/>
    <m/>
    <s v="1+ Failures"/>
    <n v="0"/>
    <s v="10-20hrs"/>
    <s v="12+ months"/>
    <x v="1"/>
  </r>
  <r>
    <n v="733"/>
    <d v="2024-12-15T00:00:00"/>
    <s v="Standard"/>
    <n v="399"/>
    <n v="1.5"/>
    <n v="8"/>
    <n v="4"/>
    <n v="34"/>
    <n v="9"/>
    <s v="Yes"/>
    <s v="Yes"/>
    <s v="Yes"/>
    <s v="Yes"/>
    <s v="No"/>
    <s v="No"/>
    <m/>
    <s v="1+ Failures"/>
    <n v="1"/>
    <s v="0-5 hrs"/>
    <s v="12+ months"/>
    <x v="1"/>
  </r>
  <r>
    <n v="734"/>
    <d v="2024-05-31T00:00:00"/>
    <s v="Basic"/>
    <n v="199"/>
    <n v="1.7"/>
    <n v="6"/>
    <n v="3"/>
    <n v="10"/>
    <n v="48"/>
    <s v="Yes"/>
    <s v="Yes"/>
    <s v="Yes"/>
    <s v="Yes"/>
    <s v="Yes"/>
    <s v="No"/>
    <m/>
    <s v="1+ Failures"/>
    <n v="1"/>
    <s v="0-5 hrs"/>
    <s v="6-12months"/>
    <x v="1"/>
  </r>
  <r>
    <n v="735"/>
    <d v="2024-05-02T00:00:00"/>
    <s v="Basic"/>
    <n v="199"/>
    <n v="11.1"/>
    <n v="6"/>
    <n v="1"/>
    <n v="15"/>
    <n v="8"/>
    <s v="No"/>
    <s v="No"/>
    <s v="Yes"/>
    <s v="Yes"/>
    <s v="No"/>
    <s v="No"/>
    <m/>
    <s v="1+ Failures"/>
    <n v="0"/>
    <s v="10-20hrs"/>
    <s v="12+ months"/>
    <x v="1"/>
  </r>
  <r>
    <n v="736"/>
    <d v="2024-12-15T00:00:00"/>
    <s v="Premium"/>
    <n v="699"/>
    <n v="13.9"/>
    <n v="4"/>
    <n v="0"/>
    <n v="4"/>
    <n v="25"/>
    <s v="No"/>
    <s v="No"/>
    <s v="No"/>
    <s v="No"/>
    <s v="Yes"/>
    <s v="Yes"/>
    <m/>
    <s v="0 Failures"/>
    <n v="0"/>
    <s v="10-20hrs"/>
    <s v="3-6months"/>
    <x v="0"/>
  </r>
  <r>
    <n v="737"/>
    <d v="2023-07-20T00:00:00"/>
    <s v="Basic"/>
    <n v="199"/>
    <n v="12.3"/>
    <n v="3"/>
    <n v="3"/>
    <n v="9"/>
    <n v="25"/>
    <s v="No"/>
    <s v="No"/>
    <s v="Yes"/>
    <s v="No"/>
    <s v="Yes"/>
    <s v="No"/>
    <m/>
    <s v="1+ Failures"/>
    <n v="0"/>
    <s v="10-20hrs"/>
    <s v="6-12months"/>
    <x v="1"/>
  </r>
  <r>
    <n v="738"/>
    <d v="2024-12-02T00:00:00"/>
    <s v="Premium"/>
    <n v="699"/>
    <n v="6.5"/>
    <n v="1"/>
    <n v="2"/>
    <n v="34"/>
    <n v="49"/>
    <s v="Yes"/>
    <s v="No"/>
    <s v="Yes"/>
    <s v="No"/>
    <s v="Yes"/>
    <s v="No"/>
    <m/>
    <s v="1+ Failures"/>
    <n v="1"/>
    <s v="5-10 hrs"/>
    <s v="12+ months"/>
    <x v="0"/>
  </r>
  <r>
    <n v="739"/>
    <d v="2023-11-25T00:00:00"/>
    <s v="Premium"/>
    <n v="699"/>
    <n v="3.3"/>
    <n v="6"/>
    <n v="3"/>
    <n v="6"/>
    <n v="23"/>
    <s v="Yes"/>
    <s v="Yes"/>
    <s v="Yes"/>
    <s v="Yes"/>
    <s v="Yes"/>
    <s v="No"/>
    <m/>
    <s v="1+ Failures"/>
    <n v="1"/>
    <s v="0-5 hrs"/>
    <s v="3-6months"/>
    <x v="0"/>
  </r>
  <r>
    <n v="740"/>
    <d v="2024-03-28T00:00:00"/>
    <s v="Standard"/>
    <n v="399"/>
    <n v="19.399999999999999"/>
    <n v="2"/>
    <n v="2"/>
    <n v="2"/>
    <n v="39"/>
    <s v="No"/>
    <s v="No"/>
    <s v="Yes"/>
    <s v="No"/>
    <s v="Yes"/>
    <s v="Yes"/>
    <m/>
    <s v="1+ Failures"/>
    <n v="0"/>
    <s v="10-20hrs"/>
    <s v="0-3months"/>
    <x v="1"/>
  </r>
  <r>
    <n v="741"/>
    <d v="2023-03-29T00:00:00"/>
    <s v="Premium"/>
    <n v="699"/>
    <n v="11.3"/>
    <n v="3"/>
    <n v="1"/>
    <n v="10"/>
    <n v="43"/>
    <s v="No"/>
    <s v="No"/>
    <s v="Yes"/>
    <s v="No"/>
    <s v="Yes"/>
    <s v="No"/>
    <m/>
    <s v="1+ Failures"/>
    <n v="0"/>
    <s v="10-20hrs"/>
    <s v="6-12months"/>
    <x v="0"/>
  </r>
  <r>
    <n v="742"/>
    <d v="2023-04-24T00:00:00"/>
    <s v="Basic"/>
    <n v="199"/>
    <n v="6.5"/>
    <n v="2"/>
    <n v="2"/>
    <n v="4"/>
    <n v="0"/>
    <s v="Yes"/>
    <s v="No"/>
    <s v="Yes"/>
    <s v="No"/>
    <s v="No"/>
    <s v="Yes"/>
    <m/>
    <s v="1+ Failures"/>
    <n v="1"/>
    <s v="5-10 hrs"/>
    <s v="3-6months"/>
    <x v="1"/>
  </r>
  <r>
    <n v="743"/>
    <d v="2023-07-28T00:00:00"/>
    <s v="Standard"/>
    <n v="399"/>
    <n v="12"/>
    <n v="5"/>
    <n v="1"/>
    <n v="29"/>
    <n v="47"/>
    <s v="No"/>
    <s v="No"/>
    <s v="Yes"/>
    <s v="Yes"/>
    <s v="Yes"/>
    <s v="No"/>
    <m/>
    <s v="1+ Failures"/>
    <n v="0"/>
    <s v="10-20hrs"/>
    <s v="12+ months"/>
    <x v="1"/>
  </r>
  <r>
    <n v="744"/>
    <d v="2023-05-25T00:00:00"/>
    <s v="Premium"/>
    <n v="699"/>
    <n v="18.899999999999999"/>
    <n v="8"/>
    <n v="3"/>
    <n v="34"/>
    <n v="39"/>
    <s v="Yes"/>
    <s v="No"/>
    <s v="Yes"/>
    <s v="Yes"/>
    <s v="Yes"/>
    <s v="No"/>
    <m/>
    <s v="1+ Failures"/>
    <n v="1"/>
    <s v="10-20hrs"/>
    <s v="12+ months"/>
    <x v="0"/>
  </r>
  <r>
    <n v="745"/>
    <d v="2023-10-18T00:00:00"/>
    <s v="Premium"/>
    <n v="699"/>
    <n v="9.6999999999999993"/>
    <n v="8"/>
    <n v="0"/>
    <n v="2"/>
    <n v="16"/>
    <s v="Yes"/>
    <s v="No"/>
    <s v="No"/>
    <s v="Yes"/>
    <s v="Yes"/>
    <s v="Yes"/>
    <m/>
    <s v="0 Failures"/>
    <n v="1"/>
    <s v="5-10 hrs"/>
    <s v="0-3months"/>
    <x v="0"/>
  </r>
  <r>
    <n v="746"/>
    <d v="2024-11-09T00:00:00"/>
    <s v="Basic"/>
    <n v="199"/>
    <n v="1.8"/>
    <n v="0"/>
    <n v="0"/>
    <n v="18"/>
    <n v="24"/>
    <s v="No"/>
    <s v="Yes"/>
    <s v="No"/>
    <s v="No"/>
    <s v="Yes"/>
    <s v="No"/>
    <m/>
    <s v="0 Failures"/>
    <n v="0"/>
    <s v="0-5 hrs"/>
    <s v="12+ months"/>
    <x v="1"/>
  </r>
  <r>
    <n v="747"/>
    <d v="2024-01-31T00:00:00"/>
    <s v="Premium"/>
    <n v="699"/>
    <n v="21.7"/>
    <n v="0"/>
    <n v="2"/>
    <n v="24"/>
    <n v="55"/>
    <s v="No"/>
    <s v="No"/>
    <s v="Yes"/>
    <s v="No"/>
    <s v="Yes"/>
    <s v="No"/>
    <m/>
    <s v="1+ Failures"/>
    <n v="0"/>
    <s v="20+ hrs"/>
    <s v="12+ months"/>
    <x v="0"/>
  </r>
  <r>
    <n v="748"/>
    <d v="2024-06-28T00:00:00"/>
    <s v="Basic"/>
    <n v="199"/>
    <n v="13"/>
    <n v="1"/>
    <n v="2"/>
    <n v="25"/>
    <n v="31"/>
    <s v="No"/>
    <s v="No"/>
    <s v="Yes"/>
    <s v="No"/>
    <s v="Yes"/>
    <s v="No"/>
    <m/>
    <s v="1+ Failures"/>
    <n v="0"/>
    <s v="10-20hrs"/>
    <s v="12+ months"/>
    <x v="1"/>
  </r>
  <r>
    <n v="749"/>
    <d v="2023-02-10T00:00:00"/>
    <s v="Basic"/>
    <n v="199"/>
    <n v="5.4"/>
    <n v="7"/>
    <n v="4"/>
    <n v="12"/>
    <n v="59"/>
    <s v="Yes"/>
    <s v="No"/>
    <s v="Yes"/>
    <s v="Yes"/>
    <s v="Yes"/>
    <s v="No"/>
    <m/>
    <s v="1+ Failures"/>
    <n v="1"/>
    <s v="5-10 hrs"/>
    <s v="6-12months"/>
    <x v="1"/>
  </r>
  <r>
    <n v="750"/>
    <d v="2023-12-22T00:00:00"/>
    <s v="Basic"/>
    <n v="199"/>
    <n v="8"/>
    <n v="7"/>
    <n v="3"/>
    <n v="34"/>
    <n v="47"/>
    <s v="Yes"/>
    <s v="No"/>
    <s v="Yes"/>
    <s v="Yes"/>
    <s v="Yes"/>
    <s v="No"/>
    <m/>
    <s v="1+ Failures"/>
    <n v="1"/>
    <s v="5-10 hrs"/>
    <s v="12+ months"/>
    <x v="1"/>
  </r>
  <r>
    <n v="751"/>
    <d v="2023-03-05T00:00:00"/>
    <s v="Premium"/>
    <n v="699"/>
    <n v="9.1999999999999993"/>
    <n v="4"/>
    <n v="1"/>
    <n v="23"/>
    <n v="32"/>
    <s v="Yes"/>
    <s v="No"/>
    <s v="Yes"/>
    <s v="No"/>
    <s v="Yes"/>
    <s v="No"/>
    <m/>
    <s v="1+ Failures"/>
    <n v="1"/>
    <s v="5-10 hrs"/>
    <s v="12+ months"/>
    <x v="0"/>
  </r>
  <r>
    <n v="752"/>
    <d v="2023-06-05T00:00:00"/>
    <s v="Premium"/>
    <n v="699"/>
    <n v="22"/>
    <n v="0"/>
    <n v="4"/>
    <n v="17"/>
    <n v="60"/>
    <s v="Yes"/>
    <s v="No"/>
    <s v="Yes"/>
    <s v="No"/>
    <s v="Yes"/>
    <s v="No"/>
    <m/>
    <s v="1+ Failures"/>
    <n v="1"/>
    <s v="20+ hrs"/>
    <s v="12+ months"/>
    <x v="0"/>
  </r>
  <r>
    <n v="753"/>
    <d v="2024-11-25T00:00:00"/>
    <s v="Standard"/>
    <n v="399"/>
    <n v="16.600000000000001"/>
    <n v="1"/>
    <n v="5"/>
    <n v="26"/>
    <n v="24"/>
    <s v="Yes"/>
    <s v="No"/>
    <s v="Yes"/>
    <s v="No"/>
    <s v="Yes"/>
    <s v="No"/>
    <m/>
    <s v="1+ Failures"/>
    <n v="1"/>
    <s v="10-20hrs"/>
    <s v="12+ months"/>
    <x v="1"/>
  </r>
  <r>
    <n v="754"/>
    <d v="2023-12-04T00:00:00"/>
    <s v="Premium"/>
    <n v="699"/>
    <n v="10.7"/>
    <n v="2"/>
    <n v="3"/>
    <n v="15"/>
    <n v="19"/>
    <s v="No"/>
    <s v="No"/>
    <s v="Yes"/>
    <s v="No"/>
    <s v="Yes"/>
    <s v="No"/>
    <m/>
    <s v="1+ Failures"/>
    <n v="0"/>
    <s v="10-20hrs"/>
    <s v="12+ months"/>
    <x v="0"/>
  </r>
  <r>
    <n v="755"/>
    <d v="2023-07-27T00:00:00"/>
    <s v="Standard"/>
    <n v="399"/>
    <n v="3.7"/>
    <n v="2"/>
    <n v="4"/>
    <n v="35"/>
    <n v="34"/>
    <s v="Yes"/>
    <s v="Yes"/>
    <s v="Yes"/>
    <s v="No"/>
    <s v="Yes"/>
    <s v="No"/>
    <m/>
    <s v="1+ Failures"/>
    <n v="1"/>
    <s v="0-5 hrs"/>
    <s v="12+ months"/>
    <x v="1"/>
  </r>
  <r>
    <n v="756"/>
    <d v="2023-05-29T00:00:00"/>
    <s v="Basic"/>
    <n v="199"/>
    <n v="17.399999999999999"/>
    <n v="8"/>
    <n v="1"/>
    <n v="20"/>
    <n v="27"/>
    <s v="No"/>
    <s v="No"/>
    <s v="Yes"/>
    <s v="Yes"/>
    <s v="Yes"/>
    <s v="No"/>
    <m/>
    <s v="1+ Failures"/>
    <n v="0"/>
    <s v="10-20hrs"/>
    <s v="12+ months"/>
    <x v="1"/>
  </r>
  <r>
    <n v="757"/>
    <d v="2023-07-08T00:00:00"/>
    <s v="Premium"/>
    <n v="699"/>
    <n v="8.3000000000000007"/>
    <n v="8"/>
    <n v="4"/>
    <n v="11"/>
    <n v="60"/>
    <s v="Yes"/>
    <s v="No"/>
    <s v="Yes"/>
    <s v="Yes"/>
    <s v="Yes"/>
    <s v="No"/>
    <m/>
    <s v="1+ Failures"/>
    <n v="1"/>
    <s v="5-10 hrs"/>
    <s v="6-12months"/>
    <x v="0"/>
  </r>
  <r>
    <n v="758"/>
    <d v="2024-10-14T00:00:00"/>
    <s v="Standard"/>
    <n v="399"/>
    <n v="18.3"/>
    <n v="5"/>
    <n v="3"/>
    <n v="10"/>
    <n v="26"/>
    <s v="Yes"/>
    <s v="No"/>
    <s v="Yes"/>
    <s v="Yes"/>
    <s v="Yes"/>
    <s v="No"/>
    <m/>
    <s v="1+ Failures"/>
    <n v="1"/>
    <s v="10-20hrs"/>
    <s v="6-12months"/>
    <x v="1"/>
  </r>
  <r>
    <n v="759"/>
    <d v="2024-09-18T00:00:00"/>
    <s v="Premium"/>
    <n v="699"/>
    <n v="4.2"/>
    <n v="3"/>
    <n v="0"/>
    <n v="18"/>
    <n v="8"/>
    <s v="Yes"/>
    <s v="Yes"/>
    <s v="No"/>
    <s v="No"/>
    <s v="No"/>
    <s v="No"/>
    <m/>
    <s v="0 Failures"/>
    <n v="1"/>
    <s v="0-5 hrs"/>
    <s v="12+ months"/>
    <x v="0"/>
  </r>
  <r>
    <n v="760"/>
    <d v="2023-01-27T00:00:00"/>
    <s v="Premium"/>
    <n v="699"/>
    <n v="15.3"/>
    <n v="3"/>
    <n v="4"/>
    <n v="18"/>
    <n v="14"/>
    <s v="Yes"/>
    <s v="No"/>
    <s v="Yes"/>
    <s v="No"/>
    <s v="No"/>
    <s v="No"/>
    <m/>
    <s v="1+ Failures"/>
    <n v="1"/>
    <s v="10-20hrs"/>
    <s v="12+ months"/>
    <x v="0"/>
  </r>
  <r>
    <n v="761"/>
    <d v="2024-04-25T00:00:00"/>
    <s v="Standard"/>
    <n v="399"/>
    <n v="17.399999999999999"/>
    <n v="7"/>
    <n v="1"/>
    <n v="6"/>
    <n v="32"/>
    <s v="No"/>
    <s v="No"/>
    <s v="Yes"/>
    <s v="Yes"/>
    <s v="Yes"/>
    <s v="No"/>
    <m/>
    <s v="1+ Failures"/>
    <n v="0"/>
    <s v="10-20hrs"/>
    <s v="3-6months"/>
    <x v="1"/>
  </r>
  <r>
    <n v="762"/>
    <d v="2023-07-17T00:00:00"/>
    <s v="Premium"/>
    <n v="699"/>
    <n v="5"/>
    <n v="6"/>
    <n v="3"/>
    <n v="24"/>
    <n v="30"/>
    <s v="Yes"/>
    <s v="No"/>
    <s v="Yes"/>
    <s v="Yes"/>
    <s v="Yes"/>
    <s v="No"/>
    <m/>
    <s v="1+ Failures"/>
    <n v="1"/>
    <s v="0-5 hrs"/>
    <s v="12+ months"/>
    <x v="0"/>
  </r>
  <r>
    <n v="763"/>
    <d v="2024-11-18T00:00:00"/>
    <s v="Basic"/>
    <n v="199"/>
    <n v="10.5"/>
    <n v="0"/>
    <n v="2"/>
    <n v="3"/>
    <n v="60"/>
    <s v="Yes"/>
    <s v="No"/>
    <s v="Yes"/>
    <s v="No"/>
    <s v="Yes"/>
    <s v="Yes"/>
    <m/>
    <s v="1+ Failures"/>
    <n v="1"/>
    <s v="10-20hrs"/>
    <s v="0-3months"/>
    <x v="1"/>
  </r>
  <r>
    <n v="764"/>
    <d v="2024-04-13T00:00:00"/>
    <s v="Basic"/>
    <n v="199"/>
    <n v="2.1"/>
    <n v="7"/>
    <n v="4"/>
    <n v="14"/>
    <n v="31"/>
    <s v="Yes"/>
    <s v="Yes"/>
    <s v="Yes"/>
    <s v="Yes"/>
    <s v="Yes"/>
    <s v="No"/>
    <m/>
    <s v="1+ Failures"/>
    <n v="1"/>
    <s v="0-5 hrs"/>
    <s v="12+ months"/>
    <x v="1"/>
  </r>
  <r>
    <n v="765"/>
    <d v="2023-11-17T00:00:00"/>
    <s v="Basic"/>
    <n v="199"/>
    <n v="10.4"/>
    <n v="0"/>
    <n v="4"/>
    <n v="28"/>
    <n v="47"/>
    <s v="No"/>
    <s v="No"/>
    <s v="Yes"/>
    <s v="No"/>
    <s v="Yes"/>
    <s v="No"/>
    <m/>
    <s v="1+ Failures"/>
    <n v="0"/>
    <s v="10-20hrs"/>
    <s v="12+ months"/>
    <x v="1"/>
  </r>
  <r>
    <n v="766"/>
    <d v="2023-02-13T00:00:00"/>
    <s v="Standard"/>
    <n v="399"/>
    <n v="13.4"/>
    <n v="0"/>
    <n v="4"/>
    <n v="35"/>
    <n v="6"/>
    <s v="No"/>
    <s v="No"/>
    <s v="Yes"/>
    <s v="No"/>
    <s v="No"/>
    <s v="No"/>
    <m/>
    <s v="1+ Failures"/>
    <n v="0"/>
    <s v="10-20hrs"/>
    <s v="12+ months"/>
    <x v="1"/>
  </r>
  <r>
    <n v="767"/>
    <d v="2024-10-07T00:00:00"/>
    <s v="Basic"/>
    <n v="199"/>
    <n v="13.7"/>
    <n v="0"/>
    <n v="4"/>
    <n v="34"/>
    <n v="24"/>
    <s v="Yes"/>
    <s v="No"/>
    <s v="Yes"/>
    <s v="No"/>
    <s v="Yes"/>
    <s v="No"/>
    <m/>
    <s v="1+ Failures"/>
    <n v="1"/>
    <s v="10-20hrs"/>
    <s v="12+ months"/>
    <x v="1"/>
  </r>
  <r>
    <n v="768"/>
    <d v="2024-04-17T00:00:00"/>
    <s v="Basic"/>
    <n v="199"/>
    <n v="7.6"/>
    <n v="6"/>
    <n v="2"/>
    <n v="13"/>
    <n v="49"/>
    <s v="No"/>
    <s v="No"/>
    <s v="Yes"/>
    <s v="Yes"/>
    <s v="Yes"/>
    <s v="No"/>
    <m/>
    <s v="1+ Failures"/>
    <n v="0"/>
    <s v="5-10 hrs"/>
    <s v="12+ months"/>
    <x v="1"/>
  </r>
  <r>
    <n v="769"/>
    <d v="2024-04-19T00:00:00"/>
    <s v="Basic"/>
    <n v="199"/>
    <n v="7.7"/>
    <n v="0"/>
    <n v="5"/>
    <n v="28"/>
    <n v="33"/>
    <s v="No"/>
    <s v="No"/>
    <s v="Yes"/>
    <s v="No"/>
    <s v="Yes"/>
    <s v="No"/>
    <m/>
    <s v="1+ Failures"/>
    <n v="0"/>
    <s v="5-10 hrs"/>
    <s v="12+ months"/>
    <x v="1"/>
  </r>
  <r>
    <n v="770"/>
    <d v="2024-12-13T00:00:00"/>
    <s v="Premium"/>
    <n v="699"/>
    <n v="2.7"/>
    <n v="8"/>
    <n v="0"/>
    <n v="29"/>
    <n v="11"/>
    <s v="No"/>
    <s v="Yes"/>
    <s v="No"/>
    <s v="Yes"/>
    <s v="No"/>
    <s v="No"/>
    <m/>
    <s v="0 Failures"/>
    <n v="0"/>
    <s v="0-5 hrs"/>
    <s v="12+ months"/>
    <x v="0"/>
  </r>
  <r>
    <n v="771"/>
    <d v="2024-08-27T00:00:00"/>
    <s v="Premium"/>
    <n v="699"/>
    <n v="10.1"/>
    <n v="5"/>
    <n v="3"/>
    <n v="9"/>
    <n v="1"/>
    <s v="Yes"/>
    <s v="No"/>
    <s v="Yes"/>
    <s v="Yes"/>
    <s v="No"/>
    <s v="No"/>
    <m/>
    <s v="1+ Failures"/>
    <n v="1"/>
    <s v="10-20hrs"/>
    <s v="6-12months"/>
    <x v="0"/>
  </r>
  <r>
    <n v="772"/>
    <d v="2024-12-29T00:00:00"/>
    <s v="Premium"/>
    <n v="699"/>
    <n v="22.1"/>
    <n v="1"/>
    <n v="2"/>
    <n v="13"/>
    <n v="20"/>
    <s v="No"/>
    <s v="No"/>
    <s v="Yes"/>
    <s v="No"/>
    <s v="Yes"/>
    <s v="No"/>
    <m/>
    <s v="1+ Failures"/>
    <n v="0"/>
    <s v="20+ hrs"/>
    <s v="12+ months"/>
    <x v="0"/>
  </r>
  <r>
    <n v="773"/>
    <d v="2024-12-25T00:00:00"/>
    <s v="Basic"/>
    <n v="199"/>
    <n v="2.7"/>
    <n v="7"/>
    <n v="5"/>
    <n v="8"/>
    <n v="23"/>
    <s v="Yes"/>
    <s v="Yes"/>
    <s v="Yes"/>
    <s v="Yes"/>
    <s v="Yes"/>
    <s v="No"/>
    <m/>
    <s v="1+ Failures"/>
    <n v="1"/>
    <s v="0-5 hrs"/>
    <s v="6-12months"/>
    <x v="1"/>
  </r>
  <r>
    <n v="774"/>
    <d v="2023-06-24T00:00:00"/>
    <s v="Standard"/>
    <n v="399"/>
    <n v="15.5"/>
    <n v="2"/>
    <n v="3"/>
    <n v="33"/>
    <n v="35"/>
    <s v="Yes"/>
    <s v="No"/>
    <s v="Yes"/>
    <s v="No"/>
    <s v="Yes"/>
    <s v="No"/>
    <m/>
    <s v="1+ Failures"/>
    <n v="1"/>
    <s v="10-20hrs"/>
    <s v="12+ months"/>
    <x v="1"/>
  </r>
  <r>
    <n v="775"/>
    <d v="2024-03-05T00:00:00"/>
    <s v="Standard"/>
    <n v="399"/>
    <n v="4.5"/>
    <n v="2"/>
    <n v="1"/>
    <n v="10"/>
    <n v="49"/>
    <s v="No"/>
    <s v="Yes"/>
    <s v="Yes"/>
    <s v="No"/>
    <s v="Yes"/>
    <s v="No"/>
    <m/>
    <s v="1+ Failures"/>
    <n v="0"/>
    <s v="0-5 hrs"/>
    <s v="6-12months"/>
    <x v="1"/>
  </r>
  <r>
    <n v="776"/>
    <d v="2023-05-15T00:00:00"/>
    <s v="Standard"/>
    <n v="399"/>
    <n v="18.399999999999999"/>
    <n v="7"/>
    <n v="2"/>
    <n v="20"/>
    <n v="40"/>
    <s v="Yes"/>
    <s v="No"/>
    <s v="Yes"/>
    <s v="Yes"/>
    <s v="Yes"/>
    <s v="No"/>
    <m/>
    <s v="1+ Failures"/>
    <n v="1"/>
    <s v="10-20hrs"/>
    <s v="12+ months"/>
    <x v="1"/>
  </r>
  <r>
    <n v="777"/>
    <d v="2024-05-25T00:00:00"/>
    <s v="Basic"/>
    <n v="199"/>
    <n v="15.8"/>
    <n v="4"/>
    <n v="0"/>
    <n v="1"/>
    <n v="29"/>
    <s v="Yes"/>
    <s v="No"/>
    <s v="No"/>
    <s v="No"/>
    <s v="Yes"/>
    <s v="Yes"/>
    <m/>
    <s v="0 Failures"/>
    <n v="1"/>
    <s v="10-20hrs"/>
    <s v="0-3months"/>
    <x v="1"/>
  </r>
  <r>
    <n v="778"/>
    <d v="2024-05-02T00:00:00"/>
    <s v="Premium"/>
    <n v="699"/>
    <n v="15.4"/>
    <n v="7"/>
    <n v="1"/>
    <n v="1"/>
    <n v="13"/>
    <s v="No"/>
    <s v="No"/>
    <s v="Yes"/>
    <s v="Yes"/>
    <s v="No"/>
    <s v="Yes"/>
    <m/>
    <s v="1+ Failures"/>
    <n v="0"/>
    <s v="10-20hrs"/>
    <s v="0-3months"/>
    <x v="0"/>
  </r>
  <r>
    <n v="779"/>
    <d v="2024-09-26T00:00:00"/>
    <s v="Standard"/>
    <n v="399"/>
    <n v="11.3"/>
    <n v="0"/>
    <n v="1"/>
    <n v="27"/>
    <n v="56"/>
    <s v="No"/>
    <s v="No"/>
    <s v="Yes"/>
    <s v="No"/>
    <s v="Yes"/>
    <s v="No"/>
    <m/>
    <s v="1+ Failures"/>
    <n v="0"/>
    <s v="10-20hrs"/>
    <s v="12+ months"/>
    <x v="1"/>
  </r>
  <r>
    <n v="780"/>
    <d v="2024-10-30T00:00:00"/>
    <s v="Premium"/>
    <n v="699"/>
    <n v="20.6"/>
    <n v="3"/>
    <n v="0"/>
    <n v="36"/>
    <n v="11"/>
    <s v="No"/>
    <s v="No"/>
    <s v="No"/>
    <s v="No"/>
    <s v="No"/>
    <s v="No"/>
    <m/>
    <s v="0 Failures"/>
    <n v="0"/>
    <s v="20+ hrs"/>
    <s v="12+ months"/>
    <x v="0"/>
  </r>
  <r>
    <n v="781"/>
    <d v="2023-11-02T00:00:00"/>
    <s v="Standard"/>
    <n v="399"/>
    <n v="4.0999999999999996"/>
    <n v="0"/>
    <n v="5"/>
    <n v="3"/>
    <n v="36"/>
    <s v="Yes"/>
    <s v="Yes"/>
    <s v="Yes"/>
    <s v="No"/>
    <s v="Yes"/>
    <s v="Yes"/>
    <m/>
    <s v="1+ Failures"/>
    <n v="1"/>
    <s v="0-5 hrs"/>
    <s v="0-3months"/>
    <x v="1"/>
  </r>
  <r>
    <n v="782"/>
    <d v="2024-09-17T00:00:00"/>
    <s v="Standard"/>
    <n v="399"/>
    <n v="1.7"/>
    <n v="6"/>
    <n v="1"/>
    <n v="6"/>
    <n v="10"/>
    <s v="No"/>
    <s v="Yes"/>
    <s v="Yes"/>
    <s v="Yes"/>
    <s v="No"/>
    <s v="No"/>
    <m/>
    <s v="1+ Failures"/>
    <n v="0"/>
    <s v="0-5 hrs"/>
    <s v="3-6months"/>
    <x v="1"/>
  </r>
  <r>
    <n v="783"/>
    <d v="2023-02-06T00:00:00"/>
    <s v="Premium"/>
    <n v="699"/>
    <n v="4.8"/>
    <n v="7"/>
    <n v="5"/>
    <n v="36"/>
    <n v="37"/>
    <s v="Yes"/>
    <s v="Yes"/>
    <s v="Yes"/>
    <s v="Yes"/>
    <s v="Yes"/>
    <s v="No"/>
    <m/>
    <s v="1+ Failures"/>
    <n v="1"/>
    <s v="0-5 hrs"/>
    <s v="12+ months"/>
    <x v="0"/>
  </r>
  <r>
    <n v="784"/>
    <d v="2024-07-17T00:00:00"/>
    <s v="Basic"/>
    <n v="199"/>
    <n v="8.4"/>
    <n v="6"/>
    <n v="0"/>
    <n v="20"/>
    <n v="48"/>
    <s v="Yes"/>
    <s v="No"/>
    <s v="No"/>
    <s v="Yes"/>
    <s v="Yes"/>
    <s v="No"/>
    <m/>
    <s v="0 Failures"/>
    <n v="1"/>
    <s v="5-10 hrs"/>
    <s v="12+ months"/>
    <x v="1"/>
  </r>
  <r>
    <n v="785"/>
    <d v="2024-06-23T00:00:00"/>
    <s v="Basic"/>
    <n v="199"/>
    <n v="12"/>
    <n v="1"/>
    <n v="5"/>
    <n v="19"/>
    <n v="55"/>
    <s v="Yes"/>
    <s v="No"/>
    <s v="Yes"/>
    <s v="No"/>
    <s v="Yes"/>
    <s v="No"/>
    <m/>
    <s v="1+ Failures"/>
    <n v="1"/>
    <s v="10-20hrs"/>
    <s v="12+ months"/>
    <x v="1"/>
  </r>
  <r>
    <n v="786"/>
    <d v="2024-10-06T00:00:00"/>
    <s v="Standard"/>
    <n v="399"/>
    <n v="5.6"/>
    <n v="3"/>
    <n v="4"/>
    <n v="34"/>
    <n v="3"/>
    <s v="Yes"/>
    <s v="No"/>
    <s v="Yes"/>
    <s v="No"/>
    <s v="No"/>
    <s v="No"/>
    <m/>
    <s v="1+ Failures"/>
    <n v="1"/>
    <s v="5-10 hrs"/>
    <s v="12+ months"/>
    <x v="1"/>
  </r>
  <r>
    <n v="787"/>
    <d v="2023-09-23T00:00:00"/>
    <s v="Premium"/>
    <n v="699"/>
    <n v="12.3"/>
    <n v="4"/>
    <n v="3"/>
    <n v="6"/>
    <n v="38"/>
    <s v="No"/>
    <s v="No"/>
    <s v="Yes"/>
    <s v="No"/>
    <s v="Yes"/>
    <s v="No"/>
    <m/>
    <s v="1+ Failures"/>
    <n v="0"/>
    <s v="10-20hrs"/>
    <s v="3-6months"/>
    <x v="0"/>
  </r>
  <r>
    <n v="788"/>
    <d v="2024-05-19T00:00:00"/>
    <s v="Premium"/>
    <n v="699"/>
    <n v="23.2"/>
    <n v="7"/>
    <n v="4"/>
    <n v="23"/>
    <n v="46"/>
    <s v="Yes"/>
    <s v="No"/>
    <s v="Yes"/>
    <s v="Yes"/>
    <s v="Yes"/>
    <s v="No"/>
    <m/>
    <s v="1+ Failures"/>
    <n v="1"/>
    <s v="20+ hrs"/>
    <s v="12+ months"/>
    <x v="0"/>
  </r>
  <r>
    <n v="789"/>
    <d v="2024-10-02T00:00:00"/>
    <s v="Basic"/>
    <n v="199"/>
    <n v="17.899999999999999"/>
    <n v="3"/>
    <n v="0"/>
    <n v="15"/>
    <n v="7"/>
    <s v="Yes"/>
    <s v="No"/>
    <s v="No"/>
    <s v="No"/>
    <s v="No"/>
    <s v="No"/>
    <m/>
    <s v="0 Failures"/>
    <n v="1"/>
    <s v="10-20hrs"/>
    <s v="12+ months"/>
    <x v="1"/>
  </r>
  <r>
    <n v="790"/>
    <d v="2024-07-27T00:00:00"/>
    <s v="Basic"/>
    <n v="199"/>
    <n v="20.100000000000001"/>
    <n v="6"/>
    <n v="3"/>
    <n v="14"/>
    <n v="2"/>
    <s v="Yes"/>
    <s v="No"/>
    <s v="Yes"/>
    <s v="Yes"/>
    <s v="No"/>
    <s v="No"/>
    <m/>
    <s v="1+ Failures"/>
    <n v="1"/>
    <s v="20+ hrs"/>
    <s v="12+ months"/>
    <x v="1"/>
  </r>
  <r>
    <n v="791"/>
    <d v="2023-03-11T00:00:00"/>
    <s v="Premium"/>
    <n v="699"/>
    <n v="0.8"/>
    <n v="3"/>
    <n v="5"/>
    <n v="14"/>
    <n v="18"/>
    <s v="Yes"/>
    <s v="Yes"/>
    <s v="Yes"/>
    <s v="No"/>
    <s v="Yes"/>
    <s v="No"/>
    <m/>
    <s v="1+ Failures"/>
    <n v="1"/>
    <s v="0-5 hrs"/>
    <s v="12+ months"/>
    <x v="0"/>
  </r>
  <r>
    <n v="792"/>
    <d v="2023-12-16T00:00:00"/>
    <s v="Standard"/>
    <n v="399"/>
    <n v="12.9"/>
    <n v="5"/>
    <n v="0"/>
    <n v="20"/>
    <n v="7"/>
    <s v="No"/>
    <s v="No"/>
    <s v="No"/>
    <s v="Yes"/>
    <s v="No"/>
    <s v="No"/>
    <m/>
    <s v="0 Failures"/>
    <n v="0"/>
    <s v="10-20hrs"/>
    <s v="12+ months"/>
    <x v="1"/>
  </r>
  <r>
    <n v="793"/>
    <d v="2024-11-19T00:00:00"/>
    <s v="Standard"/>
    <n v="399"/>
    <n v="20.9"/>
    <n v="3"/>
    <n v="2"/>
    <n v="2"/>
    <n v="53"/>
    <s v="Yes"/>
    <s v="No"/>
    <s v="Yes"/>
    <s v="No"/>
    <s v="Yes"/>
    <s v="Yes"/>
    <m/>
    <s v="1+ Failures"/>
    <n v="1"/>
    <s v="20+ hrs"/>
    <s v="0-3months"/>
    <x v="1"/>
  </r>
  <r>
    <n v="794"/>
    <d v="2024-07-03T00:00:00"/>
    <s v="Standard"/>
    <n v="399"/>
    <n v="20"/>
    <n v="2"/>
    <n v="3"/>
    <n v="31"/>
    <n v="9"/>
    <s v="No"/>
    <s v="No"/>
    <s v="Yes"/>
    <s v="No"/>
    <s v="No"/>
    <s v="No"/>
    <m/>
    <s v="1+ Failures"/>
    <n v="0"/>
    <s v="10-20hrs"/>
    <s v="12+ months"/>
    <x v="1"/>
  </r>
  <r>
    <n v="795"/>
    <d v="2023-11-03T00:00:00"/>
    <s v="Standard"/>
    <n v="399"/>
    <n v="19.7"/>
    <n v="6"/>
    <n v="5"/>
    <n v="30"/>
    <n v="3"/>
    <s v="No"/>
    <s v="No"/>
    <s v="Yes"/>
    <s v="Yes"/>
    <s v="No"/>
    <s v="No"/>
    <m/>
    <s v="1+ Failures"/>
    <n v="0"/>
    <s v="10-20hrs"/>
    <s v="12+ months"/>
    <x v="1"/>
  </r>
  <r>
    <n v="796"/>
    <d v="2023-12-29T00:00:00"/>
    <s v="Premium"/>
    <n v="699"/>
    <n v="14.1"/>
    <n v="0"/>
    <n v="1"/>
    <n v="21"/>
    <n v="36"/>
    <s v="No"/>
    <s v="No"/>
    <s v="Yes"/>
    <s v="No"/>
    <s v="Yes"/>
    <s v="No"/>
    <m/>
    <s v="1+ Failures"/>
    <n v="0"/>
    <s v="10-20hrs"/>
    <s v="12+ months"/>
    <x v="0"/>
  </r>
  <r>
    <n v="797"/>
    <d v="2023-06-19T00:00:00"/>
    <s v="Basic"/>
    <n v="199"/>
    <n v="7.4"/>
    <n v="0"/>
    <n v="2"/>
    <n v="10"/>
    <n v="24"/>
    <s v="No"/>
    <s v="No"/>
    <s v="Yes"/>
    <s v="No"/>
    <s v="Yes"/>
    <s v="No"/>
    <m/>
    <s v="1+ Failures"/>
    <n v="0"/>
    <s v="5-10 hrs"/>
    <s v="6-12months"/>
    <x v="1"/>
  </r>
  <r>
    <n v="798"/>
    <d v="2024-12-27T00:00:00"/>
    <s v="Premium"/>
    <n v="699"/>
    <n v="5.0999999999999996"/>
    <n v="1"/>
    <n v="2"/>
    <n v="25"/>
    <n v="45"/>
    <s v="No"/>
    <s v="No"/>
    <s v="Yes"/>
    <s v="No"/>
    <s v="Yes"/>
    <s v="No"/>
    <m/>
    <s v="1+ Failures"/>
    <n v="0"/>
    <s v="5-10 hrs"/>
    <s v="12+ months"/>
    <x v="0"/>
  </r>
  <r>
    <n v="799"/>
    <d v="2023-11-06T00:00:00"/>
    <s v="Basic"/>
    <n v="199"/>
    <n v="10.6"/>
    <n v="7"/>
    <n v="1"/>
    <n v="18"/>
    <n v="23"/>
    <s v="Yes"/>
    <s v="No"/>
    <s v="Yes"/>
    <s v="Yes"/>
    <s v="Yes"/>
    <s v="No"/>
    <m/>
    <s v="1+ Failures"/>
    <n v="1"/>
    <s v="10-20hrs"/>
    <s v="12+ months"/>
    <x v="1"/>
  </r>
  <r>
    <n v="800"/>
    <d v="2023-07-26T00:00:00"/>
    <s v="Basic"/>
    <n v="199"/>
    <n v="7.9"/>
    <n v="1"/>
    <n v="2"/>
    <n v="34"/>
    <n v="50"/>
    <s v="Yes"/>
    <s v="No"/>
    <s v="Yes"/>
    <s v="No"/>
    <s v="Yes"/>
    <s v="No"/>
    <m/>
    <s v="1+ Failures"/>
    <n v="1"/>
    <s v="5-10 hrs"/>
    <s v="12+ months"/>
    <x v="1"/>
  </r>
  <r>
    <n v="801"/>
    <d v="2024-05-10T00:00:00"/>
    <s v="Basic"/>
    <n v="199"/>
    <n v="12.9"/>
    <n v="7"/>
    <n v="4"/>
    <n v="29"/>
    <n v="9"/>
    <s v="Yes"/>
    <s v="No"/>
    <s v="Yes"/>
    <s v="Yes"/>
    <s v="No"/>
    <s v="No"/>
    <m/>
    <s v="1+ Failures"/>
    <n v="1"/>
    <s v="10-20hrs"/>
    <s v="12+ months"/>
    <x v="1"/>
  </r>
  <r>
    <n v="802"/>
    <d v="2024-06-12T00:00:00"/>
    <s v="Premium"/>
    <n v="699"/>
    <n v="8.1"/>
    <n v="5"/>
    <n v="1"/>
    <n v="34"/>
    <n v="49"/>
    <s v="No"/>
    <s v="No"/>
    <s v="Yes"/>
    <s v="Yes"/>
    <s v="Yes"/>
    <s v="No"/>
    <m/>
    <s v="1+ Failures"/>
    <n v="0"/>
    <s v="5-10 hrs"/>
    <s v="12+ months"/>
    <x v="0"/>
  </r>
  <r>
    <n v="803"/>
    <d v="2024-06-18T00:00:00"/>
    <s v="Premium"/>
    <n v="699"/>
    <n v="5.5"/>
    <n v="0"/>
    <n v="3"/>
    <n v="9"/>
    <n v="24"/>
    <s v="No"/>
    <s v="No"/>
    <s v="Yes"/>
    <s v="No"/>
    <s v="Yes"/>
    <s v="No"/>
    <m/>
    <s v="1+ Failures"/>
    <n v="0"/>
    <s v="5-10 hrs"/>
    <s v="6-12months"/>
    <x v="0"/>
  </r>
  <r>
    <n v="804"/>
    <d v="2023-03-31T00:00:00"/>
    <s v="Basic"/>
    <n v="199"/>
    <n v="8.1"/>
    <n v="0"/>
    <n v="5"/>
    <n v="1"/>
    <n v="54"/>
    <s v="Yes"/>
    <s v="No"/>
    <s v="Yes"/>
    <s v="No"/>
    <s v="Yes"/>
    <s v="Yes"/>
    <m/>
    <s v="1+ Failures"/>
    <n v="1"/>
    <s v="5-10 hrs"/>
    <s v="0-3months"/>
    <x v="1"/>
  </r>
  <r>
    <n v="805"/>
    <d v="2023-11-16T00:00:00"/>
    <s v="Standard"/>
    <n v="399"/>
    <n v="22.3"/>
    <n v="1"/>
    <n v="4"/>
    <n v="30"/>
    <n v="49"/>
    <s v="No"/>
    <s v="No"/>
    <s v="Yes"/>
    <s v="No"/>
    <s v="Yes"/>
    <s v="No"/>
    <m/>
    <s v="1+ Failures"/>
    <n v="0"/>
    <s v="20+ hrs"/>
    <s v="12+ months"/>
    <x v="1"/>
  </r>
  <r>
    <n v="806"/>
    <d v="2023-10-11T00:00:00"/>
    <s v="Basic"/>
    <n v="199"/>
    <n v="16.2"/>
    <n v="3"/>
    <n v="2"/>
    <n v="20"/>
    <n v="12"/>
    <s v="Yes"/>
    <s v="No"/>
    <s v="Yes"/>
    <s v="No"/>
    <s v="No"/>
    <s v="No"/>
    <m/>
    <s v="1+ Failures"/>
    <n v="1"/>
    <s v="10-20hrs"/>
    <s v="12+ months"/>
    <x v="1"/>
  </r>
  <r>
    <n v="807"/>
    <d v="2023-04-28T00:00:00"/>
    <s v="Premium"/>
    <n v="699"/>
    <n v="19.399999999999999"/>
    <n v="1"/>
    <n v="2"/>
    <n v="21"/>
    <n v="9"/>
    <s v="Yes"/>
    <s v="No"/>
    <s v="Yes"/>
    <s v="No"/>
    <s v="No"/>
    <s v="No"/>
    <m/>
    <s v="1+ Failures"/>
    <n v="1"/>
    <s v="10-20hrs"/>
    <s v="12+ months"/>
    <x v="0"/>
  </r>
  <r>
    <n v="808"/>
    <d v="2023-10-05T00:00:00"/>
    <s v="Basic"/>
    <n v="199"/>
    <n v="13.1"/>
    <n v="3"/>
    <n v="4"/>
    <n v="36"/>
    <n v="22"/>
    <s v="Yes"/>
    <s v="No"/>
    <s v="Yes"/>
    <s v="No"/>
    <s v="Yes"/>
    <s v="No"/>
    <m/>
    <s v="1+ Failures"/>
    <n v="1"/>
    <s v="10-20hrs"/>
    <s v="12+ months"/>
    <x v="1"/>
  </r>
  <r>
    <n v="809"/>
    <d v="2023-12-13T00:00:00"/>
    <s v="Basic"/>
    <n v="199"/>
    <n v="14.6"/>
    <n v="2"/>
    <n v="0"/>
    <n v="19"/>
    <n v="19"/>
    <s v="No"/>
    <s v="No"/>
    <s v="No"/>
    <s v="No"/>
    <s v="Yes"/>
    <s v="No"/>
    <m/>
    <s v="0 Failures"/>
    <n v="0"/>
    <s v="10-20hrs"/>
    <s v="12+ months"/>
    <x v="1"/>
  </r>
  <r>
    <n v="810"/>
    <d v="2023-04-19T00:00:00"/>
    <s v="Premium"/>
    <n v="699"/>
    <n v="1.7"/>
    <n v="0"/>
    <n v="3"/>
    <n v="29"/>
    <n v="57"/>
    <s v="Yes"/>
    <s v="Yes"/>
    <s v="Yes"/>
    <s v="No"/>
    <s v="Yes"/>
    <s v="No"/>
    <m/>
    <s v="1+ Failures"/>
    <n v="1"/>
    <s v="0-5 hrs"/>
    <s v="12+ months"/>
    <x v="0"/>
  </r>
  <r>
    <n v="811"/>
    <d v="2024-08-29T00:00:00"/>
    <s v="Standard"/>
    <n v="399"/>
    <n v="2.6"/>
    <n v="6"/>
    <n v="1"/>
    <n v="4"/>
    <n v="45"/>
    <s v="Yes"/>
    <s v="Yes"/>
    <s v="Yes"/>
    <s v="Yes"/>
    <s v="Yes"/>
    <s v="Yes"/>
    <m/>
    <s v="1+ Failures"/>
    <n v="1"/>
    <s v="0-5 hrs"/>
    <s v="3-6months"/>
    <x v="1"/>
  </r>
  <r>
    <n v="812"/>
    <d v="2024-11-17T00:00:00"/>
    <s v="Premium"/>
    <n v="699"/>
    <n v="15.6"/>
    <n v="4"/>
    <n v="2"/>
    <n v="29"/>
    <n v="52"/>
    <s v="Yes"/>
    <s v="No"/>
    <s v="Yes"/>
    <s v="No"/>
    <s v="Yes"/>
    <s v="No"/>
    <m/>
    <s v="1+ Failures"/>
    <n v="1"/>
    <s v="10-20hrs"/>
    <s v="12+ months"/>
    <x v="0"/>
  </r>
  <r>
    <n v="813"/>
    <d v="2024-12-16T00:00:00"/>
    <s v="Premium"/>
    <n v="699"/>
    <n v="24.4"/>
    <n v="7"/>
    <n v="4"/>
    <n v="6"/>
    <n v="8"/>
    <s v="Yes"/>
    <s v="No"/>
    <s v="Yes"/>
    <s v="Yes"/>
    <s v="No"/>
    <s v="No"/>
    <m/>
    <s v="1+ Failures"/>
    <n v="1"/>
    <s v="20+ hrs"/>
    <s v="3-6months"/>
    <x v="0"/>
  </r>
  <r>
    <n v="814"/>
    <d v="2023-05-28T00:00:00"/>
    <s v="Standard"/>
    <n v="399"/>
    <n v="11.7"/>
    <n v="7"/>
    <n v="3"/>
    <n v="7"/>
    <n v="14"/>
    <s v="No"/>
    <s v="No"/>
    <s v="Yes"/>
    <s v="Yes"/>
    <s v="No"/>
    <s v="No"/>
    <m/>
    <s v="1+ Failures"/>
    <n v="0"/>
    <s v="10-20hrs"/>
    <s v="6-12months"/>
    <x v="1"/>
  </r>
  <r>
    <n v="815"/>
    <d v="2023-12-05T00:00:00"/>
    <s v="Premium"/>
    <n v="699"/>
    <n v="22.9"/>
    <n v="6"/>
    <n v="1"/>
    <n v="17"/>
    <n v="44"/>
    <s v="No"/>
    <s v="No"/>
    <s v="Yes"/>
    <s v="Yes"/>
    <s v="Yes"/>
    <s v="No"/>
    <m/>
    <s v="1+ Failures"/>
    <n v="0"/>
    <s v="20+ hrs"/>
    <s v="12+ months"/>
    <x v="0"/>
  </r>
  <r>
    <n v="816"/>
    <d v="2024-04-17T00:00:00"/>
    <s v="Standard"/>
    <n v="399"/>
    <n v="12.4"/>
    <n v="1"/>
    <n v="3"/>
    <n v="30"/>
    <n v="7"/>
    <s v="No"/>
    <s v="No"/>
    <s v="Yes"/>
    <s v="No"/>
    <s v="No"/>
    <s v="No"/>
    <m/>
    <s v="1+ Failures"/>
    <n v="0"/>
    <s v="10-20hrs"/>
    <s v="12+ months"/>
    <x v="1"/>
  </r>
  <r>
    <n v="817"/>
    <d v="2023-04-20T00:00:00"/>
    <s v="Basic"/>
    <n v="199"/>
    <n v="19.3"/>
    <n v="2"/>
    <n v="4"/>
    <n v="19"/>
    <n v="6"/>
    <s v="No"/>
    <s v="No"/>
    <s v="Yes"/>
    <s v="No"/>
    <s v="No"/>
    <s v="No"/>
    <m/>
    <s v="1+ Failures"/>
    <n v="0"/>
    <s v="10-20hrs"/>
    <s v="12+ months"/>
    <x v="1"/>
  </r>
  <r>
    <n v="818"/>
    <d v="2024-02-28T00:00:00"/>
    <s v="Standard"/>
    <n v="399"/>
    <n v="16.399999999999999"/>
    <n v="4"/>
    <n v="4"/>
    <n v="36"/>
    <n v="29"/>
    <s v="Yes"/>
    <s v="No"/>
    <s v="Yes"/>
    <s v="No"/>
    <s v="Yes"/>
    <s v="No"/>
    <m/>
    <s v="1+ Failures"/>
    <n v="1"/>
    <s v="10-20hrs"/>
    <s v="12+ months"/>
    <x v="1"/>
  </r>
  <r>
    <n v="819"/>
    <d v="2024-12-11T00:00:00"/>
    <s v="Basic"/>
    <n v="199"/>
    <n v="13.9"/>
    <n v="7"/>
    <n v="3"/>
    <n v="16"/>
    <n v="4"/>
    <s v="Yes"/>
    <s v="No"/>
    <s v="Yes"/>
    <s v="Yes"/>
    <s v="No"/>
    <s v="No"/>
    <m/>
    <s v="1+ Failures"/>
    <n v="1"/>
    <s v="10-20hrs"/>
    <s v="12+ months"/>
    <x v="1"/>
  </r>
  <r>
    <n v="820"/>
    <d v="2024-12-11T00:00:00"/>
    <s v="Premium"/>
    <n v="699"/>
    <n v="19.7"/>
    <n v="6"/>
    <n v="4"/>
    <n v="28"/>
    <n v="50"/>
    <s v="Yes"/>
    <s v="No"/>
    <s v="Yes"/>
    <s v="Yes"/>
    <s v="Yes"/>
    <s v="No"/>
    <m/>
    <s v="1+ Failures"/>
    <n v="1"/>
    <s v="10-20hrs"/>
    <s v="12+ months"/>
    <x v="0"/>
  </r>
  <r>
    <n v="821"/>
    <d v="2024-05-13T00:00:00"/>
    <s v="Basic"/>
    <n v="199"/>
    <n v="16.7"/>
    <n v="1"/>
    <n v="5"/>
    <n v="12"/>
    <n v="59"/>
    <s v="No"/>
    <s v="No"/>
    <s v="Yes"/>
    <s v="No"/>
    <s v="Yes"/>
    <s v="No"/>
    <m/>
    <s v="1+ Failures"/>
    <n v="0"/>
    <s v="10-20hrs"/>
    <s v="6-12months"/>
    <x v="1"/>
  </r>
  <r>
    <n v="822"/>
    <d v="2024-02-20T00:00:00"/>
    <s v="Basic"/>
    <n v="199"/>
    <n v="8.5"/>
    <n v="1"/>
    <n v="3"/>
    <n v="30"/>
    <n v="11"/>
    <s v="Yes"/>
    <s v="No"/>
    <s v="Yes"/>
    <s v="No"/>
    <s v="No"/>
    <s v="No"/>
    <m/>
    <s v="1+ Failures"/>
    <n v="1"/>
    <s v="5-10 hrs"/>
    <s v="12+ months"/>
    <x v="1"/>
  </r>
  <r>
    <n v="823"/>
    <d v="2023-03-04T00:00:00"/>
    <s v="Basic"/>
    <n v="199"/>
    <n v="17.3"/>
    <n v="6"/>
    <n v="2"/>
    <n v="7"/>
    <n v="31"/>
    <s v="Yes"/>
    <s v="No"/>
    <s v="Yes"/>
    <s v="Yes"/>
    <s v="Yes"/>
    <s v="No"/>
    <m/>
    <s v="1+ Failures"/>
    <n v="1"/>
    <s v="10-20hrs"/>
    <s v="6-12months"/>
    <x v="1"/>
  </r>
  <r>
    <n v="824"/>
    <d v="2024-06-28T00:00:00"/>
    <s v="Basic"/>
    <n v="199"/>
    <n v="20.5"/>
    <n v="0"/>
    <n v="1"/>
    <n v="14"/>
    <n v="42"/>
    <s v="Yes"/>
    <s v="No"/>
    <s v="Yes"/>
    <s v="No"/>
    <s v="Yes"/>
    <s v="No"/>
    <m/>
    <s v="1+ Failures"/>
    <n v="1"/>
    <s v="20+ hrs"/>
    <s v="12+ months"/>
    <x v="1"/>
  </r>
  <r>
    <n v="825"/>
    <d v="2023-11-21T00:00:00"/>
    <s v="Standard"/>
    <n v="399"/>
    <n v="15.6"/>
    <n v="7"/>
    <n v="1"/>
    <n v="25"/>
    <n v="13"/>
    <s v="No"/>
    <s v="No"/>
    <s v="Yes"/>
    <s v="Yes"/>
    <s v="No"/>
    <s v="No"/>
    <m/>
    <s v="1+ Failures"/>
    <n v="0"/>
    <s v="10-20hrs"/>
    <s v="12+ months"/>
    <x v="1"/>
  </r>
  <r>
    <n v="826"/>
    <d v="2023-04-02T00:00:00"/>
    <s v="Standard"/>
    <n v="399"/>
    <n v="23"/>
    <n v="6"/>
    <n v="5"/>
    <n v="20"/>
    <n v="58"/>
    <s v="Yes"/>
    <s v="No"/>
    <s v="Yes"/>
    <s v="Yes"/>
    <s v="Yes"/>
    <s v="No"/>
    <m/>
    <s v="1+ Failures"/>
    <n v="1"/>
    <s v="20+ hrs"/>
    <s v="12+ months"/>
    <x v="1"/>
  </r>
  <r>
    <n v="827"/>
    <d v="2023-10-29T00:00:00"/>
    <s v="Premium"/>
    <n v="699"/>
    <n v="15.5"/>
    <n v="8"/>
    <n v="3"/>
    <n v="1"/>
    <n v="54"/>
    <s v="Yes"/>
    <s v="No"/>
    <s v="Yes"/>
    <s v="Yes"/>
    <s v="Yes"/>
    <s v="Yes"/>
    <m/>
    <s v="1+ Failures"/>
    <n v="1"/>
    <s v="10-20hrs"/>
    <s v="0-3months"/>
    <x v="0"/>
  </r>
  <r>
    <n v="828"/>
    <d v="2024-01-03T00:00:00"/>
    <s v="Basic"/>
    <n v="199"/>
    <n v="22.6"/>
    <n v="0"/>
    <n v="0"/>
    <n v="24"/>
    <n v="45"/>
    <s v="No"/>
    <s v="No"/>
    <s v="No"/>
    <s v="No"/>
    <s v="Yes"/>
    <s v="No"/>
    <m/>
    <s v="0 Failures"/>
    <n v="0"/>
    <s v="20+ hrs"/>
    <s v="12+ months"/>
    <x v="1"/>
  </r>
  <r>
    <n v="829"/>
    <d v="2024-10-02T00:00:00"/>
    <s v="Basic"/>
    <n v="199"/>
    <n v="21.7"/>
    <n v="3"/>
    <n v="3"/>
    <n v="19"/>
    <n v="44"/>
    <s v="Yes"/>
    <s v="No"/>
    <s v="Yes"/>
    <s v="No"/>
    <s v="Yes"/>
    <s v="No"/>
    <m/>
    <s v="1+ Failures"/>
    <n v="1"/>
    <s v="20+ hrs"/>
    <s v="12+ months"/>
    <x v="1"/>
  </r>
  <r>
    <n v="830"/>
    <d v="2024-05-01T00:00:00"/>
    <s v="Standard"/>
    <n v="399"/>
    <n v="10.4"/>
    <n v="6"/>
    <n v="4"/>
    <n v="25"/>
    <n v="13"/>
    <s v="No"/>
    <s v="No"/>
    <s v="Yes"/>
    <s v="Yes"/>
    <s v="No"/>
    <s v="No"/>
    <m/>
    <s v="1+ Failures"/>
    <n v="0"/>
    <s v="10-20hrs"/>
    <s v="12+ months"/>
    <x v="1"/>
  </r>
  <r>
    <n v="831"/>
    <d v="2024-11-17T00:00:00"/>
    <s v="Basic"/>
    <n v="199"/>
    <n v="14.1"/>
    <n v="5"/>
    <n v="3"/>
    <n v="13"/>
    <n v="9"/>
    <s v="Yes"/>
    <s v="No"/>
    <s v="Yes"/>
    <s v="Yes"/>
    <s v="No"/>
    <s v="No"/>
    <m/>
    <s v="1+ Failures"/>
    <n v="1"/>
    <s v="10-20hrs"/>
    <s v="12+ months"/>
    <x v="1"/>
  </r>
  <r>
    <n v="832"/>
    <d v="2024-11-04T00:00:00"/>
    <s v="Basic"/>
    <n v="199"/>
    <n v="0.8"/>
    <n v="0"/>
    <n v="1"/>
    <n v="9"/>
    <n v="46"/>
    <s v="No"/>
    <s v="Yes"/>
    <s v="Yes"/>
    <s v="No"/>
    <s v="Yes"/>
    <s v="No"/>
    <m/>
    <s v="1+ Failures"/>
    <n v="0"/>
    <s v="0-5 hrs"/>
    <s v="6-12months"/>
    <x v="1"/>
  </r>
  <r>
    <n v="833"/>
    <d v="2024-09-10T00:00:00"/>
    <s v="Standard"/>
    <n v="399"/>
    <n v="2.6"/>
    <n v="6"/>
    <n v="3"/>
    <n v="9"/>
    <n v="57"/>
    <s v="Yes"/>
    <s v="Yes"/>
    <s v="Yes"/>
    <s v="Yes"/>
    <s v="Yes"/>
    <s v="No"/>
    <m/>
    <s v="1+ Failures"/>
    <n v="1"/>
    <s v="0-5 hrs"/>
    <s v="6-12months"/>
    <x v="1"/>
  </r>
  <r>
    <n v="834"/>
    <d v="2023-12-30T00:00:00"/>
    <s v="Standard"/>
    <n v="399"/>
    <n v="11.6"/>
    <n v="6"/>
    <n v="4"/>
    <n v="12"/>
    <n v="52"/>
    <s v="Yes"/>
    <s v="No"/>
    <s v="Yes"/>
    <s v="Yes"/>
    <s v="Yes"/>
    <s v="No"/>
    <m/>
    <s v="1+ Failures"/>
    <n v="1"/>
    <s v="10-20hrs"/>
    <s v="6-12months"/>
    <x v="1"/>
  </r>
  <r>
    <n v="835"/>
    <d v="2023-08-31T00:00:00"/>
    <s v="Basic"/>
    <n v="199"/>
    <n v="10.9"/>
    <n v="0"/>
    <n v="4"/>
    <n v="12"/>
    <n v="31"/>
    <s v="No"/>
    <s v="No"/>
    <s v="Yes"/>
    <s v="No"/>
    <s v="Yes"/>
    <s v="No"/>
    <m/>
    <s v="1+ Failures"/>
    <n v="0"/>
    <s v="10-20hrs"/>
    <s v="6-12months"/>
    <x v="1"/>
  </r>
  <r>
    <n v="836"/>
    <d v="2023-02-08T00:00:00"/>
    <s v="Premium"/>
    <n v="699"/>
    <n v="7.1"/>
    <n v="8"/>
    <n v="4"/>
    <n v="33"/>
    <n v="23"/>
    <s v="Yes"/>
    <s v="No"/>
    <s v="Yes"/>
    <s v="Yes"/>
    <s v="Yes"/>
    <s v="No"/>
    <m/>
    <s v="1+ Failures"/>
    <n v="1"/>
    <s v="5-10 hrs"/>
    <s v="12+ months"/>
    <x v="0"/>
  </r>
  <r>
    <n v="837"/>
    <d v="2023-03-23T00:00:00"/>
    <s v="Premium"/>
    <n v="699"/>
    <n v="17.8"/>
    <n v="1"/>
    <n v="4"/>
    <n v="31"/>
    <n v="30"/>
    <s v="No"/>
    <s v="No"/>
    <s v="Yes"/>
    <s v="No"/>
    <s v="Yes"/>
    <s v="No"/>
    <m/>
    <s v="1+ Failures"/>
    <n v="0"/>
    <s v="10-20hrs"/>
    <s v="12+ months"/>
    <x v="0"/>
  </r>
  <r>
    <n v="838"/>
    <d v="2024-09-16T00:00:00"/>
    <s v="Basic"/>
    <n v="199"/>
    <n v="24.6"/>
    <n v="4"/>
    <n v="3"/>
    <n v="34"/>
    <n v="33"/>
    <s v="Yes"/>
    <s v="No"/>
    <s v="Yes"/>
    <s v="No"/>
    <s v="Yes"/>
    <s v="No"/>
    <m/>
    <s v="1+ Failures"/>
    <n v="1"/>
    <s v="20+ hrs"/>
    <s v="12+ months"/>
    <x v="1"/>
  </r>
  <r>
    <n v="839"/>
    <d v="2024-08-16T00:00:00"/>
    <s v="Basic"/>
    <n v="199"/>
    <n v="12.1"/>
    <n v="1"/>
    <n v="5"/>
    <n v="16"/>
    <n v="40"/>
    <s v="Yes"/>
    <s v="No"/>
    <s v="Yes"/>
    <s v="No"/>
    <s v="Yes"/>
    <s v="No"/>
    <m/>
    <s v="1+ Failures"/>
    <n v="1"/>
    <s v="10-20hrs"/>
    <s v="12+ months"/>
    <x v="1"/>
  </r>
  <r>
    <n v="840"/>
    <d v="2024-04-25T00:00:00"/>
    <s v="Standard"/>
    <n v="399"/>
    <n v="22.6"/>
    <n v="8"/>
    <n v="0"/>
    <n v="4"/>
    <n v="30"/>
    <s v="Yes"/>
    <s v="No"/>
    <s v="No"/>
    <s v="Yes"/>
    <s v="Yes"/>
    <s v="Yes"/>
    <m/>
    <s v="0 Failures"/>
    <n v="1"/>
    <s v="20+ hrs"/>
    <s v="3-6months"/>
    <x v="1"/>
  </r>
  <r>
    <n v="841"/>
    <d v="2024-09-03T00:00:00"/>
    <s v="Premium"/>
    <n v="699"/>
    <n v="10.8"/>
    <n v="4"/>
    <n v="2"/>
    <n v="22"/>
    <n v="10"/>
    <s v="Yes"/>
    <s v="No"/>
    <s v="Yes"/>
    <s v="No"/>
    <s v="No"/>
    <s v="No"/>
    <m/>
    <s v="1+ Failures"/>
    <n v="1"/>
    <s v="10-20hrs"/>
    <s v="12+ months"/>
    <x v="0"/>
  </r>
  <r>
    <n v="842"/>
    <d v="2023-06-23T00:00:00"/>
    <s v="Premium"/>
    <n v="699"/>
    <n v="18.3"/>
    <n v="4"/>
    <n v="0"/>
    <n v="20"/>
    <n v="40"/>
    <s v="Yes"/>
    <s v="No"/>
    <s v="No"/>
    <s v="No"/>
    <s v="Yes"/>
    <s v="No"/>
    <m/>
    <s v="0 Failures"/>
    <n v="1"/>
    <s v="10-20hrs"/>
    <s v="12+ months"/>
    <x v="0"/>
  </r>
  <r>
    <n v="843"/>
    <d v="2024-05-11T00:00:00"/>
    <s v="Premium"/>
    <n v="699"/>
    <n v="16.600000000000001"/>
    <n v="4"/>
    <n v="5"/>
    <n v="4"/>
    <n v="39"/>
    <s v="Yes"/>
    <s v="No"/>
    <s v="Yes"/>
    <s v="No"/>
    <s v="Yes"/>
    <s v="Yes"/>
    <m/>
    <s v="1+ Failures"/>
    <n v="1"/>
    <s v="10-20hrs"/>
    <s v="3-6months"/>
    <x v="0"/>
  </r>
  <r>
    <n v="844"/>
    <d v="2023-10-09T00:00:00"/>
    <s v="Basic"/>
    <n v="199"/>
    <n v="12.9"/>
    <n v="4"/>
    <n v="2"/>
    <n v="9"/>
    <n v="8"/>
    <s v="No"/>
    <s v="No"/>
    <s v="Yes"/>
    <s v="No"/>
    <s v="No"/>
    <s v="No"/>
    <m/>
    <s v="1+ Failures"/>
    <n v="0"/>
    <s v="10-20hrs"/>
    <s v="6-12months"/>
    <x v="1"/>
  </r>
  <r>
    <n v="845"/>
    <d v="2024-04-02T00:00:00"/>
    <s v="Standard"/>
    <n v="399"/>
    <n v="18.7"/>
    <n v="2"/>
    <n v="4"/>
    <n v="1"/>
    <n v="47"/>
    <s v="Yes"/>
    <s v="No"/>
    <s v="Yes"/>
    <s v="No"/>
    <s v="Yes"/>
    <s v="Yes"/>
    <m/>
    <s v="1+ Failures"/>
    <n v="1"/>
    <s v="10-20hrs"/>
    <s v="0-3months"/>
    <x v="1"/>
  </r>
  <r>
    <n v="846"/>
    <d v="2023-02-03T00:00:00"/>
    <s v="Standard"/>
    <n v="399"/>
    <n v="6.9"/>
    <n v="3"/>
    <n v="3"/>
    <n v="12"/>
    <n v="11"/>
    <s v="No"/>
    <s v="No"/>
    <s v="Yes"/>
    <s v="No"/>
    <s v="No"/>
    <s v="No"/>
    <m/>
    <s v="1+ Failures"/>
    <n v="0"/>
    <s v="5-10 hrs"/>
    <s v="6-12months"/>
    <x v="1"/>
  </r>
  <r>
    <n v="847"/>
    <d v="2024-01-28T00:00:00"/>
    <s v="Standard"/>
    <n v="399"/>
    <n v="24.2"/>
    <n v="2"/>
    <n v="3"/>
    <n v="6"/>
    <n v="48"/>
    <s v="No"/>
    <s v="No"/>
    <s v="Yes"/>
    <s v="No"/>
    <s v="Yes"/>
    <s v="No"/>
    <m/>
    <s v="1+ Failures"/>
    <n v="0"/>
    <s v="20+ hrs"/>
    <s v="3-6months"/>
    <x v="1"/>
  </r>
  <r>
    <n v="848"/>
    <d v="2023-12-20T00:00:00"/>
    <s v="Basic"/>
    <n v="199"/>
    <n v="18.3"/>
    <n v="2"/>
    <n v="1"/>
    <n v="29"/>
    <n v="36"/>
    <s v="No"/>
    <s v="No"/>
    <s v="Yes"/>
    <s v="No"/>
    <s v="Yes"/>
    <s v="No"/>
    <m/>
    <s v="1+ Failures"/>
    <n v="0"/>
    <s v="10-20hrs"/>
    <s v="12+ months"/>
    <x v="1"/>
  </r>
  <r>
    <n v="849"/>
    <d v="2024-05-02T00:00:00"/>
    <s v="Basic"/>
    <n v="199"/>
    <n v="19"/>
    <n v="1"/>
    <n v="0"/>
    <n v="17"/>
    <n v="10"/>
    <s v="No"/>
    <s v="No"/>
    <s v="No"/>
    <s v="No"/>
    <s v="No"/>
    <s v="No"/>
    <m/>
    <s v="0 Failures"/>
    <n v="0"/>
    <s v="10-20hrs"/>
    <s v="12+ months"/>
    <x v="1"/>
  </r>
  <r>
    <n v="850"/>
    <d v="2024-02-04T00:00:00"/>
    <s v="Standard"/>
    <n v="399"/>
    <n v="18.8"/>
    <n v="8"/>
    <n v="1"/>
    <n v="31"/>
    <n v="24"/>
    <s v="No"/>
    <s v="No"/>
    <s v="Yes"/>
    <s v="Yes"/>
    <s v="Yes"/>
    <s v="No"/>
    <m/>
    <s v="1+ Failures"/>
    <n v="0"/>
    <s v="10-20hrs"/>
    <s v="12+ months"/>
    <x v="1"/>
  </r>
  <r>
    <n v="851"/>
    <d v="2024-04-04T00:00:00"/>
    <s v="Standard"/>
    <n v="399"/>
    <n v="4.0999999999999996"/>
    <n v="6"/>
    <n v="0"/>
    <n v="17"/>
    <n v="18"/>
    <s v="No"/>
    <s v="Yes"/>
    <s v="No"/>
    <s v="Yes"/>
    <s v="Yes"/>
    <s v="No"/>
    <m/>
    <s v="0 Failures"/>
    <n v="0"/>
    <s v="0-5 hrs"/>
    <s v="12+ months"/>
    <x v="1"/>
  </r>
  <r>
    <n v="852"/>
    <d v="2023-12-29T00:00:00"/>
    <s v="Standard"/>
    <n v="399"/>
    <n v="24.1"/>
    <n v="0"/>
    <n v="0"/>
    <n v="21"/>
    <n v="58"/>
    <s v="No"/>
    <s v="No"/>
    <s v="No"/>
    <s v="No"/>
    <s v="Yes"/>
    <s v="No"/>
    <m/>
    <s v="0 Failures"/>
    <n v="0"/>
    <s v="20+ hrs"/>
    <s v="12+ months"/>
    <x v="1"/>
  </r>
  <r>
    <n v="853"/>
    <d v="2024-02-05T00:00:00"/>
    <s v="Standard"/>
    <n v="399"/>
    <n v="8.6999999999999993"/>
    <n v="4"/>
    <n v="0"/>
    <n v="18"/>
    <n v="16"/>
    <s v="No"/>
    <s v="No"/>
    <s v="No"/>
    <s v="No"/>
    <s v="Yes"/>
    <s v="No"/>
    <m/>
    <s v="0 Failures"/>
    <n v="0"/>
    <s v="5-10 hrs"/>
    <s v="12+ months"/>
    <x v="1"/>
  </r>
  <r>
    <n v="854"/>
    <d v="2023-07-04T00:00:00"/>
    <s v="Standard"/>
    <n v="399"/>
    <n v="18.5"/>
    <n v="3"/>
    <n v="4"/>
    <n v="16"/>
    <n v="21"/>
    <s v="No"/>
    <s v="No"/>
    <s v="Yes"/>
    <s v="No"/>
    <s v="Yes"/>
    <s v="No"/>
    <m/>
    <s v="1+ Failures"/>
    <n v="0"/>
    <s v="10-20hrs"/>
    <s v="12+ months"/>
    <x v="1"/>
  </r>
  <r>
    <n v="855"/>
    <d v="2024-06-21T00:00:00"/>
    <s v="Standard"/>
    <n v="399"/>
    <n v="0.8"/>
    <n v="0"/>
    <n v="0"/>
    <n v="36"/>
    <n v="0"/>
    <s v="No"/>
    <s v="Yes"/>
    <s v="No"/>
    <s v="No"/>
    <s v="No"/>
    <s v="No"/>
    <m/>
    <s v="0 Failures"/>
    <n v="0"/>
    <s v="0-5 hrs"/>
    <s v="12+ months"/>
    <x v="1"/>
  </r>
  <r>
    <n v="856"/>
    <d v="2024-09-26T00:00:00"/>
    <s v="Basic"/>
    <n v="199"/>
    <n v="9.1"/>
    <n v="4"/>
    <n v="2"/>
    <n v="29"/>
    <n v="12"/>
    <s v="Yes"/>
    <s v="No"/>
    <s v="Yes"/>
    <s v="No"/>
    <s v="No"/>
    <s v="No"/>
    <m/>
    <s v="1+ Failures"/>
    <n v="1"/>
    <s v="5-10 hrs"/>
    <s v="12+ months"/>
    <x v="1"/>
  </r>
  <r>
    <n v="857"/>
    <d v="2023-05-03T00:00:00"/>
    <s v="Basic"/>
    <n v="199"/>
    <n v="23.5"/>
    <n v="3"/>
    <n v="4"/>
    <n v="4"/>
    <n v="40"/>
    <s v="Yes"/>
    <s v="No"/>
    <s v="Yes"/>
    <s v="No"/>
    <s v="Yes"/>
    <s v="Yes"/>
    <m/>
    <s v="1+ Failures"/>
    <n v="1"/>
    <s v="20+ hrs"/>
    <s v="3-6months"/>
    <x v="1"/>
  </r>
  <r>
    <n v="858"/>
    <d v="2023-10-29T00:00:00"/>
    <s v="Basic"/>
    <n v="199"/>
    <n v="9.6999999999999993"/>
    <n v="2"/>
    <n v="0"/>
    <n v="9"/>
    <n v="44"/>
    <s v="Yes"/>
    <s v="No"/>
    <s v="No"/>
    <s v="No"/>
    <s v="Yes"/>
    <s v="No"/>
    <m/>
    <s v="0 Failures"/>
    <n v="1"/>
    <s v="5-10 hrs"/>
    <s v="6-12months"/>
    <x v="1"/>
  </r>
  <r>
    <n v="859"/>
    <d v="2023-11-28T00:00:00"/>
    <s v="Standard"/>
    <n v="399"/>
    <n v="16.2"/>
    <n v="4"/>
    <n v="3"/>
    <n v="5"/>
    <n v="44"/>
    <s v="No"/>
    <s v="No"/>
    <s v="Yes"/>
    <s v="No"/>
    <s v="Yes"/>
    <s v="Yes"/>
    <m/>
    <s v="1+ Failures"/>
    <n v="0"/>
    <s v="10-20hrs"/>
    <s v="3-6months"/>
    <x v="1"/>
  </r>
  <r>
    <n v="860"/>
    <d v="2023-03-03T00:00:00"/>
    <s v="Standard"/>
    <n v="399"/>
    <n v="19.600000000000001"/>
    <n v="4"/>
    <n v="0"/>
    <n v="11"/>
    <n v="24"/>
    <s v="Yes"/>
    <s v="No"/>
    <s v="No"/>
    <s v="No"/>
    <s v="Yes"/>
    <s v="No"/>
    <m/>
    <s v="0 Failures"/>
    <n v="1"/>
    <s v="10-20hrs"/>
    <s v="6-12months"/>
    <x v="1"/>
  </r>
  <r>
    <n v="861"/>
    <d v="2024-02-07T00:00:00"/>
    <s v="Standard"/>
    <n v="399"/>
    <n v="4.9000000000000004"/>
    <n v="1"/>
    <n v="3"/>
    <n v="17"/>
    <n v="59"/>
    <s v="Yes"/>
    <s v="Yes"/>
    <s v="Yes"/>
    <s v="No"/>
    <s v="Yes"/>
    <s v="No"/>
    <m/>
    <s v="1+ Failures"/>
    <n v="1"/>
    <s v="0-5 hrs"/>
    <s v="12+ months"/>
    <x v="1"/>
  </r>
  <r>
    <n v="862"/>
    <d v="2023-04-19T00:00:00"/>
    <s v="Basic"/>
    <n v="199"/>
    <n v="3.2"/>
    <n v="8"/>
    <n v="3"/>
    <n v="32"/>
    <n v="13"/>
    <s v="Yes"/>
    <s v="Yes"/>
    <s v="Yes"/>
    <s v="Yes"/>
    <s v="No"/>
    <s v="No"/>
    <m/>
    <s v="1+ Failures"/>
    <n v="1"/>
    <s v="0-5 hrs"/>
    <s v="12+ months"/>
    <x v="1"/>
  </r>
  <r>
    <n v="863"/>
    <d v="2024-04-01T00:00:00"/>
    <s v="Standard"/>
    <n v="399"/>
    <n v="3"/>
    <n v="1"/>
    <n v="0"/>
    <n v="17"/>
    <n v="36"/>
    <s v="No"/>
    <s v="Yes"/>
    <s v="No"/>
    <s v="No"/>
    <s v="Yes"/>
    <s v="No"/>
    <m/>
    <s v="0 Failures"/>
    <n v="0"/>
    <s v="0-5 hrs"/>
    <s v="12+ months"/>
    <x v="1"/>
  </r>
  <r>
    <n v="864"/>
    <d v="2023-06-05T00:00:00"/>
    <s v="Basic"/>
    <n v="199"/>
    <n v="4.0999999999999996"/>
    <n v="0"/>
    <n v="0"/>
    <n v="32"/>
    <n v="42"/>
    <s v="Yes"/>
    <s v="Yes"/>
    <s v="No"/>
    <s v="No"/>
    <s v="Yes"/>
    <s v="No"/>
    <m/>
    <s v="0 Failures"/>
    <n v="1"/>
    <s v="0-5 hrs"/>
    <s v="12+ months"/>
    <x v="1"/>
  </r>
  <r>
    <n v="865"/>
    <d v="2024-05-17T00:00:00"/>
    <s v="Premium"/>
    <n v="699"/>
    <n v="22.7"/>
    <n v="0"/>
    <n v="4"/>
    <n v="22"/>
    <n v="45"/>
    <s v="No"/>
    <s v="No"/>
    <s v="Yes"/>
    <s v="No"/>
    <s v="Yes"/>
    <s v="No"/>
    <m/>
    <s v="1+ Failures"/>
    <n v="0"/>
    <s v="20+ hrs"/>
    <s v="12+ months"/>
    <x v="0"/>
  </r>
  <r>
    <n v="866"/>
    <d v="2024-12-06T00:00:00"/>
    <s v="Standard"/>
    <n v="399"/>
    <n v="10.4"/>
    <n v="1"/>
    <n v="4"/>
    <n v="28"/>
    <n v="14"/>
    <s v="Yes"/>
    <s v="No"/>
    <s v="Yes"/>
    <s v="No"/>
    <s v="No"/>
    <s v="No"/>
    <m/>
    <s v="1+ Failures"/>
    <n v="1"/>
    <s v="10-20hrs"/>
    <s v="12+ months"/>
    <x v="1"/>
  </r>
  <r>
    <n v="867"/>
    <d v="2023-02-26T00:00:00"/>
    <s v="Standard"/>
    <n v="399"/>
    <n v="14.4"/>
    <n v="5"/>
    <n v="2"/>
    <n v="8"/>
    <n v="43"/>
    <s v="Yes"/>
    <s v="No"/>
    <s v="Yes"/>
    <s v="Yes"/>
    <s v="Yes"/>
    <s v="No"/>
    <m/>
    <s v="1+ Failures"/>
    <n v="1"/>
    <s v="10-20hrs"/>
    <s v="6-12months"/>
    <x v="1"/>
  </r>
  <r>
    <n v="868"/>
    <d v="2023-10-24T00:00:00"/>
    <s v="Premium"/>
    <n v="699"/>
    <n v="9.5"/>
    <n v="5"/>
    <n v="0"/>
    <n v="6"/>
    <n v="53"/>
    <s v="Yes"/>
    <s v="No"/>
    <s v="No"/>
    <s v="Yes"/>
    <s v="Yes"/>
    <s v="No"/>
    <m/>
    <s v="0 Failures"/>
    <n v="1"/>
    <s v="5-10 hrs"/>
    <s v="3-6months"/>
    <x v="0"/>
  </r>
  <r>
    <n v="869"/>
    <d v="2024-12-13T00:00:00"/>
    <s v="Premium"/>
    <n v="699"/>
    <n v="4.8"/>
    <n v="0"/>
    <n v="3"/>
    <n v="13"/>
    <n v="42"/>
    <s v="Yes"/>
    <s v="Yes"/>
    <s v="Yes"/>
    <s v="No"/>
    <s v="Yes"/>
    <s v="No"/>
    <m/>
    <s v="1+ Failures"/>
    <n v="1"/>
    <s v="0-5 hrs"/>
    <s v="12+ months"/>
    <x v="0"/>
  </r>
  <r>
    <n v="870"/>
    <d v="2024-03-24T00:00:00"/>
    <s v="Standard"/>
    <n v="399"/>
    <n v="16"/>
    <n v="5"/>
    <n v="3"/>
    <n v="7"/>
    <n v="5"/>
    <s v="No"/>
    <s v="No"/>
    <s v="Yes"/>
    <s v="Yes"/>
    <s v="No"/>
    <s v="No"/>
    <m/>
    <s v="1+ Failures"/>
    <n v="0"/>
    <s v="10-20hrs"/>
    <s v="6-12months"/>
    <x v="1"/>
  </r>
  <r>
    <n v="871"/>
    <d v="2023-09-02T00:00:00"/>
    <s v="Premium"/>
    <n v="699"/>
    <n v="3.9"/>
    <n v="3"/>
    <n v="0"/>
    <n v="13"/>
    <n v="46"/>
    <s v="No"/>
    <s v="Yes"/>
    <s v="No"/>
    <s v="No"/>
    <s v="Yes"/>
    <s v="No"/>
    <m/>
    <s v="0 Failures"/>
    <n v="0"/>
    <s v="0-5 hrs"/>
    <s v="12+ months"/>
    <x v="0"/>
  </r>
  <r>
    <n v="872"/>
    <d v="2024-04-05T00:00:00"/>
    <s v="Standard"/>
    <n v="399"/>
    <n v="2"/>
    <n v="8"/>
    <n v="5"/>
    <n v="25"/>
    <n v="19"/>
    <s v="Yes"/>
    <s v="Yes"/>
    <s v="Yes"/>
    <s v="Yes"/>
    <s v="Yes"/>
    <s v="No"/>
    <m/>
    <s v="1+ Failures"/>
    <n v="1"/>
    <s v="0-5 hrs"/>
    <s v="12+ months"/>
    <x v="1"/>
  </r>
  <r>
    <n v="873"/>
    <d v="2023-08-05T00:00:00"/>
    <s v="Basic"/>
    <n v="199"/>
    <n v="8.8000000000000007"/>
    <n v="5"/>
    <n v="5"/>
    <n v="3"/>
    <n v="2"/>
    <s v="Yes"/>
    <s v="No"/>
    <s v="Yes"/>
    <s v="Yes"/>
    <s v="No"/>
    <s v="Yes"/>
    <m/>
    <s v="1+ Failures"/>
    <n v="1"/>
    <s v="5-10 hrs"/>
    <s v="0-3months"/>
    <x v="1"/>
  </r>
  <r>
    <n v="874"/>
    <d v="2023-03-15T00:00:00"/>
    <s v="Premium"/>
    <n v="699"/>
    <n v="11.7"/>
    <n v="8"/>
    <n v="1"/>
    <n v="34"/>
    <n v="47"/>
    <s v="No"/>
    <s v="No"/>
    <s v="Yes"/>
    <s v="Yes"/>
    <s v="Yes"/>
    <s v="No"/>
    <m/>
    <s v="1+ Failures"/>
    <n v="0"/>
    <s v="10-20hrs"/>
    <s v="12+ months"/>
    <x v="0"/>
  </r>
  <r>
    <n v="875"/>
    <d v="2023-02-16T00:00:00"/>
    <s v="Basic"/>
    <n v="199"/>
    <n v="12.5"/>
    <n v="0"/>
    <n v="3"/>
    <n v="10"/>
    <n v="58"/>
    <s v="No"/>
    <s v="No"/>
    <s v="Yes"/>
    <s v="No"/>
    <s v="Yes"/>
    <s v="No"/>
    <m/>
    <s v="1+ Failures"/>
    <n v="0"/>
    <s v="10-20hrs"/>
    <s v="6-12months"/>
    <x v="1"/>
  </r>
  <r>
    <n v="876"/>
    <d v="2024-04-12T00:00:00"/>
    <s v="Basic"/>
    <n v="199"/>
    <n v="0.9"/>
    <n v="0"/>
    <n v="2"/>
    <n v="9"/>
    <n v="52"/>
    <s v="Yes"/>
    <s v="Yes"/>
    <s v="Yes"/>
    <s v="No"/>
    <s v="Yes"/>
    <s v="No"/>
    <m/>
    <s v="1+ Failures"/>
    <n v="1"/>
    <s v="0-5 hrs"/>
    <s v="6-12months"/>
    <x v="1"/>
  </r>
  <r>
    <n v="877"/>
    <d v="2024-09-22T00:00:00"/>
    <s v="Premium"/>
    <n v="699"/>
    <n v="21"/>
    <n v="1"/>
    <n v="0"/>
    <n v="11"/>
    <n v="7"/>
    <s v="No"/>
    <s v="No"/>
    <s v="No"/>
    <s v="No"/>
    <s v="No"/>
    <s v="No"/>
    <m/>
    <s v="0 Failures"/>
    <n v="0"/>
    <s v="20+ hrs"/>
    <s v="6-12months"/>
    <x v="0"/>
  </r>
  <r>
    <n v="878"/>
    <d v="2024-11-25T00:00:00"/>
    <s v="Basic"/>
    <n v="199"/>
    <n v="20.2"/>
    <n v="6"/>
    <n v="2"/>
    <n v="5"/>
    <n v="51"/>
    <s v="No"/>
    <s v="No"/>
    <s v="Yes"/>
    <s v="Yes"/>
    <s v="Yes"/>
    <s v="Yes"/>
    <m/>
    <s v="1+ Failures"/>
    <n v="0"/>
    <s v="20+ hrs"/>
    <s v="3-6months"/>
    <x v="1"/>
  </r>
  <r>
    <n v="879"/>
    <d v="2023-08-07T00:00:00"/>
    <s v="Standard"/>
    <n v="399"/>
    <n v="3.5"/>
    <n v="8"/>
    <n v="1"/>
    <n v="21"/>
    <n v="20"/>
    <s v="No"/>
    <s v="Yes"/>
    <s v="Yes"/>
    <s v="Yes"/>
    <s v="Yes"/>
    <s v="No"/>
    <m/>
    <s v="1+ Failures"/>
    <n v="0"/>
    <s v="0-5 hrs"/>
    <s v="12+ months"/>
    <x v="1"/>
  </r>
  <r>
    <n v="880"/>
    <d v="2023-06-22T00:00:00"/>
    <s v="Basic"/>
    <n v="199"/>
    <n v="8.6999999999999993"/>
    <n v="1"/>
    <n v="2"/>
    <n v="12"/>
    <n v="9"/>
    <s v="No"/>
    <s v="No"/>
    <s v="Yes"/>
    <s v="No"/>
    <s v="No"/>
    <s v="No"/>
    <m/>
    <s v="1+ Failures"/>
    <n v="0"/>
    <s v="5-10 hrs"/>
    <s v="6-12months"/>
    <x v="1"/>
  </r>
  <r>
    <n v="881"/>
    <d v="2023-05-17T00:00:00"/>
    <s v="Premium"/>
    <n v="699"/>
    <n v="14.1"/>
    <n v="7"/>
    <n v="1"/>
    <n v="24"/>
    <n v="59"/>
    <s v="No"/>
    <s v="No"/>
    <s v="Yes"/>
    <s v="Yes"/>
    <s v="Yes"/>
    <s v="No"/>
    <m/>
    <s v="1+ Failures"/>
    <n v="0"/>
    <s v="10-20hrs"/>
    <s v="12+ months"/>
    <x v="0"/>
  </r>
  <r>
    <n v="882"/>
    <d v="2023-07-03T00:00:00"/>
    <s v="Basic"/>
    <n v="199"/>
    <n v="19.600000000000001"/>
    <n v="0"/>
    <n v="3"/>
    <n v="25"/>
    <n v="5"/>
    <s v="Yes"/>
    <s v="No"/>
    <s v="Yes"/>
    <s v="No"/>
    <s v="No"/>
    <s v="No"/>
    <m/>
    <s v="1+ Failures"/>
    <n v="1"/>
    <s v="10-20hrs"/>
    <s v="12+ months"/>
    <x v="1"/>
  </r>
  <r>
    <n v="883"/>
    <d v="2024-10-17T00:00:00"/>
    <s v="Basic"/>
    <n v="199"/>
    <n v="10.7"/>
    <n v="7"/>
    <n v="5"/>
    <n v="19"/>
    <n v="8"/>
    <s v="Yes"/>
    <s v="No"/>
    <s v="Yes"/>
    <s v="Yes"/>
    <s v="No"/>
    <s v="No"/>
    <m/>
    <s v="1+ Failures"/>
    <n v="1"/>
    <s v="10-20hrs"/>
    <s v="12+ months"/>
    <x v="1"/>
  </r>
  <r>
    <n v="884"/>
    <d v="2024-09-02T00:00:00"/>
    <s v="Standard"/>
    <n v="399"/>
    <n v="11.5"/>
    <n v="3"/>
    <n v="1"/>
    <n v="34"/>
    <n v="39"/>
    <s v="No"/>
    <s v="No"/>
    <s v="Yes"/>
    <s v="No"/>
    <s v="Yes"/>
    <s v="No"/>
    <m/>
    <s v="1+ Failures"/>
    <n v="0"/>
    <s v="10-20hrs"/>
    <s v="12+ months"/>
    <x v="1"/>
  </r>
  <r>
    <n v="885"/>
    <d v="2023-12-23T00:00:00"/>
    <s v="Basic"/>
    <n v="199"/>
    <n v="15.5"/>
    <n v="1"/>
    <n v="5"/>
    <n v="32"/>
    <n v="52"/>
    <s v="No"/>
    <s v="No"/>
    <s v="Yes"/>
    <s v="No"/>
    <s v="Yes"/>
    <s v="No"/>
    <m/>
    <s v="1+ Failures"/>
    <n v="0"/>
    <s v="10-20hrs"/>
    <s v="12+ months"/>
    <x v="1"/>
  </r>
  <r>
    <n v="886"/>
    <d v="2024-09-25T00:00:00"/>
    <s v="Standard"/>
    <n v="399"/>
    <n v="14.2"/>
    <n v="3"/>
    <n v="0"/>
    <n v="1"/>
    <n v="33"/>
    <s v="No"/>
    <s v="No"/>
    <s v="No"/>
    <s v="No"/>
    <s v="Yes"/>
    <s v="Yes"/>
    <m/>
    <s v="0 Failures"/>
    <n v="0"/>
    <s v="10-20hrs"/>
    <s v="0-3months"/>
    <x v="1"/>
  </r>
  <r>
    <n v="887"/>
    <d v="2023-02-24T00:00:00"/>
    <s v="Standard"/>
    <n v="399"/>
    <n v="12.9"/>
    <n v="7"/>
    <n v="5"/>
    <n v="35"/>
    <n v="42"/>
    <s v="Yes"/>
    <s v="No"/>
    <s v="Yes"/>
    <s v="Yes"/>
    <s v="Yes"/>
    <s v="No"/>
    <m/>
    <s v="1+ Failures"/>
    <n v="1"/>
    <s v="10-20hrs"/>
    <s v="12+ months"/>
    <x v="1"/>
  </r>
  <r>
    <n v="888"/>
    <d v="2023-02-14T00:00:00"/>
    <s v="Basic"/>
    <n v="199"/>
    <n v="20"/>
    <n v="7"/>
    <n v="3"/>
    <n v="8"/>
    <n v="11"/>
    <s v="Yes"/>
    <s v="No"/>
    <s v="Yes"/>
    <s v="Yes"/>
    <s v="No"/>
    <s v="No"/>
    <m/>
    <s v="1+ Failures"/>
    <n v="1"/>
    <s v="10-20hrs"/>
    <s v="6-12months"/>
    <x v="1"/>
  </r>
  <r>
    <n v="889"/>
    <d v="2024-04-09T00:00:00"/>
    <s v="Basic"/>
    <n v="199"/>
    <n v="7.5"/>
    <n v="6"/>
    <n v="2"/>
    <n v="24"/>
    <n v="21"/>
    <s v="Yes"/>
    <s v="No"/>
    <s v="Yes"/>
    <s v="Yes"/>
    <s v="Yes"/>
    <s v="No"/>
    <m/>
    <s v="1+ Failures"/>
    <n v="1"/>
    <s v="5-10 hrs"/>
    <s v="12+ months"/>
    <x v="1"/>
  </r>
  <r>
    <n v="890"/>
    <d v="2024-05-11T00:00:00"/>
    <s v="Basic"/>
    <n v="199"/>
    <n v="18.600000000000001"/>
    <n v="8"/>
    <n v="1"/>
    <n v="7"/>
    <n v="10"/>
    <s v="No"/>
    <s v="No"/>
    <s v="Yes"/>
    <s v="Yes"/>
    <s v="No"/>
    <s v="No"/>
    <m/>
    <s v="1+ Failures"/>
    <n v="0"/>
    <s v="10-20hrs"/>
    <s v="6-12months"/>
    <x v="1"/>
  </r>
  <r>
    <n v="891"/>
    <d v="2023-11-30T00:00:00"/>
    <s v="Premium"/>
    <n v="699"/>
    <n v="2.2000000000000002"/>
    <n v="3"/>
    <n v="5"/>
    <n v="8"/>
    <n v="28"/>
    <s v="Yes"/>
    <s v="Yes"/>
    <s v="Yes"/>
    <s v="No"/>
    <s v="Yes"/>
    <s v="No"/>
    <m/>
    <s v="1+ Failures"/>
    <n v="1"/>
    <s v="0-5 hrs"/>
    <s v="6-12months"/>
    <x v="0"/>
  </r>
  <r>
    <n v="892"/>
    <d v="2023-08-22T00:00:00"/>
    <s v="Standard"/>
    <n v="399"/>
    <n v="18.8"/>
    <n v="5"/>
    <n v="1"/>
    <n v="13"/>
    <n v="49"/>
    <s v="Yes"/>
    <s v="No"/>
    <s v="Yes"/>
    <s v="Yes"/>
    <s v="Yes"/>
    <s v="No"/>
    <m/>
    <s v="1+ Failures"/>
    <n v="1"/>
    <s v="10-20hrs"/>
    <s v="12+ months"/>
    <x v="1"/>
  </r>
  <r>
    <n v="893"/>
    <d v="2024-04-27T00:00:00"/>
    <s v="Basic"/>
    <n v="199"/>
    <n v="18.600000000000001"/>
    <n v="3"/>
    <n v="3"/>
    <n v="16"/>
    <n v="57"/>
    <s v="Yes"/>
    <s v="No"/>
    <s v="Yes"/>
    <s v="No"/>
    <s v="Yes"/>
    <s v="No"/>
    <m/>
    <s v="1+ Failures"/>
    <n v="1"/>
    <s v="10-20hrs"/>
    <s v="12+ months"/>
    <x v="1"/>
  </r>
  <r>
    <n v="894"/>
    <d v="2024-04-10T00:00:00"/>
    <s v="Premium"/>
    <n v="699"/>
    <n v="1.8"/>
    <n v="6"/>
    <n v="1"/>
    <n v="32"/>
    <n v="13"/>
    <s v="No"/>
    <s v="Yes"/>
    <s v="Yes"/>
    <s v="Yes"/>
    <s v="No"/>
    <s v="No"/>
    <m/>
    <s v="1+ Failures"/>
    <n v="0"/>
    <s v="0-5 hrs"/>
    <s v="12+ months"/>
    <x v="0"/>
  </r>
  <r>
    <n v="895"/>
    <d v="2023-10-04T00:00:00"/>
    <s v="Basic"/>
    <n v="199"/>
    <n v="9.6999999999999993"/>
    <n v="7"/>
    <n v="5"/>
    <n v="25"/>
    <n v="12"/>
    <s v="No"/>
    <s v="No"/>
    <s v="Yes"/>
    <s v="Yes"/>
    <s v="No"/>
    <s v="No"/>
    <m/>
    <s v="1+ Failures"/>
    <n v="0"/>
    <s v="5-10 hrs"/>
    <s v="12+ months"/>
    <x v="1"/>
  </r>
  <r>
    <n v="896"/>
    <d v="2024-04-21T00:00:00"/>
    <s v="Basic"/>
    <n v="199"/>
    <n v="3.6"/>
    <n v="0"/>
    <n v="2"/>
    <n v="22"/>
    <n v="8"/>
    <s v="Yes"/>
    <s v="Yes"/>
    <s v="Yes"/>
    <s v="No"/>
    <s v="No"/>
    <s v="No"/>
    <m/>
    <s v="1+ Failures"/>
    <n v="1"/>
    <s v="0-5 hrs"/>
    <s v="12+ months"/>
    <x v="1"/>
  </r>
  <r>
    <n v="897"/>
    <d v="2023-06-10T00:00:00"/>
    <s v="Standard"/>
    <n v="399"/>
    <n v="4.7"/>
    <n v="5"/>
    <n v="1"/>
    <n v="27"/>
    <n v="56"/>
    <s v="Yes"/>
    <s v="Yes"/>
    <s v="Yes"/>
    <s v="Yes"/>
    <s v="Yes"/>
    <s v="No"/>
    <m/>
    <s v="1+ Failures"/>
    <n v="1"/>
    <s v="0-5 hrs"/>
    <s v="12+ months"/>
    <x v="1"/>
  </r>
  <r>
    <n v="898"/>
    <d v="2024-06-18T00:00:00"/>
    <s v="Premium"/>
    <n v="699"/>
    <n v="14.7"/>
    <n v="8"/>
    <n v="1"/>
    <n v="11"/>
    <n v="5"/>
    <s v="No"/>
    <s v="No"/>
    <s v="Yes"/>
    <s v="Yes"/>
    <s v="No"/>
    <s v="No"/>
    <m/>
    <s v="1+ Failures"/>
    <n v="0"/>
    <s v="10-20hrs"/>
    <s v="6-12months"/>
    <x v="0"/>
  </r>
  <r>
    <n v="899"/>
    <d v="2023-09-10T00:00:00"/>
    <s v="Standard"/>
    <n v="399"/>
    <n v="15"/>
    <n v="7"/>
    <n v="2"/>
    <n v="14"/>
    <n v="0"/>
    <s v="No"/>
    <s v="No"/>
    <s v="Yes"/>
    <s v="Yes"/>
    <s v="No"/>
    <s v="No"/>
    <m/>
    <s v="1+ Failures"/>
    <n v="0"/>
    <s v="10-20hrs"/>
    <s v="12+ months"/>
    <x v="1"/>
  </r>
  <r>
    <n v="900"/>
    <d v="2024-08-10T00:00:00"/>
    <s v="Basic"/>
    <n v="199"/>
    <n v="11.1"/>
    <n v="3"/>
    <n v="4"/>
    <n v="21"/>
    <n v="60"/>
    <s v="Yes"/>
    <s v="No"/>
    <s v="Yes"/>
    <s v="No"/>
    <s v="Yes"/>
    <s v="No"/>
    <m/>
    <s v="1+ Failures"/>
    <n v="1"/>
    <s v="10-20hrs"/>
    <s v="12+ months"/>
    <x v="1"/>
  </r>
  <r>
    <n v="901"/>
    <d v="2023-02-04T00:00:00"/>
    <s v="Basic"/>
    <n v="199"/>
    <n v="24.5"/>
    <n v="0"/>
    <n v="3"/>
    <n v="27"/>
    <n v="46"/>
    <s v="No"/>
    <s v="No"/>
    <s v="Yes"/>
    <s v="No"/>
    <s v="Yes"/>
    <s v="No"/>
    <m/>
    <s v="1+ Failures"/>
    <n v="0"/>
    <s v="20+ hrs"/>
    <s v="12+ months"/>
    <x v="1"/>
  </r>
  <r>
    <n v="902"/>
    <d v="2024-07-25T00:00:00"/>
    <s v="Standard"/>
    <n v="399"/>
    <n v="10.199999999999999"/>
    <n v="1"/>
    <n v="3"/>
    <n v="34"/>
    <n v="31"/>
    <s v="Yes"/>
    <s v="No"/>
    <s v="Yes"/>
    <s v="No"/>
    <s v="Yes"/>
    <s v="No"/>
    <m/>
    <s v="1+ Failures"/>
    <n v="1"/>
    <s v="10-20hrs"/>
    <s v="12+ months"/>
    <x v="1"/>
  </r>
  <r>
    <n v="903"/>
    <d v="2023-04-03T00:00:00"/>
    <s v="Basic"/>
    <n v="199"/>
    <n v="23.8"/>
    <n v="2"/>
    <n v="2"/>
    <n v="27"/>
    <n v="18"/>
    <s v="Yes"/>
    <s v="No"/>
    <s v="Yes"/>
    <s v="No"/>
    <s v="Yes"/>
    <s v="No"/>
    <m/>
    <s v="1+ Failures"/>
    <n v="1"/>
    <s v="20+ hrs"/>
    <s v="12+ months"/>
    <x v="1"/>
  </r>
  <r>
    <n v="904"/>
    <d v="2024-08-20T00:00:00"/>
    <s v="Basic"/>
    <n v="199"/>
    <n v="16.899999999999999"/>
    <n v="2"/>
    <n v="5"/>
    <n v="31"/>
    <n v="29"/>
    <s v="No"/>
    <s v="No"/>
    <s v="Yes"/>
    <s v="No"/>
    <s v="Yes"/>
    <s v="No"/>
    <m/>
    <s v="1+ Failures"/>
    <n v="0"/>
    <s v="10-20hrs"/>
    <s v="12+ months"/>
    <x v="1"/>
  </r>
  <r>
    <n v="905"/>
    <d v="2024-01-15T00:00:00"/>
    <s v="Basic"/>
    <n v="199"/>
    <n v="11.9"/>
    <n v="2"/>
    <n v="5"/>
    <n v="30"/>
    <n v="25"/>
    <s v="Yes"/>
    <s v="No"/>
    <s v="Yes"/>
    <s v="No"/>
    <s v="Yes"/>
    <s v="No"/>
    <m/>
    <s v="1+ Failures"/>
    <n v="1"/>
    <s v="10-20hrs"/>
    <s v="12+ months"/>
    <x v="1"/>
  </r>
  <r>
    <n v="906"/>
    <d v="2024-12-08T00:00:00"/>
    <s v="Premium"/>
    <n v="699"/>
    <n v="17.7"/>
    <n v="0"/>
    <n v="5"/>
    <n v="30"/>
    <n v="4"/>
    <s v="No"/>
    <s v="No"/>
    <s v="Yes"/>
    <s v="No"/>
    <s v="No"/>
    <s v="No"/>
    <m/>
    <s v="1+ Failures"/>
    <n v="0"/>
    <s v="10-20hrs"/>
    <s v="12+ months"/>
    <x v="0"/>
  </r>
  <r>
    <n v="907"/>
    <d v="2024-07-09T00:00:00"/>
    <s v="Standard"/>
    <n v="399"/>
    <n v="1.3"/>
    <n v="6"/>
    <n v="2"/>
    <n v="34"/>
    <n v="44"/>
    <s v="Yes"/>
    <s v="Yes"/>
    <s v="Yes"/>
    <s v="Yes"/>
    <s v="Yes"/>
    <s v="No"/>
    <m/>
    <s v="1+ Failures"/>
    <n v="1"/>
    <s v="0-5 hrs"/>
    <s v="12+ months"/>
    <x v="1"/>
  </r>
  <r>
    <n v="908"/>
    <d v="2023-02-26T00:00:00"/>
    <s v="Premium"/>
    <n v="699"/>
    <n v="19.8"/>
    <n v="1"/>
    <n v="4"/>
    <n v="14"/>
    <n v="56"/>
    <s v="Yes"/>
    <s v="No"/>
    <s v="Yes"/>
    <s v="No"/>
    <s v="Yes"/>
    <s v="No"/>
    <m/>
    <s v="1+ Failures"/>
    <n v="1"/>
    <s v="10-20hrs"/>
    <s v="12+ months"/>
    <x v="0"/>
  </r>
  <r>
    <n v="909"/>
    <d v="2023-02-11T00:00:00"/>
    <s v="Premium"/>
    <n v="699"/>
    <n v="22.3"/>
    <n v="1"/>
    <n v="3"/>
    <n v="24"/>
    <n v="23"/>
    <s v="Yes"/>
    <s v="No"/>
    <s v="Yes"/>
    <s v="No"/>
    <s v="Yes"/>
    <s v="No"/>
    <m/>
    <s v="1+ Failures"/>
    <n v="1"/>
    <s v="20+ hrs"/>
    <s v="12+ months"/>
    <x v="0"/>
  </r>
  <r>
    <n v="910"/>
    <d v="2023-07-29T00:00:00"/>
    <s v="Standard"/>
    <n v="399"/>
    <n v="4.8"/>
    <n v="8"/>
    <n v="5"/>
    <n v="24"/>
    <n v="4"/>
    <s v="Yes"/>
    <s v="Yes"/>
    <s v="Yes"/>
    <s v="Yes"/>
    <s v="No"/>
    <s v="No"/>
    <m/>
    <s v="1+ Failures"/>
    <n v="1"/>
    <s v="0-5 hrs"/>
    <s v="12+ months"/>
    <x v="1"/>
  </r>
  <r>
    <n v="911"/>
    <d v="2024-08-17T00:00:00"/>
    <s v="Basic"/>
    <n v="199"/>
    <n v="6.3"/>
    <n v="1"/>
    <n v="5"/>
    <n v="22"/>
    <n v="30"/>
    <s v="No"/>
    <s v="No"/>
    <s v="Yes"/>
    <s v="No"/>
    <s v="Yes"/>
    <s v="No"/>
    <m/>
    <s v="1+ Failures"/>
    <n v="0"/>
    <s v="5-10 hrs"/>
    <s v="12+ months"/>
    <x v="1"/>
  </r>
  <r>
    <n v="912"/>
    <d v="2024-05-30T00:00:00"/>
    <s v="Premium"/>
    <n v="699"/>
    <n v="19"/>
    <n v="3"/>
    <n v="2"/>
    <n v="14"/>
    <n v="22"/>
    <s v="No"/>
    <s v="No"/>
    <s v="Yes"/>
    <s v="No"/>
    <s v="Yes"/>
    <s v="No"/>
    <m/>
    <s v="1+ Failures"/>
    <n v="0"/>
    <s v="10-20hrs"/>
    <s v="12+ months"/>
    <x v="0"/>
  </r>
  <r>
    <n v="913"/>
    <d v="2024-05-28T00:00:00"/>
    <s v="Premium"/>
    <n v="699"/>
    <n v="7.3"/>
    <n v="1"/>
    <n v="2"/>
    <n v="28"/>
    <n v="22"/>
    <s v="Yes"/>
    <s v="No"/>
    <s v="Yes"/>
    <s v="No"/>
    <s v="Yes"/>
    <s v="No"/>
    <m/>
    <s v="1+ Failures"/>
    <n v="1"/>
    <s v="5-10 hrs"/>
    <s v="12+ months"/>
    <x v="0"/>
  </r>
  <r>
    <n v="914"/>
    <d v="2023-10-27T00:00:00"/>
    <s v="Premium"/>
    <n v="699"/>
    <n v="12"/>
    <n v="8"/>
    <n v="5"/>
    <n v="8"/>
    <n v="52"/>
    <s v="Yes"/>
    <s v="No"/>
    <s v="Yes"/>
    <s v="Yes"/>
    <s v="Yes"/>
    <s v="No"/>
    <m/>
    <s v="1+ Failures"/>
    <n v="1"/>
    <s v="10-20hrs"/>
    <s v="6-12months"/>
    <x v="0"/>
  </r>
  <r>
    <n v="915"/>
    <d v="2023-03-31T00:00:00"/>
    <s v="Standard"/>
    <n v="399"/>
    <n v="20.100000000000001"/>
    <n v="1"/>
    <n v="1"/>
    <n v="24"/>
    <n v="57"/>
    <s v="No"/>
    <s v="No"/>
    <s v="Yes"/>
    <s v="No"/>
    <s v="Yes"/>
    <s v="No"/>
    <m/>
    <s v="1+ Failures"/>
    <n v="0"/>
    <s v="20+ hrs"/>
    <s v="12+ months"/>
    <x v="1"/>
  </r>
  <r>
    <n v="916"/>
    <d v="2023-04-25T00:00:00"/>
    <s v="Basic"/>
    <n v="199"/>
    <n v="22.5"/>
    <n v="4"/>
    <n v="0"/>
    <n v="26"/>
    <n v="6"/>
    <s v="Yes"/>
    <s v="No"/>
    <s v="No"/>
    <s v="No"/>
    <s v="No"/>
    <s v="No"/>
    <m/>
    <s v="0 Failures"/>
    <n v="1"/>
    <s v="20+ hrs"/>
    <s v="12+ months"/>
    <x v="1"/>
  </r>
  <r>
    <n v="917"/>
    <d v="2023-10-28T00:00:00"/>
    <s v="Premium"/>
    <n v="699"/>
    <n v="12.7"/>
    <n v="3"/>
    <n v="4"/>
    <n v="10"/>
    <n v="60"/>
    <s v="No"/>
    <s v="No"/>
    <s v="Yes"/>
    <s v="No"/>
    <s v="Yes"/>
    <s v="No"/>
    <m/>
    <s v="1+ Failures"/>
    <n v="0"/>
    <s v="10-20hrs"/>
    <s v="6-12months"/>
    <x v="0"/>
  </r>
  <r>
    <n v="918"/>
    <d v="2024-10-22T00:00:00"/>
    <s v="Standard"/>
    <n v="399"/>
    <n v="23.3"/>
    <n v="7"/>
    <n v="2"/>
    <n v="35"/>
    <n v="26"/>
    <s v="Yes"/>
    <s v="No"/>
    <s v="Yes"/>
    <s v="Yes"/>
    <s v="Yes"/>
    <s v="No"/>
    <m/>
    <s v="1+ Failures"/>
    <n v="1"/>
    <s v="20+ hrs"/>
    <s v="12+ months"/>
    <x v="1"/>
  </r>
  <r>
    <n v="919"/>
    <d v="2024-10-22T00:00:00"/>
    <s v="Basic"/>
    <n v="199"/>
    <n v="5.0999999999999996"/>
    <n v="0"/>
    <n v="1"/>
    <n v="19"/>
    <n v="53"/>
    <s v="No"/>
    <s v="No"/>
    <s v="Yes"/>
    <s v="No"/>
    <s v="Yes"/>
    <s v="No"/>
    <m/>
    <s v="1+ Failures"/>
    <n v="0"/>
    <s v="5-10 hrs"/>
    <s v="12+ months"/>
    <x v="1"/>
  </r>
  <r>
    <n v="920"/>
    <d v="2024-06-26T00:00:00"/>
    <s v="Standard"/>
    <n v="399"/>
    <n v="14.7"/>
    <n v="5"/>
    <n v="3"/>
    <n v="27"/>
    <n v="37"/>
    <s v="Yes"/>
    <s v="No"/>
    <s v="Yes"/>
    <s v="Yes"/>
    <s v="Yes"/>
    <s v="No"/>
    <m/>
    <s v="1+ Failures"/>
    <n v="1"/>
    <s v="10-20hrs"/>
    <s v="12+ months"/>
    <x v="1"/>
  </r>
  <r>
    <n v="921"/>
    <d v="2023-08-21T00:00:00"/>
    <s v="Premium"/>
    <n v="699"/>
    <n v="11.7"/>
    <n v="2"/>
    <n v="2"/>
    <n v="29"/>
    <n v="10"/>
    <s v="No"/>
    <s v="No"/>
    <s v="Yes"/>
    <s v="No"/>
    <s v="No"/>
    <s v="No"/>
    <m/>
    <s v="1+ Failures"/>
    <n v="0"/>
    <s v="10-20hrs"/>
    <s v="12+ months"/>
    <x v="0"/>
  </r>
  <r>
    <n v="922"/>
    <d v="2023-06-20T00:00:00"/>
    <s v="Standard"/>
    <n v="399"/>
    <n v="24.3"/>
    <n v="0"/>
    <n v="1"/>
    <n v="24"/>
    <n v="22"/>
    <s v="Yes"/>
    <s v="No"/>
    <s v="Yes"/>
    <s v="No"/>
    <s v="Yes"/>
    <s v="No"/>
    <m/>
    <s v="1+ Failures"/>
    <n v="1"/>
    <s v="20+ hrs"/>
    <s v="12+ months"/>
    <x v="1"/>
  </r>
  <r>
    <n v="923"/>
    <d v="2024-12-10T00:00:00"/>
    <s v="Premium"/>
    <n v="699"/>
    <n v="17.899999999999999"/>
    <n v="4"/>
    <n v="1"/>
    <n v="11"/>
    <n v="11"/>
    <s v="No"/>
    <s v="No"/>
    <s v="Yes"/>
    <s v="No"/>
    <s v="No"/>
    <s v="No"/>
    <m/>
    <s v="1+ Failures"/>
    <n v="0"/>
    <s v="10-20hrs"/>
    <s v="6-12months"/>
    <x v="0"/>
  </r>
  <r>
    <n v="924"/>
    <d v="2024-03-27T00:00:00"/>
    <s v="Premium"/>
    <n v="699"/>
    <n v="4.5"/>
    <n v="1"/>
    <n v="0"/>
    <n v="10"/>
    <n v="20"/>
    <s v="No"/>
    <s v="Yes"/>
    <s v="No"/>
    <s v="No"/>
    <s v="Yes"/>
    <s v="No"/>
    <m/>
    <s v="0 Failures"/>
    <n v="0"/>
    <s v="0-5 hrs"/>
    <s v="6-12months"/>
    <x v="0"/>
  </r>
  <r>
    <n v="925"/>
    <d v="2023-12-19T00:00:00"/>
    <s v="Standard"/>
    <n v="399"/>
    <n v="5"/>
    <n v="8"/>
    <n v="5"/>
    <n v="24"/>
    <n v="2"/>
    <s v="No"/>
    <s v="No"/>
    <s v="Yes"/>
    <s v="Yes"/>
    <s v="No"/>
    <s v="No"/>
    <m/>
    <s v="1+ Failures"/>
    <n v="0"/>
    <s v="0-5 hrs"/>
    <s v="12+ months"/>
    <x v="1"/>
  </r>
  <r>
    <n v="926"/>
    <d v="2023-01-26T00:00:00"/>
    <s v="Basic"/>
    <n v="199"/>
    <n v="11.5"/>
    <n v="2"/>
    <n v="4"/>
    <n v="24"/>
    <n v="19"/>
    <s v="Yes"/>
    <s v="No"/>
    <s v="Yes"/>
    <s v="No"/>
    <s v="Yes"/>
    <s v="No"/>
    <m/>
    <s v="1+ Failures"/>
    <n v="1"/>
    <s v="10-20hrs"/>
    <s v="12+ months"/>
    <x v="1"/>
  </r>
  <r>
    <n v="927"/>
    <d v="2024-07-13T00:00:00"/>
    <s v="Standard"/>
    <n v="399"/>
    <n v="19.3"/>
    <n v="7"/>
    <n v="2"/>
    <n v="32"/>
    <n v="9"/>
    <s v="Yes"/>
    <s v="No"/>
    <s v="Yes"/>
    <s v="Yes"/>
    <s v="No"/>
    <s v="No"/>
    <m/>
    <s v="1+ Failures"/>
    <n v="1"/>
    <s v="10-20hrs"/>
    <s v="12+ months"/>
    <x v="1"/>
  </r>
  <r>
    <n v="928"/>
    <d v="2024-08-10T00:00:00"/>
    <s v="Premium"/>
    <n v="699"/>
    <n v="16.399999999999999"/>
    <n v="4"/>
    <n v="3"/>
    <n v="22"/>
    <n v="57"/>
    <s v="Yes"/>
    <s v="No"/>
    <s v="Yes"/>
    <s v="No"/>
    <s v="Yes"/>
    <s v="No"/>
    <m/>
    <s v="1+ Failures"/>
    <n v="1"/>
    <s v="10-20hrs"/>
    <s v="12+ months"/>
    <x v="0"/>
  </r>
  <r>
    <n v="929"/>
    <d v="2024-05-05T00:00:00"/>
    <s v="Premium"/>
    <n v="699"/>
    <n v="20.100000000000001"/>
    <n v="7"/>
    <n v="2"/>
    <n v="10"/>
    <n v="44"/>
    <s v="Yes"/>
    <s v="No"/>
    <s v="Yes"/>
    <s v="Yes"/>
    <s v="Yes"/>
    <s v="No"/>
    <m/>
    <s v="1+ Failures"/>
    <n v="1"/>
    <s v="20+ hrs"/>
    <s v="6-12months"/>
    <x v="0"/>
  </r>
  <r>
    <n v="930"/>
    <d v="2023-08-14T00:00:00"/>
    <s v="Basic"/>
    <n v="199"/>
    <n v="17.100000000000001"/>
    <n v="1"/>
    <n v="2"/>
    <n v="9"/>
    <n v="1"/>
    <s v="No"/>
    <s v="No"/>
    <s v="Yes"/>
    <s v="No"/>
    <s v="No"/>
    <s v="No"/>
    <m/>
    <s v="1+ Failures"/>
    <n v="0"/>
    <s v="10-20hrs"/>
    <s v="6-12months"/>
    <x v="1"/>
  </r>
  <r>
    <n v="931"/>
    <d v="2024-06-23T00:00:00"/>
    <s v="Standard"/>
    <n v="399"/>
    <n v="2.8"/>
    <n v="0"/>
    <n v="4"/>
    <n v="23"/>
    <n v="41"/>
    <s v="Yes"/>
    <s v="Yes"/>
    <s v="Yes"/>
    <s v="No"/>
    <s v="Yes"/>
    <s v="No"/>
    <m/>
    <s v="1+ Failures"/>
    <n v="1"/>
    <s v="0-5 hrs"/>
    <s v="12+ months"/>
    <x v="1"/>
  </r>
  <r>
    <n v="932"/>
    <d v="2024-11-18T00:00:00"/>
    <s v="Basic"/>
    <n v="199"/>
    <n v="5.3"/>
    <n v="1"/>
    <n v="4"/>
    <n v="18"/>
    <n v="54"/>
    <s v="Yes"/>
    <s v="No"/>
    <s v="Yes"/>
    <s v="No"/>
    <s v="Yes"/>
    <s v="No"/>
    <m/>
    <s v="1+ Failures"/>
    <n v="1"/>
    <s v="5-10 hrs"/>
    <s v="12+ months"/>
    <x v="1"/>
  </r>
  <r>
    <n v="933"/>
    <d v="2023-02-27T00:00:00"/>
    <s v="Basic"/>
    <n v="199"/>
    <n v="10.199999999999999"/>
    <n v="7"/>
    <n v="2"/>
    <n v="33"/>
    <n v="38"/>
    <s v="Yes"/>
    <s v="No"/>
    <s v="Yes"/>
    <s v="Yes"/>
    <s v="Yes"/>
    <s v="No"/>
    <m/>
    <s v="1+ Failures"/>
    <n v="1"/>
    <s v="10-20hrs"/>
    <s v="12+ months"/>
    <x v="1"/>
  </r>
  <r>
    <n v="934"/>
    <d v="2023-10-19T00:00:00"/>
    <s v="Premium"/>
    <n v="699"/>
    <n v="10.199999999999999"/>
    <n v="6"/>
    <n v="2"/>
    <n v="24"/>
    <n v="24"/>
    <s v="Yes"/>
    <s v="No"/>
    <s v="Yes"/>
    <s v="Yes"/>
    <s v="Yes"/>
    <s v="No"/>
    <m/>
    <s v="1+ Failures"/>
    <n v="1"/>
    <s v="10-20hrs"/>
    <s v="12+ months"/>
    <x v="0"/>
  </r>
  <r>
    <n v="935"/>
    <d v="2024-03-30T00:00:00"/>
    <s v="Standard"/>
    <n v="399"/>
    <n v="8"/>
    <n v="7"/>
    <n v="4"/>
    <n v="23"/>
    <n v="5"/>
    <s v="Yes"/>
    <s v="No"/>
    <s v="Yes"/>
    <s v="Yes"/>
    <s v="No"/>
    <s v="No"/>
    <m/>
    <s v="1+ Failures"/>
    <n v="1"/>
    <s v="5-10 hrs"/>
    <s v="12+ months"/>
    <x v="1"/>
  </r>
  <r>
    <n v="936"/>
    <d v="2024-03-10T00:00:00"/>
    <s v="Premium"/>
    <n v="699"/>
    <n v="20.2"/>
    <n v="4"/>
    <n v="1"/>
    <n v="27"/>
    <n v="51"/>
    <s v="No"/>
    <s v="No"/>
    <s v="Yes"/>
    <s v="No"/>
    <s v="Yes"/>
    <s v="No"/>
    <m/>
    <s v="1+ Failures"/>
    <n v="0"/>
    <s v="20+ hrs"/>
    <s v="12+ months"/>
    <x v="0"/>
  </r>
  <r>
    <n v="937"/>
    <d v="2024-06-21T00:00:00"/>
    <s v="Premium"/>
    <n v="699"/>
    <n v="3.9"/>
    <n v="1"/>
    <n v="1"/>
    <n v="27"/>
    <n v="13"/>
    <s v="Yes"/>
    <s v="Yes"/>
    <s v="Yes"/>
    <s v="No"/>
    <s v="No"/>
    <s v="No"/>
    <m/>
    <s v="1+ Failures"/>
    <n v="1"/>
    <s v="0-5 hrs"/>
    <s v="12+ months"/>
    <x v="0"/>
  </r>
  <r>
    <n v="938"/>
    <d v="2023-10-07T00:00:00"/>
    <s v="Standard"/>
    <n v="399"/>
    <n v="23.4"/>
    <n v="6"/>
    <n v="0"/>
    <n v="5"/>
    <n v="0"/>
    <s v="No"/>
    <s v="No"/>
    <s v="No"/>
    <s v="Yes"/>
    <s v="No"/>
    <s v="Yes"/>
    <m/>
    <s v="0 Failures"/>
    <n v="0"/>
    <s v="20+ hrs"/>
    <s v="3-6months"/>
    <x v="1"/>
  </r>
  <r>
    <n v="939"/>
    <d v="2023-10-24T00:00:00"/>
    <s v="Standard"/>
    <n v="399"/>
    <n v="14.1"/>
    <n v="2"/>
    <n v="1"/>
    <n v="12"/>
    <n v="11"/>
    <s v="No"/>
    <s v="No"/>
    <s v="Yes"/>
    <s v="No"/>
    <s v="No"/>
    <s v="No"/>
    <m/>
    <s v="1+ Failures"/>
    <n v="0"/>
    <s v="10-20hrs"/>
    <s v="6-12months"/>
    <x v="1"/>
  </r>
  <r>
    <n v="940"/>
    <d v="2024-04-19T00:00:00"/>
    <s v="Premium"/>
    <n v="699"/>
    <n v="1.5"/>
    <n v="4"/>
    <n v="4"/>
    <n v="32"/>
    <n v="19"/>
    <s v="Yes"/>
    <s v="Yes"/>
    <s v="Yes"/>
    <s v="No"/>
    <s v="Yes"/>
    <s v="No"/>
    <m/>
    <s v="1+ Failures"/>
    <n v="1"/>
    <s v="0-5 hrs"/>
    <s v="12+ months"/>
    <x v="0"/>
  </r>
  <r>
    <n v="941"/>
    <d v="2024-10-13T00:00:00"/>
    <s v="Basic"/>
    <n v="199"/>
    <n v="19.899999999999999"/>
    <n v="2"/>
    <n v="2"/>
    <n v="2"/>
    <n v="19"/>
    <s v="No"/>
    <s v="No"/>
    <s v="Yes"/>
    <s v="No"/>
    <s v="Yes"/>
    <s v="Yes"/>
    <m/>
    <s v="1+ Failures"/>
    <n v="0"/>
    <s v="10-20hrs"/>
    <s v="0-3months"/>
    <x v="1"/>
  </r>
  <r>
    <n v="942"/>
    <d v="2024-12-05T00:00:00"/>
    <s v="Standard"/>
    <n v="399"/>
    <n v="16.5"/>
    <n v="4"/>
    <n v="3"/>
    <n v="8"/>
    <n v="11"/>
    <s v="Yes"/>
    <s v="No"/>
    <s v="Yes"/>
    <s v="No"/>
    <s v="No"/>
    <s v="No"/>
    <m/>
    <s v="1+ Failures"/>
    <n v="1"/>
    <s v="10-20hrs"/>
    <s v="6-12months"/>
    <x v="1"/>
  </r>
  <r>
    <n v="943"/>
    <d v="2024-01-06T00:00:00"/>
    <s v="Premium"/>
    <n v="699"/>
    <n v="1.2"/>
    <n v="4"/>
    <n v="3"/>
    <n v="16"/>
    <n v="4"/>
    <s v="Yes"/>
    <s v="Yes"/>
    <s v="Yes"/>
    <s v="No"/>
    <s v="No"/>
    <s v="No"/>
    <m/>
    <s v="1+ Failures"/>
    <n v="1"/>
    <s v="0-5 hrs"/>
    <s v="12+ months"/>
    <x v="0"/>
  </r>
  <r>
    <n v="944"/>
    <d v="2024-12-11T00:00:00"/>
    <s v="Premium"/>
    <n v="699"/>
    <n v="14.4"/>
    <n v="4"/>
    <n v="5"/>
    <n v="31"/>
    <n v="43"/>
    <s v="Yes"/>
    <s v="No"/>
    <s v="Yes"/>
    <s v="No"/>
    <s v="Yes"/>
    <s v="No"/>
    <m/>
    <s v="1+ Failures"/>
    <n v="1"/>
    <s v="10-20hrs"/>
    <s v="12+ months"/>
    <x v="0"/>
  </r>
  <r>
    <n v="945"/>
    <d v="2023-05-30T00:00:00"/>
    <s v="Basic"/>
    <n v="199"/>
    <n v="13.1"/>
    <n v="0"/>
    <n v="2"/>
    <n v="24"/>
    <n v="10"/>
    <s v="No"/>
    <s v="No"/>
    <s v="Yes"/>
    <s v="No"/>
    <s v="No"/>
    <s v="No"/>
    <m/>
    <s v="1+ Failures"/>
    <n v="0"/>
    <s v="10-20hrs"/>
    <s v="12+ months"/>
    <x v="1"/>
  </r>
  <r>
    <n v="946"/>
    <d v="2024-01-05T00:00:00"/>
    <s v="Standard"/>
    <n v="399"/>
    <n v="22"/>
    <n v="2"/>
    <n v="2"/>
    <n v="30"/>
    <n v="10"/>
    <s v="Yes"/>
    <s v="No"/>
    <s v="Yes"/>
    <s v="No"/>
    <s v="No"/>
    <s v="No"/>
    <m/>
    <s v="1+ Failures"/>
    <n v="1"/>
    <s v="20+ hrs"/>
    <s v="12+ months"/>
    <x v="1"/>
  </r>
  <r>
    <n v="947"/>
    <d v="2024-06-10T00:00:00"/>
    <s v="Standard"/>
    <n v="399"/>
    <n v="1.7"/>
    <n v="4"/>
    <n v="4"/>
    <n v="23"/>
    <n v="40"/>
    <s v="Yes"/>
    <s v="Yes"/>
    <s v="Yes"/>
    <s v="No"/>
    <s v="Yes"/>
    <s v="No"/>
    <m/>
    <s v="1+ Failures"/>
    <n v="1"/>
    <s v="0-5 hrs"/>
    <s v="12+ months"/>
    <x v="1"/>
  </r>
  <r>
    <n v="948"/>
    <d v="2024-12-02T00:00:00"/>
    <s v="Basic"/>
    <n v="199"/>
    <n v="19.2"/>
    <n v="2"/>
    <n v="4"/>
    <n v="12"/>
    <n v="20"/>
    <s v="No"/>
    <s v="No"/>
    <s v="Yes"/>
    <s v="No"/>
    <s v="Yes"/>
    <s v="No"/>
    <m/>
    <s v="1+ Failures"/>
    <n v="0"/>
    <s v="10-20hrs"/>
    <s v="6-12months"/>
    <x v="1"/>
  </r>
  <r>
    <n v="949"/>
    <d v="2023-05-28T00:00:00"/>
    <s v="Standard"/>
    <n v="399"/>
    <n v="17.3"/>
    <n v="5"/>
    <n v="0"/>
    <n v="18"/>
    <n v="34"/>
    <s v="No"/>
    <s v="No"/>
    <s v="No"/>
    <s v="Yes"/>
    <s v="Yes"/>
    <s v="No"/>
    <m/>
    <s v="0 Failures"/>
    <n v="0"/>
    <s v="10-20hrs"/>
    <s v="12+ months"/>
    <x v="1"/>
  </r>
  <r>
    <n v="950"/>
    <d v="2023-06-16T00:00:00"/>
    <s v="Basic"/>
    <n v="199"/>
    <n v="13.2"/>
    <n v="5"/>
    <n v="3"/>
    <n v="9"/>
    <n v="26"/>
    <s v="Yes"/>
    <s v="No"/>
    <s v="Yes"/>
    <s v="Yes"/>
    <s v="Yes"/>
    <s v="No"/>
    <m/>
    <s v="1+ Failures"/>
    <n v="1"/>
    <s v="10-20hrs"/>
    <s v="6-12months"/>
    <x v="1"/>
  </r>
  <r>
    <n v="951"/>
    <d v="2024-09-20T00:00:00"/>
    <s v="Basic"/>
    <n v="199"/>
    <n v="4.3"/>
    <n v="3"/>
    <n v="1"/>
    <n v="14"/>
    <n v="50"/>
    <s v="No"/>
    <s v="Yes"/>
    <s v="Yes"/>
    <s v="No"/>
    <s v="Yes"/>
    <s v="No"/>
    <m/>
    <s v="1+ Failures"/>
    <n v="0"/>
    <s v="0-5 hrs"/>
    <s v="12+ months"/>
    <x v="1"/>
  </r>
  <r>
    <n v="952"/>
    <d v="2024-03-03T00:00:00"/>
    <s v="Premium"/>
    <n v="699"/>
    <n v="21.2"/>
    <n v="8"/>
    <n v="5"/>
    <n v="34"/>
    <n v="48"/>
    <s v="No"/>
    <s v="No"/>
    <s v="Yes"/>
    <s v="Yes"/>
    <s v="Yes"/>
    <s v="No"/>
    <m/>
    <s v="1+ Failures"/>
    <n v="0"/>
    <s v="20+ hrs"/>
    <s v="12+ months"/>
    <x v="0"/>
  </r>
  <r>
    <n v="953"/>
    <d v="2024-12-08T00:00:00"/>
    <s v="Standard"/>
    <n v="399"/>
    <n v="3.4"/>
    <n v="2"/>
    <n v="0"/>
    <n v="5"/>
    <n v="30"/>
    <s v="Yes"/>
    <s v="Yes"/>
    <s v="No"/>
    <s v="No"/>
    <s v="Yes"/>
    <s v="Yes"/>
    <m/>
    <s v="0 Failures"/>
    <n v="1"/>
    <s v="0-5 hrs"/>
    <s v="3-6months"/>
    <x v="1"/>
  </r>
  <r>
    <n v="954"/>
    <d v="2023-01-30T00:00:00"/>
    <s v="Standard"/>
    <n v="399"/>
    <n v="20.5"/>
    <n v="8"/>
    <n v="2"/>
    <n v="9"/>
    <n v="11"/>
    <s v="No"/>
    <s v="No"/>
    <s v="Yes"/>
    <s v="Yes"/>
    <s v="No"/>
    <s v="No"/>
    <m/>
    <s v="1+ Failures"/>
    <n v="0"/>
    <s v="20+ hrs"/>
    <s v="6-12months"/>
    <x v="1"/>
  </r>
  <r>
    <n v="955"/>
    <d v="2023-08-03T00:00:00"/>
    <s v="Premium"/>
    <n v="699"/>
    <n v="5.9"/>
    <n v="2"/>
    <n v="5"/>
    <n v="8"/>
    <n v="14"/>
    <s v="Yes"/>
    <s v="No"/>
    <s v="Yes"/>
    <s v="No"/>
    <s v="No"/>
    <s v="No"/>
    <m/>
    <s v="1+ Failures"/>
    <n v="1"/>
    <s v="5-10 hrs"/>
    <s v="6-12months"/>
    <x v="0"/>
  </r>
  <r>
    <n v="956"/>
    <d v="2024-03-17T00:00:00"/>
    <s v="Basic"/>
    <n v="199"/>
    <n v="10.9"/>
    <n v="1"/>
    <n v="0"/>
    <n v="6"/>
    <n v="1"/>
    <s v="No"/>
    <s v="No"/>
    <s v="No"/>
    <s v="No"/>
    <s v="No"/>
    <s v="No"/>
    <m/>
    <s v="0 Failures"/>
    <n v="0"/>
    <s v="10-20hrs"/>
    <s v="3-6months"/>
    <x v="1"/>
  </r>
  <r>
    <n v="957"/>
    <d v="2023-09-17T00:00:00"/>
    <s v="Basic"/>
    <n v="199"/>
    <n v="3.1"/>
    <n v="8"/>
    <n v="4"/>
    <n v="13"/>
    <n v="3"/>
    <s v="Yes"/>
    <s v="Yes"/>
    <s v="Yes"/>
    <s v="Yes"/>
    <s v="No"/>
    <s v="No"/>
    <m/>
    <s v="1+ Failures"/>
    <n v="1"/>
    <s v="0-5 hrs"/>
    <s v="12+ months"/>
    <x v="1"/>
  </r>
  <r>
    <n v="958"/>
    <d v="2024-09-08T00:00:00"/>
    <s v="Basic"/>
    <n v="199"/>
    <n v="7.9"/>
    <n v="0"/>
    <n v="0"/>
    <n v="5"/>
    <n v="50"/>
    <s v="Yes"/>
    <s v="No"/>
    <s v="No"/>
    <s v="No"/>
    <s v="Yes"/>
    <s v="Yes"/>
    <m/>
    <s v="0 Failures"/>
    <n v="1"/>
    <s v="5-10 hrs"/>
    <s v="3-6months"/>
    <x v="1"/>
  </r>
  <r>
    <n v="959"/>
    <d v="2023-10-12T00:00:00"/>
    <s v="Basic"/>
    <n v="199"/>
    <n v="5"/>
    <n v="5"/>
    <n v="0"/>
    <n v="13"/>
    <n v="5"/>
    <s v="Yes"/>
    <s v="No"/>
    <s v="No"/>
    <s v="Yes"/>
    <s v="No"/>
    <s v="No"/>
    <m/>
    <s v="0 Failures"/>
    <n v="1"/>
    <s v="0-5 hrs"/>
    <s v="12+ months"/>
    <x v="1"/>
  </r>
  <r>
    <n v="960"/>
    <d v="2024-08-06T00:00:00"/>
    <s v="Premium"/>
    <n v="699"/>
    <n v="9.1"/>
    <n v="8"/>
    <n v="5"/>
    <n v="23"/>
    <n v="39"/>
    <s v="Yes"/>
    <s v="No"/>
    <s v="Yes"/>
    <s v="Yes"/>
    <s v="Yes"/>
    <s v="No"/>
    <m/>
    <s v="1+ Failures"/>
    <n v="1"/>
    <s v="5-10 hrs"/>
    <s v="12+ months"/>
    <x v="0"/>
  </r>
  <r>
    <n v="961"/>
    <d v="2023-10-16T00:00:00"/>
    <s v="Basic"/>
    <n v="199"/>
    <n v="20.6"/>
    <n v="0"/>
    <n v="4"/>
    <n v="7"/>
    <n v="13"/>
    <s v="No"/>
    <s v="No"/>
    <s v="Yes"/>
    <s v="No"/>
    <s v="No"/>
    <s v="No"/>
    <m/>
    <s v="1+ Failures"/>
    <n v="0"/>
    <s v="20+ hrs"/>
    <s v="6-12months"/>
    <x v="1"/>
  </r>
  <r>
    <n v="962"/>
    <d v="2024-12-25T00:00:00"/>
    <s v="Basic"/>
    <n v="199"/>
    <n v="0.6"/>
    <n v="1"/>
    <n v="1"/>
    <n v="35"/>
    <n v="58"/>
    <s v="Yes"/>
    <s v="Yes"/>
    <s v="Yes"/>
    <s v="No"/>
    <s v="Yes"/>
    <s v="No"/>
    <m/>
    <s v="1+ Failures"/>
    <n v="1"/>
    <s v="0-5 hrs"/>
    <s v="12+ months"/>
    <x v="1"/>
  </r>
  <r>
    <n v="963"/>
    <d v="2023-07-05T00:00:00"/>
    <s v="Standard"/>
    <n v="399"/>
    <n v="17.600000000000001"/>
    <n v="2"/>
    <n v="3"/>
    <n v="24"/>
    <n v="43"/>
    <s v="No"/>
    <s v="No"/>
    <s v="Yes"/>
    <s v="No"/>
    <s v="Yes"/>
    <s v="No"/>
    <m/>
    <s v="1+ Failures"/>
    <n v="0"/>
    <s v="10-20hrs"/>
    <s v="12+ months"/>
    <x v="1"/>
  </r>
  <r>
    <n v="964"/>
    <d v="2023-11-18T00:00:00"/>
    <s v="Standard"/>
    <n v="399"/>
    <n v="10.9"/>
    <n v="8"/>
    <n v="1"/>
    <n v="25"/>
    <n v="26"/>
    <s v="Yes"/>
    <s v="No"/>
    <s v="Yes"/>
    <s v="Yes"/>
    <s v="Yes"/>
    <s v="No"/>
    <m/>
    <s v="1+ Failures"/>
    <n v="1"/>
    <s v="10-20hrs"/>
    <s v="12+ months"/>
    <x v="1"/>
  </r>
  <r>
    <n v="965"/>
    <d v="2023-10-23T00:00:00"/>
    <s v="Basic"/>
    <n v="199"/>
    <n v="3.2"/>
    <n v="2"/>
    <n v="3"/>
    <n v="30"/>
    <n v="48"/>
    <s v="Yes"/>
    <s v="Yes"/>
    <s v="Yes"/>
    <s v="No"/>
    <s v="Yes"/>
    <s v="No"/>
    <m/>
    <s v="1+ Failures"/>
    <n v="1"/>
    <s v="0-5 hrs"/>
    <s v="12+ months"/>
    <x v="1"/>
  </r>
  <r>
    <n v="966"/>
    <d v="2024-09-06T00:00:00"/>
    <s v="Premium"/>
    <n v="699"/>
    <n v="2.5"/>
    <n v="7"/>
    <n v="0"/>
    <n v="3"/>
    <n v="24"/>
    <s v="Yes"/>
    <s v="Yes"/>
    <s v="No"/>
    <s v="Yes"/>
    <s v="Yes"/>
    <s v="Yes"/>
    <m/>
    <s v="0 Failures"/>
    <n v="1"/>
    <s v="0-5 hrs"/>
    <s v="0-3months"/>
    <x v="0"/>
  </r>
  <r>
    <n v="967"/>
    <d v="2024-03-14T00:00:00"/>
    <s v="Premium"/>
    <n v="699"/>
    <n v="17.3"/>
    <n v="7"/>
    <n v="1"/>
    <n v="20"/>
    <n v="35"/>
    <s v="Yes"/>
    <s v="No"/>
    <s v="Yes"/>
    <s v="Yes"/>
    <s v="Yes"/>
    <s v="No"/>
    <m/>
    <s v="1+ Failures"/>
    <n v="1"/>
    <s v="10-20hrs"/>
    <s v="12+ months"/>
    <x v="0"/>
  </r>
  <r>
    <n v="968"/>
    <d v="2024-11-21T00:00:00"/>
    <s v="Basic"/>
    <n v="199"/>
    <n v="22.4"/>
    <n v="7"/>
    <n v="5"/>
    <n v="5"/>
    <n v="23"/>
    <s v="Yes"/>
    <s v="No"/>
    <s v="Yes"/>
    <s v="Yes"/>
    <s v="Yes"/>
    <s v="Yes"/>
    <m/>
    <s v="1+ Failures"/>
    <n v="1"/>
    <s v="20+ hrs"/>
    <s v="3-6months"/>
    <x v="1"/>
  </r>
  <r>
    <n v="969"/>
    <d v="2023-05-27T00:00:00"/>
    <s v="Standard"/>
    <n v="399"/>
    <n v="10.199999999999999"/>
    <n v="8"/>
    <n v="5"/>
    <n v="7"/>
    <n v="43"/>
    <s v="Yes"/>
    <s v="No"/>
    <s v="Yes"/>
    <s v="Yes"/>
    <s v="Yes"/>
    <s v="No"/>
    <m/>
    <s v="1+ Failures"/>
    <n v="1"/>
    <s v="10-20hrs"/>
    <s v="6-12months"/>
    <x v="1"/>
  </r>
  <r>
    <n v="970"/>
    <d v="2023-06-22T00:00:00"/>
    <s v="Standard"/>
    <n v="399"/>
    <n v="17.5"/>
    <n v="1"/>
    <n v="5"/>
    <n v="26"/>
    <n v="59"/>
    <s v="No"/>
    <s v="No"/>
    <s v="Yes"/>
    <s v="No"/>
    <s v="Yes"/>
    <s v="No"/>
    <m/>
    <s v="1+ Failures"/>
    <n v="0"/>
    <s v="10-20hrs"/>
    <s v="12+ months"/>
    <x v="1"/>
  </r>
  <r>
    <n v="971"/>
    <d v="2024-02-18T00:00:00"/>
    <s v="Basic"/>
    <n v="199"/>
    <n v="24.4"/>
    <n v="5"/>
    <n v="1"/>
    <n v="24"/>
    <n v="38"/>
    <s v="No"/>
    <s v="No"/>
    <s v="Yes"/>
    <s v="Yes"/>
    <s v="Yes"/>
    <s v="No"/>
    <m/>
    <s v="1+ Failures"/>
    <n v="0"/>
    <s v="20+ hrs"/>
    <s v="12+ months"/>
    <x v="1"/>
  </r>
  <r>
    <n v="972"/>
    <d v="2024-08-18T00:00:00"/>
    <s v="Basic"/>
    <n v="199"/>
    <n v="21"/>
    <n v="7"/>
    <n v="2"/>
    <n v="15"/>
    <n v="48"/>
    <s v="Yes"/>
    <s v="No"/>
    <s v="Yes"/>
    <s v="Yes"/>
    <s v="Yes"/>
    <s v="No"/>
    <m/>
    <s v="1+ Failures"/>
    <n v="1"/>
    <s v="20+ hrs"/>
    <s v="12+ months"/>
    <x v="1"/>
  </r>
  <r>
    <n v="973"/>
    <d v="2024-02-19T00:00:00"/>
    <s v="Premium"/>
    <n v="699"/>
    <n v="19"/>
    <n v="6"/>
    <n v="2"/>
    <n v="18"/>
    <n v="30"/>
    <s v="Yes"/>
    <s v="No"/>
    <s v="Yes"/>
    <s v="Yes"/>
    <s v="Yes"/>
    <s v="No"/>
    <m/>
    <s v="1+ Failures"/>
    <n v="1"/>
    <s v="10-20hrs"/>
    <s v="12+ months"/>
    <x v="0"/>
  </r>
  <r>
    <n v="974"/>
    <d v="2024-05-24T00:00:00"/>
    <s v="Standard"/>
    <n v="399"/>
    <n v="7.3"/>
    <n v="7"/>
    <n v="0"/>
    <n v="33"/>
    <n v="7"/>
    <s v="No"/>
    <s v="No"/>
    <s v="No"/>
    <s v="Yes"/>
    <s v="No"/>
    <s v="No"/>
    <m/>
    <s v="0 Failures"/>
    <n v="0"/>
    <s v="5-10 hrs"/>
    <s v="12+ months"/>
    <x v="1"/>
  </r>
  <r>
    <n v="975"/>
    <d v="2023-07-03T00:00:00"/>
    <s v="Basic"/>
    <n v="199"/>
    <n v="1.2"/>
    <n v="0"/>
    <n v="0"/>
    <n v="9"/>
    <n v="31"/>
    <s v="No"/>
    <s v="Yes"/>
    <s v="No"/>
    <s v="No"/>
    <s v="Yes"/>
    <s v="No"/>
    <m/>
    <s v="0 Failures"/>
    <n v="0"/>
    <s v="0-5 hrs"/>
    <s v="6-12months"/>
    <x v="1"/>
  </r>
  <r>
    <n v="976"/>
    <d v="2024-05-19T00:00:00"/>
    <s v="Standard"/>
    <n v="399"/>
    <n v="4.2"/>
    <n v="1"/>
    <n v="0"/>
    <n v="21"/>
    <n v="42"/>
    <s v="No"/>
    <s v="Yes"/>
    <s v="No"/>
    <s v="No"/>
    <s v="Yes"/>
    <s v="No"/>
    <m/>
    <s v="0 Failures"/>
    <n v="0"/>
    <s v="0-5 hrs"/>
    <s v="12+ months"/>
    <x v="1"/>
  </r>
  <r>
    <n v="977"/>
    <d v="2023-12-18T00:00:00"/>
    <s v="Standard"/>
    <n v="399"/>
    <n v="7.7"/>
    <n v="7"/>
    <n v="3"/>
    <n v="13"/>
    <n v="32"/>
    <s v="Yes"/>
    <s v="No"/>
    <s v="Yes"/>
    <s v="Yes"/>
    <s v="Yes"/>
    <s v="No"/>
    <m/>
    <s v="1+ Failures"/>
    <n v="1"/>
    <s v="5-10 hrs"/>
    <s v="12+ months"/>
    <x v="1"/>
  </r>
  <r>
    <n v="978"/>
    <d v="2024-01-28T00:00:00"/>
    <s v="Premium"/>
    <n v="699"/>
    <n v="0.9"/>
    <n v="0"/>
    <n v="3"/>
    <n v="35"/>
    <n v="56"/>
    <s v="No"/>
    <s v="Yes"/>
    <s v="Yes"/>
    <s v="No"/>
    <s v="Yes"/>
    <s v="No"/>
    <m/>
    <s v="1+ Failures"/>
    <n v="0"/>
    <s v="0-5 hrs"/>
    <s v="12+ months"/>
    <x v="0"/>
  </r>
  <r>
    <n v="979"/>
    <d v="2024-07-24T00:00:00"/>
    <s v="Standard"/>
    <n v="399"/>
    <n v="21.4"/>
    <n v="7"/>
    <n v="3"/>
    <n v="21"/>
    <n v="2"/>
    <s v="Yes"/>
    <s v="No"/>
    <s v="Yes"/>
    <s v="Yes"/>
    <s v="No"/>
    <s v="No"/>
    <m/>
    <s v="1+ Failures"/>
    <n v="1"/>
    <s v="20+ hrs"/>
    <s v="12+ months"/>
    <x v="1"/>
  </r>
  <r>
    <n v="980"/>
    <d v="2024-02-03T00:00:00"/>
    <s v="Premium"/>
    <n v="699"/>
    <n v="22.2"/>
    <n v="2"/>
    <n v="3"/>
    <n v="20"/>
    <n v="27"/>
    <s v="Yes"/>
    <s v="No"/>
    <s v="Yes"/>
    <s v="No"/>
    <s v="Yes"/>
    <s v="No"/>
    <m/>
    <s v="1+ Failures"/>
    <n v="1"/>
    <s v="20+ hrs"/>
    <s v="12+ months"/>
    <x v="0"/>
  </r>
  <r>
    <n v="981"/>
    <d v="2024-08-08T00:00:00"/>
    <s v="Standard"/>
    <n v="399"/>
    <n v="14.4"/>
    <n v="7"/>
    <n v="5"/>
    <n v="8"/>
    <n v="35"/>
    <s v="Yes"/>
    <s v="No"/>
    <s v="Yes"/>
    <s v="Yes"/>
    <s v="Yes"/>
    <s v="No"/>
    <m/>
    <s v="1+ Failures"/>
    <n v="1"/>
    <s v="10-20hrs"/>
    <s v="6-12months"/>
    <x v="1"/>
  </r>
  <r>
    <n v="982"/>
    <d v="2024-05-21T00:00:00"/>
    <s v="Standard"/>
    <n v="399"/>
    <n v="14.3"/>
    <n v="2"/>
    <n v="4"/>
    <n v="31"/>
    <n v="3"/>
    <s v="No"/>
    <s v="No"/>
    <s v="Yes"/>
    <s v="No"/>
    <s v="No"/>
    <s v="No"/>
    <m/>
    <s v="1+ Failures"/>
    <n v="0"/>
    <s v="10-20hrs"/>
    <s v="12+ months"/>
    <x v="1"/>
  </r>
  <r>
    <n v="983"/>
    <d v="2024-08-27T00:00:00"/>
    <s v="Premium"/>
    <n v="699"/>
    <n v="15.6"/>
    <n v="5"/>
    <n v="2"/>
    <n v="25"/>
    <n v="20"/>
    <s v="Yes"/>
    <s v="No"/>
    <s v="Yes"/>
    <s v="Yes"/>
    <s v="Yes"/>
    <s v="No"/>
    <m/>
    <s v="1+ Failures"/>
    <n v="1"/>
    <s v="10-20hrs"/>
    <s v="12+ months"/>
    <x v="0"/>
  </r>
  <r>
    <n v="984"/>
    <d v="2024-10-02T00:00:00"/>
    <s v="Basic"/>
    <n v="199"/>
    <n v="21"/>
    <n v="5"/>
    <n v="5"/>
    <n v="9"/>
    <n v="37"/>
    <s v="Yes"/>
    <s v="No"/>
    <s v="Yes"/>
    <s v="Yes"/>
    <s v="Yes"/>
    <s v="No"/>
    <m/>
    <s v="1+ Failures"/>
    <n v="1"/>
    <s v="20+ hrs"/>
    <s v="6-12months"/>
    <x v="1"/>
  </r>
  <r>
    <n v="985"/>
    <d v="2024-11-08T00:00:00"/>
    <s v="Standard"/>
    <n v="399"/>
    <n v="2.9"/>
    <n v="5"/>
    <n v="2"/>
    <n v="25"/>
    <n v="26"/>
    <s v="Yes"/>
    <s v="Yes"/>
    <s v="Yes"/>
    <s v="Yes"/>
    <s v="Yes"/>
    <s v="No"/>
    <m/>
    <s v="1+ Failures"/>
    <n v="1"/>
    <s v="0-5 hrs"/>
    <s v="12+ months"/>
    <x v="1"/>
  </r>
  <r>
    <n v="986"/>
    <d v="2023-03-09T00:00:00"/>
    <s v="Basic"/>
    <n v="199"/>
    <n v="6.2"/>
    <n v="4"/>
    <n v="4"/>
    <n v="16"/>
    <n v="5"/>
    <s v="No"/>
    <s v="No"/>
    <s v="Yes"/>
    <s v="No"/>
    <s v="No"/>
    <s v="No"/>
    <m/>
    <s v="1+ Failures"/>
    <n v="0"/>
    <s v="5-10 hrs"/>
    <s v="12+ months"/>
    <x v="1"/>
  </r>
  <r>
    <n v="987"/>
    <d v="2024-11-04T00:00:00"/>
    <s v="Standard"/>
    <n v="399"/>
    <n v="8.8000000000000007"/>
    <n v="0"/>
    <n v="4"/>
    <n v="8"/>
    <n v="20"/>
    <s v="Yes"/>
    <s v="No"/>
    <s v="Yes"/>
    <s v="No"/>
    <s v="Yes"/>
    <s v="No"/>
    <m/>
    <s v="1+ Failures"/>
    <n v="1"/>
    <s v="5-10 hrs"/>
    <s v="6-12months"/>
    <x v="1"/>
  </r>
  <r>
    <n v="988"/>
    <d v="2023-01-23T00:00:00"/>
    <s v="Standard"/>
    <n v="399"/>
    <n v="22.6"/>
    <n v="4"/>
    <n v="0"/>
    <n v="33"/>
    <n v="44"/>
    <s v="Yes"/>
    <s v="No"/>
    <s v="No"/>
    <s v="No"/>
    <s v="Yes"/>
    <s v="No"/>
    <m/>
    <s v="0 Failures"/>
    <n v="1"/>
    <s v="20+ hrs"/>
    <s v="12+ months"/>
    <x v="1"/>
  </r>
  <r>
    <n v="989"/>
    <d v="2023-04-13T00:00:00"/>
    <s v="Standard"/>
    <n v="399"/>
    <n v="14.5"/>
    <n v="5"/>
    <n v="4"/>
    <n v="25"/>
    <n v="6"/>
    <s v="No"/>
    <s v="No"/>
    <s v="Yes"/>
    <s v="Yes"/>
    <s v="No"/>
    <s v="No"/>
    <m/>
    <s v="1+ Failures"/>
    <n v="0"/>
    <s v="10-20hrs"/>
    <s v="12+ months"/>
    <x v="1"/>
  </r>
  <r>
    <n v="990"/>
    <d v="2023-11-03T00:00:00"/>
    <s v="Premium"/>
    <n v="699"/>
    <n v="8.6999999999999993"/>
    <n v="8"/>
    <n v="5"/>
    <n v="14"/>
    <n v="21"/>
    <s v="Yes"/>
    <s v="No"/>
    <s v="Yes"/>
    <s v="Yes"/>
    <s v="Yes"/>
    <s v="No"/>
    <m/>
    <s v="1+ Failures"/>
    <n v="1"/>
    <s v="5-10 hrs"/>
    <s v="12+ months"/>
    <x v="0"/>
  </r>
  <r>
    <n v="991"/>
    <d v="2023-02-18T00:00:00"/>
    <s v="Standard"/>
    <n v="399"/>
    <n v="5.4"/>
    <n v="1"/>
    <n v="4"/>
    <n v="28"/>
    <n v="13"/>
    <s v="Yes"/>
    <s v="No"/>
    <s v="Yes"/>
    <s v="No"/>
    <s v="No"/>
    <s v="No"/>
    <m/>
    <s v="1+ Failures"/>
    <n v="1"/>
    <s v="5-10 hrs"/>
    <s v="12+ months"/>
    <x v="1"/>
  </r>
  <r>
    <n v="992"/>
    <d v="2024-08-29T00:00:00"/>
    <s v="Standard"/>
    <n v="399"/>
    <n v="20.2"/>
    <n v="1"/>
    <n v="5"/>
    <n v="26"/>
    <n v="54"/>
    <s v="Yes"/>
    <s v="No"/>
    <s v="Yes"/>
    <s v="No"/>
    <s v="Yes"/>
    <s v="No"/>
    <m/>
    <s v="1+ Failures"/>
    <n v="1"/>
    <s v="20+ hrs"/>
    <s v="12+ months"/>
    <x v="1"/>
  </r>
  <r>
    <n v="993"/>
    <d v="2023-03-20T00:00:00"/>
    <s v="Standard"/>
    <n v="399"/>
    <n v="2.1"/>
    <n v="8"/>
    <n v="3"/>
    <n v="18"/>
    <n v="27"/>
    <s v="Yes"/>
    <s v="Yes"/>
    <s v="Yes"/>
    <s v="Yes"/>
    <s v="Yes"/>
    <s v="No"/>
    <m/>
    <s v="1+ Failures"/>
    <n v="1"/>
    <s v="0-5 hrs"/>
    <s v="12+ months"/>
    <x v="1"/>
  </r>
  <r>
    <n v="994"/>
    <d v="2023-07-24T00:00:00"/>
    <s v="Premium"/>
    <n v="699"/>
    <n v="12.9"/>
    <n v="4"/>
    <n v="3"/>
    <n v="20"/>
    <n v="42"/>
    <s v="Yes"/>
    <s v="No"/>
    <s v="Yes"/>
    <s v="No"/>
    <s v="Yes"/>
    <s v="No"/>
    <m/>
    <s v="1+ Failures"/>
    <n v="1"/>
    <s v="10-20hrs"/>
    <s v="12+ months"/>
    <x v="0"/>
  </r>
  <r>
    <n v="995"/>
    <d v="2023-07-04T00:00:00"/>
    <s v="Standard"/>
    <n v="399"/>
    <n v="6.7"/>
    <n v="8"/>
    <n v="3"/>
    <n v="26"/>
    <n v="42"/>
    <s v="No"/>
    <s v="No"/>
    <s v="Yes"/>
    <s v="Yes"/>
    <s v="Yes"/>
    <s v="No"/>
    <m/>
    <s v="1+ Failures"/>
    <n v="0"/>
    <s v="5-10 hrs"/>
    <s v="12+ months"/>
    <x v="1"/>
  </r>
  <r>
    <n v="996"/>
    <d v="2024-04-23T00:00:00"/>
    <s v="Basic"/>
    <n v="199"/>
    <n v="21.6"/>
    <n v="7"/>
    <n v="1"/>
    <n v="34"/>
    <n v="42"/>
    <s v="No"/>
    <s v="No"/>
    <s v="Yes"/>
    <s v="Yes"/>
    <s v="Yes"/>
    <s v="No"/>
    <m/>
    <s v="1+ Failures"/>
    <n v="0"/>
    <s v="20+ hrs"/>
    <s v="12+ months"/>
    <x v="1"/>
  </r>
  <r>
    <n v="997"/>
    <d v="2024-06-18T00:00:00"/>
    <s v="Standard"/>
    <n v="399"/>
    <n v="20.3"/>
    <n v="6"/>
    <n v="4"/>
    <n v="35"/>
    <n v="46"/>
    <s v="Yes"/>
    <s v="No"/>
    <s v="Yes"/>
    <s v="Yes"/>
    <s v="Yes"/>
    <s v="No"/>
    <m/>
    <s v="1+ Failures"/>
    <n v="1"/>
    <s v="20+ hrs"/>
    <s v="12+ months"/>
    <x v="1"/>
  </r>
  <r>
    <n v="998"/>
    <d v="2023-11-04T00:00:00"/>
    <s v="Basic"/>
    <n v="199"/>
    <n v="11.8"/>
    <n v="3"/>
    <n v="1"/>
    <n v="24"/>
    <n v="47"/>
    <s v="No"/>
    <s v="No"/>
    <s v="Yes"/>
    <s v="No"/>
    <s v="Yes"/>
    <s v="No"/>
    <m/>
    <s v="1+ Failures"/>
    <n v="0"/>
    <s v="10-20hrs"/>
    <s v="12+ months"/>
    <x v="1"/>
  </r>
  <r>
    <n v="999"/>
    <d v="2023-10-01T00:00:00"/>
    <s v="Standard"/>
    <n v="399"/>
    <n v="8.3000000000000007"/>
    <n v="1"/>
    <n v="5"/>
    <n v="27"/>
    <n v="13"/>
    <s v="No"/>
    <s v="No"/>
    <s v="Yes"/>
    <s v="No"/>
    <s v="No"/>
    <s v="No"/>
    <m/>
    <s v="1+ Failures"/>
    <n v="0"/>
    <s v="5-10 hrs"/>
    <s v="12+ months"/>
    <x v="1"/>
  </r>
  <r>
    <n v="1000"/>
    <d v="2023-07-16T00:00:00"/>
    <s v="Standard"/>
    <n v="399"/>
    <n v="6.8"/>
    <n v="3"/>
    <n v="3"/>
    <n v="11"/>
    <n v="15"/>
    <s v="Yes"/>
    <s v="No"/>
    <s v="Yes"/>
    <s v="No"/>
    <s v="Yes"/>
    <s v="No"/>
    <m/>
    <s v="1+ Failures"/>
    <n v="1"/>
    <s v="5-10 hrs"/>
    <s v="6-12months"/>
    <x v="1"/>
  </r>
  <r>
    <n v="1001"/>
    <d v="2024-03-22T00:00:00"/>
    <s v="Basic"/>
    <n v="199"/>
    <n v="20"/>
    <n v="4"/>
    <n v="3"/>
    <n v="16"/>
    <n v="31"/>
    <s v="Yes"/>
    <s v="No"/>
    <s v="Yes"/>
    <s v="No"/>
    <s v="Yes"/>
    <s v="No"/>
    <m/>
    <s v="1+ Failures"/>
    <n v="1"/>
    <s v="10-20hrs"/>
    <s v="12+ months"/>
    <x v="1"/>
  </r>
  <r>
    <n v="1002"/>
    <d v="2023-10-12T00:00:00"/>
    <s v="Standard"/>
    <n v="399"/>
    <n v="5.4"/>
    <n v="4"/>
    <n v="1"/>
    <n v="3"/>
    <n v="1"/>
    <s v="No"/>
    <s v="No"/>
    <s v="Yes"/>
    <s v="No"/>
    <s v="No"/>
    <s v="Yes"/>
    <m/>
    <s v="1+ Failures"/>
    <n v="0"/>
    <s v="5-10 hrs"/>
    <s v="0-3months"/>
    <x v="1"/>
  </r>
  <r>
    <n v="1003"/>
    <d v="2023-02-26T00:00:00"/>
    <s v="Premium"/>
    <n v="699"/>
    <n v="4.8"/>
    <n v="0"/>
    <n v="5"/>
    <n v="36"/>
    <n v="31"/>
    <s v="Yes"/>
    <s v="Yes"/>
    <s v="Yes"/>
    <s v="No"/>
    <s v="Yes"/>
    <s v="No"/>
    <m/>
    <s v="1+ Failures"/>
    <n v="1"/>
    <s v="0-5 hrs"/>
    <s v="12+ months"/>
    <x v="0"/>
  </r>
  <r>
    <n v="1004"/>
    <d v="2024-11-04T00:00:00"/>
    <s v="Basic"/>
    <n v="199"/>
    <n v="15.2"/>
    <n v="1"/>
    <n v="3"/>
    <n v="21"/>
    <n v="57"/>
    <s v="Yes"/>
    <s v="No"/>
    <s v="Yes"/>
    <s v="No"/>
    <s v="Yes"/>
    <s v="No"/>
    <m/>
    <s v="1+ Failures"/>
    <n v="1"/>
    <s v="10-20hrs"/>
    <s v="12+ months"/>
    <x v="1"/>
  </r>
  <r>
    <n v="1005"/>
    <d v="2024-05-27T00:00:00"/>
    <s v="Basic"/>
    <n v="199"/>
    <n v="23.6"/>
    <n v="2"/>
    <n v="1"/>
    <n v="26"/>
    <n v="7"/>
    <s v="No"/>
    <s v="No"/>
    <s v="Yes"/>
    <s v="No"/>
    <s v="No"/>
    <s v="No"/>
    <m/>
    <s v="1+ Failures"/>
    <n v="0"/>
    <s v="20+ hrs"/>
    <s v="12+ months"/>
    <x v="1"/>
  </r>
  <r>
    <n v="1006"/>
    <d v="2023-09-01T00:00:00"/>
    <s v="Basic"/>
    <n v="199"/>
    <n v="16.8"/>
    <n v="8"/>
    <n v="2"/>
    <n v="34"/>
    <n v="31"/>
    <s v="No"/>
    <s v="No"/>
    <s v="Yes"/>
    <s v="Yes"/>
    <s v="Yes"/>
    <s v="No"/>
    <m/>
    <s v="1+ Failures"/>
    <n v="0"/>
    <s v="10-20hrs"/>
    <s v="12+ months"/>
    <x v="1"/>
  </r>
  <r>
    <n v="1007"/>
    <d v="2024-02-04T00:00:00"/>
    <s v="Premium"/>
    <n v="699"/>
    <n v="19.399999999999999"/>
    <n v="5"/>
    <n v="2"/>
    <n v="8"/>
    <n v="53"/>
    <s v="Yes"/>
    <s v="No"/>
    <s v="Yes"/>
    <s v="Yes"/>
    <s v="Yes"/>
    <s v="No"/>
    <m/>
    <s v="1+ Failures"/>
    <n v="1"/>
    <s v="10-20hrs"/>
    <s v="6-12months"/>
    <x v="0"/>
  </r>
  <r>
    <n v="1008"/>
    <d v="2023-10-09T00:00:00"/>
    <s v="Premium"/>
    <n v="699"/>
    <n v="23.4"/>
    <n v="3"/>
    <n v="1"/>
    <n v="16"/>
    <n v="6"/>
    <s v="No"/>
    <s v="No"/>
    <s v="Yes"/>
    <s v="No"/>
    <s v="No"/>
    <s v="No"/>
    <m/>
    <s v="1+ Failures"/>
    <n v="0"/>
    <s v="20+ hrs"/>
    <s v="12+ months"/>
    <x v="0"/>
  </r>
  <r>
    <n v="1009"/>
    <d v="2023-04-26T00:00:00"/>
    <s v="Standard"/>
    <n v="399"/>
    <n v="6.7"/>
    <n v="0"/>
    <n v="3"/>
    <n v="27"/>
    <n v="34"/>
    <s v="Yes"/>
    <s v="No"/>
    <s v="Yes"/>
    <s v="No"/>
    <s v="Yes"/>
    <s v="No"/>
    <m/>
    <s v="1+ Failures"/>
    <n v="1"/>
    <s v="5-10 hrs"/>
    <s v="12+ months"/>
    <x v="1"/>
  </r>
  <r>
    <n v="1010"/>
    <d v="2023-05-29T00:00:00"/>
    <s v="Standard"/>
    <n v="399"/>
    <n v="10.9"/>
    <n v="3"/>
    <n v="2"/>
    <n v="35"/>
    <n v="56"/>
    <s v="No"/>
    <s v="No"/>
    <s v="Yes"/>
    <s v="No"/>
    <s v="Yes"/>
    <s v="No"/>
    <m/>
    <s v="1+ Failures"/>
    <n v="0"/>
    <s v="10-20hrs"/>
    <s v="12+ months"/>
    <x v="1"/>
  </r>
  <r>
    <n v="1011"/>
    <d v="2024-09-12T00:00:00"/>
    <s v="Standard"/>
    <n v="399"/>
    <n v="18"/>
    <n v="4"/>
    <n v="0"/>
    <n v="31"/>
    <n v="41"/>
    <s v="No"/>
    <s v="No"/>
    <s v="No"/>
    <s v="No"/>
    <s v="Yes"/>
    <s v="No"/>
    <m/>
    <s v="0 Failures"/>
    <n v="0"/>
    <s v="10-20hrs"/>
    <s v="12+ months"/>
    <x v="1"/>
  </r>
  <r>
    <n v="1012"/>
    <d v="2024-10-16T00:00:00"/>
    <s v="Basic"/>
    <n v="199"/>
    <n v="17.399999999999999"/>
    <n v="3"/>
    <n v="2"/>
    <n v="4"/>
    <n v="35"/>
    <s v="Yes"/>
    <s v="No"/>
    <s v="Yes"/>
    <s v="No"/>
    <s v="Yes"/>
    <s v="Yes"/>
    <m/>
    <s v="1+ Failures"/>
    <n v="1"/>
    <s v="10-20hrs"/>
    <s v="3-6months"/>
    <x v="1"/>
  </r>
  <r>
    <n v="1013"/>
    <d v="2024-03-29T00:00:00"/>
    <s v="Premium"/>
    <n v="699"/>
    <n v="22.6"/>
    <n v="1"/>
    <n v="4"/>
    <n v="24"/>
    <n v="55"/>
    <s v="Yes"/>
    <s v="No"/>
    <s v="Yes"/>
    <s v="No"/>
    <s v="Yes"/>
    <s v="No"/>
    <m/>
    <s v="1+ Failures"/>
    <n v="1"/>
    <s v="20+ hrs"/>
    <s v="12+ months"/>
    <x v="0"/>
  </r>
  <r>
    <n v="1014"/>
    <d v="2023-08-30T00:00:00"/>
    <s v="Standard"/>
    <n v="399"/>
    <n v="22.8"/>
    <n v="6"/>
    <n v="2"/>
    <n v="1"/>
    <n v="19"/>
    <s v="Yes"/>
    <s v="No"/>
    <s v="Yes"/>
    <s v="Yes"/>
    <s v="Yes"/>
    <s v="Yes"/>
    <m/>
    <s v="1+ Failures"/>
    <n v="1"/>
    <s v="20+ hrs"/>
    <s v="0-3months"/>
    <x v="1"/>
  </r>
  <r>
    <n v="1015"/>
    <d v="2024-10-21T00:00:00"/>
    <s v="Standard"/>
    <n v="399"/>
    <n v="21.6"/>
    <n v="2"/>
    <n v="3"/>
    <n v="14"/>
    <n v="40"/>
    <s v="Yes"/>
    <s v="No"/>
    <s v="Yes"/>
    <s v="No"/>
    <s v="Yes"/>
    <s v="No"/>
    <m/>
    <s v="1+ Failures"/>
    <n v="1"/>
    <s v="20+ hrs"/>
    <s v="12+ months"/>
    <x v="1"/>
  </r>
  <r>
    <n v="1016"/>
    <d v="2023-12-07T00:00:00"/>
    <s v="Standard"/>
    <n v="399"/>
    <n v="7.2"/>
    <n v="1"/>
    <n v="3"/>
    <n v="3"/>
    <n v="30"/>
    <s v="No"/>
    <s v="No"/>
    <s v="Yes"/>
    <s v="No"/>
    <s v="Yes"/>
    <s v="Yes"/>
    <m/>
    <s v="1+ Failures"/>
    <n v="0"/>
    <s v="5-10 hrs"/>
    <s v="0-3months"/>
    <x v="1"/>
  </r>
  <r>
    <n v="1017"/>
    <d v="2023-03-09T00:00:00"/>
    <s v="Premium"/>
    <n v="699"/>
    <n v="22"/>
    <n v="1"/>
    <n v="1"/>
    <n v="28"/>
    <n v="44"/>
    <s v="Yes"/>
    <s v="No"/>
    <s v="Yes"/>
    <s v="No"/>
    <s v="Yes"/>
    <s v="No"/>
    <m/>
    <s v="1+ Failures"/>
    <n v="1"/>
    <s v="20+ hrs"/>
    <s v="12+ months"/>
    <x v="0"/>
  </r>
  <r>
    <n v="1018"/>
    <d v="2023-01-29T00:00:00"/>
    <s v="Standard"/>
    <n v="399"/>
    <n v="15.3"/>
    <n v="8"/>
    <n v="5"/>
    <n v="27"/>
    <n v="20"/>
    <s v="Yes"/>
    <s v="No"/>
    <s v="Yes"/>
    <s v="Yes"/>
    <s v="Yes"/>
    <s v="No"/>
    <m/>
    <s v="1+ Failures"/>
    <n v="1"/>
    <s v="10-20hrs"/>
    <s v="12+ months"/>
    <x v="1"/>
  </r>
  <r>
    <n v="1019"/>
    <d v="2023-11-09T00:00:00"/>
    <s v="Basic"/>
    <n v="199"/>
    <n v="15.9"/>
    <n v="2"/>
    <n v="0"/>
    <n v="12"/>
    <n v="25"/>
    <s v="Yes"/>
    <s v="No"/>
    <s v="No"/>
    <s v="No"/>
    <s v="Yes"/>
    <s v="No"/>
    <m/>
    <s v="0 Failures"/>
    <n v="1"/>
    <s v="10-20hrs"/>
    <s v="6-12months"/>
    <x v="1"/>
  </r>
  <r>
    <n v="1020"/>
    <d v="2024-10-26T00:00:00"/>
    <s v="Standard"/>
    <n v="399"/>
    <n v="3.2"/>
    <n v="3"/>
    <n v="4"/>
    <n v="6"/>
    <n v="45"/>
    <s v="No"/>
    <s v="Yes"/>
    <s v="Yes"/>
    <s v="No"/>
    <s v="Yes"/>
    <s v="No"/>
    <m/>
    <s v="1+ Failures"/>
    <n v="0"/>
    <s v="0-5 hrs"/>
    <s v="3-6months"/>
    <x v="1"/>
  </r>
  <r>
    <n v="1021"/>
    <d v="2023-05-17T00:00:00"/>
    <s v="Basic"/>
    <n v="199"/>
    <n v="19.899999999999999"/>
    <n v="5"/>
    <n v="3"/>
    <n v="27"/>
    <n v="30"/>
    <s v="No"/>
    <s v="No"/>
    <s v="Yes"/>
    <s v="Yes"/>
    <s v="Yes"/>
    <s v="No"/>
    <m/>
    <s v="1+ Failures"/>
    <n v="0"/>
    <s v="10-20hrs"/>
    <s v="12+ months"/>
    <x v="1"/>
  </r>
  <r>
    <n v="1022"/>
    <d v="2024-01-12T00:00:00"/>
    <s v="Standard"/>
    <n v="399"/>
    <n v="17.3"/>
    <n v="5"/>
    <n v="2"/>
    <n v="12"/>
    <n v="12"/>
    <s v="Yes"/>
    <s v="No"/>
    <s v="Yes"/>
    <s v="Yes"/>
    <s v="No"/>
    <s v="No"/>
    <m/>
    <s v="1+ Failures"/>
    <n v="1"/>
    <s v="10-20hrs"/>
    <s v="6-12months"/>
    <x v="1"/>
  </r>
  <r>
    <n v="1023"/>
    <d v="2024-07-25T00:00:00"/>
    <s v="Basic"/>
    <n v="199"/>
    <n v="22"/>
    <n v="3"/>
    <n v="0"/>
    <n v="26"/>
    <n v="60"/>
    <s v="Yes"/>
    <s v="No"/>
    <s v="No"/>
    <s v="No"/>
    <s v="Yes"/>
    <s v="No"/>
    <m/>
    <s v="0 Failures"/>
    <n v="1"/>
    <s v="20+ hrs"/>
    <s v="12+ months"/>
    <x v="1"/>
  </r>
  <r>
    <n v="1024"/>
    <d v="2023-06-22T00:00:00"/>
    <s v="Premium"/>
    <n v="699"/>
    <n v="22.7"/>
    <n v="7"/>
    <n v="1"/>
    <n v="15"/>
    <n v="16"/>
    <s v="No"/>
    <s v="No"/>
    <s v="Yes"/>
    <s v="Yes"/>
    <s v="Yes"/>
    <s v="No"/>
    <m/>
    <s v="1+ Failures"/>
    <n v="0"/>
    <s v="20+ hrs"/>
    <s v="12+ months"/>
    <x v="0"/>
  </r>
  <r>
    <n v="1025"/>
    <d v="2023-06-24T00:00:00"/>
    <s v="Basic"/>
    <n v="199"/>
    <n v="15.6"/>
    <n v="4"/>
    <n v="1"/>
    <n v="26"/>
    <n v="5"/>
    <s v="No"/>
    <s v="No"/>
    <s v="Yes"/>
    <s v="No"/>
    <s v="No"/>
    <s v="No"/>
    <m/>
    <s v="1+ Failures"/>
    <n v="0"/>
    <s v="10-20hrs"/>
    <s v="12+ months"/>
    <x v="1"/>
  </r>
  <r>
    <n v="1026"/>
    <d v="2024-04-09T00:00:00"/>
    <s v="Premium"/>
    <n v="699"/>
    <n v="0.8"/>
    <n v="8"/>
    <n v="3"/>
    <n v="8"/>
    <n v="49"/>
    <s v="Yes"/>
    <s v="Yes"/>
    <s v="Yes"/>
    <s v="Yes"/>
    <s v="Yes"/>
    <s v="No"/>
    <m/>
    <s v="1+ Failures"/>
    <n v="1"/>
    <s v="0-5 hrs"/>
    <s v="6-12months"/>
    <x v="0"/>
  </r>
  <r>
    <n v="1027"/>
    <d v="2023-09-30T00:00:00"/>
    <s v="Premium"/>
    <n v="699"/>
    <n v="3.4"/>
    <n v="3"/>
    <n v="1"/>
    <n v="32"/>
    <n v="60"/>
    <s v="No"/>
    <s v="Yes"/>
    <s v="Yes"/>
    <s v="No"/>
    <s v="Yes"/>
    <s v="No"/>
    <m/>
    <s v="1+ Failures"/>
    <n v="0"/>
    <s v="0-5 hrs"/>
    <s v="12+ months"/>
    <x v="0"/>
  </r>
  <r>
    <n v="1028"/>
    <d v="2023-10-17T00:00:00"/>
    <s v="Standard"/>
    <n v="399"/>
    <n v="9.9"/>
    <n v="6"/>
    <n v="1"/>
    <n v="32"/>
    <n v="38"/>
    <s v="Yes"/>
    <s v="No"/>
    <s v="Yes"/>
    <s v="Yes"/>
    <s v="Yes"/>
    <s v="No"/>
    <m/>
    <s v="1+ Failures"/>
    <n v="1"/>
    <s v="5-10 hrs"/>
    <s v="12+ months"/>
    <x v="1"/>
  </r>
  <r>
    <n v="1029"/>
    <d v="2023-09-26T00:00:00"/>
    <s v="Premium"/>
    <n v="699"/>
    <n v="10.7"/>
    <n v="6"/>
    <n v="1"/>
    <n v="13"/>
    <n v="1"/>
    <s v="No"/>
    <s v="No"/>
    <s v="Yes"/>
    <s v="Yes"/>
    <s v="No"/>
    <s v="No"/>
    <m/>
    <s v="1+ Failures"/>
    <n v="0"/>
    <s v="10-20hrs"/>
    <s v="12+ months"/>
    <x v="0"/>
  </r>
  <r>
    <n v="1030"/>
    <d v="2023-03-29T00:00:00"/>
    <s v="Basic"/>
    <n v="199"/>
    <n v="22.7"/>
    <n v="5"/>
    <n v="4"/>
    <n v="29"/>
    <n v="43"/>
    <s v="Yes"/>
    <s v="No"/>
    <s v="Yes"/>
    <s v="Yes"/>
    <s v="Yes"/>
    <s v="No"/>
    <m/>
    <s v="1+ Failures"/>
    <n v="1"/>
    <s v="20+ hrs"/>
    <s v="12+ months"/>
    <x v="1"/>
  </r>
  <r>
    <n v="1031"/>
    <d v="2024-12-31T00:00:00"/>
    <s v="Basic"/>
    <n v="199"/>
    <n v="3.8"/>
    <n v="5"/>
    <n v="5"/>
    <n v="31"/>
    <n v="25"/>
    <s v="Yes"/>
    <s v="Yes"/>
    <s v="Yes"/>
    <s v="Yes"/>
    <s v="Yes"/>
    <s v="No"/>
    <m/>
    <s v="1+ Failures"/>
    <n v="1"/>
    <s v="0-5 hrs"/>
    <s v="12+ months"/>
    <x v="1"/>
  </r>
  <r>
    <n v="1032"/>
    <d v="2023-02-23T00:00:00"/>
    <s v="Standard"/>
    <n v="399"/>
    <n v="18.5"/>
    <n v="4"/>
    <n v="0"/>
    <n v="28"/>
    <n v="6"/>
    <s v="No"/>
    <s v="No"/>
    <s v="No"/>
    <s v="No"/>
    <s v="No"/>
    <s v="No"/>
    <m/>
    <s v="0 Failures"/>
    <n v="0"/>
    <s v="10-20hrs"/>
    <s v="12+ months"/>
    <x v="1"/>
  </r>
  <r>
    <n v="1033"/>
    <d v="2024-09-04T00:00:00"/>
    <s v="Standard"/>
    <n v="399"/>
    <n v="12"/>
    <n v="5"/>
    <n v="4"/>
    <n v="16"/>
    <n v="60"/>
    <s v="Yes"/>
    <s v="No"/>
    <s v="Yes"/>
    <s v="Yes"/>
    <s v="Yes"/>
    <s v="No"/>
    <m/>
    <s v="1+ Failures"/>
    <n v="1"/>
    <s v="10-20hrs"/>
    <s v="12+ months"/>
    <x v="1"/>
  </r>
  <r>
    <n v="1034"/>
    <d v="2024-02-09T00:00:00"/>
    <s v="Premium"/>
    <n v="699"/>
    <n v="0.6"/>
    <n v="8"/>
    <n v="4"/>
    <n v="3"/>
    <n v="24"/>
    <s v="Yes"/>
    <s v="Yes"/>
    <s v="Yes"/>
    <s v="Yes"/>
    <s v="Yes"/>
    <s v="Yes"/>
    <m/>
    <s v="1+ Failures"/>
    <n v="1"/>
    <s v="0-5 hrs"/>
    <s v="0-3months"/>
    <x v="0"/>
  </r>
  <r>
    <n v="1035"/>
    <d v="2023-06-23T00:00:00"/>
    <s v="Premium"/>
    <n v="699"/>
    <n v="3.7"/>
    <n v="8"/>
    <n v="0"/>
    <n v="24"/>
    <n v="37"/>
    <s v="Yes"/>
    <s v="Yes"/>
    <s v="No"/>
    <s v="Yes"/>
    <s v="Yes"/>
    <s v="No"/>
    <m/>
    <s v="0 Failures"/>
    <n v="1"/>
    <s v="0-5 hrs"/>
    <s v="12+ months"/>
    <x v="0"/>
  </r>
  <r>
    <n v="1036"/>
    <d v="2024-06-27T00:00:00"/>
    <s v="Premium"/>
    <n v="699"/>
    <n v="23.3"/>
    <n v="7"/>
    <n v="1"/>
    <n v="32"/>
    <n v="5"/>
    <s v="No"/>
    <s v="No"/>
    <s v="Yes"/>
    <s v="Yes"/>
    <s v="No"/>
    <s v="No"/>
    <m/>
    <s v="1+ Failures"/>
    <n v="0"/>
    <s v="20+ hrs"/>
    <s v="12+ months"/>
    <x v="0"/>
  </r>
  <r>
    <n v="1037"/>
    <d v="2023-10-15T00:00:00"/>
    <s v="Standard"/>
    <n v="399"/>
    <n v="6.9"/>
    <n v="5"/>
    <n v="0"/>
    <n v="10"/>
    <n v="8"/>
    <s v="No"/>
    <s v="No"/>
    <s v="No"/>
    <s v="Yes"/>
    <s v="No"/>
    <s v="No"/>
    <m/>
    <s v="0 Failures"/>
    <n v="0"/>
    <s v="5-10 hrs"/>
    <s v="6-12months"/>
    <x v="1"/>
  </r>
  <r>
    <n v="1038"/>
    <d v="2023-09-28T00:00:00"/>
    <s v="Premium"/>
    <n v="699"/>
    <n v="23.2"/>
    <n v="4"/>
    <n v="2"/>
    <n v="24"/>
    <n v="39"/>
    <s v="No"/>
    <s v="No"/>
    <s v="Yes"/>
    <s v="No"/>
    <s v="Yes"/>
    <s v="No"/>
    <m/>
    <s v="1+ Failures"/>
    <n v="0"/>
    <s v="20+ hrs"/>
    <s v="12+ months"/>
    <x v="0"/>
  </r>
  <r>
    <n v="1039"/>
    <d v="2023-06-04T00:00:00"/>
    <s v="Premium"/>
    <n v="699"/>
    <n v="11.2"/>
    <n v="2"/>
    <n v="2"/>
    <n v="21"/>
    <n v="47"/>
    <s v="No"/>
    <s v="No"/>
    <s v="Yes"/>
    <s v="No"/>
    <s v="Yes"/>
    <s v="No"/>
    <m/>
    <s v="1+ Failures"/>
    <n v="0"/>
    <s v="10-20hrs"/>
    <s v="12+ months"/>
    <x v="0"/>
  </r>
  <r>
    <n v="1040"/>
    <d v="2024-04-26T00:00:00"/>
    <s v="Premium"/>
    <n v="699"/>
    <n v="1.8"/>
    <n v="2"/>
    <n v="0"/>
    <n v="29"/>
    <n v="14"/>
    <s v="Yes"/>
    <s v="Yes"/>
    <s v="No"/>
    <s v="No"/>
    <s v="No"/>
    <s v="No"/>
    <m/>
    <s v="0 Failures"/>
    <n v="1"/>
    <s v="0-5 hrs"/>
    <s v="12+ months"/>
    <x v="0"/>
  </r>
  <r>
    <n v="1041"/>
    <d v="2023-02-11T00:00:00"/>
    <s v="Standard"/>
    <n v="399"/>
    <n v="17.8"/>
    <n v="6"/>
    <n v="0"/>
    <n v="11"/>
    <n v="57"/>
    <s v="No"/>
    <s v="No"/>
    <s v="No"/>
    <s v="Yes"/>
    <s v="Yes"/>
    <s v="No"/>
    <m/>
    <s v="0 Failures"/>
    <n v="0"/>
    <s v="10-20hrs"/>
    <s v="6-12months"/>
    <x v="1"/>
  </r>
  <r>
    <n v="1042"/>
    <d v="2023-06-01T00:00:00"/>
    <s v="Standard"/>
    <n v="399"/>
    <n v="24.7"/>
    <n v="8"/>
    <n v="3"/>
    <n v="23"/>
    <n v="29"/>
    <s v="Yes"/>
    <s v="No"/>
    <s v="Yes"/>
    <s v="Yes"/>
    <s v="Yes"/>
    <s v="No"/>
    <m/>
    <s v="1+ Failures"/>
    <n v="1"/>
    <s v="20+ hrs"/>
    <s v="12+ months"/>
    <x v="1"/>
  </r>
  <r>
    <n v="1043"/>
    <d v="2024-06-04T00:00:00"/>
    <s v="Basic"/>
    <n v="199"/>
    <n v="2.8"/>
    <n v="4"/>
    <n v="1"/>
    <n v="23"/>
    <n v="53"/>
    <s v="Yes"/>
    <s v="Yes"/>
    <s v="Yes"/>
    <s v="No"/>
    <s v="Yes"/>
    <s v="No"/>
    <m/>
    <s v="1+ Failures"/>
    <n v="1"/>
    <s v="0-5 hrs"/>
    <s v="12+ months"/>
    <x v="1"/>
  </r>
  <r>
    <n v="1044"/>
    <d v="2024-03-02T00:00:00"/>
    <s v="Standard"/>
    <n v="399"/>
    <n v="14.8"/>
    <n v="0"/>
    <n v="4"/>
    <n v="14"/>
    <n v="49"/>
    <s v="Yes"/>
    <s v="No"/>
    <s v="Yes"/>
    <s v="No"/>
    <s v="Yes"/>
    <s v="No"/>
    <m/>
    <s v="1+ Failures"/>
    <n v="1"/>
    <s v="10-20hrs"/>
    <s v="12+ months"/>
    <x v="1"/>
  </r>
  <r>
    <n v="1045"/>
    <d v="2024-11-27T00:00:00"/>
    <s v="Basic"/>
    <n v="199"/>
    <n v="19.3"/>
    <n v="1"/>
    <n v="2"/>
    <n v="16"/>
    <n v="1"/>
    <s v="Yes"/>
    <s v="No"/>
    <s v="Yes"/>
    <s v="No"/>
    <s v="No"/>
    <s v="No"/>
    <m/>
    <s v="1+ Failures"/>
    <n v="1"/>
    <s v="10-20hrs"/>
    <s v="12+ months"/>
    <x v="1"/>
  </r>
  <r>
    <n v="1046"/>
    <d v="2024-04-16T00:00:00"/>
    <s v="Basic"/>
    <n v="199"/>
    <n v="9.6999999999999993"/>
    <n v="1"/>
    <n v="2"/>
    <n v="26"/>
    <n v="9"/>
    <s v="Yes"/>
    <s v="No"/>
    <s v="Yes"/>
    <s v="No"/>
    <s v="No"/>
    <s v="No"/>
    <m/>
    <s v="1+ Failures"/>
    <n v="1"/>
    <s v="5-10 hrs"/>
    <s v="12+ months"/>
    <x v="1"/>
  </r>
  <r>
    <n v="1047"/>
    <d v="2023-02-14T00:00:00"/>
    <s v="Premium"/>
    <n v="699"/>
    <n v="11.6"/>
    <n v="4"/>
    <n v="4"/>
    <n v="31"/>
    <n v="42"/>
    <s v="Yes"/>
    <s v="No"/>
    <s v="Yes"/>
    <s v="No"/>
    <s v="Yes"/>
    <s v="No"/>
    <m/>
    <s v="1+ Failures"/>
    <n v="1"/>
    <s v="10-20hrs"/>
    <s v="12+ months"/>
    <x v="0"/>
  </r>
  <r>
    <n v="1048"/>
    <d v="2024-10-21T00:00:00"/>
    <s v="Premium"/>
    <n v="699"/>
    <n v="8.5"/>
    <n v="2"/>
    <n v="1"/>
    <n v="29"/>
    <n v="55"/>
    <s v="Yes"/>
    <s v="No"/>
    <s v="Yes"/>
    <s v="No"/>
    <s v="Yes"/>
    <s v="No"/>
    <m/>
    <s v="1+ Failures"/>
    <n v="1"/>
    <s v="5-10 hrs"/>
    <s v="12+ months"/>
    <x v="0"/>
  </r>
  <r>
    <n v="1049"/>
    <d v="2023-04-05T00:00:00"/>
    <s v="Standard"/>
    <n v="399"/>
    <n v="20.100000000000001"/>
    <n v="1"/>
    <n v="4"/>
    <n v="21"/>
    <n v="60"/>
    <s v="No"/>
    <s v="No"/>
    <s v="Yes"/>
    <s v="No"/>
    <s v="Yes"/>
    <s v="No"/>
    <m/>
    <s v="1+ Failures"/>
    <n v="0"/>
    <s v="20+ hrs"/>
    <s v="12+ months"/>
    <x v="1"/>
  </r>
  <r>
    <n v="1050"/>
    <d v="2023-06-16T00:00:00"/>
    <s v="Standard"/>
    <n v="399"/>
    <n v="4.9000000000000004"/>
    <n v="6"/>
    <n v="0"/>
    <n v="17"/>
    <n v="1"/>
    <s v="No"/>
    <s v="Yes"/>
    <s v="No"/>
    <s v="Yes"/>
    <s v="No"/>
    <s v="No"/>
    <m/>
    <s v="0 Failures"/>
    <n v="0"/>
    <s v="0-5 hrs"/>
    <s v="12+ months"/>
    <x v="1"/>
  </r>
  <r>
    <n v="1051"/>
    <d v="2024-03-18T00:00:00"/>
    <s v="Standard"/>
    <n v="399"/>
    <n v="7.5"/>
    <n v="2"/>
    <n v="0"/>
    <n v="26"/>
    <n v="19"/>
    <s v="No"/>
    <s v="No"/>
    <s v="No"/>
    <s v="No"/>
    <s v="Yes"/>
    <s v="No"/>
    <m/>
    <s v="0 Failures"/>
    <n v="0"/>
    <s v="5-10 hrs"/>
    <s v="12+ months"/>
    <x v="1"/>
  </r>
  <r>
    <n v="1052"/>
    <d v="2024-01-12T00:00:00"/>
    <s v="Premium"/>
    <n v="699"/>
    <n v="22.6"/>
    <n v="2"/>
    <n v="2"/>
    <n v="20"/>
    <n v="42"/>
    <s v="Yes"/>
    <s v="No"/>
    <s v="Yes"/>
    <s v="No"/>
    <s v="Yes"/>
    <s v="No"/>
    <m/>
    <s v="1+ Failures"/>
    <n v="1"/>
    <s v="20+ hrs"/>
    <s v="12+ months"/>
    <x v="0"/>
  </r>
  <r>
    <n v="1053"/>
    <d v="2024-03-09T00:00:00"/>
    <s v="Premium"/>
    <n v="699"/>
    <n v="12.5"/>
    <n v="6"/>
    <n v="3"/>
    <n v="13"/>
    <n v="17"/>
    <s v="No"/>
    <s v="No"/>
    <s v="Yes"/>
    <s v="Yes"/>
    <s v="Yes"/>
    <s v="No"/>
    <m/>
    <s v="1+ Failures"/>
    <n v="0"/>
    <s v="10-20hrs"/>
    <s v="12+ months"/>
    <x v="0"/>
  </r>
  <r>
    <n v="1054"/>
    <d v="2023-02-11T00:00:00"/>
    <s v="Basic"/>
    <n v="199"/>
    <n v="20.399999999999999"/>
    <n v="2"/>
    <n v="3"/>
    <n v="28"/>
    <n v="40"/>
    <s v="Yes"/>
    <s v="No"/>
    <s v="Yes"/>
    <s v="No"/>
    <s v="Yes"/>
    <s v="No"/>
    <m/>
    <s v="1+ Failures"/>
    <n v="1"/>
    <s v="20+ hrs"/>
    <s v="12+ months"/>
    <x v="1"/>
  </r>
  <r>
    <n v="1055"/>
    <d v="2024-05-22T00:00:00"/>
    <s v="Premium"/>
    <n v="699"/>
    <n v="24.3"/>
    <n v="3"/>
    <n v="5"/>
    <n v="22"/>
    <n v="43"/>
    <s v="No"/>
    <s v="No"/>
    <s v="Yes"/>
    <s v="No"/>
    <s v="Yes"/>
    <s v="No"/>
    <m/>
    <s v="1+ Failures"/>
    <n v="0"/>
    <s v="20+ hrs"/>
    <s v="12+ months"/>
    <x v="0"/>
  </r>
  <r>
    <n v="1056"/>
    <d v="2024-05-04T00:00:00"/>
    <s v="Premium"/>
    <n v="699"/>
    <n v="2.6"/>
    <n v="7"/>
    <n v="3"/>
    <n v="34"/>
    <n v="5"/>
    <s v="No"/>
    <s v="Yes"/>
    <s v="Yes"/>
    <s v="Yes"/>
    <s v="No"/>
    <s v="No"/>
    <m/>
    <s v="1+ Failures"/>
    <n v="0"/>
    <s v="0-5 hrs"/>
    <s v="12+ months"/>
    <x v="0"/>
  </r>
  <r>
    <n v="1057"/>
    <d v="2024-08-05T00:00:00"/>
    <s v="Standard"/>
    <n v="399"/>
    <n v="24.6"/>
    <n v="4"/>
    <n v="1"/>
    <n v="10"/>
    <n v="33"/>
    <s v="Yes"/>
    <s v="No"/>
    <s v="Yes"/>
    <s v="No"/>
    <s v="Yes"/>
    <s v="No"/>
    <m/>
    <s v="1+ Failures"/>
    <n v="1"/>
    <s v="20+ hrs"/>
    <s v="6-12months"/>
    <x v="1"/>
  </r>
  <r>
    <n v="1058"/>
    <d v="2024-02-27T00:00:00"/>
    <s v="Basic"/>
    <n v="199"/>
    <n v="2.4"/>
    <n v="0"/>
    <n v="4"/>
    <n v="36"/>
    <n v="6"/>
    <s v="Yes"/>
    <s v="Yes"/>
    <s v="Yes"/>
    <s v="No"/>
    <s v="No"/>
    <s v="No"/>
    <m/>
    <s v="1+ Failures"/>
    <n v="1"/>
    <s v="0-5 hrs"/>
    <s v="12+ months"/>
    <x v="1"/>
  </r>
  <r>
    <n v="1059"/>
    <d v="2024-05-30T00:00:00"/>
    <s v="Basic"/>
    <n v="199"/>
    <n v="16.7"/>
    <n v="4"/>
    <n v="2"/>
    <n v="30"/>
    <n v="16"/>
    <s v="No"/>
    <s v="No"/>
    <s v="Yes"/>
    <s v="No"/>
    <s v="Yes"/>
    <s v="No"/>
    <m/>
    <s v="1+ Failures"/>
    <n v="0"/>
    <s v="10-20hrs"/>
    <s v="12+ months"/>
    <x v="1"/>
  </r>
  <r>
    <n v="1060"/>
    <d v="2024-02-07T00:00:00"/>
    <s v="Basic"/>
    <n v="199"/>
    <n v="18.600000000000001"/>
    <n v="7"/>
    <n v="1"/>
    <n v="8"/>
    <n v="50"/>
    <s v="Yes"/>
    <s v="No"/>
    <s v="Yes"/>
    <s v="Yes"/>
    <s v="Yes"/>
    <s v="No"/>
    <m/>
    <s v="1+ Failures"/>
    <n v="1"/>
    <s v="10-20hrs"/>
    <s v="6-12months"/>
    <x v="1"/>
  </r>
  <r>
    <n v="1061"/>
    <d v="2024-11-17T00:00:00"/>
    <s v="Basic"/>
    <n v="199"/>
    <n v="10.7"/>
    <n v="4"/>
    <n v="2"/>
    <n v="6"/>
    <n v="37"/>
    <s v="Yes"/>
    <s v="No"/>
    <s v="Yes"/>
    <s v="No"/>
    <s v="Yes"/>
    <s v="No"/>
    <m/>
    <s v="1+ Failures"/>
    <n v="1"/>
    <s v="10-20hrs"/>
    <s v="3-6months"/>
    <x v="1"/>
  </r>
  <r>
    <n v="1062"/>
    <d v="2024-09-10T00:00:00"/>
    <s v="Standard"/>
    <n v="399"/>
    <n v="8.9"/>
    <n v="2"/>
    <n v="1"/>
    <n v="17"/>
    <n v="11"/>
    <s v="Yes"/>
    <s v="No"/>
    <s v="Yes"/>
    <s v="No"/>
    <s v="No"/>
    <s v="No"/>
    <m/>
    <s v="1+ Failures"/>
    <n v="1"/>
    <s v="5-10 hrs"/>
    <s v="12+ months"/>
    <x v="1"/>
  </r>
  <r>
    <n v="1063"/>
    <d v="2023-06-25T00:00:00"/>
    <s v="Standard"/>
    <n v="399"/>
    <n v="11.1"/>
    <n v="0"/>
    <n v="0"/>
    <n v="7"/>
    <n v="25"/>
    <s v="Yes"/>
    <s v="No"/>
    <s v="No"/>
    <s v="No"/>
    <s v="Yes"/>
    <s v="No"/>
    <m/>
    <s v="0 Failures"/>
    <n v="1"/>
    <s v="10-20hrs"/>
    <s v="6-12months"/>
    <x v="1"/>
  </r>
  <r>
    <n v="1064"/>
    <d v="2024-05-13T00:00:00"/>
    <s v="Premium"/>
    <n v="699"/>
    <n v="11.8"/>
    <n v="6"/>
    <n v="5"/>
    <n v="31"/>
    <n v="47"/>
    <s v="Yes"/>
    <s v="No"/>
    <s v="Yes"/>
    <s v="Yes"/>
    <s v="Yes"/>
    <s v="No"/>
    <m/>
    <s v="1+ Failures"/>
    <n v="1"/>
    <s v="10-20hrs"/>
    <s v="12+ months"/>
    <x v="0"/>
  </r>
  <r>
    <n v="1065"/>
    <d v="2023-01-15T00:00:00"/>
    <s v="Standard"/>
    <n v="399"/>
    <n v="17.399999999999999"/>
    <n v="6"/>
    <n v="2"/>
    <n v="24"/>
    <n v="5"/>
    <s v="Yes"/>
    <s v="No"/>
    <s v="Yes"/>
    <s v="Yes"/>
    <s v="No"/>
    <s v="No"/>
    <m/>
    <s v="1+ Failures"/>
    <n v="1"/>
    <s v="10-20hrs"/>
    <s v="12+ months"/>
    <x v="1"/>
  </r>
  <r>
    <n v="1066"/>
    <d v="2023-05-29T00:00:00"/>
    <s v="Basic"/>
    <n v="199"/>
    <n v="20.5"/>
    <n v="3"/>
    <n v="0"/>
    <n v="8"/>
    <n v="13"/>
    <s v="No"/>
    <s v="No"/>
    <s v="No"/>
    <s v="No"/>
    <s v="No"/>
    <s v="No"/>
    <m/>
    <s v="0 Failures"/>
    <n v="0"/>
    <s v="20+ hrs"/>
    <s v="6-12months"/>
    <x v="1"/>
  </r>
  <r>
    <n v="1067"/>
    <d v="2024-04-19T00:00:00"/>
    <s v="Premium"/>
    <n v="699"/>
    <n v="11.2"/>
    <n v="8"/>
    <n v="1"/>
    <n v="16"/>
    <n v="5"/>
    <s v="No"/>
    <s v="No"/>
    <s v="Yes"/>
    <s v="Yes"/>
    <s v="No"/>
    <s v="No"/>
    <m/>
    <s v="1+ Failures"/>
    <n v="0"/>
    <s v="10-20hrs"/>
    <s v="12+ months"/>
    <x v="0"/>
  </r>
  <r>
    <n v="1068"/>
    <d v="2024-12-20T00:00:00"/>
    <s v="Basic"/>
    <n v="199"/>
    <n v="10.8"/>
    <n v="1"/>
    <n v="1"/>
    <n v="31"/>
    <n v="57"/>
    <s v="Yes"/>
    <s v="No"/>
    <s v="Yes"/>
    <s v="No"/>
    <s v="Yes"/>
    <s v="No"/>
    <m/>
    <s v="1+ Failures"/>
    <n v="1"/>
    <s v="10-20hrs"/>
    <s v="12+ months"/>
    <x v="1"/>
  </r>
  <r>
    <n v="1069"/>
    <d v="2024-08-06T00:00:00"/>
    <s v="Standard"/>
    <n v="399"/>
    <n v="12.1"/>
    <n v="7"/>
    <n v="4"/>
    <n v="32"/>
    <n v="15"/>
    <s v="Yes"/>
    <s v="No"/>
    <s v="Yes"/>
    <s v="Yes"/>
    <s v="Yes"/>
    <s v="No"/>
    <m/>
    <s v="1+ Failures"/>
    <n v="1"/>
    <s v="10-20hrs"/>
    <s v="12+ months"/>
    <x v="1"/>
  </r>
  <r>
    <n v="1070"/>
    <d v="2024-03-01T00:00:00"/>
    <s v="Standard"/>
    <n v="399"/>
    <n v="8.6999999999999993"/>
    <n v="1"/>
    <n v="5"/>
    <n v="4"/>
    <n v="54"/>
    <s v="No"/>
    <s v="No"/>
    <s v="Yes"/>
    <s v="No"/>
    <s v="Yes"/>
    <s v="Yes"/>
    <m/>
    <s v="1+ Failures"/>
    <n v="0"/>
    <s v="5-10 hrs"/>
    <s v="3-6months"/>
    <x v="1"/>
  </r>
  <r>
    <n v="1071"/>
    <d v="2024-08-28T00:00:00"/>
    <s v="Standard"/>
    <n v="399"/>
    <n v="25"/>
    <n v="0"/>
    <n v="3"/>
    <n v="36"/>
    <n v="25"/>
    <s v="Yes"/>
    <s v="No"/>
    <s v="Yes"/>
    <s v="No"/>
    <s v="Yes"/>
    <s v="No"/>
    <m/>
    <s v="1+ Failures"/>
    <n v="1"/>
    <s v="20+ hrs"/>
    <s v="12+ months"/>
    <x v="1"/>
  </r>
  <r>
    <n v="1072"/>
    <d v="2023-11-20T00:00:00"/>
    <s v="Premium"/>
    <n v="699"/>
    <n v="6.2"/>
    <n v="0"/>
    <n v="4"/>
    <n v="32"/>
    <n v="1"/>
    <s v="No"/>
    <s v="No"/>
    <s v="Yes"/>
    <s v="No"/>
    <s v="No"/>
    <s v="No"/>
    <m/>
    <s v="1+ Failures"/>
    <n v="0"/>
    <s v="5-10 hrs"/>
    <s v="12+ months"/>
    <x v="0"/>
  </r>
  <r>
    <n v="1073"/>
    <d v="2024-10-23T00:00:00"/>
    <s v="Premium"/>
    <n v="699"/>
    <n v="7.1"/>
    <n v="6"/>
    <n v="3"/>
    <n v="5"/>
    <n v="7"/>
    <s v="Yes"/>
    <s v="No"/>
    <s v="Yes"/>
    <s v="Yes"/>
    <s v="No"/>
    <s v="Yes"/>
    <m/>
    <s v="1+ Failures"/>
    <n v="1"/>
    <s v="5-10 hrs"/>
    <s v="3-6months"/>
    <x v="0"/>
  </r>
  <r>
    <n v="1074"/>
    <d v="2024-04-25T00:00:00"/>
    <s v="Standard"/>
    <n v="399"/>
    <n v="17.600000000000001"/>
    <n v="0"/>
    <n v="1"/>
    <n v="29"/>
    <n v="18"/>
    <s v="No"/>
    <s v="No"/>
    <s v="Yes"/>
    <s v="No"/>
    <s v="Yes"/>
    <s v="No"/>
    <m/>
    <s v="1+ Failures"/>
    <n v="0"/>
    <s v="10-20hrs"/>
    <s v="12+ months"/>
    <x v="1"/>
  </r>
  <r>
    <n v="1075"/>
    <d v="2024-09-08T00:00:00"/>
    <s v="Standard"/>
    <n v="399"/>
    <n v="6.2"/>
    <n v="3"/>
    <n v="4"/>
    <n v="29"/>
    <n v="58"/>
    <s v="No"/>
    <s v="No"/>
    <s v="Yes"/>
    <s v="No"/>
    <s v="Yes"/>
    <s v="No"/>
    <m/>
    <s v="1+ Failures"/>
    <n v="0"/>
    <s v="5-10 hrs"/>
    <s v="12+ months"/>
    <x v="1"/>
  </r>
  <r>
    <n v="1076"/>
    <d v="2024-03-02T00:00:00"/>
    <s v="Premium"/>
    <n v="699"/>
    <n v="3.7"/>
    <n v="4"/>
    <n v="5"/>
    <n v="30"/>
    <n v="45"/>
    <s v="Yes"/>
    <s v="Yes"/>
    <s v="Yes"/>
    <s v="No"/>
    <s v="Yes"/>
    <s v="No"/>
    <m/>
    <s v="1+ Failures"/>
    <n v="1"/>
    <s v="0-5 hrs"/>
    <s v="12+ months"/>
    <x v="0"/>
  </r>
  <r>
    <n v="1077"/>
    <d v="2023-03-30T00:00:00"/>
    <s v="Premium"/>
    <n v="699"/>
    <n v="20"/>
    <n v="2"/>
    <n v="4"/>
    <n v="24"/>
    <n v="13"/>
    <s v="Yes"/>
    <s v="No"/>
    <s v="Yes"/>
    <s v="No"/>
    <s v="No"/>
    <s v="No"/>
    <m/>
    <s v="1+ Failures"/>
    <n v="1"/>
    <s v="10-20hrs"/>
    <s v="12+ months"/>
    <x v="0"/>
  </r>
  <r>
    <n v="1078"/>
    <d v="2024-03-01T00:00:00"/>
    <s v="Premium"/>
    <n v="699"/>
    <n v="3.7"/>
    <n v="3"/>
    <n v="1"/>
    <n v="31"/>
    <n v="38"/>
    <s v="Yes"/>
    <s v="Yes"/>
    <s v="Yes"/>
    <s v="No"/>
    <s v="Yes"/>
    <s v="No"/>
    <m/>
    <s v="1+ Failures"/>
    <n v="1"/>
    <s v="0-5 hrs"/>
    <s v="12+ months"/>
    <x v="0"/>
  </r>
  <r>
    <n v="1079"/>
    <d v="2023-09-25T00:00:00"/>
    <s v="Standard"/>
    <n v="399"/>
    <n v="6.3"/>
    <n v="8"/>
    <n v="0"/>
    <n v="20"/>
    <n v="1"/>
    <s v="No"/>
    <s v="No"/>
    <s v="No"/>
    <s v="Yes"/>
    <s v="No"/>
    <s v="No"/>
    <m/>
    <s v="0 Failures"/>
    <n v="0"/>
    <s v="5-10 hrs"/>
    <s v="12+ months"/>
    <x v="1"/>
  </r>
  <r>
    <n v="1080"/>
    <d v="2024-03-16T00:00:00"/>
    <s v="Standard"/>
    <n v="399"/>
    <n v="4.8"/>
    <n v="8"/>
    <n v="0"/>
    <n v="11"/>
    <n v="51"/>
    <s v="Yes"/>
    <s v="Yes"/>
    <s v="No"/>
    <s v="Yes"/>
    <s v="Yes"/>
    <s v="No"/>
    <m/>
    <s v="0 Failures"/>
    <n v="1"/>
    <s v="0-5 hrs"/>
    <s v="6-12months"/>
    <x v="1"/>
  </r>
  <r>
    <n v="1081"/>
    <d v="2023-12-30T00:00:00"/>
    <s v="Basic"/>
    <n v="199"/>
    <n v="3.5"/>
    <n v="3"/>
    <n v="3"/>
    <n v="15"/>
    <n v="16"/>
    <s v="No"/>
    <s v="Yes"/>
    <s v="Yes"/>
    <s v="No"/>
    <s v="Yes"/>
    <s v="No"/>
    <m/>
    <s v="1+ Failures"/>
    <n v="0"/>
    <s v="0-5 hrs"/>
    <s v="12+ months"/>
    <x v="1"/>
  </r>
  <r>
    <n v="1082"/>
    <d v="2024-11-16T00:00:00"/>
    <s v="Basic"/>
    <n v="199"/>
    <n v="7.1"/>
    <n v="2"/>
    <n v="5"/>
    <n v="36"/>
    <n v="55"/>
    <s v="Yes"/>
    <s v="No"/>
    <s v="Yes"/>
    <s v="No"/>
    <s v="Yes"/>
    <s v="No"/>
    <m/>
    <s v="1+ Failures"/>
    <n v="1"/>
    <s v="5-10 hrs"/>
    <s v="12+ months"/>
    <x v="1"/>
  </r>
  <r>
    <n v="1083"/>
    <d v="2023-04-19T00:00:00"/>
    <s v="Basic"/>
    <n v="199"/>
    <n v="23.2"/>
    <n v="7"/>
    <n v="3"/>
    <n v="4"/>
    <n v="53"/>
    <s v="No"/>
    <s v="No"/>
    <s v="Yes"/>
    <s v="Yes"/>
    <s v="Yes"/>
    <s v="Yes"/>
    <m/>
    <s v="1+ Failures"/>
    <n v="0"/>
    <s v="20+ hrs"/>
    <s v="3-6months"/>
    <x v="1"/>
  </r>
  <r>
    <n v="1084"/>
    <d v="2023-05-01T00:00:00"/>
    <s v="Premium"/>
    <n v="699"/>
    <n v="20.7"/>
    <n v="0"/>
    <n v="4"/>
    <n v="7"/>
    <n v="6"/>
    <s v="Yes"/>
    <s v="No"/>
    <s v="Yes"/>
    <s v="No"/>
    <s v="No"/>
    <s v="No"/>
    <m/>
    <s v="1+ Failures"/>
    <n v="1"/>
    <s v="20+ hrs"/>
    <s v="6-12months"/>
    <x v="0"/>
  </r>
  <r>
    <n v="1085"/>
    <d v="2024-05-25T00:00:00"/>
    <s v="Basic"/>
    <n v="199"/>
    <n v="4.3"/>
    <n v="4"/>
    <n v="5"/>
    <n v="24"/>
    <n v="28"/>
    <s v="Yes"/>
    <s v="Yes"/>
    <s v="Yes"/>
    <s v="No"/>
    <s v="Yes"/>
    <s v="No"/>
    <m/>
    <s v="1+ Failures"/>
    <n v="1"/>
    <s v="0-5 hrs"/>
    <s v="12+ months"/>
    <x v="1"/>
  </r>
  <r>
    <n v="1086"/>
    <d v="2023-07-26T00:00:00"/>
    <s v="Premium"/>
    <n v="699"/>
    <n v="4.3"/>
    <n v="5"/>
    <n v="2"/>
    <n v="7"/>
    <n v="52"/>
    <s v="Yes"/>
    <s v="Yes"/>
    <s v="Yes"/>
    <s v="Yes"/>
    <s v="Yes"/>
    <s v="No"/>
    <m/>
    <s v="1+ Failures"/>
    <n v="1"/>
    <s v="0-5 hrs"/>
    <s v="6-12months"/>
    <x v="0"/>
  </r>
  <r>
    <n v="1087"/>
    <d v="2023-12-16T00:00:00"/>
    <s v="Standard"/>
    <n v="399"/>
    <n v="19.3"/>
    <n v="0"/>
    <n v="1"/>
    <n v="27"/>
    <n v="53"/>
    <s v="No"/>
    <s v="No"/>
    <s v="Yes"/>
    <s v="No"/>
    <s v="Yes"/>
    <s v="No"/>
    <m/>
    <s v="1+ Failures"/>
    <n v="0"/>
    <s v="10-20hrs"/>
    <s v="12+ months"/>
    <x v="1"/>
  </r>
  <r>
    <n v="1088"/>
    <d v="2024-01-05T00:00:00"/>
    <s v="Standard"/>
    <n v="399"/>
    <n v="4.7"/>
    <n v="4"/>
    <n v="2"/>
    <n v="33"/>
    <n v="45"/>
    <s v="Yes"/>
    <s v="Yes"/>
    <s v="Yes"/>
    <s v="No"/>
    <s v="Yes"/>
    <s v="No"/>
    <m/>
    <s v="1+ Failures"/>
    <n v="1"/>
    <s v="0-5 hrs"/>
    <s v="12+ months"/>
    <x v="1"/>
  </r>
  <r>
    <n v="1089"/>
    <d v="2024-03-15T00:00:00"/>
    <s v="Premium"/>
    <n v="699"/>
    <n v="4.2"/>
    <n v="8"/>
    <n v="3"/>
    <n v="16"/>
    <n v="50"/>
    <s v="Yes"/>
    <s v="Yes"/>
    <s v="Yes"/>
    <s v="Yes"/>
    <s v="Yes"/>
    <s v="No"/>
    <m/>
    <s v="1+ Failures"/>
    <n v="1"/>
    <s v="0-5 hrs"/>
    <s v="12+ months"/>
    <x v="0"/>
  </r>
  <r>
    <n v="1090"/>
    <d v="2024-03-29T00:00:00"/>
    <s v="Standard"/>
    <n v="399"/>
    <n v="22.5"/>
    <n v="8"/>
    <n v="5"/>
    <n v="27"/>
    <n v="23"/>
    <s v="No"/>
    <s v="No"/>
    <s v="Yes"/>
    <s v="Yes"/>
    <s v="Yes"/>
    <s v="No"/>
    <m/>
    <s v="1+ Failures"/>
    <n v="0"/>
    <s v="20+ hrs"/>
    <s v="12+ months"/>
    <x v="1"/>
  </r>
  <r>
    <n v="1091"/>
    <d v="2024-02-16T00:00:00"/>
    <s v="Basic"/>
    <n v="199"/>
    <n v="18.100000000000001"/>
    <n v="8"/>
    <n v="0"/>
    <n v="1"/>
    <n v="5"/>
    <s v="No"/>
    <s v="No"/>
    <s v="No"/>
    <s v="Yes"/>
    <s v="No"/>
    <s v="Yes"/>
    <m/>
    <s v="0 Failures"/>
    <n v="0"/>
    <s v="10-20hrs"/>
    <s v="0-3months"/>
    <x v="1"/>
  </r>
  <r>
    <n v="1092"/>
    <d v="2024-08-11T00:00:00"/>
    <s v="Basic"/>
    <n v="199"/>
    <n v="2"/>
    <n v="0"/>
    <n v="5"/>
    <n v="28"/>
    <n v="59"/>
    <s v="Yes"/>
    <s v="Yes"/>
    <s v="Yes"/>
    <s v="No"/>
    <s v="Yes"/>
    <s v="No"/>
    <m/>
    <s v="1+ Failures"/>
    <n v="1"/>
    <s v="0-5 hrs"/>
    <s v="12+ months"/>
    <x v="1"/>
  </r>
  <r>
    <n v="1093"/>
    <d v="2024-07-20T00:00:00"/>
    <s v="Basic"/>
    <n v="199"/>
    <n v="24.3"/>
    <n v="6"/>
    <n v="3"/>
    <n v="34"/>
    <n v="56"/>
    <s v="Yes"/>
    <s v="No"/>
    <s v="Yes"/>
    <s v="Yes"/>
    <s v="Yes"/>
    <s v="No"/>
    <m/>
    <s v="1+ Failures"/>
    <n v="1"/>
    <s v="20+ hrs"/>
    <s v="12+ months"/>
    <x v="1"/>
  </r>
  <r>
    <n v="1094"/>
    <d v="2023-05-31T00:00:00"/>
    <s v="Standard"/>
    <n v="399"/>
    <n v="22.8"/>
    <n v="0"/>
    <n v="2"/>
    <n v="21"/>
    <n v="57"/>
    <s v="Yes"/>
    <s v="No"/>
    <s v="Yes"/>
    <s v="No"/>
    <s v="Yes"/>
    <s v="No"/>
    <m/>
    <s v="1+ Failures"/>
    <n v="1"/>
    <s v="20+ hrs"/>
    <s v="12+ months"/>
    <x v="1"/>
  </r>
  <r>
    <n v="1095"/>
    <d v="2024-10-29T00:00:00"/>
    <s v="Premium"/>
    <n v="699"/>
    <n v="11.4"/>
    <n v="3"/>
    <n v="4"/>
    <n v="26"/>
    <n v="39"/>
    <s v="No"/>
    <s v="No"/>
    <s v="Yes"/>
    <s v="No"/>
    <s v="Yes"/>
    <s v="No"/>
    <m/>
    <s v="1+ Failures"/>
    <n v="0"/>
    <s v="10-20hrs"/>
    <s v="12+ months"/>
    <x v="0"/>
  </r>
  <r>
    <n v="1096"/>
    <d v="2023-02-07T00:00:00"/>
    <s v="Standard"/>
    <n v="399"/>
    <n v="22.2"/>
    <n v="6"/>
    <n v="1"/>
    <n v="23"/>
    <n v="56"/>
    <s v="Yes"/>
    <s v="No"/>
    <s v="Yes"/>
    <s v="Yes"/>
    <s v="Yes"/>
    <s v="No"/>
    <m/>
    <s v="1+ Failures"/>
    <n v="1"/>
    <s v="20+ hrs"/>
    <s v="12+ months"/>
    <x v="1"/>
  </r>
  <r>
    <n v="1097"/>
    <d v="2023-04-06T00:00:00"/>
    <s v="Premium"/>
    <n v="699"/>
    <n v="10.1"/>
    <n v="2"/>
    <n v="4"/>
    <n v="22"/>
    <n v="34"/>
    <s v="Yes"/>
    <s v="No"/>
    <s v="Yes"/>
    <s v="No"/>
    <s v="Yes"/>
    <s v="No"/>
    <m/>
    <s v="1+ Failures"/>
    <n v="1"/>
    <s v="10-20hrs"/>
    <s v="12+ months"/>
    <x v="0"/>
  </r>
  <r>
    <n v="1098"/>
    <d v="2024-07-06T00:00:00"/>
    <s v="Premium"/>
    <n v="699"/>
    <n v="8.1999999999999993"/>
    <n v="5"/>
    <n v="5"/>
    <n v="36"/>
    <n v="10"/>
    <s v="Yes"/>
    <s v="No"/>
    <s v="Yes"/>
    <s v="Yes"/>
    <s v="No"/>
    <s v="No"/>
    <m/>
    <s v="1+ Failures"/>
    <n v="1"/>
    <s v="5-10 hrs"/>
    <s v="12+ months"/>
    <x v="0"/>
  </r>
  <r>
    <n v="1099"/>
    <d v="2023-04-24T00:00:00"/>
    <s v="Premium"/>
    <n v="699"/>
    <n v="6.4"/>
    <n v="4"/>
    <n v="5"/>
    <n v="17"/>
    <n v="27"/>
    <s v="No"/>
    <s v="No"/>
    <s v="Yes"/>
    <s v="No"/>
    <s v="Yes"/>
    <s v="No"/>
    <m/>
    <s v="1+ Failures"/>
    <n v="0"/>
    <s v="5-10 hrs"/>
    <s v="12+ months"/>
    <x v="0"/>
  </r>
  <r>
    <n v="1100"/>
    <d v="2023-02-18T00:00:00"/>
    <s v="Premium"/>
    <n v="699"/>
    <n v="21.1"/>
    <n v="4"/>
    <n v="5"/>
    <n v="4"/>
    <n v="32"/>
    <s v="Yes"/>
    <s v="No"/>
    <s v="Yes"/>
    <s v="No"/>
    <s v="Yes"/>
    <s v="Yes"/>
    <m/>
    <s v="1+ Failures"/>
    <n v="1"/>
    <s v="20+ hrs"/>
    <s v="3-6months"/>
    <x v="0"/>
  </r>
  <r>
    <n v="1101"/>
    <d v="2024-08-18T00:00:00"/>
    <s v="Premium"/>
    <n v="699"/>
    <n v="11.5"/>
    <n v="0"/>
    <n v="3"/>
    <n v="8"/>
    <n v="21"/>
    <s v="No"/>
    <s v="No"/>
    <s v="Yes"/>
    <s v="No"/>
    <s v="Yes"/>
    <s v="No"/>
    <m/>
    <s v="1+ Failures"/>
    <n v="0"/>
    <s v="10-20hrs"/>
    <s v="6-12months"/>
    <x v="0"/>
  </r>
  <r>
    <n v="1102"/>
    <d v="2024-08-09T00:00:00"/>
    <s v="Premium"/>
    <n v="699"/>
    <n v="21.2"/>
    <n v="3"/>
    <n v="2"/>
    <n v="35"/>
    <n v="19"/>
    <s v="Yes"/>
    <s v="No"/>
    <s v="Yes"/>
    <s v="No"/>
    <s v="Yes"/>
    <s v="No"/>
    <m/>
    <s v="1+ Failures"/>
    <n v="1"/>
    <s v="20+ hrs"/>
    <s v="12+ months"/>
    <x v="0"/>
  </r>
  <r>
    <n v="1103"/>
    <d v="2024-06-12T00:00:00"/>
    <s v="Premium"/>
    <n v="699"/>
    <n v="18"/>
    <n v="8"/>
    <n v="5"/>
    <n v="9"/>
    <n v="15"/>
    <s v="Yes"/>
    <s v="No"/>
    <s v="Yes"/>
    <s v="Yes"/>
    <s v="Yes"/>
    <s v="No"/>
    <m/>
    <s v="1+ Failures"/>
    <n v="1"/>
    <s v="10-20hrs"/>
    <s v="6-12months"/>
    <x v="0"/>
  </r>
  <r>
    <n v="1104"/>
    <d v="2024-03-11T00:00:00"/>
    <s v="Premium"/>
    <n v="699"/>
    <n v="20.7"/>
    <n v="5"/>
    <n v="3"/>
    <n v="13"/>
    <n v="6"/>
    <s v="Yes"/>
    <s v="No"/>
    <s v="Yes"/>
    <s v="Yes"/>
    <s v="No"/>
    <s v="No"/>
    <m/>
    <s v="1+ Failures"/>
    <n v="1"/>
    <s v="20+ hrs"/>
    <s v="12+ months"/>
    <x v="0"/>
  </r>
  <r>
    <n v="1105"/>
    <d v="2023-03-21T00:00:00"/>
    <s v="Standard"/>
    <n v="399"/>
    <n v="2.8"/>
    <n v="6"/>
    <n v="1"/>
    <n v="6"/>
    <n v="30"/>
    <s v="Yes"/>
    <s v="Yes"/>
    <s v="Yes"/>
    <s v="Yes"/>
    <s v="Yes"/>
    <s v="No"/>
    <m/>
    <s v="1+ Failures"/>
    <n v="1"/>
    <s v="0-5 hrs"/>
    <s v="3-6months"/>
    <x v="1"/>
  </r>
  <r>
    <n v="1106"/>
    <d v="2023-09-28T00:00:00"/>
    <s v="Standard"/>
    <n v="399"/>
    <n v="10.4"/>
    <n v="8"/>
    <n v="4"/>
    <n v="34"/>
    <n v="49"/>
    <s v="Yes"/>
    <s v="No"/>
    <s v="Yes"/>
    <s v="Yes"/>
    <s v="Yes"/>
    <s v="No"/>
    <m/>
    <s v="1+ Failures"/>
    <n v="1"/>
    <s v="10-20hrs"/>
    <s v="12+ months"/>
    <x v="1"/>
  </r>
  <r>
    <n v="1107"/>
    <d v="2024-03-02T00:00:00"/>
    <s v="Premium"/>
    <n v="699"/>
    <n v="16.100000000000001"/>
    <n v="7"/>
    <n v="5"/>
    <n v="32"/>
    <n v="59"/>
    <s v="No"/>
    <s v="No"/>
    <s v="Yes"/>
    <s v="Yes"/>
    <s v="Yes"/>
    <s v="No"/>
    <m/>
    <s v="1+ Failures"/>
    <n v="0"/>
    <s v="10-20hrs"/>
    <s v="12+ months"/>
    <x v="0"/>
  </r>
  <r>
    <n v="1108"/>
    <d v="2024-12-22T00:00:00"/>
    <s v="Basic"/>
    <n v="199"/>
    <n v="12.9"/>
    <n v="7"/>
    <n v="5"/>
    <n v="10"/>
    <n v="29"/>
    <s v="Yes"/>
    <s v="No"/>
    <s v="Yes"/>
    <s v="Yes"/>
    <s v="Yes"/>
    <s v="No"/>
    <m/>
    <s v="1+ Failures"/>
    <n v="1"/>
    <s v="10-20hrs"/>
    <s v="6-12months"/>
    <x v="1"/>
  </r>
  <r>
    <n v="1109"/>
    <d v="2023-06-10T00:00:00"/>
    <s v="Premium"/>
    <n v="699"/>
    <n v="3.4"/>
    <n v="3"/>
    <n v="3"/>
    <n v="34"/>
    <n v="30"/>
    <s v="Yes"/>
    <s v="Yes"/>
    <s v="Yes"/>
    <s v="No"/>
    <s v="Yes"/>
    <s v="No"/>
    <m/>
    <s v="1+ Failures"/>
    <n v="1"/>
    <s v="0-5 hrs"/>
    <s v="12+ months"/>
    <x v="0"/>
  </r>
  <r>
    <n v="1110"/>
    <d v="2023-05-04T00:00:00"/>
    <s v="Premium"/>
    <n v="699"/>
    <n v="23.1"/>
    <n v="1"/>
    <n v="4"/>
    <n v="24"/>
    <n v="54"/>
    <s v="Yes"/>
    <s v="No"/>
    <s v="Yes"/>
    <s v="No"/>
    <s v="Yes"/>
    <s v="No"/>
    <m/>
    <s v="1+ Failures"/>
    <n v="1"/>
    <s v="20+ hrs"/>
    <s v="12+ months"/>
    <x v="0"/>
  </r>
  <r>
    <n v="1111"/>
    <d v="2024-01-19T00:00:00"/>
    <s v="Standard"/>
    <n v="399"/>
    <n v="1.5"/>
    <n v="2"/>
    <n v="0"/>
    <n v="19"/>
    <n v="23"/>
    <s v="Yes"/>
    <s v="Yes"/>
    <s v="No"/>
    <s v="No"/>
    <s v="Yes"/>
    <s v="No"/>
    <m/>
    <s v="0 Failures"/>
    <n v="1"/>
    <s v="0-5 hrs"/>
    <s v="12+ months"/>
    <x v="1"/>
  </r>
  <r>
    <n v="1112"/>
    <d v="2023-02-19T00:00:00"/>
    <s v="Standard"/>
    <n v="399"/>
    <n v="12.4"/>
    <n v="2"/>
    <n v="1"/>
    <n v="19"/>
    <n v="50"/>
    <s v="No"/>
    <s v="No"/>
    <s v="Yes"/>
    <s v="No"/>
    <s v="Yes"/>
    <s v="No"/>
    <m/>
    <s v="1+ Failures"/>
    <n v="0"/>
    <s v="10-20hrs"/>
    <s v="12+ months"/>
    <x v="1"/>
  </r>
  <r>
    <n v="1113"/>
    <d v="2023-03-11T00:00:00"/>
    <s v="Standard"/>
    <n v="399"/>
    <n v="5.8"/>
    <n v="7"/>
    <n v="0"/>
    <n v="19"/>
    <n v="7"/>
    <s v="No"/>
    <s v="No"/>
    <s v="No"/>
    <s v="Yes"/>
    <s v="No"/>
    <s v="No"/>
    <m/>
    <s v="0 Failures"/>
    <n v="0"/>
    <s v="5-10 hrs"/>
    <s v="12+ months"/>
    <x v="1"/>
  </r>
  <r>
    <n v="1114"/>
    <d v="2024-01-22T00:00:00"/>
    <s v="Basic"/>
    <n v="199"/>
    <n v="12.3"/>
    <n v="4"/>
    <n v="4"/>
    <n v="27"/>
    <n v="28"/>
    <s v="No"/>
    <s v="No"/>
    <s v="Yes"/>
    <s v="No"/>
    <s v="Yes"/>
    <s v="No"/>
    <m/>
    <s v="1+ Failures"/>
    <n v="0"/>
    <s v="10-20hrs"/>
    <s v="12+ months"/>
    <x v="1"/>
  </r>
  <r>
    <n v="1115"/>
    <d v="2024-11-14T00:00:00"/>
    <s v="Standard"/>
    <n v="399"/>
    <n v="19.2"/>
    <n v="8"/>
    <n v="5"/>
    <n v="9"/>
    <n v="29"/>
    <s v="No"/>
    <s v="No"/>
    <s v="Yes"/>
    <s v="Yes"/>
    <s v="Yes"/>
    <s v="No"/>
    <m/>
    <s v="1+ Failures"/>
    <n v="0"/>
    <s v="10-20hrs"/>
    <s v="6-12months"/>
    <x v="1"/>
  </r>
  <r>
    <n v="1116"/>
    <d v="2024-09-30T00:00:00"/>
    <s v="Standard"/>
    <n v="399"/>
    <n v="21.7"/>
    <n v="5"/>
    <n v="0"/>
    <n v="10"/>
    <n v="51"/>
    <s v="No"/>
    <s v="No"/>
    <s v="No"/>
    <s v="Yes"/>
    <s v="Yes"/>
    <s v="No"/>
    <m/>
    <s v="0 Failures"/>
    <n v="0"/>
    <s v="20+ hrs"/>
    <s v="6-12months"/>
    <x v="1"/>
  </r>
  <r>
    <n v="1117"/>
    <d v="2024-11-17T00:00:00"/>
    <s v="Standard"/>
    <n v="399"/>
    <n v="6.2"/>
    <n v="6"/>
    <n v="2"/>
    <n v="25"/>
    <n v="34"/>
    <s v="Yes"/>
    <s v="No"/>
    <s v="Yes"/>
    <s v="Yes"/>
    <s v="Yes"/>
    <s v="No"/>
    <m/>
    <s v="1+ Failures"/>
    <n v="1"/>
    <s v="5-10 hrs"/>
    <s v="12+ months"/>
    <x v="1"/>
  </r>
  <r>
    <n v="1118"/>
    <d v="2024-12-25T00:00:00"/>
    <s v="Standard"/>
    <n v="399"/>
    <n v="16.3"/>
    <n v="2"/>
    <n v="5"/>
    <n v="18"/>
    <n v="1"/>
    <s v="No"/>
    <s v="No"/>
    <s v="Yes"/>
    <s v="No"/>
    <s v="No"/>
    <s v="No"/>
    <m/>
    <s v="1+ Failures"/>
    <n v="0"/>
    <s v="10-20hrs"/>
    <s v="12+ months"/>
    <x v="1"/>
  </r>
  <r>
    <n v="1119"/>
    <d v="2024-07-08T00:00:00"/>
    <s v="Standard"/>
    <n v="399"/>
    <n v="16.3"/>
    <n v="8"/>
    <n v="0"/>
    <n v="36"/>
    <n v="12"/>
    <s v="No"/>
    <s v="No"/>
    <s v="No"/>
    <s v="Yes"/>
    <s v="No"/>
    <s v="No"/>
    <m/>
    <s v="0 Failures"/>
    <n v="0"/>
    <s v="10-20hrs"/>
    <s v="12+ months"/>
    <x v="1"/>
  </r>
  <r>
    <n v="1120"/>
    <d v="2023-01-20T00:00:00"/>
    <s v="Premium"/>
    <n v="699"/>
    <n v="24"/>
    <n v="8"/>
    <n v="1"/>
    <n v="4"/>
    <n v="48"/>
    <s v="Yes"/>
    <s v="No"/>
    <s v="Yes"/>
    <s v="Yes"/>
    <s v="Yes"/>
    <s v="Yes"/>
    <m/>
    <s v="1+ Failures"/>
    <n v="1"/>
    <s v="20+ hrs"/>
    <s v="3-6months"/>
    <x v="0"/>
  </r>
  <r>
    <n v="1121"/>
    <d v="2024-12-23T00:00:00"/>
    <s v="Basic"/>
    <n v="199"/>
    <n v="4.9000000000000004"/>
    <n v="0"/>
    <n v="2"/>
    <n v="35"/>
    <n v="50"/>
    <s v="Yes"/>
    <s v="Yes"/>
    <s v="Yes"/>
    <s v="No"/>
    <s v="Yes"/>
    <s v="No"/>
    <m/>
    <s v="1+ Failures"/>
    <n v="1"/>
    <s v="0-5 hrs"/>
    <s v="12+ months"/>
    <x v="1"/>
  </r>
  <r>
    <n v="1122"/>
    <d v="2023-02-16T00:00:00"/>
    <s v="Premium"/>
    <n v="699"/>
    <n v="2.6"/>
    <n v="8"/>
    <n v="4"/>
    <n v="29"/>
    <n v="20"/>
    <s v="Yes"/>
    <s v="Yes"/>
    <s v="Yes"/>
    <s v="Yes"/>
    <s v="Yes"/>
    <s v="No"/>
    <m/>
    <s v="1+ Failures"/>
    <n v="1"/>
    <s v="0-5 hrs"/>
    <s v="12+ months"/>
    <x v="0"/>
  </r>
  <r>
    <n v="1123"/>
    <d v="2023-11-21T00:00:00"/>
    <s v="Standard"/>
    <n v="399"/>
    <n v="8.8000000000000007"/>
    <n v="2"/>
    <n v="3"/>
    <n v="2"/>
    <n v="1"/>
    <s v="No"/>
    <s v="No"/>
    <s v="Yes"/>
    <s v="No"/>
    <s v="No"/>
    <s v="Yes"/>
    <m/>
    <s v="1+ Failures"/>
    <n v="0"/>
    <s v="5-10 hrs"/>
    <s v="0-3months"/>
    <x v="1"/>
  </r>
  <r>
    <n v="1124"/>
    <d v="2023-07-07T00:00:00"/>
    <s v="Standard"/>
    <n v="399"/>
    <n v="2.7"/>
    <n v="1"/>
    <n v="4"/>
    <n v="17"/>
    <n v="10"/>
    <s v="Yes"/>
    <s v="Yes"/>
    <s v="Yes"/>
    <s v="No"/>
    <s v="No"/>
    <s v="No"/>
    <m/>
    <s v="1+ Failures"/>
    <n v="1"/>
    <s v="0-5 hrs"/>
    <s v="12+ months"/>
    <x v="1"/>
  </r>
  <r>
    <n v="1125"/>
    <d v="2023-11-30T00:00:00"/>
    <s v="Standard"/>
    <n v="399"/>
    <n v="4.3"/>
    <n v="6"/>
    <n v="5"/>
    <n v="6"/>
    <n v="10"/>
    <s v="Yes"/>
    <s v="Yes"/>
    <s v="Yes"/>
    <s v="Yes"/>
    <s v="No"/>
    <s v="No"/>
    <m/>
    <s v="1+ Failures"/>
    <n v="1"/>
    <s v="0-5 hrs"/>
    <s v="3-6months"/>
    <x v="1"/>
  </r>
  <r>
    <n v="1126"/>
    <d v="2024-02-27T00:00:00"/>
    <s v="Basic"/>
    <n v="199"/>
    <n v="18"/>
    <n v="4"/>
    <n v="3"/>
    <n v="2"/>
    <n v="6"/>
    <s v="Yes"/>
    <s v="No"/>
    <s v="Yes"/>
    <s v="No"/>
    <s v="No"/>
    <s v="Yes"/>
    <m/>
    <s v="1+ Failures"/>
    <n v="1"/>
    <s v="10-20hrs"/>
    <s v="0-3months"/>
    <x v="1"/>
  </r>
  <r>
    <n v="1127"/>
    <d v="2024-09-03T00:00:00"/>
    <s v="Standard"/>
    <n v="399"/>
    <n v="9.6999999999999993"/>
    <n v="1"/>
    <n v="0"/>
    <n v="17"/>
    <n v="12"/>
    <s v="No"/>
    <s v="No"/>
    <s v="No"/>
    <s v="No"/>
    <s v="No"/>
    <s v="No"/>
    <m/>
    <s v="0 Failures"/>
    <n v="0"/>
    <s v="5-10 hrs"/>
    <s v="12+ months"/>
    <x v="1"/>
  </r>
  <r>
    <n v="1128"/>
    <d v="2023-03-04T00:00:00"/>
    <s v="Premium"/>
    <n v="699"/>
    <n v="12.6"/>
    <n v="8"/>
    <n v="3"/>
    <n v="16"/>
    <n v="60"/>
    <s v="Yes"/>
    <s v="No"/>
    <s v="Yes"/>
    <s v="Yes"/>
    <s v="Yes"/>
    <s v="No"/>
    <m/>
    <s v="1+ Failures"/>
    <n v="1"/>
    <s v="10-20hrs"/>
    <s v="12+ months"/>
    <x v="0"/>
  </r>
  <r>
    <n v="1129"/>
    <d v="2023-08-28T00:00:00"/>
    <s v="Standard"/>
    <n v="399"/>
    <n v="14.1"/>
    <n v="1"/>
    <n v="3"/>
    <n v="30"/>
    <n v="1"/>
    <s v="No"/>
    <s v="No"/>
    <s v="Yes"/>
    <s v="No"/>
    <s v="No"/>
    <s v="No"/>
    <m/>
    <s v="1+ Failures"/>
    <n v="0"/>
    <s v="10-20hrs"/>
    <s v="12+ months"/>
    <x v="1"/>
  </r>
  <r>
    <n v="1130"/>
    <d v="2023-05-09T00:00:00"/>
    <s v="Basic"/>
    <n v="199"/>
    <n v="14.1"/>
    <n v="1"/>
    <n v="1"/>
    <n v="18"/>
    <n v="48"/>
    <s v="No"/>
    <s v="No"/>
    <s v="Yes"/>
    <s v="No"/>
    <s v="Yes"/>
    <s v="No"/>
    <m/>
    <s v="1+ Failures"/>
    <n v="0"/>
    <s v="10-20hrs"/>
    <s v="12+ months"/>
    <x v="1"/>
  </r>
  <r>
    <n v="1131"/>
    <d v="2024-01-18T00:00:00"/>
    <s v="Standard"/>
    <n v="399"/>
    <n v="11.4"/>
    <n v="8"/>
    <n v="1"/>
    <n v="27"/>
    <n v="50"/>
    <s v="No"/>
    <s v="No"/>
    <s v="Yes"/>
    <s v="Yes"/>
    <s v="Yes"/>
    <s v="No"/>
    <m/>
    <s v="1+ Failures"/>
    <n v="0"/>
    <s v="10-20hrs"/>
    <s v="12+ months"/>
    <x v="1"/>
  </r>
  <r>
    <n v="1132"/>
    <d v="2023-02-12T00:00:00"/>
    <s v="Premium"/>
    <n v="699"/>
    <n v="19.7"/>
    <n v="8"/>
    <n v="3"/>
    <n v="11"/>
    <n v="58"/>
    <s v="Yes"/>
    <s v="No"/>
    <s v="Yes"/>
    <s v="Yes"/>
    <s v="Yes"/>
    <s v="No"/>
    <m/>
    <s v="1+ Failures"/>
    <n v="1"/>
    <s v="10-20hrs"/>
    <s v="6-12months"/>
    <x v="0"/>
  </r>
  <r>
    <n v="1133"/>
    <d v="2024-05-08T00:00:00"/>
    <s v="Basic"/>
    <n v="199"/>
    <n v="24"/>
    <n v="4"/>
    <n v="5"/>
    <n v="30"/>
    <n v="10"/>
    <s v="Yes"/>
    <s v="No"/>
    <s v="Yes"/>
    <s v="No"/>
    <s v="No"/>
    <s v="No"/>
    <m/>
    <s v="1+ Failures"/>
    <n v="1"/>
    <s v="20+ hrs"/>
    <s v="12+ months"/>
    <x v="1"/>
  </r>
  <r>
    <n v="1134"/>
    <d v="2024-08-22T00:00:00"/>
    <s v="Standard"/>
    <n v="399"/>
    <n v="21.1"/>
    <n v="6"/>
    <n v="2"/>
    <n v="17"/>
    <n v="53"/>
    <s v="Yes"/>
    <s v="No"/>
    <s v="Yes"/>
    <s v="Yes"/>
    <s v="Yes"/>
    <s v="No"/>
    <m/>
    <s v="1+ Failures"/>
    <n v="1"/>
    <s v="20+ hrs"/>
    <s v="12+ months"/>
    <x v="1"/>
  </r>
  <r>
    <n v="1135"/>
    <d v="2024-02-09T00:00:00"/>
    <s v="Premium"/>
    <n v="699"/>
    <n v="1.6"/>
    <n v="8"/>
    <n v="4"/>
    <n v="19"/>
    <n v="4"/>
    <s v="Yes"/>
    <s v="Yes"/>
    <s v="Yes"/>
    <s v="Yes"/>
    <s v="No"/>
    <s v="No"/>
    <m/>
    <s v="1+ Failures"/>
    <n v="1"/>
    <s v="0-5 hrs"/>
    <s v="12+ months"/>
    <x v="0"/>
  </r>
  <r>
    <n v="1136"/>
    <d v="2024-09-17T00:00:00"/>
    <s v="Premium"/>
    <n v="699"/>
    <n v="20.8"/>
    <n v="8"/>
    <n v="2"/>
    <n v="8"/>
    <n v="56"/>
    <s v="Yes"/>
    <s v="No"/>
    <s v="Yes"/>
    <s v="Yes"/>
    <s v="Yes"/>
    <s v="No"/>
    <m/>
    <s v="1+ Failures"/>
    <n v="1"/>
    <s v="20+ hrs"/>
    <s v="6-12months"/>
    <x v="0"/>
  </r>
  <r>
    <n v="1137"/>
    <d v="2024-12-25T00:00:00"/>
    <s v="Premium"/>
    <n v="699"/>
    <n v="22.2"/>
    <n v="5"/>
    <n v="5"/>
    <n v="21"/>
    <n v="16"/>
    <s v="No"/>
    <s v="No"/>
    <s v="Yes"/>
    <s v="Yes"/>
    <s v="Yes"/>
    <s v="No"/>
    <m/>
    <s v="1+ Failures"/>
    <n v="0"/>
    <s v="20+ hrs"/>
    <s v="12+ months"/>
    <x v="0"/>
  </r>
  <r>
    <n v="1138"/>
    <d v="2024-09-05T00:00:00"/>
    <s v="Standard"/>
    <n v="399"/>
    <n v="6.5"/>
    <n v="5"/>
    <n v="2"/>
    <n v="18"/>
    <n v="13"/>
    <s v="Yes"/>
    <s v="No"/>
    <s v="Yes"/>
    <s v="Yes"/>
    <s v="No"/>
    <s v="No"/>
    <m/>
    <s v="1+ Failures"/>
    <n v="1"/>
    <s v="5-10 hrs"/>
    <s v="12+ months"/>
    <x v="1"/>
  </r>
  <r>
    <n v="1139"/>
    <d v="2024-05-02T00:00:00"/>
    <s v="Standard"/>
    <n v="399"/>
    <n v="22.9"/>
    <n v="2"/>
    <n v="5"/>
    <n v="2"/>
    <n v="59"/>
    <s v="Yes"/>
    <s v="No"/>
    <s v="Yes"/>
    <s v="No"/>
    <s v="Yes"/>
    <s v="Yes"/>
    <m/>
    <s v="1+ Failures"/>
    <n v="1"/>
    <s v="20+ hrs"/>
    <s v="0-3months"/>
    <x v="1"/>
  </r>
  <r>
    <n v="1140"/>
    <d v="2024-05-15T00:00:00"/>
    <s v="Basic"/>
    <n v="199"/>
    <n v="17"/>
    <n v="6"/>
    <n v="4"/>
    <n v="1"/>
    <n v="57"/>
    <s v="Yes"/>
    <s v="No"/>
    <s v="Yes"/>
    <s v="Yes"/>
    <s v="Yes"/>
    <s v="Yes"/>
    <m/>
    <s v="1+ Failures"/>
    <n v="1"/>
    <s v="10-20hrs"/>
    <s v="0-3months"/>
    <x v="1"/>
  </r>
  <r>
    <n v="1141"/>
    <d v="2024-11-18T00:00:00"/>
    <s v="Standard"/>
    <n v="399"/>
    <n v="2.5"/>
    <n v="1"/>
    <n v="4"/>
    <n v="35"/>
    <n v="1"/>
    <s v="No"/>
    <s v="Yes"/>
    <s v="Yes"/>
    <s v="No"/>
    <s v="No"/>
    <s v="No"/>
    <m/>
    <s v="1+ Failures"/>
    <n v="0"/>
    <s v="0-5 hrs"/>
    <s v="12+ months"/>
    <x v="1"/>
  </r>
  <r>
    <n v="1142"/>
    <d v="2024-12-14T00:00:00"/>
    <s v="Standard"/>
    <n v="399"/>
    <n v="9.1"/>
    <n v="6"/>
    <n v="4"/>
    <n v="8"/>
    <n v="22"/>
    <s v="Yes"/>
    <s v="No"/>
    <s v="Yes"/>
    <s v="Yes"/>
    <s v="Yes"/>
    <s v="No"/>
    <m/>
    <s v="1+ Failures"/>
    <n v="1"/>
    <s v="5-10 hrs"/>
    <s v="6-12months"/>
    <x v="1"/>
  </r>
  <r>
    <n v="1143"/>
    <d v="2023-01-21T00:00:00"/>
    <s v="Basic"/>
    <n v="199"/>
    <n v="11.8"/>
    <n v="3"/>
    <n v="3"/>
    <n v="8"/>
    <n v="0"/>
    <s v="Yes"/>
    <s v="No"/>
    <s v="Yes"/>
    <s v="No"/>
    <s v="No"/>
    <s v="No"/>
    <m/>
    <s v="1+ Failures"/>
    <n v="1"/>
    <s v="10-20hrs"/>
    <s v="6-12months"/>
    <x v="1"/>
  </r>
  <r>
    <n v="1144"/>
    <d v="2024-05-20T00:00:00"/>
    <s v="Standard"/>
    <n v="399"/>
    <n v="5.2"/>
    <n v="4"/>
    <n v="5"/>
    <n v="23"/>
    <n v="14"/>
    <s v="Yes"/>
    <s v="No"/>
    <s v="Yes"/>
    <s v="No"/>
    <s v="No"/>
    <s v="No"/>
    <m/>
    <s v="1+ Failures"/>
    <n v="1"/>
    <s v="5-10 hrs"/>
    <s v="12+ months"/>
    <x v="1"/>
  </r>
  <r>
    <n v="1145"/>
    <d v="2024-10-15T00:00:00"/>
    <s v="Standard"/>
    <n v="399"/>
    <n v="7.4"/>
    <n v="3"/>
    <n v="0"/>
    <n v="3"/>
    <n v="12"/>
    <s v="No"/>
    <s v="No"/>
    <s v="No"/>
    <s v="No"/>
    <s v="No"/>
    <s v="Yes"/>
    <m/>
    <s v="0 Failures"/>
    <n v="0"/>
    <s v="5-10 hrs"/>
    <s v="0-3months"/>
    <x v="1"/>
  </r>
  <r>
    <n v="1146"/>
    <d v="2024-11-06T00:00:00"/>
    <s v="Standard"/>
    <n v="399"/>
    <n v="21.8"/>
    <n v="8"/>
    <n v="3"/>
    <n v="8"/>
    <n v="10"/>
    <s v="No"/>
    <s v="No"/>
    <s v="Yes"/>
    <s v="Yes"/>
    <s v="No"/>
    <s v="No"/>
    <m/>
    <s v="1+ Failures"/>
    <n v="0"/>
    <s v="20+ hrs"/>
    <s v="6-12months"/>
    <x v="1"/>
  </r>
  <r>
    <n v="1147"/>
    <d v="2024-08-06T00:00:00"/>
    <s v="Premium"/>
    <n v="699"/>
    <n v="2.1"/>
    <n v="2"/>
    <n v="5"/>
    <n v="12"/>
    <n v="4"/>
    <s v="Yes"/>
    <s v="Yes"/>
    <s v="Yes"/>
    <s v="No"/>
    <s v="No"/>
    <s v="No"/>
    <m/>
    <s v="1+ Failures"/>
    <n v="1"/>
    <s v="0-5 hrs"/>
    <s v="6-12months"/>
    <x v="0"/>
  </r>
  <r>
    <n v="1148"/>
    <d v="2024-12-10T00:00:00"/>
    <s v="Basic"/>
    <n v="199"/>
    <n v="18.399999999999999"/>
    <n v="4"/>
    <n v="1"/>
    <n v="34"/>
    <n v="54"/>
    <s v="No"/>
    <s v="No"/>
    <s v="Yes"/>
    <s v="No"/>
    <s v="Yes"/>
    <s v="No"/>
    <m/>
    <s v="1+ Failures"/>
    <n v="0"/>
    <s v="10-20hrs"/>
    <s v="12+ months"/>
    <x v="1"/>
  </r>
  <r>
    <n v="1149"/>
    <d v="2024-10-18T00:00:00"/>
    <s v="Premium"/>
    <n v="699"/>
    <n v="15.6"/>
    <n v="8"/>
    <n v="3"/>
    <n v="35"/>
    <n v="0"/>
    <s v="No"/>
    <s v="No"/>
    <s v="Yes"/>
    <s v="Yes"/>
    <s v="No"/>
    <s v="No"/>
    <m/>
    <s v="1+ Failures"/>
    <n v="0"/>
    <s v="10-20hrs"/>
    <s v="12+ months"/>
    <x v="0"/>
  </r>
  <r>
    <n v="1150"/>
    <d v="2023-10-08T00:00:00"/>
    <s v="Premium"/>
    <n v="699"/>
    <n v="21.4"/>
    <n v="5"/>
    <n v="3"/>
    <n v="4"/>
    <n v="54"/>
    <s v="No"/>
    <s v="No"/>
    <s v="Yes"/>
    <s v="Yes"/>
    <s v="Yes"/>
    <s v="Yes"/>
    <m/>
    <s v="1+ Failures"/>
    <n v="0"/>
    <s v="20+ hrs"/>
    <s v="3-6months"/>
    <x v="0"/>
  </r>
  <r>
    <n v="1151"/>
    <d v="2023-08-18T00:00:00"/>
    <s v="Basic"/>
    <n v="199"/>
    <n v="11.9"/>
    <n v="5"/>
    <n v="4"/>
    <n v="34"/>
    <n v="48"/>
    <s v="Yes"/>
    <s v="No"/>
    <s v="Yes"/>
    <s v="Yes"/>
    <s v="Yes"/>
    <s v="No"/>
    <m/>
    <s v="1+ Failures"/>
    <n v="1"/>
    <s v="10-20hrs"/>
    <s v="12+ months"/>
    <x v="1"/>
  </r>
  <r>
    <n v="1152"/>
    <d v="2023-07-19T00:00:00"/>
    <s v="Basic"/>
    <n v="199"/>
    <n v="23"/>
    <n v="8"/>
    <n v="3"/>
    <n v="18"/>
    <n v="20"/>
    <s v="Yes"/>
    <s v="No"/>
    <s v="Yes"/>
    <s v="Yes"/>
    <s v="Yes"/>
    <s v="No"/>
    <m/>
    <s v="1+ Failures"/>
    <n v="1"/>
    <s v="20+ hrs"/>
    <s v="12+ months"/>
    <x v="1"/>
  </r>
  <r>
    <n v="1153"/>
    <d v="2024-03-09T00:00:00"/>
    <s v="Standard"/>
    <n v="399"/>
    <n v="22.1"/>
    <n v="0"/>
    <n v="5"/>
    <n v="6"/>
    <n v="14"/>
    <s v="No"/>
    <s v="No"/>
    <s v="Yes"/>
    <s v="No"/>
    <s v="No"/>
    <s v="No"/>
    <m/>
    <s v="1+ Failures"/>
    <n v="0"/>
    <s v="20+ hrs"/>
    <s v="3-6months"/>
    <x v="1"/>
  </r>
  <r>
    <n v="1154"/>
    <d v="2023-04-10T00:00:00"/>
    <s v="Basic"/>
    <n v="199"/>
    <n v="5.3"/>
    <n v="5"/>
    <n v="2"/>
    <n v="16"/>
    <n v="4"/>
    <s v="No"/>
    <s v="No"/>
    <s v="Yes"/>
    <s v="Yes"/>
    <s v="No"/>
    <s v="No"/>
    <m/>
    <s v="1+ Failures"/>
    <n v="0"/>
    <s v="5-10 hrs"/>
    <s v="12+ months"/>
    <x v="1"/>
  </r>
  <r>
    <n v="1155"/>
    <d v="2023-12-09T00:00:00"/>
    <s v="Basic"/>
    <n v="199"/>
    <n v="11.1"/>
    <n v="0"/>
    <n v="4"/>
    <n v="31"/>
    <n v="51"/>
    <s v="No"/>
    <s v="No"/>
    <s v="Yes"/>
    <s v="No"/>
    <s v="Yes"/>
    <s v="No"/>
    <m/>
    <s v="1+ Failures"/>
    <n v="0"/>
    <s v="10-20hrs"/>
    <s v="12+ months"/>
    <x v="1"/>
  </r>
  <r>
    <n v="1156"/>
    <d v="2023-12-08T00:00:00"/>
    <s v="Standard"/>
    <n v="399"/>
    <n v="3.1"/>
    <n v="3"/>
    <n v="2"/>
    <n v="16"/>
    <n v="53"/>
    <s v="Yes"/>
    <s v="Yes"/>
    <s v="Yes"/>
    <s v="No"/>
    <s v="Yes"/>
    <s v="No"/>
    <m/>
    <s v="1+ Failures"/>
    <n v="1"/>
    <s v="0-5 hrs"/>
    <s v="12+ months"/>
    <x v="1"/>
  </r>
  <r>
    <n v="1157"/>
    <d v="2023-05-08T00:00:00"/>
    <s v="Premium"/>
    <n v="699"/>
    <n v="23.6"/>
    <n v="7"/>
    <n v="0"/>
    <n v="16"/>
    <n v="40"/>
    <s v="Yes"/>
    <s v="No"/>
    <s v="No"/>
    <s v="Yes"/>
    <s v="Yes"/>
    <s v="No"/>
    <m/>
    <s v="0 Failures"/>
    <n v="1"/>
    <s v="20+ hrs"/>
    <s v="12+ months"/>
    <x v="0"/>
  </r>
  <r>
    <n v="1158"/>
    <d v="2023-03-08T00:00:00"/>
    <s v="Basic"/>
    <n v="199"/>
    <n v="23"/>
    <n v="6"/>
    <n v="2"/>
    <n v="4"/>
    <n v="56"/>
    <s v="No"/>
    <s v="No"/>
    <s v="Yes"/>
    <s v="Yes"/>
    <s v="Yes"/>
    <s v="Yes"/>
    <m/>
    <s v="1+ Failures"/>
    <n v="0"/>
    <s v="20+ hrs"/>
    <s v="3-6months"/>
    <x v="1"/>
  </r>
  <r>
    <n v="1159"/>
    <d v="2024-03-18T00:00:00"/>
    <s v="Basic"/>
    <n v="199"/>
    <n v="23"/>
    <n v="7"/>
    <n v="0"/>
    <n v="4"/>
    <n v="19"/>
    <s v="No"/>
    <s v="No"/>
    <s v="No"/>
    <s v="Yes"/>
    <s v="Yes"/>
    <s v="Yes"/>
    <m/>
    <s v="0 Failures"/>
    <n v="0"/>
    <s v="20+ hrs"/>
    <s v="3-6months"/>
    <x v="1"/>
  </r>
  <r>
    <n v="1160"/>
    <d v="2024-02-16T00:00:00"/>
    <s v="Basic"/>
    <n v="199"/>
    <n v="17.100000000000001"/>
    <n v="8"/>
    <n v="0"/>
    <n v="7"/>
    <n v="18"/>
    <s v="No"/>
    <s v="No"/>
    <s v="No"/>
    <s v="Yes"/>
    <s v="Yes"/>
    <s v="No"/>
    <m/>
    <s v="0 Failures"/>
    <n v="0"/>
    <s v="10-20hrs"/>
    <s v="6-12months"/>
    <x v="1"/>
  </r>
  <r>
    <n v="1161"/>
    <d v="2024-03-14T00:00:00"/>
    <s v="Basic"/>
    <n v="199"/>
    <n v="6.2"/>
    <n v="0"/>
    <n v="3"/>
    <n v="27"/>
    <n v="24"/>
    <s v="Yes"/>
    <s v="No"/>
    <s v="Yes"/>
    <s v="No"/>
    <s v="Yes"/>
    <s v="No"/>
    <m/>
    <s v="1+ Failures"/>
    <n v="1"/>
    <s v="5-10 hrs"/>
    <s v="12+ months"/>
    <x v="1"/>
  </r>
  <r>
    <n v="1162"/>
    <d v="2023-07-17T00:00:00"/>
    <s v="Premium"/>
    <n v="699"/>
    <n v="8.8000000000000007"/>
    <n v="0"/>
    <n v="3"/>
    <n v="7"/>
    <n v="33"/>
    <s v="Yes"/>
    <s v="No"/>
    <s v="Yes"/>
    <s v="No"/>
    <s v="Yes"/>
    <s v="No"/>
    <m/>
    <s v="1+ Failures"/>
    <n v="1"/>
    <s v="5-10 hrs"/>
    <s v="6-12months"/>
    <x v="0"/>
  </r>
  <r>
    <n v="1163"/>
    <d v="2024-08-09T00:00:00"/>
    <s v="Basic"/>
    <n v="199"/>
    <n v="0.8"/>
    <n v="1"/>
    <n v="4"/>
    <n v="7"/>
    <n v="50"/>
    <s v="Yes"/>
    <s v="Yes"/>
    <s v="Yes"/>
    <s v="No"/>
    <s v="Yes"/>
    <s v="No"/>
    <m/>
    <s v="1+ Failures"/>
    <n v="1"/>
    <s v="0-5 hrs"/>
    <s v="6-12months"/>
    <x v="1"/>
  </r>
  <r>
    <n v="1164"/>
    <d v="2023-07-10T00:00:00"/>
    <s v="Basic"/>
    <n v="199"/>
    <n v="6.8"/>
    <n v="6"/>
    <n v="3"/>
    <n v="33"/>
    <n v="46"/>
    <s v="Yes"/>
    <s v="No"/>
    <s v="Yes"/>
    <s v="Yes"/>
    <s v="Yes"/>
    <s v="No"/>
    <m/>
    <s v="1+ Failures"/>
    <n v="1"/>
    <s v="5-10 hrs"/>
    <s v="12+ months"/>
    <x v="1"/>
  </r>
  <r>
    <n v="1165"/>
    <d v="2024-06-09T00:00:00"/>
    <s v="Basic"/>
    <n v="199"/>
    <n v="20"/>
    <n v="0"/>
    <n v="1"/>
    <n v="9"/>
    <n v="19"/>
    <s v="No"/>
    <s v="No"/>
    <s v="Yes"/>
    <s v="No"/>
    <s v="Yes"/>
    <s v="No"/>
    <m/>
    <s v="1+ Failures"/>
    <n v="0"/>
    <s v="10-20hrs"/>
    <s v="6-12months"/>
    <x v="1"/>
  </r>
  <r>
    <n v="1166"/>
    <d v="2024-09-09T00:00:00"/>
    <s v="Premium"/>
    <n v="699"/>
    <n v="8.1"/>
    <n v="8"/>
    <n v="1"/>
    <n v="23"/>
    <n v="9"/>
    <s v="No"/>
    <s v="No"/>
    <s v="Yes"/>
    <s v="Yes"/>
    <s v="No"/>
    <s v="No"/>
    <m/>
    <s v="1+ Failures"/>
    <n v="0"/>
    <s v="5-10 hrs"/>
    <s v="12+ months"/>
    <x v="0"/>
  </r>
  <r>
    <n v="1167"/>
    <d v="2023-05-29T00:00:00"/>
    <s v="Standard"/>
    <n v="399"/>
    <n v="9.5"/>
    <n v="0"/>
    <n v="4"/>
    <n v="19"/>
    <n v="37"/>
    <s v="No"/>
    <s v="No"/>
    <s v="Yes"/>
    <s v="No"/>
    <s v="Yes"/>
    <s v="No"/>
    <m/>
    <s v="1+ Failures"/>
    <n v="0"/>
    <s v="5-10 hrs"/>
    <s v="12+ months"/>
    <x v="1"/>
  </r>
  <r>
    <n v="1168"/>
    <d v="2023-07-25T00:00:00"/>
    <s v="Basic"/>
    <n v="199"/>
    <n v="12.9"/>
    <n v="8"/>
    <n v="0"/>
    <n v="16"/>
    <n v="27"/>
    <s v="Yes"/>
    <s v="No"/>
    <s v="No"/>
    <s v="Yes"/>
    <s v="Yes"/>
    <s v="No"/>
    <m/>
    <s v="0 Failures"/>
    <n v="1"/>
    <s v="10-20hrs"/>
    <s v="12+ months"/>
    <x v="1"/>
  </r>
  <r>
    <n v="1169"/>
    <d v="2024-12-09T00:00:00"/>
    <s v="Premium"/>
    <n v="699"/>
    <n v="19.7"/>
    <n v="5"/>
    <n v="1"/>
    <n v="13"/>
    <n v="42"/>
    <s v="Yes"/>
    <s v="No"/>
    <s v="Yes"/>
    <s v="Yes"/>
    <s v="Yes"/>
    <s v="No"/>
    <m/>
    <s v="1+ Failures"/>
    <n v="1"/>
    <s v="10-20hrs"/>
    <s v="12+ months"/>
    <x v="0"/>
  </r>
  <r>
    <n v="1170"/>
    <d v="2023-06-16T00:00:00"/>
    <s v="Standard"/>
    <n v="399"/>
    <n v="21.4"/>
    <n v="5"/>
    <n v="4"/>
    <n v="22"/>
    <n v="19"/>
    <s v="Yes"/>
    <s v="No"/>
    <s v="Yes"/>
    <s v="Yes"/>
    <s v="Yes"/>
    <s v="No"/>
    <m/>
    <s v="1+ Failures"/>
    <n v="1"/>
    <s v="20+ hrs"/>
    <s v="12+ months"/>
    <x v="1"/>
  </r>
  <r>
    <n v="1171"/>
    <d v="2024-10-16T00:00:00"/>
    <s v="Basic"/>
    <n v="199"/>
    <n v="22"/>
    <n v="0"/>
    <n v="3"/>
    <n v="30"/>
    <n v="14"/>
    <s v="No"/>
    <s v="No"/>
    <s v="Yes"/>
    <s v="No"/>
    <s v="No"/>
    <s v="No"/>
    <m/>
    <s v="1+ Failures"/>
    <n v="0"/>
    <s v="20+ hrs"/>
    <s v="12+ months"/>
    <x v="1"/>
  </r>
  <r>
    <n v="1172"/>
    <d v="2023-12-06T00:00:00"/>
    <s v="Basic"/>
    <n v="199"/>
    <n v="11.9"/>
    <n v="3"/>
    <n v="1"/>
    <n v="15"/>
    <n v="30"/>
    <s v="No"/>
    <s v="No"/>
    <s v="Yes"/>
    <s v="No"/>
    <s v="Yes"/>
    <s v="No"/>
    <m/>
    <s v="1+ Failures"/>
    <n v="0"/>
    <s v="10-20hrs"/>
    <s v="12+ months"/>
    <x v="1"/>
  </r>
  <r>
    <n v="1173"/>
    <d v="2024-01-02T00:00:00"/>
    <s v="Premium"/>
    <n v="699"/>
    <n v="5.5"/>
    <n v="2"/>
    <n v="0"/>
    <n v="25"/>
    <n v="23"/>
    <s v="Yes"/>
    <s v="No"/>
    <s v="No"/>
    <s v="No"/>
    <s v="Yes"/>
    <s v="No"/>
    <m/>
    <s v="0 Failures"/>
    <n v="1"/>
    <s v="5-10 hrs"/>
    <s v="12+ months"/>
    <x v="0"/>
  </r>
  <r>
    <n v="1174"/>
    <d v="2024-01-04T00:00:00"/>
    <s v="Basic"/>
    <n v="199"/>
    <n v="3.3"/>
    <n v="4"/>
    <n v="3"/>
    <n v="36"/>
    <n v="12"/>
    <s v="Yes"/>
    <s v="Yes"/>
    <s v="Yes"/>
    <s v="No"/>
    <s v="No"/>
    <s v="No"/>
    <m/>
    <s v="1+ Failures"/>
    <n v="1"/>
    <s v="0-5 hrs"/>
    <s v="12+ months"/>
    <x v="1"/>
  </r>
  <r>
    <n v="1175"/>
    <d v="2023-06-28T00:00:00"/>
    <s v="Basic"/>
    <n v="199"/>
    <n v="5.4"/>
    <n v="4"/>
    <n v="1"/>
    <n v="2"/>
    <n v="14"/>
    <s v="No"/>
    <s v="No"/>
    <s v="Yes"/>
    <s v="No"/>
    <s v="No"/>
    <s v="Yes"/>
    <m/>
    <s v="1+ Failures"/>
    <n v="0"/>
    <s v="5-10 hrs"/>
    <s v="0-3months"/>
    <x v="1"/>
  </r>
  <r>
    <n v="1176"/>
    <d v="2023-04-14T00:00:00"/>
    <s v="Standard"/>
    <n v="399"/>
    <n v="6.5"/>
    <n v="3"/>
    <n v="0"/>
    <n v="36"/>
    <n v="11"/>
    <s v="No"/>
    <s v="No"/>
    <s v="No"/>
    <s v="No"/>
    <s v="No"/>
    <s v="No"/>
    <m/>
    <s v="0 Failures"/>
    <n v="0"/>
    <s v="5-10 hrs"/>
    <s v="12+ months"/>
    <x v="1"/>
  </r>
  <r>
    <n v="1177"/>
    <d v="2024-04-12T00:00:00"/>
    <s v="Basic"/>
    <n v="199"/>
    <n v="9.8000000000000007"/>
    <n v="1"/>
    <n v="2"/>
    <n v="9"/>
    <n v="59"/>
    <s v="Yes"/>
    <s v="No"/>
    <s v="Yes"/>
    <s v="No"/>
    <s v="Yes"/>
    <s v="No"/>
    <m/>
    <s v="1+ Failures"/>
    <n v="1"/>
    <s v="5-10 hrs"/>
    <s v="6-12months"/>
    <x v="1"/>
  </r>
  <r>
    <n v="1178"/>
    <d v="2024-03-20T00:00:00"/>
    <s v="Basic"/>
    <n v="199"/>
    <n v="20.3"/>
    <n v="2"/>
    <n v="4"/>
    <n v="24"/>
    <n v="51"/>
    <s v="No"/>
    <s v="No"/>
    <s v="Yes"/>
    <s v="No"/>
    <s v="Yes"/>
    <s v="No"/>
    <m/>
    <s v="1+ Failures"/>
    <n v="0"/>
    <s v="20+ hrs"/>
    <s v="12+ months"/>
    <x v="1"/>
  </r>
  <r>
    <n v="1179"/>
    <d v="2024-12-12T00:00:00"/>
    <s v="Premium"/>
    <n v="699"/>
    <n v="3.4"/>
    <n v="2"/>
    <n v="1"/>
    <n v="5"/>
    <n v="12"/>
    <s v="No"/>
    <s v="Yes"/>
    <s v="Yes"/>
    <s v="No"/>
    <s v="No"/>
    <s v="Yes"/>
    <m/>
    <s v="1+ Failures"/>
    <n v="0"/>
    <s v="0-5 hrs"/>
    <s v="3-6months"/>
    <x v="0"/>
  </r>
  <r>
    <n v="1180"/>
    <d v="2023-07-13T00:00:00"/>
    <s v="Standard"/>
    <n v="399"/>
    <n v="15.2"/>
    <n v="3"/>
    <n v="0"/>
    <n v="21"/>
    <n v="48"/>
    <s v="No"/>
    <s v="No"/>
    <s v="No"/>
    <s v="No"/>
    <s v="Yes"/>
    <s v="No"/>
    <m/>
    <s v="0 Failures"/>
    <n v="0"/>
    <s v="10-20hrs"/>
    <s v="12+ months"/>
    <x v="1"/>
  </r>
  <r>
    <n v="1181"/>
    <d v="2023-10-14T00:00:00"/>
    <s v="Premium"/>
    <n v="699"/>
    <n v="19.8"/>
    <n v="5"/>
    <n v="1"/>
    <n v="19"/>
    <n v="3"/>
    <s v="No"/>
    <s v="No"/>
    <s v="Yes"/>
    <s v="Yes"/>
    <s v="No"/>
    <s v="No"/>
    <m/>
    <s v="1+ Failures"/>
    <n v="0"/>
    <s v="10-20hrs"/>
    <s v="12+ months"/>
    <x v="0"/>
  </r>
  <r>
    <n v="1182"/>
    <d v="2024-04-26T00:00:00"/>
    <s v="Basic"/>
    <n v="199"/>
    <n v="24.2"/>
    <n v="7"/>
    <n v="1"/>
    <n v="33"/>
    <n v="46"/>
    <s v="Yes"/>
    <s v="No"/>
    <s v="Yes"/>
    <s v="Yes"/>
    <s v="Yes"/>
    <s v="No"/>
    <m/>
    <s v="1+ Failures"/>
    <n v="1"/>
    <s v="20+ hrs"/>
    <s v="12+ months"/>
    <x v="1"/>
  </r>
  <r>
    <n v="1183"/>
    <d v="2024-05-25T00:00:00"/>
    <s v="Premium"/>
    <n v="699"/>
    <n v="4.5999999999999996"/>
    <n v="6"/>
    <n v="5"/>
    <n v="5"/>
    <n v="48"/>
    <s v="Yes"/>
    <s v="Yes"/>
    <s v="Yes"/>
    <s v="Yes"/>
    <s v="Yes"/>
    <s v="Yes"/>
    <m/>
    <s v="1+ Failures"/>
    <n v="1"/>
    <s v="0-5 hrs"/>
    <s v="3-6months"/>
    <x v="0"/>
  </r>
  <r>
    <n v="1184"/>
    <d v="2024-05-21T00:00:00"/>
    <s v="Premium"/>
    <n v="699"/>
    <n v="4.9000000000000004"/>
    <n v="5"/>
    <n v="4"/>
    <n v="30"/>
    <n v="44"/>
    <s v="Yes"/>
    <s v="Yes"/>
    <s v="Yes"/>
    <s v="Yes"/>
    <s v="Yes"/>
    <s v="No"/>
    <m/>
    <s v="1+ Failures"/>
    <n v="1"/>
    <s v="0-5 hrs"/>
    <s v="12+ months"/>
    <x v="0"/>
  </r>
  <r>
    <n v="1185"/>
    <d v="2024-04-07T00:00:00"/>
    <s v="Standard"/>
    <n v="399"/>
    <n v="14.7"/>
    <n v="0"/>
    <n v="1"/>
    <n v="18"/>
    <n v="14"/>
    <s v="No"/>
    <s v="No"/>
    <s v="Yes"/>
    <s v="No"/>
    <s v="No"/>
    <s v="No"/>
    <m/>
    <s v="1+ Failures"/>
    <n v="0"/>
    <s v="10-20hrs"/>
    <s v="12+ months"/>
    <x v="1"/>
  </r>
  <r>
    <n v="1186"/>
    <d v="2024-01-19T00:00:00"/>
    <s v="Basic"/>
    <n v="199"/>
    <n v="5.9"/>
    <n v="6"/>
    <n v="3"/>
    <n v="26"/>
    <n v="36"/>
    <s v="Yes"/>
    <s v="No"/>
    <s v="Yes"/>
    <s v="Yes"/>
    <s v="Yes"/>
    <s v="No"/>
    <m/>
    <s v="1+ Failures"/>
    <n v="1"/>
    <s v="5-10 hrs"/>
    <s v="12+ months"/>
    <x v="1"/>
  </r>
  <r>
    <n v="1187"/>
    <d v="2023-08-24T00:00:00"/>
    <s v="Standard"/>
    <n v="399"/>
    <n v="2.6"/>
    <n v="1"/>
    <n v="2"/>
    <n v="36"/>
    <n v="28"/>
    <s v="Yes"/>
    <s v="Yes"/>
    <s v="Yes"/>
    <s v="No"/>
    <s v="Yes"/>
    <s v="No"/>
    <m/>
    <s v="1+ Failures"/>
    <n v="1"/>
    <s v="0-5 hrs"/>
    <s v="12+ months"/>
    <x v="1"/>
  </r>
  <r>
    <n v="1188"/>
    <d v="2024-02-23T00:00:00"/>
    <s v="Premium"/>
    <n v="699"/>
    <n v="11.9"/>
    <n v="5"/>
    <n v="3"/>
    <n v="3"/>
    <n v="28"/>
    <s v="Yes"/>
    <s v="No"/>
    <s v="Yes"/>
    <s v="Yes"/>
    <s v="Yes"/>
    <s v="Yes"/>
    <m/>
    <s v="1+ Failures"/>
    <n v="1"/>
    <s v="10-20hrs"/>
    <s v="0-3months"/>
    <x v="0"/>
  </r>
  <r>
    <n v="1189"/>
    <d v="2023-09-29T00:00:00"/>
    <s v="Standard"/>
    <n v="399"/>
    <n v="8.3000000000000007"/>
    <n v="6"/>
    <n v="0"/>
    <n v="32"/>
    <n v="11"/>
    <s v="No"/>
    <s v="No"/>
    <s v="No"/>
    <s v="Yes"/>
    <s v="No"/>
    <s v="No"/>
    <m/>
    <s v="0 Failures"/>
    <n v="0"/>
    <s v="5-10 hrs"/>
    <s v="12+ months"/>
    <x v="1"/>
  </r>
  <r>
    <n v="1190"/>
    <d v="2024-07-13T00:00:00"/>
    <s v="Premium"/>
    <n v="699"/>
    <n v="9.3000000000000007"/>
    <n v="1"/>
    <n v="2"/>
    <n v="5"/>
    <n v="53"/>
    <s v="Yes"/>
    <s v="No"/>
    <s v="Yes"/>
    <s v="No"/>
    <s v="Yes"/>
    <s v="Yes"/>
    <m/>
    <s v="1+ Failures"/>
    <n v="1"/>
    <s v="5-10 hrs"/>
    <s v="3-6months"/>
    <x v="0"/>
  </r>
  <r>
    <n v="1191"/>
    <d v="2023-02-09T00:00:00"/>
    <s v="Premium"/>
    <n v="699"/>
    <n v="19.8"/>
    <n v="3"/>
    <n v="0"/>
    <n v="6"/>
    <n v="7"/>
    <s v="Yes"/>
    <s v="No"/>
    <s v="No"/>
    <s v="No"/>
    <s v="No"/>
    <s v="No"/>
    <m/>
    <s v="0 Failures"/>
    <n v="1"/>
    <s v="10-20hrs"/>
    <s v="3-6months"/>
    <x v="0"/>
  </r>
  <r>
    <n v="1192"/>
    <d v="2024-11-30T00:00:00"/>
    <s v="Premium"/>
    <n v="699"/>
    <n v="8.6999999999999993"/>
    <n v="5"/>
    <n v="2"/>
    <n v="13"/>
    <n v="19"/>
    <s v="No"/>
    <s v="No"/>
    <s v="Yes"/>
    <s v="Yes"/>
    <s v="Yes"/>
    <s v="No"/>
    <m/>
    <s v="1+ Failures"/>
    <n v="0"/>
    <s v="5-10 hrs"/>
    <s v="12+ months"/>
    <x v="0"/>
  </r>
  <r>
    <n v="1193"/>
    <d v="2023-09-25T00:00:00"/>
    <s v="Standard"/>
    <n v="399"/>
    <n v="17.8"/>
    <n v="2"/>
    <n v="5"/>
    <n v="13"/>
    <n v="47"/>
    <s v="Yes"/>
    <s v="No"/>
    <s v="Yes"/>
    <s v="No"/>
    <s v="Yes"/>
    <s v="No"/>
    <m/>
    <s v="1+ Failures"/>
    <n v="1"/>
    <s v="10-20hrs"/>
    <s v="12+ months"/>
    <x v="1"/>
  </r>
  <r>
    <n v="1194"/>
    <d v="2024-08-16T00:00:00"/>
    <s v="Basic"/>
    <n v="199"/>
    <n v="7.4"/>
    <n v="5"/>
    <n v="3"/>
    <n v="20"/>
    <n v="60"/>
    <s v="Yes"/>
    <s v="No"/>
    <s v="Yes"/>
    <s v="Yes"/>
    <s v="Yes"/>
    <s v="No"/>
    <m/>
    <s v="1+ Failures"/>
    <n v="1"/>
    <s v="5-10 hrs"/>
    <s v="12+ months"/>
    <x v="1"/>
  </r>
  <r>
    <n v="1195"/>
    <d v="2023-08-21T00:00:00"/>
    <s v="Premium"/>
    <n v="699"/>
    <n v="12.1"/>
    <n v="8"/>
    <n v="1"/>
    <n v="1"/>
    <n v="55"/>
    <s v="Yes"/>
    <s v="No"/>
    <s v="Yes"/>
    <s v="Yes"/>
    <s v="Yes"/>
    <s v="Yes"/>
    <m/>
    <s v="1+ Failures"/>
    <n v="1"/>
    <s v="10-20hrs"/>
    <s v="0-3months"/>
    <x v="0"/>
  </r>
  <r>
    <n v="1196"/>
    <d v="2024-04-24T00:00:00"/>
    <s v="Premium"/>
    <n v="699"/>
    <n v="12.1"/>
    <n v="8"/>
    <n v="4"/>
    <n v="14"/>
    <n v="50"/>
    <s v="Yes"/>
    <s v="No"/>
    <s v="Yes"/>
    <s v="Yes"/>
    <s v="Yes"/>
    <s v="No"/>
    <m/>
    <s v="1+ Failures"/>
    <n v="1"/>
    <s v="10-20hrs"/>
    <s v="12+ months"/>
    <x v="0"/>
  </r>
  <r>
    <n v="1197"/>
    <d v="2024-12-15T00:00:00"/>
    <s v="Premium"/>
    <n v="699"/>
    <n v="8.8000000000000007"/>
    <n v="1"/>
    <n v="2"/>
    <n v="30"/>
    <n v="54"/>
    <s v="Yes"/>
    <s v="No"/>
    <s v="Yes"/>
    <s v="No"/>
    <s v="Yes"/>
    <s v="No"/>
    <m/>
    <s v="1+ Failures"/>
    <n v="1"/>
    <s v="5-10 hrs"/>
    <s v="12+ months"/>
    <x v="0"/>
  </r>
  <r>
    <n v="1198"/>
    <d v="2023-05-12T00:00:00"/>
    <s v="Standard"/>
    <n v="399"/>
    <n v="11.2"/>
    <n v="8"/>
    <n v="0"/>
    <n v="14"/>
    <n v="23"/>
    <s v="Yes"/>
    <s v="No"/>
    <s v="No"/>
    <s v="Yes"/>
    <s v="Yes"/>
    <s v="No"/>
    <m/>
    <s v="0 Failures"/>
    <n v="1"/>
    <s v="10-20hrs"/>
    <s v="12+ months"/>
    <x v="1"/>
  </r>
  <r>
    <n v="1199"/>
    <d v="2024-12-03T00:00:00"/>
    <s v="Standard"/>
    <n v="399"/>
    <n v="12.7"/>
    <n v="5"/>
    <n v="2"/>
    <n v="1"/>
    <n v="14"/>
    <s v="Yes"/>
    <s v="No"/>
    <s v="Yes"/>
    <s v="Yes"/>
    <s v="No"/>
    <s v="Yes"/>
    <m/>
    <s v="1+ Failures"/>
    <n v="1"/>
    <s v="10-20hrs"/>
    <s v="0-3months"/>
    <x v="1"/>
  </r>
  <r>
    <n v="1200"/>
    <d v="2023-05-23T00:00:00"/>
    <s v="Standard"/>
    <n v="399"/>
    <n v="7.8"/>
    <n v="0"/>
    <n v="4"/>
    <n v="35"/>
    <n v="50"/>
    <s v="Yes"/>
    <s v="No"/>
    <s v="Yes"/>
    <s v="No"/>
    <s v="Yes"/>
    <s v="No"/>
    <m/>
    <s v="1+ Failures"/>
    <n v="1"/>
    <s v="5-10 hrs"/>
    <s v="12+ months"/>
    <x v="1"/>
  </r>
  <r>
    <n v="1201"/>
    <d v="2023-03-07T00:00:00"/>
    <s v="Basic"/>
    <n v="199"/>
    <n v="14.4"/>
    <n v="6"/>
    <n v="3"/>
    <n v="22"/>
    <n v="13"/>
    <s v="No"/>
    <s v="No"/>
    <s v="Yes"/>
    <s v="Yes"/>
    <s v="No"/>
    <s v="No"/>
    <m/>
    <s v="1+ Failures"/>
    <n v="0"/>
    <s v="10-20hrs"/>
    <s v="12+ months"/>
    <x v="1"/>
  </r>
  <r>
    <n v="1202"/>
    <d v="2024-10-16T00:00:00"/>
    <s v="Premium"/>
    <n v="699"/>
    <n v="5.0999999999999996"/>
    <n v="1"/>
    <n v="2"/>
    <n v="25"/>
    <n v="36"/>
    <s v="No"/>
    <s v="No"/>
    <s v="Yes"/>
    <s v="No"/>
    <s v="Yes"/>
    <s v="No"/>
    <m/>
    <s v="1+ Failures"/>
    <n v="0"/>
    <s v="5-10 hrs"/>
    <s v="12+ months"/>
    <x v="0"/>
  </r>
  <r>
    <n v="1203"/>
    <d v="2024-09-09T00:00:00"/>
    <s v="Standard"/>
    <n v="399"/>
    <n v="4.7"/>
    <n v="8"/>
    <n v="1"/>
    <n v="6"/>
    <n v="2"/>
    <s v="No"/>
    <s v="Yes"/>
    <s v="Yes"/>
    <s v="Yes"/>
    <s v="No"/>
    <s v="No"/>
    <m/>
    <s v="1+ Failures"/>
    <n v="0"/>
    <s v="0-5 hrs"/>
    <s v="3-6months"/>
    <x v="1"/>
  </r>
  <r>
    <n v="1204"/>
    <d v="2023-10-26T00:00:00"/>
    <s v="Standard"/>
    <n v="399"/>
    <n v="5.0999999999999996"/>
    <n v="1"/>
    <n v="3"/>
    <n v="2"/>
    <n v="18"/>
    <s v="Yes"/>
    <s v="No"/>
    <s v="Yes"/>
    <s v="No"/>
    <s v="Yes"/>
    <s v="Yes"/>
    <m/>
    <s v="1+ Failures"/>
    <n v="1"/>
    <s v="5-10 hrs"/>
    <s v="0-3months"/>
    <x v="1"/>
  </r>
  <r>
    <n v="1205"/>
    <d v="2023-12-01T00:00:00"/>
    <s v="Premium"/>
    <n v="699"/>
    <n v="2.2000000000000002"/>
    <n v="0"/>
    <n v="2"/>
    <n v="34"/>
    <n v="33"/>
    <s v="Yes"/>
    <s v="Yes"/>
    <s v="Yes"/>
    <s v="No"/>
    <s v="Yes"/>
    <s v="No"/>
    <m/>
    <s v="1+ Failures"/>
    <n v="1"/>
    <s v="0-5 hrs"/>
    <s v="12+ months"/>
    <x v="0"/>
  </r>
  <r>
    <n v="1206"/>
    <d v="2023-03-12T00:00:00"/>
    <s v="Standard"/>
    <n v="399"/>
    <n v="4.3"/>
    <n v="1"/>
    <n v="1"/>
    <n v="26"/>
    <n v="34"/>
    <s v="Yes"/>
    <s v="Yes"/>
    <s v="Yes"/>
    <s v="No"/>
    <s v="Yes"/>
    <s v="No"/>
    <m/>
    <s v="1+ Failures"/>
    <n v="1"/>
    <s v="0-5 hrs"/>
    <s v="12+ months"/>
    <x v="1"/>
  </r>
  <r>
    <n v="1207"/>
    <d v="2024-11-11T00:00:00"/>
    <s v="Standard"/>
    <n v="399"/>
    <n v="3.7"/>
    <n v="3"/>
    <n v="2"/>
    <n v="14"/>
    <n v="27"/>
    <s v="Yes"/>
    <s v="Yes"/>
    <s v="Yes"/>
    <s v="No"/>
    <s v="Yes"/>
    <s v="No"/>
    <m/>
    <s v="1+ Failures"/>
    <n v="1"/>
    <s v="0-5 hrs"/>
    <s v="12+ months"/>
    <x v="1"/>
  </r>
  <r>
    <n v="1208"/>
    <d v="2024-12-02T00:00:00"/>
    <s v="Standard"/>
    <n v="399"/>
    <n v="15.3"/>
    <n v="4"/>
    <n v="4"/>
    <n v="11"/>
    <n v="12"/>
    <s v="No"/>
    <s v="No"/>
    <s v="Yes"/>
    <s v="No"/>
    <s v="No"/>
    <s v="No"/>
    <m/>
    <s v="1+ Failures"/>
    <n v="0"/>
    <s v="10-20hrs"/>
    <s v="6-12months"/>
    <x v="1"/>
  </r>
  <r>
    <n v="1209"/>
    <d v="2024-09-11T00:00:00"/>
    <s v="Standard"/>
    <n v="399"/>
    <n v="5.4"/>
    <n v="2"/>
    <n v="3"/>
    <n v="18"/>
    <n v="4"/>
    <s v="No"/>
    <s v="No"/>
    <s v="Yes"/>
    <s v="No"/>
    <s v="No"/>
    <s v="No"/>
    <m/>
    <s v="1+ Failures"/>
    <n v="0"/>
    <s v="5-10 hrs"/>
    <s v="12+ months"/>
    <x v="1"/>
  </r>
  <r>
    <n v="1210"/>
    <d v="2023-04-04T00:00:00"/>
    <s v="Basic"/>
    <n v="199"/>
    <n v="8.6"/>
    <n v="7"/>
    <n v="3"/>
    <n v="34"/>
    <n v="29"/>
    <s v="Yes"/>
    <s v="No"/>
    <s v="Yes"/>
    <s v="Yes"/>
    <s v="Yes"/>
    <s v="No"/>
    <m/>
    <s v="1+ Failures"/>
    <n v="1"/>
    <s v="5-10 hrs"/>
    <s v="12+ months"/>
    <x v="1"/>
  </r>
  <r>
    <n v="1211"/>
    <d v="2023-06-29T00:00:00"/>
    <s v="Standard"/>
    <n v="399"/>
    <n v="9"/>
    <n v="4"/>
    <n v="3"/>
    <n v="30"/>
    <n v="39"/>
    <s v="No"/>
    <s v="No"/>
    <s v="Yes"/>
    <s v="No"/>
    <s v="Yes"/>
    <s v="No"/>
    <m/>
    <s v="1+ Failures"/>
    <n v="0"/>
    <s v="5-10 hrs"/>
    <s v="12+ months"/>
    <x v="1"/>
  </r>
  <r>
    <n v="1212"/>
    <d v="2023-07-07T00:00:00"/>
    <s v="Standard"/>
    <n v="399"/>
    <n v="4.9000000000000004"/>
    <n v="6"/>
    <n v="3"/>
    <n v="16"/>
    <n v="24"/>
    <s v="Yes"/>
    <s v="Yes"/>
    <s v="Yes"/>
    <s v="Yes"/>
    <s v="Yes"/>
    <s v="No"/>
    <m/>
    <s v="1+ Failures"/>
    <n v="1"/>
    <s v="0-5 hrs"/>
    <s v="12+ months"/>
    <x v="1"/>
  </r>
  <r>
    <n v="1213"/>
    <d v="2023-10-08T00:00:00"/>
    <s v="Premium"/>
    <n v="699"/>
    <n v="10.1"/>
    <n v="0"/>
    <n v="1"/>
    <n v="7"/>
    <n v="56"/>
    <s v="No"/>
    <s v="No"/>
    <s v="Yes"/>
    <s v="No"/>
    <s v="Yes"/>
    <s v="No"/>
    <m/>
    <s v="1+ Failures"/>
    <n v="0"/>
    <s v="10-20hrs"/>
    <s v="6-12months"/>
    <x v="0"/>
  </r>
  <r>
    <n v="1214"/>
    <d v="2023-08-11T00:00:00"/>
    <s v="Premium"/>
    <n v="699"/>
    <n v="7.7"/>
    <n v="1"/>
    <n v="5"/>
    <n v="35"/>
    <n v="46"/>
    <s v="No"/>
    <s v="No"/>
    <s v="Yes"/>
    <s v="No"/>
    <s v="Yes"/>
    <s v="No"/>
    <m/>
    <s v="1+ Failures"/>
    <n v="0"/>
    <s v="5-10 hrs"/>
    <s v="12+ months"/>
    <x v="0"/>
  </r>
  <r>
    <n v="1215"/>
    <d v="2023-04-18T00:00:00"/>
    <s v="Standard"/>
    <n v="399"/>
    <n v="24.8"/>
    <n v="8"/>
    <n v="0"/>
    <n v="27"/>
    <n v="23"/>
    <s v="Yes"/>
    <s v="No"/>
    <s v="No"/>
    <s v="Yes"/>
    <s v="Yes"/>
    <s v="No"/>
    <m/>
    <s v="0 Failures"/>
    <n v="1"/>
    <s v="20+ hrs"/>
    <s v="12+ months"/>
    <x v="1"/>
  </r>
  <r>
    <n v="1216"/>
    <d v="2024-04-18T00:00:00"/>
    <s v="Premium"/>
    <n v="699"/>
    <n v="10.5"/>
    <n v="2"/>
    <n v="2"/>
    <n v="21"/>
    <n v="13"/>
    <s v="No"/>
    <s v="No"/>
    <s v="Yes"/>
    <s v="No"/>
    <s v="No"/>
    <s v="No"/>
    <m/>
    <s v="1+ Failures"/>
    <n v="0"/>
    <s v="10-20hrs"/>
    <s v="12+ months"/>
    <x v="0"/>
  </r>
  <r>
    <n v="1217"/>
    <d v="2023-07-19T00:00:00"/>
    <s v="Basic"/>
    <n v="199"/>
    <n v="16.2"/>
    <n v="7"/>
    <n v="3"/>
    <n v="5"/>
    <n v="21"/>
    <s v="Yes"/>
    <s v="No"/>
    <s v="Yes"/>
    <s v="Yes"/>
    <s v="Yes"/>
    <s v="Yes"/>
    <m/>
    <s v="1+ Failures"/>
    <n v="1"/>
    <s v="10-20hrs"/>
    <s v="3-6months"/>
    <x v="1"/>
  </r>
  <r>
    <n v="1218"/>
    <d v="2024-11-17T00:00:00"/>
    <s v="Standard"/>
    <n v="399"/>
    <n v="0.8"/>
    <n v="1"/>
    <n v="5"/>
    <n v="3"/>
    <n v="58"/>
    <s v="Yes"/>
    <s v="Yes"/>
    <s v="Yes"/>
    <s v="No"/>
    <s v="Yes"/>
    <s v="Yes"/>
    <m/>
    <s v="1+ Failures"/>
    <n v="1"/>
    <s v="0-5 hrs"/>
    <s v="0-3months"/>
    <x v="1"/>
  </r>
  <r>
    <n v="1219"/>
    <d v="2024-12-31T00:00:00"/>
    <s v="Premium"/>
    <n v="699"/>
    <n v="12.4"/>
    <n v="1"/>
    <n v="0"/>
    <n v="30"/>
    <n v="35"/>
    <s v="No"/>
    <s v="No"/>
    <s v="No"/>
    <s v="No"/>
    <s v="Yes"/>
    <s v="No"/>
    <m/>
    <s v="0 Failures"/>
    <n v="0"/>
    <s v="10-20hrs"/>
    <s v="12+ months"/>
    <x v="0"/>
  </r>
  <r>
    <n v="1220"/>
    <d v="2024-09-13T00:00:00"/>
    <s v="Standard"/>
    <n v="399"/>
    <n v="12"/>
    <n v="4"/>
    <n v="1"/>
    <n v="9"/>
    <n v="10"/>
    <s v="No"/>
    <s v="No"/>
    <s v="Yes"/>
    <s v="No"/>
    <s v="No"/>
    <s v="No"/>
    <m/>
    <s v="1+ Failures"/>
    <n v="0"/>
    <s v="10-20hrs"/>
    <s v="6-12months"/>
    <x v="1"/>
  </r>
  <r>
    <n v="1221"/>
    <d v="2024-11-18T00:00:00"/>
    <s v="Basic"/>
    <n v="199"/>
    <n v="7.7"/>
    <n v="8"/>
    <n v="5"/>
    <n v="12"/>
    <n v="25"/>
    <s v="Yes"/>
    <s v="No"/>
    <s v="Yes"/>
    <s v="Yes"/>
    <s v="Yes"/>
    <s v="No"/>
    <m/>
    <s v="1+ Failures"/>
    <n v="1"/>
    <s v="5-10 hrs"/>
    <s v="6-12months"/>
    <x v="1"/>
  </r>
  <r>
    <n v="1222"/>
    <d v="2024-11-22T00:00:00"/>
    <s v="Basic"/>
    <n v="199"/>
    <n v="4.3"/>
    <n v="5"/>
    <n v="1"/>
    <n v="18"/>
    <n v="13"/>
    <s v="No"/>
    <s v="Yes"/>
    <s v="Yes"/>
    <s v="Yes"/>
    <s v="No"/>
    <s v="No"/>
    <m/>
    <s v="1+ Failures"/>
    <n v="0"/>
    <s v="0-5 hrs"/>
    <s v="12+ months"/>
    <x v="1"/>
  </r>
  <r>
    <n v="1223"/>
    <d v="2024-11-09T00:00:00"/>
    <s v="Premium"/>
    <n v="699"/>
    <n v="11.3"/>
    <n v="0"/>
    <n v="5"/>
    <n v="14"/>
    <n v="51"/>
    <s v="Yes"/>
    <s v="No"/>
    <s v="Yes"/>
    <s v="No"/>
    <s v="Yes"/>
    <s v="No"/>
    <m/>
    <s v="1+ Failures"/>
    <n v="1"/>
    <s v="10-20hrs"/>
    <s v="12+ months"/>
    <x v="0"/>
  </r>
  <r>
    <n v="1224"/>
    <d v="2023-02-19T00:00:00"/>
    <s v="Premium"/>
    <n v="699"/>
    <n v="10.1"/>
    <n v="4"/>
    <n v="3"/>
    <n v="7"/>
    <n v="3"/>
    <s v="No"/>
    <s v="No"/>
    <s v="Yes"/>
    <s v="No"/>
    <s v="No"/>
    <s v="No"/>
    <m/>
    <s v="1+ Failures"/>
    <n v="0"/>
    <s v="10-20hrs"/>
    <s v="6-12months"/>
    <x v="0"/>
  </r>
  <r>
    <n v="1225"/>
    <d v="2024-03-07T00:00:00"/>
    <s v="Standard"/>
    <n v="399"/>
    <n v="23.3"/>
    <n v="5"/>
    <n v="1"/>
    <n v="13"/>
    <n v="12"/>
    <s v="Yes"/>
    <s v="No"/>
    <s v="Yes"/>
    <s v="Yes"/>
    <s v="No"/>
    <s v="No"/>
    <m/>
    <s v="1+ Failures"/>
    <n v="1"/>
    <s v="20+ hrs"/>
    <s v="12+ months"/>
    <x v="1"/>
  </r>
  <r>
    <n v="1226"/>
    <d v="2023-04-09T00:00:00"/>
    <s v="Basic"/>
    <n v="199"/>
    <n v="8.8000000000000007"/>
    <n v="3"/>
    <n v="5"/>
    <n v="1"/>
    <n v="42"/>
    <s v="Yes"/>
    <s v="No"/>
    <s v="Yes"/>
    <s v="No"/>
    <s v="Yes"/>
    <s v="Yes"/>
    <m/>
    <s v="1+ Failures"/>
    <n v="1"/>
    <s v="5-10 hrs"/>
    <s v="0-3months"/>
    <x v="1"/>
  </r>
  <r>
    <n v="1227"/>
    <d v="2023-12-01T00:00:00"/>
    <s v="Premium"/>
    <n v="699"/>
    <n v="18.2"/>
    <n v="0"/>
    <n v="3"/>
    <n v="11"/>
    <n v="32"/>
    <s v="Yes"/>
    <s v="No"/>
    <s v="Yes"/>
    <s v="No"/>
    <s v="Yes"/>
    <s v="No"/>
    <m/>
    <s v="1+ Failures"/>
    <n v="1"/>
    <s v="10-20hrs"/>
    <s v="6-12months"/>
    <x v="0"/>
  </r>
  <r>
    <n v="1228"/>
    <d v="2023-05-04T00:00:00"/>
    <s v="Standard"/>
    <n v="399"/>
    <n v="15.9"/>
    <n v="3"/>
    <n v="4"/>
    <n v="36"/>
    <n v="25"/>
    <s v="No"/>
    <s v="No"/>
    <s v="Yes"/>
    <s v="No"/>
    <s v="Yes"/>
    <s v="No"/>
    <m/>
    <s v="1+ Failures"/>
    <n v="0"/>
    <s v="10-20hrs"/>
    <s v="12+ months"/>
    <x v="1"/>
  </r>
  <r>
    <n v="1229"/>
    <d v="2023-11-20T00:00:00"/>
    <s v="Basic"/>
    <n v="199"/>
    <n v="3.1"/>
    <n v="5"/>
    <n v="1"/>
    <n v="14"/>
    <n v="0"/>
    <s v="Yes"/>
    <s v="Yes"/>
    <s v="Yes"/>
    <s v="Yes"/>
    <s v="No"/>
    <s v="No"/>
    <m/>
    <s v="1+ Failures"/>
    <n v="1"/>
    <s v="0-5 hrs"/>
    <s v="12+ months"/>
    <x v="1"/>
  </r>
  <r>
    <n v="1230"/>
    <d v="2024-10-27T00:00:00"/>
    <s v="Basic"/>
    <n v="199"/>
    <n v="5.7"/>
    <n v="3"/>
    <n v="0"/>
    <n v="25"/>
    <n v="42"/>
    <s v="No"/>
    <s v="No"/>
    <s v="No"/>
    <s v="No"/>
    <s v="Yes"/>
    <s v="No"/>
    <m/>
    <s v="0 Failures"/>
    <n v="0"/>
    <s v="5-10 hrs"/>
    <s v="12+ months"/>
    <x v="1"/>
  </r>
  <r>
    <n v="1231"/>
    <d v="2024-05-26T00:00:00"/>
    <s v="Premium"/>
    <n v="699"/>
    <n v="1.6"/>
    <n v="3"/>
    <n v="3"/>
    <n v="24"/>
    <n v="19"/>
    <s v="No"/>
    <s v="Yes"/>
    <s v="Yes"/>
    <s v="No"/>
    <s v="Yes"/>
    <s v="No"/>
    <m/>
    <s v="1+ Failures"/>
    <n v="0"/>
    <s v="0-5 hrs"/>
    <s v="12+ months"/>
    <x v="0"/>
  </r>
  <r>
    <n v="1232"/>
    <d v="2024-10-08T00:00:00"/>
    <s v="Basic"/>
    <n v="199"/>
    <n v="19.899999999999999"/>
    <n v="2"/>
    <n v="2"/>
    <n v="35"/>
    <n v="6"/>
    <s v="No"/>
    <s v="No"/>
    <s v="Yes"/>
    <s v="No"/>
    <s v="No"/>
    <s v="No"/>
    <m/>
    <s v="1+ Failures"/>
    <n v="0"/>
    <s v="10-20hrs"/>
    <s v="12+ months"/>
    <x v="1"/>
  </r>
  <r>
    <n v="1233"/>
    <d v="2024-12-05T00:00:00"/>
    <s v="Premium"/>
    <n v="699"/>
    <n v="17.100000000000001"/>
    <n v="2"/>
    <n v="2"/>
    <n v="25"/>
    <n v="11"/>
    <s v="No"/>
    <s v="No"/>
    <s v="Yes"/>
    <s v="No"/>
    <s v="No"/>
    <s v="No"/>
    <m/>
    <s v="1+ Failures"/>
    <n v="0"/>
    <s v="10-20hrs"/>
    <s v="12+ months"/>
    <x v="0"/>
  </r>
  <r>
    <n v="1234"/>
    <d v="2024-01-27T00:00:00"/>
    <s v="Standard"/>
    <n v="399"/>
    <n v="2.2000000000000002"/>
    <n v="0"/>
    <n v="4"/>
    <n v="31"/>
    <n v="58"/>
    <s v="Yes"/>
    <s v="Yes"/>
    <s v="Yes"/>
    <s v="No"/>
    <s v="Yes"/>
    <s v="No"/>
    <m/>
    <s v="1+ Failures"/>
    <n v="1"/>
    <s v="0-5 hrs"/>
    <s v="12+ months"/>
    <x v="1"/>
  </r>
  <r>
    <n v="1235"/>
    <d v="2023-05-08T00:00:00"/>
    <s v="Premium"/>
    <n v="699"/>
    <n v="12.8"/>
    <n v="0"/>
    <n v="1"/>
    <n v="15"/>
    <n v="1"/>
    <s v="No"/>
    <s v="No"/>
    <s v="Yes"/>
    <s v="No"/>
    <s v="No"/>
    <s v="No"/>
    <m/>
    <s v="1+ Failures"/>
    <n v="0"/>
    <s v="10-20hrs"/>
    <s v="12+ months"/>
    <x v="0"/>
  </r>
  <r>
    <n v="1236"/>
    <d v="2024-01-19T00:00:00"/>
    <s v="Standard"/>
    <n v="399"/>
    <n v="18.600000000000001"/>
    <n v="3"/>
    <n v="4"/>
    <n v="16"/>
    <n v="5"/>
    <s v="Yes"/>
    <s v="No"/>
    <s v="Yes"/>
    <s v="No"/>
    <s v="No"/>
    <s v="No"/>
    <m/>
    <s v="1+ Failures"/>
    <n v="1"/>
    <s v="10-20hrs"/>
    <s v="12+ months"/>
    <x v="1"/>
  </r>
  <r>
    <n v="1237"/>
    <d v="2024-09-04T00:00:00"/>
    <s v="Standard"/>
    <n v="399"/>
    <n v="5.4"/>
    <n v="6"/>
    <n v="1"/>
    <n v="19"/>
    <n v="41"/>
    <s v="Yes"/>
    <s v="No"/>
    <s v="Yes"/>
    <s v="Yes"/>
    <s v="Yes"/>
    <s v="No"/>
    <m/>
    <s v="1+ Failures"/>
    <n v="1"/>
    <s v="5-10 hrs"/>
    <s v="12+ months"/>
    <x v="1"/>
  </r>
  <r>
    <n v="1238"/>
    <d v="2024-06-17T00:00:00"/>
    <s v="Standard"/>
    <n v="399"/>
    <n v="3.8"/>
    <n v="5"/>
    <n v="5"/>
    <n v="22"/>
    <n v="50"/>
    <s v="Yes"/>
    <s v="Yes"/>
    <s v="Yes"/>
    <s v="Yes"/>
    <s v="Yes"/>
    <s v="No"/>
    <m/>
    <s v="1+ Failures"/>
    <n v="1"/>
    <s v="0-5 hrs"/>
    <s v="12+ months"/>
    <x v="1"/>
  </r>
  <r>
    <n v="1239"/>
    <d v="2023-07-30T00:00:00"/>
    <s v="Standard"/>
    <n v="399"/>
    <n v="18.899999999999999"/>
    <n v="3"/>
    <n v="5"/>
    <n v="19"/>
    <n v="21"/>
    <s v="Yes"/>
    <s v="No"/>
    <s v="Yes"/>
    <s v="No"/>
    <s v="Yes"/>
    <s v="No"/>
    <m/>
    <s v="1+ Failures"/>
    <n v="1"/>
    <s v="10-20hrs"/>
    <s v="12+ months"/>
    <x v="1"/>
  </r>
  <r>
    <n v="1240"/>
    <d v="2024-09-14T00:00:00"/>
    <s v="Premium"/>
    <n v="699"/>
    <n v="22.7"/>
    <n v="3"/>
    <n v="5"/>
    <n v="4"/>
    <n v="44"/>
    <s v="No"/>
    <s v="No"/>
    <s v="Yes"/>
    <s v="No"/>
    <s v="Yes"/>
    <s v="Yes"/>
    <m/>
    <s v="1+ Failures"/>
    <n v="0"/>
    <s v="20+ hrs"/>
    <s v="3-6months"/>
    <x v="0"/>
  </r>
  <r>
    <n v="1241"/>
    <d v="2024-05-18T00:00:00"/>
    <s v="Standard"/>
    <n v="399"/>
    <n v="8.4"/>
    <n v="7"/>
    <n v="5"/>
    <n v="34"/>
    <n v="0"/>
    <s v="Yes"/>
    <s v="No"/>
    <s v="Yes"/>
    <s v="Yes"/>
    <s v="No"/>
    <s v="No"/>
    <m/>
    <s v="1+ Failures"/>
    <n v="1"/>
    <s v="5-10 hrs"/>
    <s v="12+ months"/>
    <x v="1"/>
  </r>
  <r>
    <n v="1242"/>
    <d v="2024-08-29T00:00:00"/>
    <s v="Basic"/>
    <n v="199"/>
    <n v="1.8"/>
    <n v="2"/>
    <n v="1"/>
    <n v="13"/>
    <n v="8"/>
    <s v="Yes"/>
    <s v="Yes"/>
    <s v="Yes"/>
    <s v="No"/>
    <s v="No"/>
    <s v="No"/>
    <m/>
    <s v="1+ Failures"/>
    <n v="1"/>
    <s v="0-5 hrs"/>
    <s v="12+ months"/>
    <x v="1"/>
  </r>
  <r>
    <n v="1243"/>
    <d v="2023-06-18T00:00:00"/>
    <s v="Premium"/>
    <n v="699"/>
    <n v="6.3"/>
    <n v="1"/>
    <n v="3"/>
    <n v="14"/>
    <n v="46"/>
    <s v="Yes"/>
    <s v="No"/>
    <s v="Yes"/>
    <s v="No"/>
    <s v="Yes"/>
    <s v="No"/>
    <m/>
    <s v="1+ Failures"/>
    <n v="1"/>
    <s v="5-10 hrs"/>
    <s v="12+ months"/>
    <x v="0"/>
  </r>
  <r>
    <n v="1244"/>
    <d v="2024-08-13T00:00:00"/>
    <s v="Premium"/>
    <n v="699"/>
    <n v="6.5"/>
    <n v="2"/>
    <n v="4"/>
    <n v="13"/>
    <n v="15"/>
    <s v="Yes"/>
    <s v="No"/>
    <s v="Yes"/>
    <s v="No"/>
    <s v="Yes"/>
    <s v="No"/>
    <m/>
    <s v="1+ Failures"/>
    <n v="1"/>
    <s v="5-10 hrs"/>
    <s v="12+ months"/>
    <x v="0"/>
  </r>
  <r>
    <n v="1245"/>
    <d v="2024-02-12T00:00:00"/>
    <s v="Standard"/>
    <n v="399"/>
    <n v="7.2"/>
    <n v="7"/>
    <n v="0"/>
    <n v="13"/>
    <n v="60"/>
    <s v="No"/>
    <s v="No"/>
    <s v="No"/>
    <s v="Yes"/>
    <s v="Yes"/>
    <s v="No"/>
    <m/>
    <s v="0 Failures"/>
    <n v="0"/>
    <s v="5-10 hrs"/>
    <s v="12+ months"/>
    <x v="1"/>
  </r>
  <r>
    <n v="1246"/>
    <d v="2023-06-09T00:00:00"/>
    <s v="Standard"/>
    <n v="399"/>
    <n v="12"/>
    <n v="6"/>
    <n v="4"/>
    <n v="11"/>
    <n v="39"/>
    <s v="Yes"/>
    <s v="No"/>
    <s v="Yes"/>
    <s v="Yes"/>
    <s v="Yes"/>
    <s v="No"/>
    <m/>
    <s v="1+ Failures"/>
    <n v="1"/>
    <s v="10-20hrs"/>
    <s v="6-12months"/>
    <x v="1"/>
  </r>
  <r>
    <n v="1247"/>
    <d v="2023-11-04T00:00:00"/>
    <s v="Standard"/>
    <n v="399"/>
    <n v="19.2"/>
    <n v="6"/>
    <n v="0"/>
    <n v="2"/>
    <n v="48"/>
    <s v="No"/>
    <s v="No"/>
    <s v="No"/>
    <s v="Yes"/>
    <s v="Yes"/>
    <s v="Yes"/>
    <m/>
    <s v="0 Failures"/>
    <n v="0"/>
    <s v="10-20hrs"/>
    <s v="0-3months"/>
    <x v="1"/>
  </r>
  <r>
    <n v="1248"/>
    <d v="2024-04-09T00:00:00"/>
    <s v="Premium"/>
    <n v="699"/>
    <n v="4.2"/>
    <n v="2"/>
    <n v="2"/>
    <n v="35"/>
    <n v="24"/>
    <s v="Yes"/>
    <s v="Yes"/>
    <s v="Yes"/>
    <s v="No"/>
    <s v="Yes"/>
    <s v="No"/>
    <m/>
    <s v="1+ Failures"/>
    <n v="1"/>
    <s v="0-5 hrs"/>
    <s v="12+ months"/>
    <x v="0"/>
  </r>
  <r>
    <n v="1249"/>
    <d v="2024-04-25T00:00:00"/>
    <s v="Standard"/>
    <n v="399"/>
    <n v="14.3"/>
    <n v="7"/>
    <n v="0"/>
    <n v="25"/>
    <n v="21"/>
    <s v="Yes"/>
    <s v="No"/>
    <s v="No"/>
    <s v="Yes"/>
    <s v="Yes"/>
    <s v="No"/>
    <m/>
    <s v="0 Failures"/>
    <n v="1"/>
    <s v="10-20hrs"/>
    <s v="12+ months"/>
    <x v="1"/>
  </r>
  <r>
    <n v="1250"/>
    <d v="2024-01-19T00:00:00"/>
    <s v="Basic"/>
    <n v="199"/>
    <n v="22.9"/>
    <n v="0"/>
    <n v="0"/>
    <n v="10"/>
    <n v="55"/>
    <s v="No"/>
    <s v="No"/>
    <s v="No"/>
    <s v="No"/>
    <s v="Yes"/>
    <s v="No"/>
    <m/>
    <s v="0 Failures"/>
    <n v="0"/>
    <s v="20+ hrs"/>
    <s v="6-12months"/>
    <x v="1"/>
  </r>
  <r>
    <n v="1251"/>
    <d v="2023-11-12T00:00:00"/>
    <s v="Standard"/>
    <n v="399"/>
    <n v="23.2"/>
    <n v="6"/>
    <n v="5"/>
    <n v="26"/>
    <n v="23"/>
    <s v="Yes"/>
    <s v="No"/>
    <s v="Yes"/>
    <s v="Yes"/>
    <s v="Yes"/>
    <s v="No"/>
    <m/>
    <s v="1+ Failures"/>
    <n v="1"/>
    <s v="20+ hrs"/>
    <s v="12+ months"/>
    <x v="1"/>
  </r>
  <r>
    <n v="1252"/>
    <d v="2023-06-16T00:00:00"/>
    <s v="Premium"/>
    <n v="699"/>
    <n v="10.5"/>
    <n v="0"/>
    <n v="0"/>
    <n v="5"/>
    <n v="24"/>
    <s v="No"/>
    <s v="No"/>
    <s v="No"/>
    <s v="No"/>
    <s v="Yes"/>
    <s v="Yes"/>
    <m/>
    <s v="0 Failures"/>
    <n v="0"/>
    <s v="10-20hrs"/>
    <s v="3-6months"/>
    <x v="0"/>
  </r>
  <r>
    <n v="1253"/>
    <d v="2024-12-06T00:00:00"/>
    <s v="Basic"/>
    <n v="199"/>
    <n v="23.9"/>
    <n v="5"/>
    <n v="4"/>
    <n v="28"/>
    <n v="45"/>
    <s v="Yes"/>
    <s v="No"/>
    <s v="Yes"/>
    <s v="Yes"/>
    <s v="Yes"/>
    <s v="No"/>
    <m/>
    <s v="1+ Failures"/>
    <n v="1"/>
    <s v="20+ hrs"/>
    <s v="12+ months"/>
    <x v="1"/>
  </r>
  <r>
    <n v="1254"/>
    <d v="2023-02-05T00:00:00"/>
    <s v="Standard"/>
    <n v="399"/>
    <n v="16.399999999999999"/>
    <n v="6"/>
    <n v="5"/>
    <n v="4"/>
    <n v="15"/>
    <s v="Yes"/>
    <s v="No"/>
    <s v="Yes"/>
    <s v="Yes"/>
    <s v="Yes"/>
    <s v="Yes"/>
    <m/>
    <s v="1+ Failures"/>
    <n v="1"/>
    <s v="10-20hrs"/>
    <s v="3-6months"/>
    <x v="1"/>
  </r>
  <r>
    <n v="1255"/>
    <d v="2024-11-28T00:00:00"/>
    <s v="Standard"/>
    <n v="399"/>
    <n v="17.600000000000001"/>
    <n v="2"/>
    <n v="2"/>
    <n v="2"/>
    <n v="38"/>
    <s v="Yes"/>
    <s v="No"/>
    <s v="Yes"/>
    <s v="No"/>
    <s v="Yes"/>
    <s v="Yes"/>
    <m/>
    <s v="1+ Failures"/>
    <n v="1"/>
    <s v="10-20hrs"/>
    <s v="0-3months"/>
    <x v="1"/>
  </r>
  <r>
    <n v="1256"/>
    <d v="2024-10-21T00:00:00"/>
    <s v="Basic"/>
    <n v="199"/>
    <n v="6.6"/>
    <n v="2"/>
    <n v="0"/>
    <n v="17"/>
    <n v="7"/>
    <s v="No"/>
    <s v="No"/>
    <s v="No"/>
    <s v="No"/>
    <s v="No"/>
    <s v="No"/>
    <m/>
    <s v="0 Failures"/>
    <n v="0"/>
    <s v="5-10 hrs"/>
    <s v="12+ months"/>
    <x v="1"/>
  </r>
  <r>
    <n v="1257"/>
    <d v="2024-03-09T00:00:00"/>
    <s v="Premium"/>
    <n v="699"/>
    <n v="10.199999999999999"/>
    <n v="1"/>
    <n v="4"/>
    <n v="25"/>
    <n v="58"/>
    <s v="Yes"/>
    <s v="No"/>
    <s v="Yes"/>
    <s v="No"/>
    <s v="Yes"/>
    <s v="No"/>
    <m/>
    <s v="1+ Failures"/>
    <n v="1"/>
    <s v="10-20hrs"/>
    <s v="12+ months"/>
    <x v="0"/>
  </r>
  <r>
    <n v="1258"/>
    <d v="2024-01-27T00:00:00"/>
    <s v="Basic"/>
    <n v="199"/>
    <n v="6.7"/>
    <n v="4"/>
    <n v="4"/>
    <n v="28"/>
    <n v="34"/>
    <s v="Yes"/>
    <s v="No"/>
    <s v="Yes"/>
    <s v="No"/>
    <s v="Yes"/>
    <s v="No"/>
    <m/>
    <s v="1+ Failures"/>
    <n v="1"/>
    <s v="5-10 hrs"/>
    <s v="12+ months"/>
    <x v="1"/>
  </r>
  <r>
    <n v="1259"/>
    <d v="2023-12-19T00:00:00"/>
    <s v="Premium"/>
    <n v="699"/>
    <n v="18.5"/>
    <n v="1"/>
    <n v="0"/>
    <n v="20"/>
    <n v="40"/>
    <s v="No"/>
    <s v="No"/>
    <s v="No"/>
    <s v="No"/>
    <s v="Yes"/>
    <s v="No"/>
    <m/>
    <s v="0 Failures"/>
    <n v="0"/>
    <s v="10-20hrs"/>
    <s v="12+ months"/>
    <x v="0"/>
  </r>
  <r>
    <n v="1260"/>
    <d v="2023-06-22T00:00:00"/>
    <s v="Basic"/>
    <n v="199"/>
    <n v="18.8"/>
    <n v="6"/>
    <n v="5"/>
    <n v="18"/>
    <n v="19"/>
    <s v="Yes"/>
    <s v="No"/>
    <s v="Yes"/>
    <s v="Yes"/>
    <s v="Yes"/>
    <s v="No"/>
    <m/>
    <s v="1+ Failures"/>
    <n v="1"/>
    <s v="10-20hrs"/>
    <s v="12+ months"/>
    <x v="1"/>
  </r>
  <r>
    <n v="1261"/>
    <d v="2024-03-17T00:00:00"/>
    <s v="Standard"/>
    <n v="399"/>
    <n v="2.9"/>
    <n v="6"/>
    <n v="4"/>
    <n v="1"/>
    <n v="26"/>
    <s v="Yes"/>
    <s v="Yes"/>
    <s v="Yes"/>
    <s v="Yes"/>
    <s v="Yes"/>
    <s v="Yes"/>
    <m/>
    <s v="1+ Failures"/>
    <n v="1"/>
    <s v="0-5 hrs"/>
    <s v="0-3months"/>
    <x v="1"/>
  </r>
  <r>
    <n v="1262"/>
    <d v="2023-04-23T00:00:00"/>
    <s v="Basic"/>
    <n v="199"/>
    <n v="9.6999999999999993"/>
    <n v="2"/>
    <n v="1"/>
    <n v="12"/>
    <n v="31"/>
    <s v="Yes"/>
    <s v="No"/>
    <s v="Yes"/>
    <s v="No"/>
    <s v="Yes"/>
    <s v="No"/>
    <m/>
    <s v="1+ Failures"/>
    <n v="1"/>
    <s v="5-10 hrs"/>
    <s v="6-12months"/>
    <x v="1"/>
  </r>
  <r>
    <n v="1263"/>
    <d v="2023-07-16T00:00:00"/>
    <s v="Standard"/>
    <n v="399"/>
    <n v="5"/>
    <n v="0"/>
    <n v="5"/>
    <n v="14"/>
    <n v="11"/>
    <s v="No"/>
    <s v="No"/>
    <s v="Yes"/>
    <s v="No"/>
    <s v="No"/>
    <s v="No"/>
    <m/>
    <s v="1+ Failures"/>
    <n v="0"/>
    <s v="0-5 hrs"/>
    <s v="12+ months"/>
    <x v="1"/>
  </r>
  <r>
    <n v="1264"/>
    <d v="2023-03-29T00:00:00"/>
    <s v="Standard"/>
    <n v="399"/>
    <n v="11.3"/>
    <n v="1"/>
    <n v="5"/>
    <n v="27"/>
    <n v="10"/>
    <s v="Yes"/>
    <s v="No"/>
    <s v="Yes"/>
    <s v="No"/>
    <s v="No"/>
    <s v="No"/>
    <m/>
    <s v="1+ Failures"/>
    <n v="1"/>
    <s v="10-20hrs"/>
    <s v="12+ months"/>
    <x v="1"/>
  </r>
  <r>
    <n v="1265"/>
    <d v="2024-05-11T00:00:00"/>
    <s v="Standard"/>
    <n v="399"/>
    <n v="7.3"/>
    <n v="5"/>
    <n v="0"/>
    <n v="8"/>
    <n v="37"/>
    <s v="Yes"/>
    <s v="No"/>
    <s v="No"/>
    <s v="Yes"/>
    <s v="Yes"/>
    <s v="No"/>
    <m/>
    <s v="0 Failures"/>
    <n v="1"/>
    <s v="5-10 hrs"/>
    <s v="6-12months"/>
    <x v="1"/>
  </r>
  <r>
    <n v="1266"/>
    <d v="2023-02-12T00:00:00"/>
    <s v="Premium"/>
    <n v="699"/>
    <n v="0.7"/>
    <n v="4"/>
    <n v="0"/>
    <n v="7"/>
    <n v="42"/>
    <s v="Yes"/>
    <s v="Yes"/>
    <s v="No"/>
    <s v="No"/>
    <s v="Yes"/>
    <s v="No"/>
    <m/>
    <s v="0 Failures"/>
    <n v="1"/>
    <s v="0-5 hrs"/>
    <s v="6-12months"/>
    <x v="0"/>
  </r>
  <r>
    <n v="1267"/>
    <d v="2023-09-30T00:00:00"/>
    <s v="Basic"/>
    <n v="199"/>
    <n v="13.3"/>
    <n v="0"/>
    <n v="3"/>
    <n v="14"/>
    <n v="38"/>
    <s v="Yes"/>
    <s v="No"/>
    <s v="Yes"/>
    <s v="No"/>
    <s v="Yes"/>
    <s v="No"/>
    <m/>
    <s v="1+ Failures"/>
    <n v="1"/>
    <s v="10-20hrs"/>
    <s v="12+ months"/>
    <x v="1"/>
  </r>
  <r>
    <n v="1268"/>
    <d v="2023-12-18T00:00:00"/>
    <s v="Standard"/>
    <n v="399"/>
    <n v="19"/>
    <n v="6"/>
    <n v="2"/>
    <n v="31"/>
    <n v="23"/>
    <s v="Yes"/>
    <s v="No"/>
    <s v="Yes"/>
    <s v="Yes"/>
    <s v="Yes"/>
    <s v="No"/>
    <m/>
    <s v="1+ Failures"/>
    <n v="1"/>
    <s v="10-20hrs"/>
    <s v="12+ months"/>
    <x v="1"/>
  </r>
  <r>
    <n v="1269"/>
    <d v="2023-12-31T00:00:00"/>
    <s v="Standard"/>
    <n v="399"/>
    <n v="23.6"/>
    <n v="6"/>
    <n v="3"/>
    <n v="16"/>
    <n v="39"/>
    <s v="Yes"/>
    <s v="No"/>
    <s v="Yes"/>
    <s v="Yes"/>
    <s v="Yes"/>
    <s v="No"/>
    <m/>
    <s v="1+ Failures"/>
    <n v="1"/>
    <s v="20+ hrs"/>
    <s v="12+ months"/>
    <x v="1"/>
  </r>
  <r>
    <n v="1270"/>
    <d v="2023-05-23T00:00:00"/>
    <s v="Standard"/>
    <n v="399"/>
    <n v="0.6"/>
    <n v="6"/>
    <n v="5"/>
    <n v="7"/>
    <n v="53"/>
    <s v="Yes"/>
    <s v="Yes"/>
    <s v="Yes"/>
    <s v="Yes"/>
    <s v="Yes"/>
    <s v="No"/>
    <m/>
    <s v="1+ Failures"/>
    <n v="1"/>
    <s v="0-5 hrs"/>
    <s v="6-12months"/>
    <x v="1"/>
  </r>
  <r>
    <n v="1271"/>
    <d v="2024-01-13T00:00:00"/>
    <s v="Basic"/>
    <n v="199"/>
    <n v="21.8"/>
    <n v="4"/>
    <n v="5"/>
    <n v="8"/>
    <n v="48"/>
    <s v="No"/>
    <s v="No"/>
    <s v="Yes"/>
    <s v="No"/>
    <s v="Yes"/>
    <s v="No"/>
    <m/>
    <s v="1+ Failures"/>
    <n v="0"/>
    <s v="20+ hrs"/>
    <s v="6-12months"/>
    <x v="1"/>
  </r>
  <r>
    <n v="1272"/>
    <d v="2023-11-26T00:00:00"/>
    <s v="Standard"/>
    <n v="399"/>
    <n v="13.1"/>
    <n v="3"/>
    <n v="0"/>
    <n v="31"/>
    <n v="40"/>
    <s v="No"/>
    <s v="No"/>
    <s v="No"/>
    <s v="No"/>
    <s v="Yes"/>
    <s v="No"/>
    <m/>
    <s v="0 Failures"/>
    <n v="0"/>
    <s v="10-20hrs"/>
    <s v="12+ months"/>
    <x v="1"/>
  </r>
  <r>
    <n v="1273"/>
    <d v="2024-05-11T00:00:00"/>
    <s v="Basic"/>
    <n v="199"/>
    <n v="21.9"/>
    <n v="5"/>
    <n v="5"/>
    <n v="24"/>
    <n v="28"/>
    <s v="Yes"/>
    <s v="No"/>
    <s v="Yes"/>
    <s v="Yes"/>
    <s v="Yes"/>
    <s v="No"/>
    <m/>
    <s v="1+ Failures"/>
    <n v="1"/>
    <s v="20+ hrs"/>
    <s v="12+ months"/>
    <x v="1"/>
  </r>
  <r>
    <n v="1274"/>
    <d v="2023-04-13T00:00:00"/>
    <s v="Standard"/>
    <n v="399"/>
    <n v="9"/>
    <n v="7"/>
    <n v="5"/>
    <n v="6"/>
    <n v="54"/>
    <s v="Yes"/>
    <s v="No"/>
    <s v="Yes"/>
    <s v="Yes"/>
    <s v="Yes"/>
    <s v="No"/>
    <m/>
    <s v="1+ Failures"/>
    <n v="1"/>
    <s v="5-10 hrs"/>
    <s v="3-6months"/>
    <x v="1"/>
  </r>
  <r>
    <n v="1275"/>
    <d v="2024-08-08T00:00:00"/>
    <s v="Premium"/>
    <n v="699"/>
    <n v="7.7"/>
    <n v="3"/>
    <n v="5"/>
    <n v="25"/>
    <n v="9"/>
    <s v="No"/>
    <s v="No"/>
    <s v="Yes"/>
    <s v="No"/>
    <s v="No"/>
    <s v="No"/>
    <m/>
    <s v="1+ Failures"/>
    <n v="0"/>
    <s v="5-10 hrs"/>
    <s v="12+ months"/>
    <x v="0"/>
  </r>
  <r>
    <n v="1276"/>
    <d v="2024-07-15T00:00:00"/>
    <s v="Premium"/>
    <n v="699"/>
    <n v="1.3"/>
    <n v="7"/>
    <n v="0"/>
    <n v="33"/>
    <n v="19"/>
    <s v="No"/>
    <s v="Yes"/>
    <s v="No"/>
    <s v="Yes"/>
    <s v="Yes"/>
    <s v="No"/>
    <m/>
    <s v="0 Failures"/>
    <n v="0"/>
    <s v="0-5 hrs"/>
    <s v="12+ months"/>
    <x v="0"/>
  </r>
  <r>
    <n v="1277"/>
    <d v="2023-09-07T00:00:00"/>
    <s v="Standard"/>
    <n v="399"/>
    <n v="22.5"/>
    <n v="1"/>
    <n v="3"/>
    <n v="11"/>
    <n v="42"/>
    <s v="Yes"/>
    <s v="No"/>
    <s v="Yes"/>
    <s v="No"/>
    <s v="Yes"/>
    <s v="No"/>
    <m/>
    <s v="1+ Failures"/>
    <n v="1"/>
    <s v="20+ hrs"/>
    <s v="6-12months"/>
    <x v="1"/>
  </r>
  <r>
    <n v="1278"/>
    <d v="2023-01-30T00:00:00"/>
    <s v="Basic"/>
    <n v="199"/>
    <n v="19"/>
    <n v="1"/>
    <n v="0"/>
    <n v="11"/>
    <n v="27"/>
    <s v="No"/>
    <s v="No"/>
    <s v="No"/>
    <s v="No"/>
    <s v="Yes"/>
    <s v="No"/>
    <m/>
    <s v="0 Failures"/>
    <n v="0"/>
    <s v="10-20hrs"/>
    <s v="6-12months"/>
    <x v="1"/>
  </r>
  <r>
    <n v="1279"/>
    <d v="2024-05-02T00:00:00"/>
    <s v="Basic"/>
    <n v="199"/>
    <n v="22.6"/>
    <n v="4"/>
    <n v="1"/>
    <n v="21"/>
    <n v="46"/>
    <s v="Yes"/>
    <s v="No"/>
    <s v="Yes"/>
    <s v="No"/>
    <s v="Yes"/>
    <s v="No"/>
    <m/>
    <s v="1+ Failures"/>
    <n v="1"/>
    <s v="20+ hrs"/>
    <s v="12+ months"/>
    <x v="1"/>
  </r>
  <r>
    <n v="1280"/>
    <d v="2024-12-09T00:00:00"/>
    <s v="Premium"/>
    <n v="699"/>
    <n v="16.8"/>
    <n v="8"/>
    <n v="5"/>
    <n v="8"/>
    <n v="46"/>
    <s v="Yes"/>
    <s v="No"/>
    <s v="Yes"/>
    <s v="Yes"/>
    <s v="Yes"/>
    <s v="No"/>
    <m/>
    <s v="1+ Failures"/>
    <n v="1"/>
    <s v="10-20hrs"/>
    <s v="6-12months"/>
    <x v="0"/>
  </r>
  <r>
    <n v="1281"/>
    <d v="2024-01-26T00:00:00"/>
    <s v="Standard"/>
    <n v="399"/>
    <n v="23.3"/>
    <n v="1"/>
    <n v="5"/>
    <n v="15"/>
    <n v="21"/>
    <s v="Yes"/>
    <s v="No"/>
    <s v="Yes"/>
    <s v="No"/>
    <s v="Yes"/>
    <s v="No"/>
    <m/>
    <s v="1+ Failures"/>
    <n v="1"/>
    <s v="20+ hrs"/>
    <s v="12+ months"/>
    <x v="1"/>
  </r>
  <r>
    <n v="1282"/>
    <d v="2023-10-25T00:00:00"/>
    <s v="Premium"/>
    <n v="699"/>
    <n v="24.2"/>
    <n v="6"/>
    <n v="1"/>
    <n v="36"/>
    <n v="14"/>
    <s v="No"/>
    <s v="No"/>
    <s v="Yes"/>
    <s v="Yes"/>
    <s v="No"/>
    <s v="No"/>
    <m/>
    <s v="1+ Failures"/>
    <n v="0"/>
    <s v="20+ hrs"/>
    <s v="12+ months"/>
    <x v="0"/>
  </r>
  <r>
    <n v="1283"/>
    <d v="2024-01-12T00:00:00"/>
    <s v="Basic"/>
    <n v="199"/>
    <n v="2.7"/>
    <n v="3"/>
    <n v="5"/>
    <n v="8"/>
    <n v="60"/>
    <s v="Yes"/>
    <s v="Yes"/>
    <s v="Yes"/>
    <s v="No"/>
    <s v="Yes"/>
    <s v="No"/>
    <m/>
    <s v="1+ Failures"/>
    <n v="1"/>
    <s v="0-5 hrs"/>
    <s v="6-12months"/>
    <x v="1"/>
  </r>
  <r>
    <n v="1284"/>
    <d v="2023-07-14T00:00:00"/>
    <s v="Basic"/>
    <n v="199"/>
    <n v="23.9"/>
    <n v="0"/>
    <n v="2"/>
    <n v="21"/>
    <n v="3"/>
    <s v="No"/>
    <s v="No"/>
    <s v="Yes"/>
    <s v="No"/>
    <s v="No"/>
    <s v="No"/>
    <m/>
    <s v="1+ Failures"/>
    <n v="0"/>
    <s v="20+ hrs"/>
    <s v="12+ months"/>
    <x v="1"/>
  </r>
  <r>
    <n v="1285"/>
    <d v="2024-06-16T00:00:00"/>
    <s v="Standard"/>
    <n v="399"/>
    <n v="8.3000000000000007"/>
    <n v="5"/>
    <n v="5"/>
    <n v="28"/>
    <n v="59"/>
    <s v="No"/>
    <s v="No"/>
    <s v="Yes"/>
    <s v="Yes"/>
    <s v="Yes"/>
    <s v="No"/>
    <m/>
    <s v="1+ Failures"/>
    <n v="0"/>
    <s v="5-10 hrs"/>
    <s v="12+ months"/>
    <x v="1"/>
  </r>
  <r>
    <n v="1286"/>
    <d v="2023-05-29T00:00:00"/>
    <s v="Premium"/>
    <n v="699"/>
    <n v="3.1"/>
    <n v="0"/>
    <n v="4"/>
    <n v="15"/>
    <n v="54"/>
    <s v="Yes"/>
    <s v="Yes"/>
    <s v="Yes"/>
    <s v="No"/>
    <s v="Yes"/>
    <s v="No"/>
    <m/>
    <s v="1+ Failures"/>
    <n v="1"/>
    <s v="0-5 hrs"/>
    <s v="12+ months"/>
    <x v="0"/>
  </r>
  <r>
    <n v="1287"/>
    <d v="2024-11-12T00:00:00"/>
    <s v="Standard"/>
    <n v="399"/>
    <n v="12.7"/>
    <n v="7"/>
    <n v="1"/>
    <n v="15"/>
    <n v="38"/>
    <s v="Yes"/>
    <s v="No"/>
    <s v="Yes"/>
    <s v="Yes"/>
    <s v="Yes"/>
    <s v="No"/>
    <m/>
    <s v="1+ Failures"/>
    <n v="1"/>
    <s v="10-20hrs"/>
    <s v="12+ months"/>
    <x v="1"/>
  </r>
  <r>
    <n v="1288"/>
    <d v="2024-12-24T00:00:00"/>
    <s v="Premium"/>
    <n v="699"/>
    <n v="15.2"/>
    <n v="4"/>
    <n v="4"/>
    <n v="3"/>
    <n v="44"/>
    <s v="Yes"/>
    <s v="No"/>
    <s v="Yes"/>
    <s v="No"/>
    <s v="Yes"/>
    <s v="Yes"/>
    <m/>
    <s v="1+ Failures"/>
    <n v="1"/>
    <s v="10-20hrs"/>
    <s v="0-3months"/>
    <x v="0"/>
  </r>
  <r>
    <n v="1289"/>
    <d v="2024-01-21T00:00:00"/>
    <s v="Premium"/>
    <n v="699"/>
    <n v="16"/>
    <n v="3"/>
    <n v="3"/>
    <n v="31"/>
    <n v="18"/>
    <s v="No"/>
    <s v="No"/>
    <s v="Yes"/>
    <s v="No"/>
    <s v="Yes"/>
    <s v="No"/>
    <m/>
    <s v="1+ Failures"/>
    <n v="0"/>
    <s v="10-20hrs"/>
    <s v="12+ months"/>
    <x v="0"/>
  </r>
  <r>
    <n v="1290"/>
    <d v="2024-12-18T00:00:00"/>
    <s v="Basic"/>
    <n v="199"/>
    <n v="4.2"/>
    <n v="3"/>
    <n v="5"/>
    <n v="22"/>
    <n v="59"/>
    <s v="Yes"/>
    <s v="Yes"/>
    <s v="Yes"/>
    <s v="No"/>
    <s v="Yes"/>
    <s v="No"/>
    <m/>
    <s v="1+ Failures"/>
    <n v="1"/>
    <s v="0-5 hrs"/>
    <s v="12+ months"/>
    <x v="1"/>
  </r>
  <r>
    <n v="1291"/>
    <d v="2024-11-06T00:00:00"/>
    <s v="Premium"/>
    <n v="699"/>
    <n v="23.1"/>
    <n v="2"/>
    <n v="3"/>
    <n v="4"/>
    <n v="46"/>
    <s v="Yes"/>
    <s v="No"/>
    <s v="Yes"/>
    <s v="No"/>
    <s v="Yes"/>
    <s v="Yes"/>
    <m/>
    <s v="1+ Failures"/>
    <n v="1"/>
    <s v="20+ hrs"/>
    <s v="3-6months"/>
    <x v="0"/>
  </r>
  <r>
    <n v="1292"/>
    <d v="2023-12-23T00:00:00"/>
    <s v="Basic"/>
    <n v="199"/>
    <n v="13.9"/>
    <n v="5"/>
    <n v="3"/>
    <n v="2"/>
    <n v="43"/>
    <s v="Yes"/>
    <s v="No"/>
    <s v="Yes"/>
    <s v="Yes"/>
    <s v="Yes"/>
    <s v="Yes"/>
    <m/>
    <s v="1+ Failures"/>
    <n v="1"/>
    <s v="10-20hrs"/>
    <s v="0-3months"/>
    <x v="1"/>
  </r>
  <r>
    <n v="1293"/>
    <d v="2024-12-18T00:00:00"/>
    <s v="Standard"/>
    <n v="399"/>
    <n v="2.2999999999999998"/>
    <n v="4"/>
    <n v="2"/>
    <n v="26"/>
    <n v="44"/>
    <s v="Yes"/>
    <s v="Yes"/>
    <s v="Yes"/>
    <s v="No"/>
    <s v="Yes"/>
    <s v="No"/>
    <m/>
    <s v="1+ Failures"/>
    <n v="1"/>
    <s v="0-5 hrs"/>
    <s v="12+ months"/>
    <x v="1"/>
  </r>
  <r>
    <n v="1294"/>
    <d v="2024-12-27T00:00:00"/>
    <s v="Premium"/>
    <n v="699"/>
    <n v="2.9"/>
    <n v="5"/>
    <n v="4"/>
    <n v="26"/>
    <n v="55"/>
    <s v="Yes"/>
    <s v="Yes"/>
    <s v="Yes"/>
    <s v="Yes"/>
    <s v="Yes"/>
    <s v="No"/>
    <m/>
    <s v="1+ Failures"/>
    <n v="1"/>
    <s v="0-5 hrs"/>
    <s v="12+ months"/>
    <x v="0"/>
  </r>
  <r>
    <n v="1295"/>
    <d v="2023-05-29T00:00:00"/>
    <s v="Standard"/>
    <n v="399"/>
    <n v="16.5"/>
    <n v="2"/>
    <n v="3"/>
    <n v="30"/>
    <n v="44"/>
    <s v="Yes"/>
    <s v="No"/>
    <s v="Yes"/>
    <s v="No"/>
    <s v="Yes"/>
    <s v="No"/>
    <m/>
    <s v="1+ Failures"/>
    <n v="1"/>
    <s v="10-20hrs"/>
    <s v="12+ months"/>
    <x v="1"/>
  </r>
  <r>
    <n v="1296"/>
    <d v="2024-08-12T00:00:00"/>
    <s v="Basic"/>
    <n v="199"/>
    <n v="20.2"/>
    <n v="3"/>
    <n v="5"/>
    <n v="14"/>
    <n v="41"/>
    <s v="Yes"/>
    <s v="No"/>
    <s v="Yes"/>
    <s v="No"/>
    <s v="Yes"/>
    <s v="No"/>
    <m/>
    <s v="1+ Failures"/>
    <n v="1"/>
    <s v="20+ hrs"/>
    <s v="12+ months"/>
    <x v="1"/>
  </r>
  <r>
    <n v="1297"/>
    <d v="2023-02-27T00:00:00"/>
    <s v="Basic"/>
    <n v="199"/>
    <n v="9.6999999999999993"/>
    <n v="6"/>
    <n v="5"/>
    <n v="10"/>
    <n v="53"/>
    <s v="Yes"/>
    <s v="No"/>
    <s v="Yes"/>
    <s v="Yes"/>
    <s v="Yes"/>
    <s v="No"/>
    <m/>
    <s v="1+ Failures"/>
    <n v="1"/>
    <s v="5-10 hrs"/>
    <s v="6-12months"/>
    <x v="1"/>
  </r>
  <r>
    <n v="1298"/>
    <d v="2024-10-27T00:00:00"/>
    <s v="Basic"/>
    <n v="199"/>
    <n v="24.4"/>
    <n v="2"/>
    <n v="0"/>
    <n v="23"/>
    <n v="7"/>
    <s v="No"/>
    <s v="No"/>
    <s v="No"/>
    <s v="No"/>
    <s v="No"/>
    <s v="No"/>
    <m/>
    <s v="0 Failures"/>
    <n v="0"/>
    <s v="20+ hrs"/>
    <s v="12+ months"/>
    <x v="1"/>
  </r>
  <r>
    <n v="1299"/>
    <d v="2024-02-11T00:00:00"/>
    <s v="Standard"/>
    <n v="399"/>
    <n v="24.3"/>
    <n v="6"/>
    <n v="1"/>
    <n v="28"/>
    <n v="2"/>
    <s v="Yes"/>
    <s v="No"/>
    <s v="Yes"/>
    <s v="Yes"/>
    <s v="No"/>
    <s v="No"/>
    <m/>
    <s v="1+ Failures"/>
    <n v="1"/>
    <s v="20+ hrs"/>
    <s v="12+ months"/>
    <x v="1"/>
  </r>
  <r>
    <n v="1300"/>
    <d v="2024-12-09T00:00:00"/>
    <s v="Standard"/>
    <n v="399"/>
    <n v="17.399999999999999"/>
    <n v="2"/>
    <n v="5"/>
    <n v="20"/>
    <n v="47"/>
    <s v="Yes"/>
    <s v="No"/>
    <s v="Yes"/>
    <s v="No"/>
    <s v="Yes"/>
    <s v="No"/>
    <m/>
    <s v="1+ Failures"/>
    <n v="1"/>
    <s v="10-20hrs"/>
    <s v="12+ months"/>
    <x v="1"/>
  </r>
  <r>
    <n v="1301"/>
    <d v="2024-01-12T00:00:00"/>
    <s v="Premium"/>
    <n v="699"/>
    <n v="19.600000000000001"/>
    <n v="6"/>
    <n v="2"/>
    <n v="6"/>
    <n v="40"/>
    <s v="Yes"/>
    <s v="No"/>
    <s v="Yes"/>
    <s v="Yes"/>
    <s v="Yes"/>
    <s v="No"/>
    <m/>
    <s v="1+ Failures"/>
    <n v="1"/>
    <s v="10-20hrs"/>
    <s v="3-6months"/>
    <x v="0"/>
  </r>
  <r>
    <n v="1302"/>
    <d v="2024-06-05T00:00:00"/>
    <s v="Basic"/>
    <n v="199"/>
    <n v="3.4"/>
    <n v="1"/>
    <n v="3"/>
    <n v="8"/>
    <n v="41"/>
    <s v="Yes"/>
    <s v="Yes"/>
    <s v="Yes"/>
    <s v="No"/>
    <s v="Yes"/>
    <s v="No"/>
    <m/>
    <s v="1+ Failures"/>
    <n v="1"/>
    <s v="0-5 hrs"/>
    <s v="6-12months"/>
    <x v="1"/>
  </r>
  <r>
    <n v="1303"/>
    <d v="2024-08-30T00:00:00"/>
    <s v="Basic"/>
    <n v="199"/>
    <n v="14.9"/>
    <n v="7"/>
    <n v="2"/>
    <n v="2"/>
    <n v="44"/>
    <s v="Yes"/>
    <s v="No"/>
    <s v="Yes"/>
    <s v="Yes"/>
    <s v="Yes"/>
    <s v="Yes"/>
    <m/>
    <s v="1+ Failures"/>
    <n v="1"/>
    <s v="10-20hrs"/>
    <s v="0-3months"/>
    <x v="1"/>
  </r>
  <r>
    <n v="1304"/>
    <d v="2023-11-30T00:00:00"/>
    <s v="Basic"/>
    <n v="199"/>
    <n v="12.4"/>
    <n v="6"/>
    <n v="2"/>
    <n v="25"/>
    <n v="36"/>
    <s v="Yes"/>
    <s v="No"/>
    <s v="Yes"/>
    <s v="Yes"/>
    <s v="Yes"/>
    <s v="No"/>
    <m/>
    <s v="1+ Failures"/>
    <n v="1"/>
    <s v="10-20hrs"/>
    <s v="12+ months"/>
    <x v="1"/>
  </r>
  <r>
    <n v="1305"/>
    <d v="2024-06-26T00:00:00"/>
    <s v="Basic"/>
    <n v="199"/>
    <n v="5"/>
    <n v="0"/>
    <n v="3"/>
    <n v="35"/>
    <n v="35"/>
    <s v="No"/>
    <s v="No"/>
    <s v="Yes"/>
    <s v="No"/>
    <s v="Yes"/>
    <s v="No"/>
    <m/>
    <s v="1+ Failures"/>
    <n v="0"/>
    <s v="0-5 hrs"/>
    <s v="12+ months"/>
    <x v="1"/>
  </r>
  <r>
    <n v="1306"/>
    <d v="2023-05-08T00:00:00"/>
    <s v="Standard"/>
    <n v="399"/>
    <n v="13.2"/>
    <n v="8"/>
    <n v="5"/>
    <n v="5"/>
    <n v="52"/>
    <s v="No"/>
    <s v="No"/>
    <s v="Yes"/>
    <s v="Yes"/>
    <s v="Yes"/>
    <s v="Yes"/>
    <m/>
    <s v="1+ Failures"/>
    <n v="0"/>
    <s v="10-20hrs"/>
    <s v="3-6months"/>
    <x v="1"/>
  </r>
  <r>
    <n v="1307"/>
    <d v="2023-11-18T00:00:00"/>
    <s v="Basic"/>
    <n v="199"/>
    <n v="4.9000000000000004"/>
    <n v="2"/>
    <n v="0"/>
    <n v="8"/>
    <n v="35"/>
    <s v="Yes"/>
    <s v="Yes"/>
    <s v="No"/>
    <s v="No"/>
    <s v="Yes"/>
    <s v="No"/>
    <m/>
    <s v="0 Failures"/>
    <n v="1"/>
    <s v="0-5 hrs"/>
    <s v="6-12months"/>
    <x v="1"/>
  </r>
  <r>
    <n v="1308"/>
    <d v="2023-09-20T00:00:00"/>
    <s v="Basic"/>
    <n v="199"/>
    <n v="3.7"/>
    <n v="3"/>
    <n v="5"/>
    <n v="3"/>
    <n v="10"/>
    <s v="Yes"/>
    <s v="Yes"/>
    <s v="Yes"/>
    <s v="No"/>
    <s v="No"/>
    <s v="Yes"/>
    <m/>
    <s v="1+ Failures"/>
    <n v="1"/>
    <s v="0-5 hrs"/>
    <s v="0-3months"/>
    <x v="1"/>
  </r>
  <r>
    <n v="1309"/>
    <d v="2023-06-25T00:00:00"/>
    <s v="Basic"/>
    <n v="199"/>
    <n v="24.5"/>
    <n v="8"/>
    <n v="2"/>
    <n v="6"/>
    <n v="23"/>
    <s v="No"/>
    <s v="No"/>
    <s v="Yes"/>
    <s v="Yes"/>
    <s v="Yes"/>
    <s v="No"/>
    <m/>
    <s v="1+ Failures"/>
    <n v="0"/>
    <s v="20+ hrs"/>
    <s v="3-6months"/>
    <x v="1"/>
  </r>
  <r>
    <n v="1310"/>
    <d v="2024-11-05T00:00:00"/>
    <s v="Standard"/>
    <n v="399"/>
    <n v="6.6"/>
    <n v="0"/>
    <n v="4"/>
    <n v="1"/>
    <n v="57"/>
    <s v="No"/>
    <s v="No"/>
    <s v="Yes"/>
    <s v="No"/>
    <s v="Yes"/>
    <s v="Yes"/>
    <m/>
    <s v="1+ Failures"/>
    <n v="0"/>
    <s v="5-10 hrs"/>
    <s v="0-3months"/>
    <x v="1"/>
  </r>
  <r>
    <n v="1311"/>
    <d v="2023-12-27T00:00:00"/>
    <s v="Premium"/>
    <n v="699"/>
    <n v="3.9"/>
    <n v="7"/>
    <n v="5"/>
    <n v="29"/>
    <n v="20"/>
    <s v="Yes"/>
    <s v="Yes"/>
    <s v="Yes"/>
    <s v="Yes"/>
    <s v="Yes"/>
    <s v="No"/>
    <m/>
    <s v="1+ Failures"/>
    <n v="1"/>
    <s v="0-5 hrs"/>
    <s v="12+ months"/>
    <x v="0"/>
  </r>
  <r>
    <n v="1312"/>
    <d v="2023-02-07T00:00:00"/>
    <s v="Premium"/>
    <n v="699"/>
    <n v="13"/>
    <n v="1"/>
    <n v="5"/>
    <n v="35"/>
    <n v="52"/>
    <s v="Yes"/>
    <s v="No"/>
    <s v="Yes"/>
    <s v="No"/>
    <s v="Yes"/>
    <s v="No"/>
    <m/>
    <s v="1+ Failures"/>
    <n v="1"/>
    <s v="10-20hrs"/>
    <s v="12+ months"/>
    <x v="0"/>
  </r>
  <r>
    <n v="1313"/>
    <d v="2024-08-28T00:00:00"/>
    <s v="Basic"/>
    <n v="199"/>
    <n v="7.8"/>
    <n v="3"/>
    <n v="1"/>
    <n v="10"/>
    <n v="38"/>
    <s v="No"/>
    <s v="No"/>
    <s v="Yes"/>
    <s v="No"/>
    <s v="Yes"/>
    <s v="No"/>
    <m/>
    <s v="1+ Failures"/>
    <n v="0"/>
    <s v="5-10 hrs"/>
    <s v="6-12months"/>
    <x v="1"/>
  </r>
  <r>
    <n v="1314"/>
    <d v="2024-01-26T00:00:00"/>
    <s v="Standard"/>
    <n v="399"/>
    <n v="3.6"/>
    <n v="6"/>
    <n v="0"/>
    <n v="18"/>
    <n v="35"/>
    <s v="Yes"/>
    <s v="Yes"/>
    <s v="No"/>
    <s v="Yes"/>
    <s v="Yes"/>
    <s v="No"/>
    <m/>
    <s v="0 Failures"/>
    <n v="1"/>
    <s v="0-5 hrs"/>
    <s v="12+ months"/>
    <x v="1"/>
  </r>
  <r>
    <n v="1315"/>
    <d v="2024-12-12T00:00:00"/>
    <s v="Premium"/>
    <n v="699"/>
    <n v="10.3"/>
    <n v="1"/>
    <n v="2"/>
    <n v="11"/>
    <n v="43"/>
    <s v="Yes"/>
    <s v="No"/>
    <s v="Yes"/>
    <s v="No"/>
    <s v="Yes"/>
    <s v="No"/>
    <m/>
    <s v="1+ Failures"/>
    <n v="1"/>
    <s v="10-20hrs"/>
    <s v="6-12months"/>
    <x v="0"/>
  </r>
  <r>
    <n v="1316"/>
    <d v="2024-01-17T00:00:00"/>
    <s v="Basic"/>
    <n v="199"/>
    <n v="5.5"/>
    <n v="4"/>
    <n v="5"/>
    <n v="35"/>
    <n v="44"/>
    <s v="Yes"/>
    <s v="No"/>
    <s v="Yes"/>
    <s v="No"/>
    <s v="Yes"/>
    <s v="No"/>
    <m/>
    <s v="1+ Failures"/>
    <n v="1"/>
    <s v="5-10 hrs"/>
    <s v="12+ months"/>
    <x v="1"/>
  </r>
  <r>
    <n v="1317"/>
    <d v="2024-03-20T00:00:00"/>
    <s v="Premium"/>
    <n v="699"/>
    <n v="15.3"/>
    <n v="6"/>
    <n v="1"/>
    <n v="33"/>
    <n v="20"/>
    <s v="No"/>
    <s v="No"/>
    <s v="Yes"/>
    <s v="Yes"/>
    <s v="Yes"/>
    <s v="No"/>
    <m/>
    <s v="1+ Failures"/>
    <n v="0"/>
    <s v="10-20hrs"/>
    <s v="12+ months"/>
    <x v="0"/>
  </r>
  <r>
    <n v="1318"/>
    <d v="2023-04-23T00:00:00"/>
    <s v="Standard"/>
    <n v="399"/>
    <n v="24.1"/>
    <n v="3"/>
    <n v="0"/>
    <n v="2"/>
    <n v="17"/>
    <s v="No"/>
    <s v="No"/>
    <s v="No"/>
    <s v="No"/>
    <s v="Yes"/>
    <s v="Yes"/>
    <m/>
    <s v="0 Failures"/>
    <n v="0"/>
    <s v="20+ hrs"/>
    <s v="0-3months"/>
    <x v="1"/>
  </r>
  <r>
    <n v="1319"/>
    <d v="2023-12-08T00:00:00"/>
    <s v="Premium"/>
    <n v="699"/>
    <n v="10.5"/>
    <n v="5"/>
    <n v="5"/>
    <n v="36"/>
    <n v="5"/>
    <s v="Yes"/>
    <s v="No"/>
    <s v="Yes"/>
    <s v="Yes"/>
    <s v="No"/>
    <s v="No"/>
    <m/>
    <s v="1+ Failures"/>
    <n v="1"/>
    <s v="10-20hrs"/>
    <s v="12+ months"/>
    <x v="0"/>
  </r>
  <r>
    <n v="1320"/>
    <d v="2023-08-16T00:00:00"/>
    <s v="Standard"/>
    <n v="399"/>
    <n v="21.8"/>
    <n v="3"/>
    <n v="2"/>
    <n v="10"/>
    <n v="0"/>
    <s v="Yes"/>
    <s v="No"/>
    <s v="Yes"/>
    <s v="No"/>
    <s v="No"/>
    <s v="No"/>
    <m/>
    <s v="1+ Failures"/>
    <n v="1"/>
    <s v="20+ hrs"/>
    <s v="6-12months"/>
    <x v="1"/>
  </r>
  <r>
    <n v="1321"/>
    <d v="2023-11-10T00:00:00"/>
    <s v="Standard"/>
    <n v="399"/>
    <n v="19.7"/>
    <n v="1"/>
    <n v="1"/>
    <n v="7"/>
    <n v="33"/>
    <s v="No"/>
    <s v="No"/>
    <s v="Yes"/>
    <s v="No"/>
    <s v="Yes"/>
    <s v="No"/>
    <m/>
    <s v="1+ Failures"/>
    <n v="0"/>
    <s v="10-20hrs"/>
    <s v="6-12months"/>
    <x v="1"/>
  </r>
  <r>
    <n v="1322"/>
    <d v="2024-07-18T00:00:00"/>
    <s v="Premium"/>
    <n v="699"/>
    <n v="2.8"/>
    <n v="5"/>
    <n v="5"/>
    <n v="32"/>
    <n v="36"/>
    <s v="Yes"/>
    <s v="Yes"/>
    <s v="Yes"/>
    <s v="Yes"/>
    <s v="Yes"/>
    <s v="No"/>
    <m/>
    <s v="1+ Failures"/>
    <n v="1"/>
    <s v="0-5 hrs"/>
    <s v="12+ months"/>
    <x v="0"/>
  </r>
  <r>
    <n v="1323"/>
    <d v="2023-07-05T00:00:00"/>
    <s v="Standard"/>
    <n v="399"/>
    <n v="22.5"/>
    <n v="2"/>
    <n v="2"/>
    <n v="7"/>
    <n v="60"/>
    <s v="No"/>
    <s v="No"/>
    <s v="Yes"/>
    <s v="No"/>
    <s v="Yes"/>
    <s v="No"/>
    <m/>
    <s v="1+ Failures"/>
    <n v="0"/>
    <s v="20+ hrs"/>
    <s v="6-12months"/>
    <x v="1"/>
  </r>
  <r>
    <n v="1324"/>
    <d v="2023-01-10T00:00:00"/>
    <s v="Standard"/>
    <n v="399"/>
    <n v="14"/>
    <n v="6"/>
    <n v="3"/>
    <n v="35"/>
    <n v="37"/>
    <s v="Yes"/>
    <s v="No"/>
    <s v="Yes"/>
    <s v="Yes"/>
    <s v="Yes"/>
    <s v="No"/>
    <m/>
    <s v="1+ Failures"/>
    <n v="1"/>
    <s v="10-20hrs"/>
    <s v="12+ months"/>
    <x v="1"/>
  </r>
  <r>
    <n v="1325"/>
    <d v="2023-10-01T00:00:00"/>
    <s v="Premium"/>
    <n v="699"/>
    <n v="18"/>
    <n v="2"/>
    <n v="1"/>
    <n v="33"/>
    <n v="24"/>
    <s v="No"/>
    <s v="No"/>
    <s v="Yes"/>
    <s v="No"/>
    <s v="Yes"/>
    <s v="No"/>
    <m/>
    <s v="1+ Failures"/>
    <n v="0"/>
    <s v="10-20hrs"/>
    <s v="12+ months"/>
    <x v="0"/>
  </r>
  <r>
    <n v="1326"/>
    <d v="2024-04-13T00:00:00"/>
    <s v="Basic"/>
    <n v="199"/>
    <n v="17.8"/>
    <n v="3"/>
    <n v="5"/>
    <n v="24"/>
    <n v="38"/>
    <s v="Yes"/>
    <s v="No"/>
    <s v="Yes"/>
    <s v="No"/>
    <s v="Yes"/>
    <s v="No"/>
    <m/>
    <s v="1+ Failures"/>
    <n v="1"/>
    <s v="10-20hrs"/>
    <s v="12+ months"/>
    <x v="1"/>
  </r>
  <r>
    <n v="1327"/>
    <d v="2024-03-14T00:00:00"/>
    <s v="Basic"/>
    <n v="199"/>
    <n v="24.7"/>
    <n v="7"/>
    <n v="4"/>
    <n v="29"/>
    <n v="18"/>
    <s v="Yes"/>
    <s v="No"/>
    <s v="Yes"/>
    <s v="Yes"/>
    <s v="Yes"/>
    <s v="No"/>
    <m/>
    <s v="1+ Failures"/>
    <n v="1"/>
    <s v="20+ hrs"/>
    <s v="12+ months"/>
    <x v="1"/>
  </r>
  <r>
    <n v="1328"/>
    <d v="2023-04-03T00:00:00"/>
    <s v="Premium"/>
    <n v="699"/>
    <n v="8"/>
    <n v="1"/>
    <n v="2"/>
    <n v="15"/>
    <n v="26"/>
    <s v="No"/>
    <s v="No"/>
    <s v="Yes"/>
    <s v="No"/>
    <s v="Yes"/>
    <s v="No"/>
    <m/>
    <s v="1+ Failures"/>
    <n v="0"/>
    <s v="5-10 hrs"/>
    <s v="12+ months"/>
    <x v="0"/>
  </r>
  <r>
    <n v="1329"/>
    <d v="2023-03-28T00:00:00"/>
    <s v="Premium"/>
    <n v="699"/>
    <n v="2.4"/>
    <n v="3"/>
    <n v="0"/>
    <n v="6"/>
    <n v="10"/>
    <s v="No"/>
    <s v="Yes"/>
    <s v="No"/>
    <s v="No"/>
    <s v="No"/>
    <s v="No"/>
    <m/>
    <s v="0 Failures"/>
    <n v="0"/>
    <s v="0-5 hrs"/>
    <s v="3-6months"/>
    <x v="0"/>
  </r>
  <r>
    <n v="1330"/>
    <d v="2024-06-04T00:00:00"/>
    <s v="Premium"/>
    <n v="699"/>
    <n v="14.1"/>
    <n v="7"/>
    <n v="0"/>
    <n v="19"/>
    <n v="60"/>
    <s v="Yes"/>
    <s v="No"/>
    <s v="No"/>
    <s v="Yes"/>
    <s v="Yes"/>
    <s v="No"/>
    <m/>
    <s v="0 Failures"/>
    <n v="1"/>
    <s v="10-20hrs"/>
    <s v="12+ months"/>
    <x v="0"/>
  </r>
  <r>
    <n v="1331"/>
    <d v="2024-12-15T00:00:00"/>
    <s v="Premium"/>
    <n v="699"/>
    <n v="12.3"/>
    <n v="8"/>
    <n v="5"/>
    <n v="9"/>
    <n v="43"/>
    <s v="No"/>
    <s v="No"/>
    <s v="Yes"/>
    <s v="Yes"/>
    <s v="Yes"/>
    <s v="No"/>
    <m/>
    <s v="1+ Failures"/>
    <n v="0"/>
    <s v="10-20hrs"/>
    <s v="6-12months"/>
    <x v="0"/>
  </r>
  <r>
    <n v="1332"/>
    <d v="2024-12-20T00:00:00"/>
    <s v="Basic"/>
    <n v="199"/>
    <n v="0.8"/>
    <n v="3"/>
    <n v="5"/>
    <n v="26"/>
    <n v="0"/>
    <s v="No"/>
    <s v="Yes"/>
    <s v="Yes"/>
    <s v="No"/>
    <s v="No"/>
    <s v="No"/>
    <m/>
    <s v="1+ Failures"/>
    <n v="0"/>
    <s v="0-5 hrs"/>
    <s v="12+ months"/>
    <x v="1"/>
  </r>
  <r>
    <n v="1333"/>
    <d v="2024-04-04T00:00:00"/>
    <s v="Premium"/>
    <n v="699"/>
    <n v="6.5"/>
    <n v="8"/>
    <n v="5"/>
    <n v="23"/>
    <n v="38"/>
    <s v="Yes"/>
    <s v="No"/>
    <s v="Yes"/>
    <s v="Yes"/>
    <s v="Yes"/>
    <s v="No"/>
    <m/>
    <s v="1+ Failures"/>
    <n v="1"/>
    <s v="5-10 hrs"/>
    <s v="12+ months"/>
    <x v="0"/>
  </r>
  <r>
    <n v="1334"/>
    <d v="2024-06-10T00:00:00"/>
    <s v="Basic"/>
    <n v="199"/>
    <n v="22.6"/>
    <n v="2"/>
    <n v="0"/>
    <n v="34"/>
    <n v="23"/>
    <s v="No"/>
    <s v="No"/>
    <s v="No"/>
    <s v="No"/>
    <s v="Yes"/>
    <s v="No"/>
    <m/>
    <s v="0 Failures"/>
    <n v="0"/>
    <s v="20+ hrs"/>
    <s v="12+ months"/>
    <x v="1"/>
  </r>
  <r>
    <n v="1335"/>
    <d v="2023-12-13T00:00:00"/>
    <s v="Standard"/>
    <n v="399"/>
    <n v="10.9"/>
    <n v="6"/>
    <n v="1"/>
    <n v="4"/>
    <n v="23"/>
    <s v="No"/>
    <s v="No"/>
    <s v="Yes"/>
    <s v="Yes"/>
    <s v="Yes"/>
    <s v="Yes"/>
    <m/>
    <s v="1+ Failures"/>
    <n v="0"/>
    <s v="10-20hrs"/>
    <s v="3-6months"/>
    <x v="1"/>
  </r>
  <r>
    <n v="1336"/>
    <d v="2023-09-29T00:00:00"/>
    <s v="Premium"/>
    <n v="699"/>
    <n v="20.9"/>
    <n v="1"/>
    <n v="2"/>
    <n v="16"/>
    <n v="19"/>
    <s v="No"/>
    <s v="No"/>
    <s v="Yes"/>
    <s v="No"/>
    <s v="Yes"/>
    <s v="No"/>
    <m/>
    <s v="1+ Failures"/>
    <n v="0"/>
    <s v="20+ hrs"/>
    <s v="12+ months"/>
    <x v="0"/>
  </r>
  <r>
    <n v="1337"/>
    <d v="2024-10-20T00:00:00"/>
    <s v="Basic"/>
    <n v="199"/>
    <n v="18.600000000000001"/>
    <n v="6"/>
    <n v="1"/>
    <n v="1"/>
    <n v="59"/>
    <s v="Yes"/>
    <s v="No"/>
    <s v="Yes"/>
    <s v="Yes"/>
    <s v="Yes"/>
    <s v="Yes"/>
    <m/>
    <s v="1+ Failures"/>
    <n v="1"/>
    <s v="10-20hrs"/>
    <s v="0-3months"/>
    <x v="1"/>
  </r>
  <r>
    <n v="1338"/>
    <d v="2024-04-16T00:00:00"/>
    <s v="Premium"/>
    <n v="699"/>
    <n v="23.4"/>
    <n v="7"/>
    <n v="0"/>
    <n v="3"/>
    <n v="22"/>
    <s v="Yes"/>
    <s v="No"/>
    <s v="No"/>
    <s v="Yes"/>
    <s v="Yes"/>
    <s v="Yes"/>
    <m/>
    <s v="0 Failures"/>
    <n v="1"/>
    <s v="20+ hrs"/>
    <s v="0-3months"/>
    <x v="0"/>
  </r>
  <r>
    <n v="1339"/>
    <d v="2024-02-16T00:00:00"/>
    <s v="Standard"/>
    <n v="399"/>
    <n v="9.1999999999999993"/>
    <n v="0"/>
    <n v="2"/>
    <n v="20"/>
    <n v="56"/>
    <s v="No"/>
    <s v="No"/>
    <s v="Yes"/>
    <s v="No"/>
    <s v="Yes"/>
    <s v="No"/>
    <m/>
    <s v="1+ Failures"/>
    <n v="0"/>
    <s v="5-10 hrs"/>
    <s v="12+ months"/>
    <x v="1"/>
  </r>
  <r>
    <n v="1340"/>
    <d v="2023-06-07T00:00:00"/>
    <s v="Standard"/>
    <n v="399"/>
    <n v="3"/>
    <n v="7"/>
    <n v="1"/>
    <n v="1"/>
    <n v="5"/>
    <s v="No"/>
    <s v="Yes"/>
    <s v="Yes"/>
    <s v="Yes"/>
    <s v="No"/>
    <s v="Yes"/>
    <m/>
    <s v="1+ Failures"/>
    <n v="0"/>
    <s v="0-5 hrs"/>
    <s v="0-3months"/>
    <x v="1"/>
  </r>
  <r>
    <n v="1341"/>
    <d v="2023-08-20T00:00:00"/>
    <s v="Standard"/>
    <n v="399"/>
    <n v="22.9"/>
    <n v="0"/>
    <n v="1"/>
    <n v="8"/>
    <n v="49"/>
    <s v="No"/>
    <s v="No"/>
    <s v="Yes"/>
    <s v="No"/>
    <s v="Yes"/>
    <s v="No"/>
    <m/>
    <s v="1+ Failures"/>
    <n v="0"/>
    <s v="20+ hrs"/>
    <s v="6-12months"/>
    <x v="1"/>
  </r>
  <r>
    <n v="1342"/>
    <d v="2023-10-03T00:00:00"/>
    <s v="Standard"/>
    <n v="399"/>
    <n v="9.6999999999999993"/>
    <n v="5"/>
    <n v="3"/>
    <n v="26"/>
    <n v="57"/>
    <s v="Yes"/>
    <s v="No"/>
    <s v="Yes"/>
    <s v="Yes"/>
    <s v="Yes"/>
    <s v="No"/>
    <m/>
    <s v="1+ Failures"/>
    <n v="1"/>
    <s v="5-10 hrs"/>
    <s v="12+ months"/>
    <x v="1"/>
  </r>
  <r>
    <n v="1343"/>
    <d v="2024-03-20T00:00:00"/>
    <s v="Basic"/>
    <n v="199"/>
    <n v="16.600000000000001"/>
    <n v="7"/>
    <n v="1"/>
    <n v="29"/>
    <n v="8"/>
    <s v="No"/>
    <s v="No"/>
    <s v="Yes"/>
    <s v="Yes"/>
    <s v="No"/>
    <s v="No"/>
    <m/>
    <s v="1+ Failures"/>
    <n v="0"/>
    <s v="10-20hrs"/>
    <s v="12+ months"/>
    <x v="1"/>
  </r>
  <r>
    <n v="1344"/>
    <d v="2023-05-17T00:00:00"/>
    <s v="Basic"/>
    <n v="199"/>
    <n v="22.1"/>
    <n v="3"/>
    <n v="0"/>
    <n v="23"/>
    <n v="12"/>
    <s v="No"/>
    <s v="No"/>
    <s v="No"/>
    <s v="No"/>
    <s v="No"/>
    <s v="No"/>
    <m/>
    <s v="0 Failures"/>
    <n v="0"/>
    <s v="20+ hrs"/>
    <s v="12+ months"/>
    <x v="1"/>
  </r>
  <r>
    <n v="1345"/>
    <d v="2024-05-05T00:00:00"/>
    <s v="Standard"/>
    <n v="399"/>
    <n v="18.7"/>
    <n v="0"/>
    <n v="1"/>
    <n v="27"/>
    <n v="42"/>
    <s v="Yes"/>
    <s v="No"/>
    <s v="Yes"/>
    <s v="No"/>
    <s v="Yes"/>
    <s v="No"/>
    <m/>
    <s v="1+ Failures"/>
    <n v="1"/>
    <s v="10-20hrs"/>
    <s v="12+ months"/>
    <x v="1"/>
  </r>
  <r>
    <n v="1346"/>
    <d v="2023-05-11T00:00:00"/>
    <s v="Premium"/>
    <n v="699"/>
    <n v="3.4"/>
    <n v="7"/>
    <n v="4"/>
    <n v="18"/>
    <n v="31"/>
    <s v="Yes"/>
    <s v="Yes"/>
    <s v="Yes"/>
    <s v="Yes"/>
    <s v="Yes"/>
    <s v="No"/>
    <m/>
    <s v="1+ Failures"/>
    <n v="1"/>
    <s v="0-5 hrs"/>
    <s v="12+ months"/>
    <x v="0"/>
  </r>
  <r>
    <n v="1347"/>
    <d v="2023-01-22T00:00:00"/>
    <s v="Standard"/>
    <n v="399"/>
    <n v="12.8"/>
    <n v="6"/>
    <n v="1"/>
    <n v="26"/>
    <n v="7"/>
    <s v="No"/>
    <s v="No"/>
    <s v="Yes"/>
    <s v="Yes"/>
    <s v="No"/>
    <s v="No"/>
    <m/>
    <s v="1+ Failures"/>
    <n v="0"/>
    <s v="10-20hrs"/>
    <s v="12+ months"/>
    <x v="1"/>
  </r>
  <r>
    <n v="1348"/>
    <d v="2023-12-17T00:00:00"/>
    <s v="Basic"/>
    <n v="199"/>
    <n v="8.9"/>
    <n v="0"/>
    <n v="5"/>
    <n v="10"/>
    <n v="15"/>
    <s v="Yes"/>
    <s v="No"/>
    <s v="Yes"/>
    <s v="No"/>
    <s v="Yes"/>
    <s v="No"/>
    <m/>
    <s v="1+ Failures"/>
    <n v="1"/>
    <s v="5-10 hrs"/>
    <s v="6-12months"/>
    <x v="1"/>
  </r>
  <r>
    <n v="1349"/>
    <d v="2024-03-15T00:00:00"/>
    <s v="Standard"/>
    <n v="399"/>
    <n v="11.1"/>
    <n v="4"/>
    <n v="2"/>
    <n v="1"/>
    <n v="31"/>
    <s v="Yes"/>
    <s v="No"/>
    <s v="Yes"/>
    <s v="No"/>
    <s v="Yes"/>
    <s v="Yes"/>
    <m/>
    <s v="1+ Failures"/>
    <n v="1"/>
    <s v="10-20hrs"/>
    <s v="0-3months"/>
    <x v="1"/>
  </r>
  <r>
    <n v="1350"/>
    <d v="2023-09-27T00:00:00"/>
    <s v="Basic"/>
    <n v="199"/>
    <n v="18.399999999999999"/>
    <n v="2"/>
    <n v="1"/>
    <n v="10"/>
    <n v="17"/>
    <s v="No"/>
    <s v="No"/>
    <s v="Yes"/>
    <s v="No"/>
    <s v="Yes"/>
    <s v="No"/>
    <m/>
    <s v="1+ Failures"/>
    <n v="0"/>
    <s v="10-20hrs"/>
    <s v="6-12months"/>
    <x v="1"/>
  </r>
  <r>
    <n v="1351"/>
    <d v="2023-04-16T00:00:00"/>
    <s v="Premium"/>
    <n v="699"/>
    <n v="16.8"/>
    <n v="6"/>
    <n v="1"/>
    <n v="16"/>
    <n v="30"/>
    <s v="No"/>
    <s v="No"/>
    <s v="Yes"/>
    <s v="Yes"/>
    <s v="Yes"/>
    <s v="No"/>
    <m/>
    <s v="1+ Failures"/>
    <n v="0"/>
    <s v="10-20hrs"/>
    <s v="12+ months"/>
    <x v="0"/>
  </r>
  <r>
    <n v="1352"/>
    <d v="2023-08-23T00:00:00"/>
    <s v="Premium"/>
    <n v="699"/>
    <n v="15.5"/>
    <n v="3"/>
    <n v="4"/>
    <n v="33"/>
    <n v="40"/>
    <s v="No"/>
    <s v="No"/>
    <s v="Yes"/>
    <s v="No"/>
    <s v="Yes"/>
    <s v="No"/>
    <m/>
    <s v="1+ Failures"/>
    <n v="0"/>
    <s v="10-20hrs"/>
    <s v="12+ months"/>
    <x v="0"/>
  </r>
  <r>
    <n v="1353"/>
    <d v="2023-01-19T00:00:00"/>
    <s v="Basic"/>
    <n v="199"/>
    <n v="10.3"/>
    <n v="4"/>
    <n v="1"/>
    <n v="9"/>
    <n v="59"/>
    <s v="Yes"/>
    <s v="No"/>
    <s v="Yes"/>
    <s v="No"/>
    <s v="Yes"/>
    <s v="No"/>
    <m/>
    <s v="1+ Failures"/>
    <n v="1"/>
    <s v="10-20hrs"/>
    <s v="6-12months"/>
    <x v="1"/>
  </r>
  <r>
    <n v="1354"/>
    <d v="2024-12-17T00:00:00"/>
    <s v="Premium"/>
    <n v="699"/>
    <n v="2.7"/>
    <n v="0"/>
    <n v="3"/>
    <n v="13"/>
    <n v="26"/>
    <s v="Yes"/>
    <s v="Yes"/>
    <s v="Yes"/>
    <s v="No"/>
    <s v="Yes"/>
    <s v="No"/>
    <m/>
    <s v="1+ Failures"/>
    <n v="1"/>
    <s v="0-5 hrs"/>
    <s v="12+ months"/>
    <x v="0"/>
  </r>
  <r>
    <n v="1355"/>
    <d v="2024-10-21T00:00:00"/>
    <s v="Premium"/>
    <n v="699"/>
    <n v="5.9"/>
    <n v="6"/>
    <n v="3"/>
    <n v="15"/>
    <n v="3"/>
    <s v="No"/>
    <s v="No"/>
    <s v="Yes"/>
    <s v="Yes"/>
    <s v="No"/>
    <s v="No"/>
    <m/>
    <s v="1+ Failures"/>
    <n v="0"/>
    <s v="5-10 hrs"/>
    <s v="12+ months"/>
    <x v="0"/>
  </r>
  <r>
    <n v="1356"/>
    <d v="2024-03-04T00:00:00"/>
    <s v="Basic"/>
    <n v="199"/>
    <n v="3.2"/>
    <n v="5"/>
    <n v="2"/>
    <n v="20"/>
    <n v="60"/>
    <s v="Yes"/>
    <s v="Yes"/>
    <s v="Yes"/>
    <s v="Yes"/>
    <s v="Yes"/>
    <s v="No"/>
    <m/>
    <s v="1+ Failures"/>
    <n v="1"/>
    <s v="0-5 hrs"/>
    <s v="12+ months"/>
    <x v="1"/>
  </r>
  <r>
    <n v="1357"/>
    <d v="2023-11-26T00:00:00"/>
    <s v="Basic"/>
    <n v="199"/>
    <n v="22.4"/>
    <n v="2"/>
    <n v="0"/>
    <n v="21"/>
    <n v="0"/>
    <s v="Yes"/>
    <s v="No"/>
    <s v="No"/>
    <s v="No"/>
    <s v="No"/>
    <s v="No"/>
    <m/>
    <s v="0 Failures"/>
    <n v="1"/>
    <s v="20+ hrs"/>
    <s v="12+ months"/>
    <x v="1"/>
  </r>
  <r>
    <n v="1358"/>
    <d v="2024-05-18T00:00:00"/>
    <s v="Basic"/>
    <n v="199"/>
    <n v="12.1"/>
    <n v="1"/>
    <n v="3"/>
    <n v="19"/>
    <n v="11"/>
    <s v="Yes"/>
    <s v="No"/>
    <s v="Yes"/>
    <s v="No"/>
    <s v="No"/>
    <s v="No"/>
    <m/>
    <s v="1+ Failures"/>
    <n v="1"/>
    <s v="10-20hrs"/>
    <s v="12+ months"/>
    <x v="1"/>
  </r>
  <r>
    <n v="1359"/>
    <d v="2023-05-14T00:00:00"/>
    <s v="Standard"/>
    <n v="399"/>
    <n v="8"/>
    <n v="1"/>
    <n v="5"/>
    <n v="22"/>
    <n v="0"/>
    <s v="No"/>
    <s v="No"/>
    <s v="Yes"/>
    <s v="No"/>
    <s v="No"/>
    <s v="No"/>
    <m/>
    <s v="1+ Failures"/>
    <n v="0"/>
    <s v="5-10 hrs"/>
    <s v="12+ months"/>
    <x v="1"/>
  </r>
  <r>
    <n v="1360"/>
    <d v="2024-09-11T00:00:00"/>
    <s v="Standard"/>
    <n v="399"/>
    <n v="18.7"/>
    <n v="5"/>
    <n v="5"/>
    <n v="24"/>
    <n v="49"/>
    <s v="Yes"/>
    <s v="No"/>
    <s v="Yes"/>
    <s v="Yes"/>
    <s v="Yes"/>
    <s v="No"/>
    <m/>
    <s v="1+ Failures"/>
    <n v="1"/>
    <s v="10-20hrs"/>
    <s v="12+ months"/>
    <x v="1"/>
  </r>
  <r>
    <n v="1361"/>
    <d v="2023-04-19T00:00:00"/>
    <s v="Standard"/>
    <n v="399"/>
    <n v="16.399999999999999"/>
    <n v="3"/>
    <n v="4"/>
    <n v="16"/>
    <n v="24"/>
    <s v="Yes"/>
    <s v="No"/>
    <s v="Yes"/>
    <s v="No"/>
    <s v="Yes"/>
    <s v="No"/>
    <m/>
    <s v="1+ Failures"/>
    <n v="1"/>
    <s v="10-20hrs"/>
    <s v="12+ months"/>
    <x v="1"/>
  </r>
  <r>
    <n v="1362"/>
    <d v="2023-04-12T00:00:00"/>
    <s v="Basic"/>
    <n v="199"/>
    <n v="1.5"/>
    <n v="3"/>
    <n v="1"/>
    <n v="8"/>
    <n v="45"/>
    <s v="Yes"/>
    <s v="Yes"/>
    <s v="Yes"/>
    <s v="No"/>
    <s v="Yes"/>
    <s v="No"/>
    <m/>
    <s v="1+ Failures"/>
    <n v="1"/>
    <s v="0-5 hrs"/>
    <s v="6-12months"/>
    <x v="1"/>
  </r>
  <r>
    <n v="1363"/>
    <d v="2023-07-26T00:00:00"/>
    <s v="Basic"/>
    <n v="199"/>
    <n v="15.7"/>
    <n v="4"/>
    <n v="5"/>
    <n v="35"/>
    <n v="30"/>
    <s v="No"/>
    <s v="No"/>
    <s v="Yes"/>
    <s v="No"/>
    <s v="Yes"/>
    <s v="No"/>
    <m/>
    <s v="1+ Failures"/>
    <n v="0"/>
    <s v="10-20hrs"/>
    <s v="12+ months"/>
    <x v="1"/>
  </r>
  <r>
    <n v="1364"/>
    <d v="2024-07-27T00:00:00"/>
    <s v="Premium"/>
    <n v="699"/>
    <n v="1.6"/>
    <n v="3"/>
    <n v="3"/>
    <n v="10"/>
    <n v="35"/>
    <s v="Yes"/>
    <s v="Yes"/>
    <s v="Yes"/>
    <s v="No"/>
    <s v="Yes"/>
    <s v="No"/>
    <m/>
    <s v="1+ Failures"/>
    <n v="1"/>
    <s v="0-5 hrs"/>
    <s v="6-12months"/>
    <x v="0"/>
  </r>
  <r>
    <n v="1365"/>
    <d v="2024-06-20T00:00:00"/>
    <s v="Standard"/>
    <n v="399"/>
    <n v="11.5"/>
    <n v="1"/>
    <n v="3"/>
    <n v="24"/>
    <n v="4"/>
    <s v="No"/>
    <s v="No"/>
    <s v="Yes"/>
    <s v="No"/>
    <s v="No"/>
    <s v="No"/>
    <m/>
    <s v="1+ Failures"/>
    <n v="0"/>
    <s v="10-20hrs"/>
    <s v="12+ months"/>
    <x v="1"/>
  </r>
  <r>
    <n v="1366"/>
    <d v="2024-08-02T00:00:00"/>
    <s v="Premium"/>
    <n v="699"/>
    <n v="4.5999999999999996"/>
    <n v="4"/>
    <n v="5"/>
    <n v="2"/>
    <n v="8"/>
    <s v="Yes"/>
    <s v="Yes"/>
    <s v="Yes"/>
    <s v="No"/>
    <s v="No"/>
    <s v="Yes"/>
    <m/>
    <s v="1+ Failures"/>
    <n v="1"/>
    <s v="0-5 hrs"/>
    <s v="0-3months"/>
    <x v="0"/>
  </r>
  <r>
    <n v="1367"/>
    <d v="2024-06-09T00:00:00"/>
    <s v="Basic"/>
    <n v="199"/>
    <n v="18.600000000000001"/>
    <n v="6"/>
    <n v="3"/>
    <n v="13"/>
    <n v="43"/>
    <s v="Yes"/>
    <s v="No"/>
    <s v="Yes"/>
    <s v="Yes"/>
    <s v="Yes"/>
    <s v="No"/>
    <m/>
    <s v="1+ Failures"/>
    <n v="1"/>
    <s v="10-20hrs"/>
    <s v="12+ months"/>
    <x v="1"/>
  </r>
  <r>
    <n v="1368"/>
    <d v="2024-02-15T00:00:00"/>
    <s v="Basic"/>
    <n v="199"/>
    <n v="11.2"/>
    <n v="8"/>
    <n v="3"/>
    <n v="11"/>
    <n v="35"/>
    <s v="No"/>
    <s v="No"/>
    <s v="Yes"/>
    <s v="Yes"/>
    <s v="Yes"/>
    <s v="No"/>
    <m/>
    <s v="1+ Failures"/>
    <n v="0"/>
    <s v="10-20hrs"/>
    <s v="6-12months"/>
    <x v="1"/>
  </r>
  <r>
    <n v="1369"/>
    <d v="2024-12-14T00:00:00"/>
    <s v="Premium"/>
    <n v="699"/>
    <n v="5.6"/>
    <n v="0"/>
    <n v="1"/>
    <n v="18"/>
    <n v="36"/>
    <s v="Yes"/>
    <s v="No"/>
    <s v="Yes"/>
    <s v="No"/>
    <s v="Yes"/>
    <s v="No"/>
    <m/>
    <s v="1+ Failures"/>
    <n v="1"/>
    <s v="5-10 hrs"/>
    <s v="12+ months"/>
    <x v="0"/>
  </r>
  <r>
    <n v="1370"/>
    <d v="2023-10-31T00:00:00"/>
    <s v="Basic"/>
    <n v="199"/>
    <n v="11.7"/>
    <n v="8"/>
    <n v="2"/>
    <n v="33"/>
    <n v="19"/>
    <s v="No"/>
    <s v="No"/>
    <s v="Yes"/>
    <s v="Yes"/>
    <s v="Yes"/>
    <s v="No"/>
    <m/>
    <s v="1+ Failures"/>
    <n v="0"/>
    <s v="10-20hrs"/>
    <s v="12+ months"/>
    <x v="1"/>
  </r>
  <r>
    <n v="1371"/>
    <d v="2023-10-26T00:00:00"/>
    <s v="Premium"/>
    <n v="699"/>
    <n v="14"/>
    <n v="2"/>
    <n v="1"/>
    <n v="18"/>
    <n v="2"/>
    <s v="No"/>
    <s v="No"/>
    <s v="Yes"/>
    <s v="No"/>
    <s v="No"/>
    <s v="No"/>
    <m/>
    <s v="1+ Failures"/>
    <n v="0"/>
    <s v="10-20hrs"/>
    <s v="12+ months"/>
    <x v="0"/>
  </r>
  <r>
    <n v="1372"/>
    <d v="2023-02-22T00:00:00"/>
    <s v="Basic"/>
    <n v="199"/>
    <n v="23.6"/>
    <n v="4"/>
    <n v="1"/>
    <n v="10"/>
    <n v="17"/>
    <s v="No"/>
    <s v="No"/>
    <s v="Yes"/>
    <s v="No"/>
    <s v="Yes"/>
    <s v="No"/>
    <m/>
    <s v="1+ Failures"/>
    <n v="0"/>
    <s v="20+ hrs"/>
    <s v="6-12months"/>
    <x v="1"/>
  </r>
  <r>
    <n v="1373"/>
    <d v="2023-12-22T00:00:00"/>
    <s v="Premium"/>
    <n v="699"/>
    <n v="24.7"/>
    <n v="3"/>
    <n v="4"/>
    <n v="16"/>
    <n v="7"/>
    <s v="Yes"/>
    <s v="No"/>
    <s v="Yes"/>
    <s v="No"/>
    <s v="No"/>
    <s v="No"/>
    <m/>
    <s v="1+ Failures"/>
    <n v="1"/>
    <s v="20+ hrs"/>
    <s v="12+ months"/>
    <x v="0"/>
  </r>
  <r>
    <n v="1374"/>
    <d v="2024-09-18T00:00:00"/>
    <s v="Premium"/>
    <n v="699"/>
    <n v="8.5"/>
    <n v="8"/>
    <n v="2"/>
    <n v="24"/>
    <n v="46"/>
    <s v="Yes"/>
    <s v="No"/>
    <s v="Yes"/>
    <s v="Yes"/>
    <s v="Yes"/>
    <s v="No"/>
    <m/>
    <s v="1+ Failures"/>
    <n v="1"/>
    <s v="5-10 hrs"/>
    <s v="12+ months"/>
    <x v="0"/>
  </r>
  <r>
    <n v="1375"/>
    <d v="2023-10-14T00:00:00"/>
    <s v="Standard"/>
    <n v="399"/>
    <n v="24.6"/>
    <n v="0"/>
    <n v="2"/>
    <n v="21"/>
    <n v="14"/>
    <s v="No"/>
    <s v="No"/>
    <s v="Yes"/>
    <s v="No"/>
    <s v="No"/>
    <s v="No"/>
    <m/>
    <s v="1+ Failures"/>
    <n v="0"/>
    <s v="20+ hrs"/>
    <s v="12+ months"/>
    <x v="1"/>
  </r>
  <r>
    <n v="1376"/>
    <d v="2024-08-20T00:00:00"/>
    <s v="Basic"/>
    <n v="199"/>
    <n v="24.3"/>
    <n v="8"/>
    <n v="5"/>
    <n v="17"/>
    <n v="55"/>
    <s v="No"/>
    <s v="No"/>
    <s v="Yes"/>
    <s v="Yes"/>
    <s v="Yes"/>
    <s v="No"/>
    <m/>
    <s v="1+ Failures"/>
    <n v="0"/>
    <s v="20+ hrs"/>
    <s v="12+ months"/>
    <x v="1"/>
  </r>
  <r>
    <n v="1377"/>
    <d v="2023-07-31T00:00:00"/>
    <s v="Basic"/>
    <n v="199"/>
    <n v="23.7"/>
    <n v="4"/>
    <n v="5"/>
    <n v="25"/>
    <n v="40"/>
    <s v="Yes"/>
    <s v="No"/>
    <s v="Yes"/>
    <s v="No"/>
    <s v="Yes"/>
    <s v="No"/>
    <m/>
    <s v="1+ Failures"/>
    <n v="1"/>
    <s v="20+ hrs"/>
    <s v="12+ months"/>
    <x v="1"/>
  </r>
  <r>
    <n v="1378"/>
    <d v="2024-02-09T00:00:00"/>
    <s v="Standard"/>
    <n v="399"/>
    <n v="8.4"/>
    <n v="3"/>
    <n v="4"/>
    <n v="15"/>
    <n v="40"/>
    <s v="No"/>
    <s v="No"/>
    <s v="Yes"/>
    <s v="No"/>
    <s v="Yes"/>
    <s v="No"/>
    <m/>
    <s v="1+ Failures"/>
    <n v="0"/>
    <s v="5-10 hrs"/>
    <s v="12+ months"/>
    <x v="1"/>
  </r>
  <r>
    <n v="1379"/>
    <d v="2023-04-06T00:00:00"/>
    <s v="Basic"/>
    <n v="199"/>
    <n v="6.2"/>
    <n v="6"/>
    <n v="2"/>
    <n v="29"/>
    <n v="9"/>
    <s v="No"/>
    <s v="No"/>
    <s v="Yes"/>
    <s v="Yes"/>
    <s v="No"/>
    <s v="No"/>
    <m/>
    <s v="1+ Failures"/>
    <n v="0"/>
    <s v="5-10 hrs"/>
    <s v="12+ months"/>
    <x v="1"/>
  </r>
  <r>
    <n v="1380"/>
    <d v="2023-07-04T00:00:00"/>
    <s v="Standard"/>
    <n v="399"/>
    <n v="11.8"/>
    <n v="2"/>
    <n v="1"/>
    <n v="12"/>
    <n v="36"/>
    <s v="No"/>
    <s v="No"/>
    <s v="Yes"/>
    <s v="No"/>
    <s v="Yes"/>
    <s v="No"/>
    <m/>
    <s v="1+ Failures"/>
    <n v="0"/>
    <s v="10-20hrs"/>
    <s v="6-12months"/>
    <x v="1"/>
  </r>
  <r>
    <n v="1381"/>
    <d v="2024-09-14T00:00:00"/>
    <s v="Premium"/>
    <n v="699"/>
    <n v="1"/>
    <n v="2"/>
    <n v="1"/>
    <n v="19"/>
    <n v="52"/>
    <s v="Yes"/>
    <s v="Yes"/>
    <s v="Yes"/>
    <s v="No"/>
    <s v="Yes"/>
    <s v="No"/>
    <m/>
    <s v="1+ Failures"/>
    <n v="1"/>
    <s v="0-5 hrs"/>
    <s v="12+ months"/>
    <x v="0"/>
  </r>
  <r>
    <n v="1382"/>
    <d v="2024-02-17T00:00:00"/>
    <s v="Basic"/>
    <n v="199"/>
    <n v="4"/>
    <n v="6"/>
    <n v="1"/>
    <n v="5"/>
    <n v="29"/>
    <s v="No"/>
    <s v="Yes"/>
    <s v="Yes"/>
    <s v="Yes"/>
    <s v="Yes"/>
    <s v="Yes"/>
    <m/>
    <s v="1+ Failures"/>
    <n v="0"/>
    <s v="0-5 hrs"/>
    <s v="3-6months"/>
    <x v="1"/>
  </r>
  <r>
    <n v="1383"/>
    <d v="2023-01-22T00:00:00"/>
    <s v="Basic"/>
    <n v="199"/>
    <n v="3.9"/>
    <n v="0"/>
    <n v="4"/>
    <n v="34"/>
    <n v="6"/>
    <s v="Yes"/>
    <s v="Yes"/>
    <s v="Yes"/>
    <s v="No"/>
    <s v="No"/>
    <s v="No"/>
    <m/>
    <s v="1+ Failures"/>
    <n v="1"/>
    <s v="0-5 hrs"/>
    <s v="12+ months"/>
    <x v="1"/>
  </r>
  <r>
    <n v="1384"/>
    <d v="2023-10-02T00:00:00"/>
    <s v="Basic"/>
    <n v="199"/>
    <n v="19.2"/>
    <n v="0"/>
    <n v="1"/>
    <n v="1"/>
    <n v="15"/>
    <s v="No"/>
    <s v="No"/>
    <s v="Yes"/>
    <s v="No"/>
    <s v="Yes"/>
    <s v="Yes"/>
    <m/>
    <s v="1+ Failures"/>
    <n v="0"/>
    <s v="10-20hrs"/>
    <s v="0-3months"/>
    <x v="1"/>
  </r>
  <r>
    <n v="1385"/>
    <d v="2023-12-13T00:00:00"/>
    <s v="Basic"/>
    <n v="199"/>
    <n v="19.899999999999999"/>
    <n v="0"/>
    <n v="0"/>
    <n v="1"/>
    <n v="34"/>
    <s v="No"/>
    <s v="No"/>
    <s v="No"/>
    <s v="No"/>
    <s v="Yes"/>
    <s v="Yes"/>
    <m/>
    <s v="0 Failures"/>
    <n v="0"/>
    <s v="10-20hrs"/>
    <s v="0-3months"/>
    <x v="1"/>
  </r>
  <r>
    <n v="1386"/>
    <d v="2023-06-17T00:00:00"/>
    <s v="Premium"/>
    <n v="699"/>
    <n v="5.5"/>
    <n v="7"/>
    <n v="4"/>
    <n v="6"/>
    <n v="57"/>
    <s v="Yes"/>
    <s v="No"/>
    <s v="Yes"/>
    <s v="Yes"/>
    <s v="Yes"/>
    <s v="No"/>
    <m/>
    <s v="1+ Failures"/>
    <n v="1"/>
    <s v="5-10 hrs"/>
    <s v="3-6months"/>
    <x v="0"/>
  </r>
  <r>
    <n v="1387"/>
    <d v="2024-10-04T00:00:00"/>
    <s v="Standard"/>
    <n v="399"/>
    <n v="12.2"/>
    <n v="3"/>
    <n v="0"/>
    <n v="22"/>
    <n v="34"/>
    <s v="No"/>
    <s v="No"/>
    <s v="No"/>
    <s v="No"/>
    <s v="Yes"/>
    <s v="No"/>
    <m/>
    <s v="0 Failures"/>
    <n v="0"/>
    <s v="10-20hrs"/>
    <s v="12+ months"/>
    <x v="1"/>
  </r>
  <r>
    <n v="1388"/>
    <d v="2024-06-07T00:00:00"/>
    <s v="Premium"/>
    <n v="699"/>
    <n v="1"/>
    <n v="0"/>
    <n v="0"/>
    <n v="8"/>
    <n v="34"/>
    <s v="Yes"/>
    <s v="Yes"/>
    <s v="No"/>
    <s v="No"/>
    <s v="Yes"/>
    <s v="No"/>
    <m/>
    <s v="0 Failures"/>
    <n v="1"/>
    <s v="0-5 hrs"/>
    <s v="6-12months"/>
    <x v="0"/>
  </r>
  <r>
    <n v="1389"/>
    <d v="2023-05-31T00:00:00"/>
    <s v="Standard"/>
    <n v="399"/>
    <n v="0.5"/>
    <n v="3"/>
    <n v="0"/>
    <n v="10"/>
    <n v="14"/>
    <s v="No"/>
    <s v="Yes"/>
    <s v="No"/>
    <s v="No"/>
    <s v="No"/>
    <s v="No"/>
    <m/>
    <s v="0 Failures"/>
    <n v="0"/>
    <s v="0-5 hrs"/>
    <s v="6-12months"/>
    <x v="1"/>
  </r>
  <r>
    <n v="1390"/>
    <d v="2023-04-26T00:00:00"/>
    <s v="Standard"/>
    <n v="399"/>
    <n v="6"/>
    <n v="6"/>
    <n v="5"/>
    <n v="19"/>
    <n v="56"/>
    <s v="Yes"/>
    <s v="No"/>
    <s v="Yes"/>
    <s v="Yes"/>
    <s v="Yes"/>
    <s v="No"/>
    <m/>
    <s v="1+ Failures"/>
    <n v="1"/>
    <s v="5-10 hrs"/>
    <s v="12+ months"/>
    <x v="1"/>
  </r>
  <r>
    <n v="1391"/>
    <d v="2024-09-22T00:00:00"/>
    <s v="Standard"/>
    <n v="399"/>
    <n v="24.8"/>
    <n v="3"/>
    <n v="0"/>
    <n v="11"/>
    <n v="18"/>
    <s v="No"/>
    <s v="No"/>
    <s v="No"/>
    <s v="No"/>
    <s v="Yes"/>
    <s v="No"/>
    <m/>
    <s v="0 Failures"/>
    <n v="0"/>
    <s v="20+ hrs"/>
    <s v="6-12months"/>
    <x v="1"/>
  </r>
  <r>
    <n v="1392"/>
    <d v="2024-03-14T00:00:00"/>
    <s v="Standard"/>
    <n v="399"/>
    <n v="9.3000000000000007"/>
    <n v="1"/>
    <n v="0"/>
    <n v="8"/>
    <n v="38"/>
    <s v="Yes"/>
    <s v="No"/>
    <s v="No"/>
    <s v="No"/>
    <s v="Yes"/>
    <s v="No"/>
    <m/>
    <s v="0 Failures"/>
    <n v="1"/>
    <s v="5-10 hrs"/>
    <s v="6-12months"/>
    <x v="1"/>
  </r>
  <r>
    <n v="1393"/>
    <d v="2023-11-05T00:00:00"/>
    <s v="Premium"/>
    <n v="699"/>
    <n v="15.2"/>
    <n v="6"/>
    <n v="1"/>
    <n v="22"/>
    <n v="57"/>
    <s v="No"/>
    <s v="No"/>
    <s v="Yes"/>
    <s v="Yes"/>
    <s v="Yes"/>
    <s v="No"/>
    <m/>
    <s v="1+ Failures"/>
    <n v="0"/>
    <s v="10-20hrs"/>
    <s v="12+ months"/>
    <x v="0"/>
  </r>
  <r>
    <n v="1394"/>
    <d v="2024-01-13T00:00:00"/>
    <s v="Premium"/>
    <n v="699"/>
    <n v="9"/>
    <n v="1"/>
    <n v="2"/>
    <n v="19"/>
    <n v="58"/>
    <s v="Yes"/>
    <s v="No"/>
    <s v="Yes"/>
    <s v="No"/>
    <s v="Yes"/>
    <s v="No"/>
    <m/>
    <s v="1+ Failures"/>
    <n v="1"/>
    <s v="5-10 hrs"/>
    <s v="12+ months"/>
    <x v="0"/>
  </r>
  <r>
    <n v="1395"/>
    <d v="2024-02-04T00:00:00"/>
    <s v="Standard"/>
    <n v="399"/>
    <n v="19.8"/>
    <n v="2"/>
    <n v="5"/>
    <n v="5"/>
    <n v="9"/>
    <s v="Yes"/>
    <s v="No"/>
    <s v="Yes"/>
    <s v="No"/>
    <s v="No"/>
    <s v="Yes"/>
    <m/>
    <s v="1+ Failures"/>
    <n v="1"/>
    <s v="10-20hrs"/>
    <s v="3-6months"/>
    <x v="1"/>
  </r>
  <r>
    <n v="1396"/>
    <d v="2023-10-13T00:00:00"/>
    <s v="Standard"/>
    <n v="399"/>
    <n v="20.5"/>
    <n v="1"/>
    <n v="4"/>
    <n v="31"/>
    <n v="27"/>
    <s v="No"/>
    <s v="No"/>
    <s v="Yes"/>
    <s v="No"/>
    <s v="Yes"/>
    <s v="No"/>
    <m/>
    <s v="1+ Failures"/>
    <n v="0"/>
    <s v="20+ hrs"/>
    <s v="12+ months"/>
    <x v="1"/>
  </r>
  <r>
    <n v="1397"/>
    <d v="2023-11-23T00:00:00"/>
    <s v="Basic"/>
    <n v="199"/>
    <n v="8.4"/>
    <n v="2"/>
    <n v="1"/>
    <n v="6"/>
    <n v="49"/>
    <s v="No"/>
    <s v="No"/>
    <s v="Yes"/>
    <s v="No"/>
    <s v="Yes"/>
    <s v="No"/>
    <m/>
    <s v="1+ Failures"/>
    <n v="0"/>
    <s v="5-10 hrs"/>
    <s v="3-6months"/>
    <x v="1"/>
  </r>
  <r>
    <n v="1398"/>
    <d v="2023-05-22T00:00:00"/>
    <s v="Standard"/>
    <n v="399"/>
    <n v="12.3"/>
    <n v="6"/>
    <n v="4"/>
    <n v="28"/>
    <n v="50"/>
    <s v="Yes"/>
    <s v="No"/>
    <s v="Yes"/>
    <s v="Yes"/>
    <s v="Yes"/>
    <s v="No"/>
    <m/>
    <s v="1+ Failures"/>
    <n v="1"/>
    <s v="10-20hrs"/>
    <s v="12+ months"/>
    <x v="1"/>
  </r>
  <r>
    <n v="1399"/>
    <d v="2024-06-29T00:00:00"/>
    <s v="Premium"/>
    <n v="699"/>
    <n v="9.9"/>
    <n v="8"/>
    <n v="3"/>
    <n v="16"/>
    <n v="34"/>
    <s v="Yes"/>
    <s v="No"/>
    <s v="Yes"/>
    <s v="Yes"/>
    <s v="Yes"/>
    <s v="No"/>
    <m/>
    <s v="1+ Failures"/>
    <n v="1"/>
    <s v="5-10 hrs"/>
    <s v="12+ months"/>
    <x v="0"/>
  </r>
  <r>
    <n v="1400"/>
    <d v="2023-08-13T00:00:00"/>
    <s v="Premium"/>
    <n v="699"/>
    <n v="9.9"/>
    <n v="6"/>
    <n v="4"/>
    <n v="15"/>
    <n v="36"/>
    <s v="No"/>
    <s v="No"/>
    <s v="Yes"/>
    <s v="Yes"/>
    <s v="Yes"/>
    <s v="No"/>
    <m/>
    <s v="1+ Failures"/>
    <n v="0"/>
    <s v="5-10 hrs"/>
    <s v="12+ months"/>
    <x v="0"/>
  </r>
  <r>
    <n v="1401"/>
    <d v="2024-07-25T00:00:00"/>
    <s v="Premium"/>
    <n v="699"/>
    <n v="6.3"/>
    <n v="0"/>
    <n v="1"/>
    <n v="6"/>
    <n v="54"/>
    <s v="Yes"/>
    <s v="No"/>
    <s v="Yes"/>
    <s v="No"/>
    <s v="Yes"/>
    <s v="No"/>
    <m/>
    <s v="1+ Failures"/>
    <n v="1"/>
    <s v="5-10 hrs"/>
    <s v="3-6months"/>
    <x v="0"/>
  </r>
  <r>
    <n v="1402"/>
    <d v="2023-05-23T00:00:00"/>
    <s v="Standard"/>
    <n v="399"/>
    <n v="23.1"/>
    <n v="0"/>
    <n v="2"/>
    <n v="9"/>
    <n v="23"/>
    <s v="No"/>
    <s v="No"/>
    <s v="Yes"/>
    <s v="No"/>
    <s v="Yes"/>
    <s v="No"/>
    <m/>
    <s v="1+ Failures"/>
    <n v="0"/>
    <s v="20+ hrs"/>
    <s v="6-12months"/>
    <x v="1"/>
  </r>
  <r>
    <n v="1403"/>
    <d v="2023-08-18T00:00:00"/>
    <s v="Standard"/>
    <n v="399"/>
    <n v="4"/>
    <n v="8"/>
    <n v="3"/>
    <n v="30"/>
    <n v="15"/>
    <s v="Yes"/>
    <s v="Yes"/>
    <s v="Yes"/>
    <s v="Yes"/>
    <s v="Yes"/>
    <s v="No"/>
    <m/>
    <s v="1+ Failures"/>
    <n v="1"/>
    <s v="0-5 hrs"/>
    <s v="12+ months"/>
    <x v="1"/>
  </r>
  <r>
    <n v="1404"/>
    <d v="2024-03-10T00:00:00"/>
    <s v="Basic"/>
    <n v="199"/>
    <n v="3.4"/>
    <n v="2"/>
    <n v="3"/>
    <n v="9"/>
    <n v="46"/>
    <s v="Yes"/>
    <s v="Yes"/>
    <s v="Yes"/>
    <s v="No"/>
    <s v="Yes"/>
    <s v="No"/>
    <m/>
    <s v="1+ Failures"/>
    <n v="1"/>
    <s v="0-5 hrs"/>
    <s v="6-12months"/>
    <x v="1"/>
  </r>
  <r>
    <n v="1405"/>
    <d v="2023-06-11T00:00:00"/>
    <s v="Standard"/>
    <n v="399"/>
    <n v="17.7"/>
    <n v="1"/>
    <n v="3"/>
    <n v="4"/>
    <n v="53"/>
    <s v="Yes"/>
    <s v="No"/>
    <s v="Yes"/>
    <s v="No"/>
    <s v="Yes"/>
    <s v="Yes"/>
    <m/>
    <s v="1+ Failures"/>
    <n v="1"/>
    <s v="10-20hrs"/>
    <s v="3-6months"/>
    <x v="1"/>
  </r>
  <r>
    <n v="1406"/>
    <d v="2024-03-02T00:00:00"/>
    <s v="Basic"/>
    <n v="199"/>
    <n v="9.4"/>
    <n v="1"/>
    <n v="1"/>
    <n v="10"/>
    <n v="4"/>
    <s v="Yes"/>
    <s v="No"/>
    <s v="Yes"/>
    <s v="No"/>
    <s v="No"/>
    <s v="No"/>
    <m/>
    <s v="1+ Failures"/>
    <n v="1"/>
    <s v="5-10 hrs"/>
    <s v="6-12months"/>
    <x v="1"/>
  </r>
  <r>
    <n v="1407"/>
    <d v="2023-11-03T00:00:00"/>
    <s v="Basic"/>
    <n v="199"/>
    <n v="12"/>
    <n v="2"/>
    <n v="5"/>
    <n v="12"/>
    <n v="33"/>
    <s v="No"/>
    <s v="No"/>
    <s v="Yes"/>
    <s v="No"/>
    <s v="Yes"/>
    <s v="No"/>
    <m/>
    <s v="1+ Failures"/>
    <n v="0"/>
    <s v="10-20hrs"/>
    <s v="6-12months"/>
    <x v="1"/>
  </r>
  <r>
    <n v="1408"/>
    <d v="2023-04-24T00:00:00"/>
    <s v="Standard"/>
    <n v="399"/>
    <n v="18.2"/>
    <n v="7"/>
    <n v="5"/>
    <n v="27"/>
    <n v="44"/>
    <s v="Yes"/>
    <s v="No"/>
    <s v="Yes"/>
    <s v="Yes"/>
    <s v="Yes"/>
    <s v="No"/>
    <m/>
    <s v="1+ Failures"/>
    <n v="1"/>
    <s v="10-20hrs"/>
    <s v="12+ months"/>
    <x v="1"/>
  </r>
  <r>
    <n v="1409"/>
    <d v="2023-06-14T00:00:00"/>
    <s v="Basic"/>
    <n v="199"/>
    <n v="22.1"/>
    <n v="0"/>
    <n v="4"/>
    <n v="4"/>
    <n v="48"/>
    <s v="Yes"/>
    <s v="No"/>
    <s v="Yes"/>
    <s v="No"/>
    <s v="Yes"/>
    <s v="Yes"/>
    <m/>
    <s v="1+ Failures"/>
    <n v="1"/>
    <s v="20+ hrs"/>
    <s v="3-6months"/>
    <x v="1"/>
  </r>
  <r>
    <n v="1410"/>
    <d v="2024-08-08T00:00:00"/>
    <s v="Basic"/>
    <n v="199"/>
    <n v="20.9"/>
    <n v="7"/>
    <n v="4"/>
    <n v="26"/>
    <n v="45"/>
    <s v="No"/>
    <s v="No"/>
    <s v="Yes"/>
    <s v="Yes"/>
    <s v="Yes"/>
    <s v="No"/>
    <m/>
    <s v="1+ Failures"/>
    <n v="0"/>
    <s v="20+ hrs"/>
    <s v="12+ months"/>
    <x v="1"/>
  </r>
  <r>
    <n v="1411"/>
    <d v="2024-06-18T00:00:00"/>
    <s v="Premium"/>
    <n v="699"/>
    <n v="17.899999999999999"/>
    <n v="6"/>
    <n v="1"/>
    <n v="20"/>
    <n v="17"/>
    <s v="No"/>
    <s v="No"/>
    <s v="Yes"/>
    <s v="Yes"/>
    <s v="Yes"/>
    <s v="No"/>
    <m/>
    <s v="1+ Failures"/>
    <n v="0"/>
    <s v="10-20hrs"/>
    <s v="12+ months"/>
    <x v="0"/>
  </r>
  <r>
    <n v="1412"/>
    <d v="2023-07-08T00:00:00"/>
    <s v="Standard"/>
    <n v="399"/>
    <n v="18.7"/>
    <n v="6"/>
    <n v="4"/>
    <n v="9"/>
    <n v="3"/>
    <s v="Yes"/>
    <s v="No"/>
    <s v="Yes"/>
    <s v="Yes"/>
    <s v="No"/>
    <s v="No"/>
    <m/>
    <s v="1+ Failures"/>
    <n v="1"/>
    <s v="10-20hrs"/>
    <s v="6-12months"/>
    <x v="1"/>
  </r>
  <r>
    <n v="1413"/>
    <d v="2024-10-30T00:00:00"/>
    <s v="Premium"/>
    <n v="699"/>
    <n v="15.3"/>
    <n v="1"/>
    <n v="5"/>
    <n v="36"/>
    <n v="29"/>
    <s v="Yes"/>
    <s v="No"/>
    <s v="Yes"/>
    <s v="No"/>
    <s v="Yes"/>
    <s v="No"/>
    <m/>
    <s v="1+ Failures"/>
    <n v="1"/>
    <s v="10-20hrs"/>
    <s v="12+ months"/>
    <x v="0"/>
  </r>
  <r>
    <n v="1414"/>
    <d v="2024-03-10T00:00:00"/>
    <s v="Premium"/>
    <n v="699"/>
    <n v="20.8"/>
    <n v="2"/>
    <n v="0"/>
    <n v="26"/>
    <n v="51"/>
    <s v="No"/>
    <s v="No"/>
    <s v="No"/>
    <s v="No"/>
    <s v="Yes"/>
    <s v="No"/>
    <m/>
    <s v="0 Failures"/>
    <n v="0"/>
    <s v="20+ hrs"/>
    <s v="12+ months"/>
    <x v="0"/>
  </r>
  <r>
    <n v="1415"/>
    <d v="2023-12-10T00:00:00"/>
    <s v="Basic"/>
    <n v="199"/>
    <n v="3.2"/>
    <n v="1"/>
    <n v="2"/>
    <n v="18"/>
    <n v="38"/>
    <s v="Yes"/>
    <s v="Yes"/>
    <s v="Yes"/>
    <s v="No"/>
    <s v="Yes"/>
    <s v="No"/>
    <m/>
    <s v="1+ Failures"/>
    <n v="1"/>
    <s v="0-5 hrs"/>
    <s v="12+ months"/>
    <x v="1"/>
  </r>
  <r>
    <n v="1416"/>
    <d v="2023-01-12T00:00:00"/>
    <s v="Basic"/>
    <n v="199"/>
    <n v="7.4"/>
    <n v="8"/>
    <n v="0"/>
    <n v="16"/>
    <n v="4"/>
    <s v="Yes"/>
    <s v="No"/>
    <s v="No"/>
    <s v="Yes"/>
    <s v="No"/>
    <s v="No"/>
    <m/>
    <s v="0 Failures"/>
    <n v="1"/>
    <s v="5-10 hrs"/>
    <s v="12+ months"/>
    <x v="1"/>
  </r>
  <r>
    <n v="1417"/>
    <d v="2024-08-06T00:00:00"/>
    <s v="Standard"/>
    <n v="399"/>
    <n v="14"/>
    <n v="0"/>
    <n v="1"/>
    <n v="13"/>
    <n v="17"/>
    <s v="Yes"/>
    <s v="No"/>
    <s v="Yes"/>
    <s v="No"/>
    <s v="Yes"/>
    <s v="No"/>
    <m/>
    <s v="1+ Failures"/>
    <n v="1"/>
    <s v="10-20hrs"/>
    <s v="12+ months"/>
    <x v="1"/>
  </r>
  <r>
    <n v="1418"/>
    <d v="2023-11-13T00:00:00"/>
    <s v="Premium"/>
    <n v="699"/>
    <n v="14.3"/>
    <n v="7"/>
    <n v="0"/>
    <n v="3"/>
    <n v="3"/>
    <s v="No"/>
    <s v="No"/>
    <s v="No"/>
    <s v="Yes"/>
    <s v="No"/>
    <s v="Yes"/>
    <m/>
    <s v="0 Failures"/>
    <n v="0"/>
    <s v="10-20hrs"/>
    <s v="0-3months"/>
    <x v="0"/>
  </r>
  <r>
    <n v="1419"/>
    <d v="2024-02-05T00:00:00"/>
    <s v="Basic"/>
    <n v="199"/>
    <n v="18.899999999999999"/>
    <n v="6"/>
    <n v="4"/>
    <n v="23"/>
    <n v="12"/>
    <s v="Yes"/>
    <s v="No"/>
    <s v="Yes"/>
    <s v="Yes"/>
    <s v="No"/>
    <s v="No"/>
    <m/>
    <s v="1+ Failures"/>
    <n v="1"/>
    <s v="10-20hrs"/>
    <s v="12+ months"/>
    <x v="1"/>
  </r>
  <r>
    <n v="1420"/>
    <d v="2024-05-30T00:00:00"/>
    <s v="Premium"/>
    <n v="699"/>
    <n v="24.4"/>
    <n v="1"/>
    <n v="2"/>
    <n v="23"/>
    <n v="26"/>
    <s v="No"/>
    <s v="No"/>
    <s v="Yes"/>
    <s v="No"/>
    <s v="Yes"/>
    <s v="No"/>
    <m/>
    <s v="1+ Failures"/>
    <n v="0"/>
    <s v="20+ hrs"/>
    <s v="12+ months"/>
    <x v="0"/>
  </r>
  <r>
    <n v="1421"/>
    <d v="2024-05-03T00:00:00"/>
    <s v="Basic"/>
    <n v="199"/>
    <n v="20.3"/>
    <n v="2"/>
    <n v="0"/>
    <n v="33"/>
    <n v="37"/>
    <s v="No"/>
    <s v="No"/>
    <s v="No"/>
    <s v="No"/>
    <s v="Yes"/>
    <s v="No"/>
    <m/>
    <s v="0 Failures"/>
    <n v="0"/>
    <s v="20+ hrs"/>
    <s v="12+ months"/>
    <x v="1"/>
  </r>
  <r>
    <n v="1422"/>
    <d v="2024-10-02T00:00:00"/>
    <s v="Premium"/>
    <n v="699"/>
    <n v="7.6"/>
    <n v="2"/>
    <n v="5"/>
    <n v="3"/>
    <n v="29"/>
    <s v="Yes"/>
    <s v="No"/>
    <s v="Yes"/>
    <s v="No"/>
    <s v="Yes"/>
    <s v="Yes"/>
    <m/>
    <s v="1+ Failures"/>
    <n v="1"/>
    <s v="5-10 hrs"/>
    <s v="0-3months"/>
    <x v="0"/>
  </r>
  <r>
    <n v="1423"/>
    <d v="2024-05-28T00:00:00"/>
    <s v="Basic"/>
    <n v="199"/>
    <n v="22.2"/>
    <n v="2"/>
    <n v="5"/>
    <n v="15"/>
    <n v="10"/>
    <s v="No"/>
    <s v="No"/>
    <s v="Yes"/>
    <s v="No"/>
    <s v="No"/>
    <s v="No"/>
    <m/>
    <s v="1+ Failures"/>
    <n v="0"/>
    <s v="20+ hrs"/>
    <s v="12+ months"/>
    <x v="1"/>
  </r>
  <r>
    <n v="1424"/>
    <d v="2023-10-25T00:00:00"/>
    <s v="Premium"/>
    <n v="699"/>
    <n v="23.3"/>
    <n v="5"/>
    <n v="3"/>
    <n v="34"/>
    <n v="50"/>
    <s v="Yes"/>
    <s v="No"/>
    <s v="Yes"/>
    <s v="Yes"/>
    <s v="Yes"/>
    <s v="No"/>
    <m/>
    <s v="1+ Failures"/>
    <n v="1"/>
    <s v="20+ hrs"/>
    <s v="12+ months"/>
    <x v="0"/>
  </r>
  <r>
    <n v="1425"/>
    <d v="2024-09-13T00:00:00"/>
    <s v="Standard"/>
    <n v="399"/>
    <n v="1.5"/>
    <n v="6"/>
    <n v="1"/>
    <n v="28"/>
    <n v="13"/>
    <s v="No"/>
    <s v="Yes"/>
    <s v="Yes"/>
    <s v="Yes"/>
    <s v="No"/>
    <s v="No"/>
    <m/>
    <s v="1+ Failures"/>
    <n v="0"/>
    <s v="0-5 hrs"/>
    <s v="12+ months"/>
    <x v="1"/>
  </r>
  <r>
    <n v="1426"/>
    <d v="2023-11-13T00:00:00"/>
    <s v="Basic"/>
    <n v="199"/>
    <n v="14.4"/>
    <n v="7"/>
    <n v="0"/>
    <n v="10"/>
    <n v="51"/>
    <s v="Yes"/>
    <s v="No"/>
    <s v="No"/>
    <s v="Yes"/>
    <s v="Yes"/>
    <s v="No"/>
    <m/>
    <s v="0 Failures"/>
    <n v="1"/>
    <s v="10-20hrs"/>
    <s v="6-12months"/>
    <x v="1"/>
  </r>
  <r>
    <n v="1427"/>
    <d v="2023-06-15T00:00:00"/>
    <s v="Premium"/>
    <n v="699"/>
    <n v="12.7"/>
    <n v="7"/>
    <n v="2"/>
    <n v="6"/>
    <n v="10"/>
    <s v="No"/>
    <s v="No"/>
    <s v="Yes"/>
    <s v="Yes"/>
    <s v="No"/>
    <s v="No"/>
    <m/>
    <s v="1+ Failures"/>
    <n v="0"/>
    <s v="10-20hrs"/>
    <s v="3-6months"/>
    <x v="0"/>
  </r>
  <r>
    <n v="1428"/>
    <d v="2024-04-16T00:00:00"/>
    <s v="Basic"/>
    <n v="199"/>
    <n v="14.6"/>
    <n v="5"/>
    <n v="0"/>
    <n v="18"/>
    <n v="4"/>
    <s v="Yes"/>
    <s v="No"/>
    <s v="No"/>
    <s v="Yes"/>
    <s v="No"/>
    <s v="No"/>
    <m/>
    <s v="0 Failures"/>
    <n v="1"/>
    <s v="10-20hrs"/>
    <s v="12+ months"/>
    <x v="1"/>
  </r>
  <r>
    <n v="1429"/>
    <d v="2023-05-07T00:00:00"/>
    <s v="Standard"/>
    <n v="399"/>
    <n v="24.5"/>
    <n v="7"/>
    <n v="5"/>
    <n v="31"/>
    <n v="59"/>
    <s v="Yes"/>
    <s v="No"/>
    <s v="Yes"/>
    <s v="Yes"/>
    <s v="Yes"/>
    <s v="No"/>
    <m/>
    <s v="1+ Failures"/>
    <n v="1"/>
    <s v="20+ hrs"/>
    <s v="12+ months"/>
    <x v="1"/>
  </r>
  <r>
    <n v="1430"/>
    <d v="2024-11-27T00:00:00"/>
    <s v="Premium"/>
    <n v="699"/>
    <n v="1.5"/>
    <n v="4"/>
    <n v="3"/>
    <n v="32"/>
    <n v="26"/>
    <s v="Yes"/>
    <s v="Yes"/>
    <s v="Yes"/>
    <s v="No"/>
    <s v="Yes"/>
    <s v="No"/>
    <m/>
    <s v="1+ Failures"/>
    <n v="1"/>
    <s v="0-5 hrs"/>
    <s v="12+ months"/>
    <x v="0"/>
  </r>
  <r>
    <n v="1431"/>
    <d v="2024-06-02T00:00:00"/>
    <s v="Basic"/>
    <n v="199"/>
    <n v="9.5"/>
    <n v="5"/>
    <n v="2"/>
    <n v="29"/>
    <n v="5"/>
    <s v="No"/>
    <s v="No"/>
    <s v="Yes"/>
    <s v="Yes"/>
    <s v="No"/>
    <s v="No"/>
    <m/>
    <s v="1+ Failures"/>
    <n v="0"/>
    <s v="5-10 hrs"/>
    <s v="12+ months"/>
    <x v="1"/>
  </r>
  <r>
    <n v="1432"/>
    <d v="2023-09-08T00:00:00"/>
    <s v="Standard"/>
    <n v="399"/>
    <n v="22"/>
    <n v="0"/>
    <n v="4"/>
    <n v="17"/>
    <n v="41"/>
    <s v="Yes"/>
    <s v="No"/>
    <s v="Yes"/>
    <s v="No"/>
    <s v="Yes"/>
    <s v="No"/>
    <m/>
    <s v="1+ Failures"/>
    <n v="1"/>
    <s v="20+ hrs"/>
    <s v="12+ months"/>
    <x v="1"/>
  </r>
  <r>
    <n v="1433"/>
    <d v="2024-02-13T00:00:00"/>
    <s v="Premium"/>
    <n v="699"/>
    <n v="0.7"/>
    <n v="1"/>
    <n v="2"/>
    <n v="36"/>
    <n v="24"/>
    <s v="Yes"/>
    <s v="Yes"/>
    <s v="Yes"/>
    <s v="No"/>
    <s v="Yes"/>
    <s v="No"/>
    <m/>
    <s v="1+ Failures"/>
    <n v="1"/>
    <s v="0-5 hrs"/>
    <s v="12+ months"/>
    <x v="0"/>
  </r>
  <r>
    <n v="1434"/>
    <d v="2024-04-24T00:00:00"/>
    <s v="Basic"/>
    <n v="199"/>
    <n v="10"/>
    <n v="7"/>
    <n v="5"/>
    <n v="15"/>
    <n v="5"/>
    <s v="Yes"/>
    <s v="No"/>
    <s v="Yes"/>
    <s v="Yes"/>
    <s v="No"/>
    <s v="No"/>
    <m/>
    <s v="1+ Failures"/>
    <n v="1"/>
    <s v="5-10 hrs"/>
    <s v="12+ months"/>
    <x v="1"/>
  </r>
  <r>
    <n v="1435"/>
    <d v="2023-04-21T00:00:00"/>
    <s v="Premium"/>
    <n v="699"/>
    <n v="22.6"/>
    <n v="7"/>
    <n v="0"/>
    <n v="35"/>
    <n v="5"/>
    <s v="Yes"/>
    <s v="No"/>
    <s v="No"/>
    <s v="Yes"/>
    <s v="No"/>
    <s v="No"/>
    <m/>
    <s v="0 Failures"/>
    <n v="1"/>
    <s v="20+ hrs"/>
    <s v="12+ months"/>
    <x v="0"/>
  </r>
  <r>
    <n v="1436"/>
    <d v="2024-09-10T00:00:00"/>
    <s v="Standard"/>
    <n v="399"/>
    <n v="5.4"/>
    <n v="5"/>
    <n v="0"/>
    <n v="28"/>
    <n v="20"/>
    <s v="No"/>
    <s v="No"/>
    <s v="No"/>
    <s v="Yes"/>
    <s v="Yes"/>
    <s v="No"/>
    <m/>
    <s v="0 Failures"/>
    <n v="0"/>
    <s v="5-10 hrs"/>
    <s v="12+ months"/>
    <x v="1"/>
  </r>
  <r>
    <n v="1437"/>
    <d v="2024-07-12T00:00:00"/>
    <s v="Standard"/>
    <n v="399"/>
    <n v="17.7"/>
    <n v="7"/>
    <n v="0"/>
    <n v="14"/>
    <n v="17"/>
    <s v="No"/>
    <s v="No"/>
    <s v="No"/>
    <s v="Yes"/>
    <s v="Yes"/>
    <s v="No"/>
    <m/>
    <s v="0 Failures"/>
    <n v="0"/>
    <s v="10-20hrs"/>
    <s v="12+ months"/>
    <x v="1"/>
  </r>
  <r>
    <n v="1438"/>
    <d v="2024-09-07T00:00:00"/>
    <s v="Basic"/>
    <n v="199"/>
    <n v="4.0999999999999996"/>
    <n v="3"/>
    <n v="2"/>
    <n v="31"/>
    <n v="36"/>
    <s v="Yes"/>
    <s v="Yes"/>
    <s v="Yes"/>
    <s v="No"/>
    <s v="Yes"/>
    <s v="No"/>
    <m/>
    <s v="1+ Failures"/>
    <n v="1"/>
    <s v="0-5 hrs"/>
    <s v="12+ months"/>
    <x v="1"/>
  </r>
  <r>
    <n v="1439"/>
    <d v="2023-08-05T00:00:00"/>
    <s v="Standard"/>
    <n v="399"/>
    <n v="23.4"/>
    <n v="5"/>
    <n v="3"/>
    <n v="4"/>
    <n v="30"/>
    <s v="Yes"/>
    <s v="No"/>
    <s v="Yes"/>
    <s v="Yes"/>
    <s v="Yes"/>
    <s v="Yes"/>
    <m/>
    <s v="1+ Failures"/>
    <n v="1"/>
    <s v="20+ hrs"/>
    <s v="3-6months"/>
    <x v="1"/>
  </r>
  <r>
    <n v="1440"/>
    <d v="2024-02-19T00:00:00"/>
    <s v="Basic"/>
    <n v="199"/>
    <n v="7.1"/>
    <n v="2"/>
    <n v="0"/>
    <n v="28"/>
    <n v="9"/>
    <s v="Yes"/>
    <s v="No"/>
    <s v="No"/>
    <s v="No"/>
    <s v="No"/>
    <s v="No"/>
    <m/>
    <s v="0 Failures"/>
    <n v="1"/>
    <s v="5-10 hrs"/>
    <s v="12+ months"/>
    <x v="1"/>
  </r>
  <r>
    <n v="1441"/>
    <d v="2023-09-23T00:00:00"/>
    <s v="Basic"/>
    <n v="199"/>
    <n v="21.9"/>
    <n v="7"/>
    <n v="3"/>
    <n v="20"/>
    <n v="33"/>
    <s v="Yes"/>
    <s v="No"/>
    <s v="Yes"/>
    <s v="Yes"/>
    <s v="Yes"/>
    <s v="No"/>
    <m/>
    <s v="1+ Failures"/>
    <n v="1"/>
    <s v="20+ hrs"/>
    <s v="12+ months"/>
    <x v="1"/>
  </r>
  <r>
    <n v="1442"/>
    <d v="2023-07-23T00:00:00"/>
    <s v="Basic"/>
    <n v="199"/>
    <n v="2.8"/>
    <n v="6"/>
    <n v="2"/>
    <n v="4"/>
    <n v="48"/>
    <s v="Yes"/>
    <s v="Yes"/>
    <s v="Yes"/>
    <s v="Yes"/>
    <s v="Yes"/>
    <s v="Yes"/>
    <m/>
    <s v="1+ Failures"/>
    <n v="1"/>
    <s v="0-5 hrs"/>
    <s v="3-6months"/>
    <x v="1"/>
  </r>
  <r>
    <n v="1443"/>
    <d v="2024-12-14T00:00:00"/>
    <s v="Standard"/>
    <n v="399"/>
    <n v="12.3"/>
    <n v="8"/>
    <n v="5"/>
    <n v="27"/>
    <n v="50"/>
    <s v="Yes"/>
    <s v="No"/>
    <s v="Yes"/>
    <s v="Yes"/>
    <s v="Yes"/>
    <s v="No"/>
    <m/>
    <s v="1+ Failures"/>
    <n v="1"/>
    <s v="10-20hrs"/>
    <s v="12+ months"/>
    <x v="1"/>
  </r>
  <r>
    <n v="1444"/>
    <d v="2024-09-03T00:00:00"/>
    <s v="Standard"/>
    <n v="399"/>
    <n v="22.9"/>
    <n v="6"/>
    <n v="0"/>
    <n v="23"/>
    <n v="35"/>
    <s v="No"/>
    <s v="No"/>
    <s v="No"/>
    <s v="Yes"/>
    <s v="Yes"/>
    <s v="No"/>
    <m/>
    <s v="0 Failures"/>
    <n v="0"/>
    <s v="20+ hrs"/>
    <s v="12+ months"/>
    <x v="1"/>
  </r>
  <r>
    <n v="1445"/>
    <d v="2023-11-21T00:00:00"/>
    <s v="Basic"/>
    <n v="199"/>
    <n v="18.2"/>
    <n v="2"/>
    <n v="2"/>
    <n v="5"/>
    <n v="42"/>
    <s v="No"/>
    <s v="No"/>
    <s v="Yes"/>
    <s v="No"/>
    <s v="Yes"/>
    <s v="Yes"/>
    <m/>
    <s v="1+ Failures"/>
    <n v="0"/>
    <s v="10-20hrs"/>
    <s v="3-6months"/>
    <x v="1"/>
  </r>
  <r>
    <n v="1446"/>
    <d v="2024-11-21T00:00:00"/>
    <s v="Basic"/>
    <n v="199"/>
    <n v="22.5"/>
    <n v="2"/>
    <n v="3"/>
    <n v="10"/>
    <n v="55"/>
    <s v="Yes"/>
    <s v="No"/>
    <s v="Yes"/>
    <s v="No"/>
    <s v="Yes"/>
    <s v="No"/>
    <m/>
    <s v="1+ Failures"/>
    <n v="1"/>
    <s v="20+ hrs"/>
    <s v="6-12months"/>
    <x v="1"/>
  </r>
  <r>
    <n v="1447"/>
    <d v="2023-05-09T00:00:00"/>
    <s v="Standard"/>
    <n v="399"/>
    <n v="13.3"/>
    <n v="0"/>
    <n v="3"/>
    <n v="17"/>
    <n v="60"/>
    <s v="No"/>
    <s v="No"/>
    <s v="Yes"/>
    <s v="No"/>
    <s v="Yes"/>
    <s v="No"/>
    <m/>
    <s v="1+ Failures"/>
    <n v="0"/>
    <s v="10-20hrs"/>
    <s v="12+ months"/>
    <x v="1"/>
  </r>
  <r>
    <n v="1448"/>
    <d v="2023-07-12T00:00:00"/>
    <s v="Premium"/>
    <n v="699"/>
    <n v="16.2"/>
    <n v="1"/>
    <n v="0"/>
    <n v="29"/>
    <n v="13"/>
    <s v="No"/>
    <s v="No"/>
    <s v="No"/>
    <s v="No"/>
    <s v="No"/>
    <s v="No"/>
    <m/>
    <s v="0 Failures"/>
    <n v="0"/>
    <s v="10-20hrs"/>
    <s v="12+ months"/>
    <x v="0"/>
  </r>
  <r>
    <n v="1449"/>
    <d v="2023-07-15T00:00:00"/>
    <s v="Standard"/>
    <n v="399"/>
    <n v="19.5"/>
    <n v="6"/>
    <n v="1"/>
    <n v="35"/>
    <n v="22"/>
    <s v="Yes"/>
    <s v="No"/>
    <s v="Yes"/>
    <s v="Yes"/>
    <s v="Yes"/>
    <s v="No"/>
    <m/>
    <s v="1+ Failures"/>
    <n v="1"/>
    <s v="10-20hrs"/>
    <s v="12+ months"/>
    <x v="1"/>
  </r>
  <r>
    <n v="1450"/>
    <d v="2024-05-29T00:00:00"/>
    <s v="Premium"/>
    <n v="699"/>
    <n v="9.6"/>
    <n v="5"/>
    <n v="0"/>
    <n v="1"/>
    <n v="19"/>
    <s v="No"/>
    <s v="No"/>
    <s v="No"/>
    <s v="Yes"/>
    <s v="Yes"/>
    <s v="Yes"/>
    <m/>
    <s v="0 Failures"/>
    <n v="0"/>
    <s v="5-10 hrs"/>
    <s v="0-3months"/>
    <x v="0"/>
  </r>
  <r>
    <n v="1451"/>
    <d v="2024-07-09T00:00:00"/>
    <s v="Basic"/>
    <n v="199"/>
    <n v="16.399999999999999"/>
    <n v="7"/>
    <n v="3"/>
    <n v="32"/>
    <n v="26"/>
    <s v="Yes"/>
    <s v="No"/>
    <s v="Yes"/>
    <s v="Yes"/>
    <s v="Yes"/>
    <s v="No"/>
    <m/>
    <s v="1+ Failures"/>
    <n v="1"/>
    <s v="10-20hrs"/>
    <s v="12+ months"/>
    <x v="1"/>
  </r>
  <r>
    <n v="1452"/>
    <d v="2024-03-14T00:00:00"/>
    <s v="Standard"/>
    <n v="399"/>
    <n v="24.4"/>
    <n v="5"/>
    <n v="0"/>
    <n v="34"/>
    <n v="59"/>
    <s v="Yes"/>
    <s v="No"/>
    <s v="No"/>
    <s v="Yes"/>
    <s v="Yes"/>
    <s v="No"/>
    <m/>
    <s v="0 Failures"/>
    <n v="1"/>
    <s v="20+ hrs"/>
    <s v="12+ months"/>
    <x v="1"/>
  </r>
  <r>
    <n v="1453"/>
    <d v="2024-11-06T00:00:00"/>
    <s v="Standard"/>
    <n v="399"/>
    <n v="14"/>
    <n v="2"/>
    <n v="4"/>
    <n v="12"/>
    <n v="27"/>
    <s v="Yes"/>
    <s v="No"/>
    <s v="Yes"/>
    <s v="No"/>
    <s v="Yes"/>
    <s v="No"/>
    <m/>
    <s v="1+ Failures"/>
    <n v="1"/>
    <s v="10-20hrs"/>
    <s v="6-12months"/>
    <x v="1"/>
  </r>
  <r>
    <n v="1454"/>
    <d v="2023-04-02T00:00:00"/>
    <s v="Premium"/>
    <n v="699"/>
    <n v="16"/>
    <n v="1"/>
    <n v="0"/>
    <n v="28"/>
    <n v="51"/>
    <s v="No"/>
    <s v="No"/>
    <s v="No"/>
    <s v="No"/>
    <s v="Yes"/>
    <s v="No"/>
    <m/>
    <s v="0 Failures"/>
    <n v="0"/>
    <s v="10-20hrs"/>
    <s v="12+ months"/>
    <x v="0"/>
  </r>
  <r>
    <n v="1455"/>
    <d v="2024-09-30T00:00:00"/>
    <s v="Premium"/>
    <n v="699"/>
    <n v="15.6"/>
    <n v="6"/>
    <n v="0"/>
    <n v="2"/>
    <n v="31"/>
    <s v="No"/>
    <s v="No"/>
    <s v="No"/>
    <s v="Yes"/>
    <s v="Yes"/>
    <s v="Yes"/>
    <m/>
    <s v="0 Failures"/>
    <n v="0"/>
    <s v="10-20hrs"/>
    <s v="0-3months"/>
    <x v="0"/>
  </r>
  <r>
    <n v="1456"/>
    <d v="2023-10-24T00:00:00"/>
    <s v="Premium"/>
    <n v="699"/>
    <n v="16"/>
    <n v="8"/>
    <n v="4"/>
    <n v="7"/>
    <n v="51"/>
    <s v="Yes"/>
    <s v="No"/>
    <s v="Yes"/>
    <s v="Yes"/>
    <s v="Yes"/>
    <s v="No"/>
    <m/>
    <s v="1+ Failures"/>
    <n v="1"/>
    <s v="10-20hrs"/>
    <s v="6-12months"/>
    <x v="0"/>
  </r>
  <r>
    <n v="1457"/>
    <d v="2024-04-25T00:00:00"/>
    <s v="Standard"/>
    <n v="399"/>
    <n v="6"/>
    <n v="7"/>
    <n v="4"/>
    <n v="14"/>
    <n v="24"/>
    <s v="Yes"/>
    <s v="No"/>
    <s v="Yes"/>
    <s v="Yes"/>
    <s v="Yes"/>
    <s v="No"/>
    <m/>
    <s v="1+ Failures"/>
    <n v="1"/>
    <s v="5-10 hrs"/>
    <s v="12+ months"/>
    <x v="1"/>
  </r>
  <r>
    <n v="1458"/>
    <d v="2024-12-21T00:00:00"/>
    <s v="Basic"/>
    <n v="199"/>
    <n v="24.2"/>
    <n v="7"/>
    <n v="3"/>
    <n v="23"/>
    <n v="58"/>
    <s v="No"/>
    <s v="No"/>
    <s v="Yes"/>
    <s v="Yes"/>
    <s v="Yes"/>
    <s v="No"/>
    <m/>
    <s v="1+ Failures"/>
    <n v="0"/>
    <s v="20+ hrs"/>
    <s v="12+ months"/>
    <x v="1"/>
  </r>
  <r>
    <n v="1459"/>
    <d v="2024-11-05T00:00:00"/>
    <s v="Premium"/>
    <n v="699"/>
    <n v="0.7"/>
    <n v="5"/>
    <n v="1"/>
    <n v="26"/>
    <n v="32"/>
    <s v="Yes"/>
    <s v="Yes"/>
    <s v="Yes"/>
    <s v="Yes"/>
    <s v="Yes"/>
    <s v="No"/>
    <m/>
    <s v="1+ Failures"/>
    <n v="1"/>
    <s v="0-5 hrs"/>
    <s v="12+ months"/>
    <x v="0"/>
  </r>
  <r>
    <n v="1460"/>
    <d v="2024-02-29T00:00:00"/>
    <s v="Standard"/>
    <n v="399"/>
    <n v="21"/>
    <n v="6"/>
    <n v="5"/>
    <n v="20"/>
    <n v="15"/>
    <s v="Yes"/>
    <s v="No"/>
    <s v="Yes"/>
    <s v="Yes"/>
    <s v="Yes"/>
    <s v="No"/>
    <m/>
    <s v="1+ Failures"/>
    <n v="1"/>
    <s v="20+ hrs"/>
    <s v="12+ months"/>
    <x v="1"/>
  </r>
  <r>
    <n v="1461"/>
    <d v="2023-11-22T00:00:00"/>
    <s v="Basic"/>
    <n v="199"/>
    <n v="1.1000000000000001"/>
    <n v="5"/>
    <n v="4"/>
    <n v="1"/>
    <n v="52"/>
    <s v="Yes"/>
    <s v="Yes"/>
    <s v="Yes"/>
    <s v="Yes"/>
    <s v="Yes"/>
    <s v="Yes"/>
    <m/>
    <s v="1+ Failures"/>
    <n v="1"/>
    <s v="0-5 hrs"/>
    <s v="0-3months"/>
    <x v="1"/>
  </r>
  <r>
    <n v="1462"/>
    <d v="2023-07-17T00:00:00"/>
    <s v="Standard"/>
    <n v="399"/>
    <n v="24"/>
    <n v="6"/>
    <n v="1"/>
    <n v="11"/>
    <n v="35"/>
    <s v="No"/>
    <s v="No"/>
    <s v="Yes"/>
    <s v="Yes"/>
    <s v="Yes"/>
    <s v="No"/>
    <m/>
    <s v="1+ Failures"/>
    <n v="0"/>
    <s v="20+ hrs"/>
    <s v="6-12months"/>
    <x v="1"/>
  </r>
  <r>
    <n v="1463"/>
    <d v="2023-06-27T00:00:00"/>
    <s v="Premium"/>
    <n v="699"/>
    <n v="20.8"/>
    <n v="6"/>
    <n v="1"/>
    <n v="26"/>
    <n v="60"/>
    <s v="No"/>
    <s v="No"/>
    <s v="Yes"/>
    <s v="Yes"/>
    <s v="Yes"/>
    <s v="No"/>
    <m/>
    <s v="1+ Failures"/>
    <n v="0"/>
    <s v="20+ hrs"/>
    <s v="12+ months"/>
    <x v="0"/>
  </r>
  <r>
    <n v="1464"/>
    <d v="2023-05-10T00:00:00"/>
    <s v="Standard"/>
    <n v="399"/>
    <n v="13.2"/>
    <n v="6"/>
    <n v="1"/>
    <n v="21"/>
    <n v="6"/>
    <s v="No"/>
    <s v="No"/>
    <s v="Yes"/>
    <s v="Yes"/>
    <s v="No"/>
    <s v="No"/>
    <m/>
    <s v="1+ Failures"/>
    <n v="0"/>
    <s v="10-20hrs"/>
    <s v="12+ months"/>
    <x v="1"/>
  </r>
  <r>
    <n v="1465"/>
    <d v="2024-07-20T00:00:00"/>
    <s v="Premium"/>
    <n v="699"/>
    <n v="16"/>
    <n v="6"/>
    <n v="5"/>
    <n v="8"/>
    <n v="58"/>
    <s v="Yes"/>
    <s v="No"/>
    <s v="Yes"/>
    <s v="Yes"/>
    <s v="Yes"/>
    <s v="No"/>
    <m/>
    <s v="1+ Failures"/>
    <n v="1"/>
    <s v="10-20hrs"/>
    <s v="6-12months"/>
    <x v="0"/>
  </r>
  <r>
    <n v="1466"/>
    <d v="2024-08-30T00:00:00"/>
    <s v="Basic"/>
    <n v="199"/>
    <n v="5.5"/>
    <n v="1"/>
    <n v="0"/>
    <n v="21"/>
    <n v="27"/>
    <s v="Yes"/>
    <s v="No"/>
    <s v="No"/>
    <s v="No"/>
    <s v="Yes"/>
    <s v="No"/>
    <m/>
    <s v="0 Failures"/>
    <n v="1"/>
    <s v="5-10 hrs"/>
    <s v="12+ months"/>
    <x v="1"/>
  </r>
  <r>
    <n v="1467"/>
    <d v="2023-05-14T00:00:00"/>
    <s v="Basic"/>
    <n v="199"/>
    <n v="15.6"/>
    <n v="8"/>
    <n v="0"/>
    <n v="2"/>
    <n v="36"/>
    <s v="Yes"/>
    <s v="No"/>
    <s v="No"/>
    <s v="Yes"/>
    <s v="Yes"/>
    <s v="Yes"/>
    <m/>
    <s v="0 Failures"/>
    <n v="1"/>
    <s v="10-20hrs"/>
    <s v="0-3months"/>
    <x v="1"/>
  </r>
  <r>
    <n v="1468"/>
    <d v="2023-09-09T00:00:00"/>
    <s v="Standard"/>
    <n v="399"/>
    <n v="5.0999999999999996"/>
    <n v="3"/>
    <n v="2"/>
    <n v="23"/>
    <n v="12"/>
    <s v="No"/>
    <s v="No"/>
    <s v="Yes"/>
    <s v="No"/>
    <s v="No"/>
    <s v="No"/>
    <m/>
    <s v="1+ Failures"/>
    <n v="0"/>
    <s v="5-10 hrs"/>
    <s v="12+ months"/>
    <x v="1"/>
  </r>
  <r>
    <n v="1469"/>
    <d v="2024-10-04T00:00:00"/>
    <s v="Premium"/>
    <n v="699"/>
    <n v="19.399999999999999"/>
    <n v="0"/>
    <n v="2"/>
    <n v="25"/>
    <n v="5"/>
    <s v="No"/>
    <s v="No"/>
    <s v="Yes"/>
    <s v="No"/>
    <s v="No"/>
    <s v="No"/>
    <m/>
    <s v="1+ Failures"/>
    <n v="0"/>
    <s v="10-20hrs"/>
    <s v="12+ months"/>
    <x v="0"/>
  </r>
  <r>
    <n v="1470"/>
    <d v="2023-07-04T00:00:00"/>
    <s v="Basic"/>
    <n v="199"/>
    <n v="3.2"/>
    <n v="1"/>
    <n v="0"/>
    <n v="7"/>
    <n v="9"/>
    <s v="Yes"/>
    <s v="Yes"/>
    <s v="No"/>
    <s v="No"/>
    <s v="No"/>
    <s v="No"/>
    <m/>
    <s v="0 Failures"/>
    <n v="1"/>
    <s v="0-5 hrs"/>
    <s v="6-12months"/>
    <x v="1"/>
  </r>
  <r>
    <n v="1471"/>
    <d v="2023-01-23T00:00:00"/>
    <s v="Basic"/>
    <n v="199"/>
    <n v="12.6"/>
    <n v="5"/>
    <n v="1"/>
    <n v="5"/>
    <n v="25"/>
    <s v="Yes"/>
    <s v="No"/>
    <s v="Yes"/>
    <s v="Yes"/>
    <s v="Yes"/>
    <s v="Yes"/>
    <m/>
    <s v="1+ Failures"/>
    <n v="1"/>
    <s v="10-20hrs"/>
    <s v="3-6months"/>
    <x v="1"/>
  </r>
  <r>
    <n v="1472"/>
    <d v="2023-11-18T00:00:00"/>
    <s v="Standard"/>
    <n v="399"/>
    <n v="12.4"/>
    <n v="1"/>
    <n v="1"/>
    <n v="5"/>
    <n v="43"/>
    <s v="No"/>
    <s v="No"/>
    <s v="Yes"/>
    <s v="No"/>
    <s v="Yes"/>
    <s v="Yes"/>
    <m/>
    <s v="1+ Failures"/>
    <n v="0"/>
    <s v="10-20hrs"/>
    <s v="3-6months"/>
    <x v="1"/>
  </r>
  <r>
    <n v="1473"/>
    <d v="2024-11-06T00:00:00"/>
    <s v="Premium"/>
    <n v="699"/>
    <n v="20.3"/>
    <n v="2"/>
    <n v="2"/>
    <n v="29"/>
    <n v="0"/>
    <s v="No"/>
    <s v="No"/>
    <s v="Yes"/>
    <s v="No"/>
    <s v="No"/>
    <s v="No"/>
    <m/>
    <s v="1+ Failures"/>
    <n v="0"/>
    <s v="20+ hrs"/>
    <s v="12+ months"/>
    <x v="0"/>
  </r>
  <r>
    <n v="1474"/>
    <d v="2024-09-06T00:00:00"/>
    <s v="Premium"/>
    <n v="699"/>
    <n v="3.4"/>
    <n v="5"/>
    <n v="2"/>
    <n v="3"/>
    <n v="30"/>
    <s v="Yes"/>
    <s v="Yes"/>
    <s v="Yes"/>
    <s v="Yes"/>
    <s v="Yes"/>
    <s v="Yes"/>
    <m/>
    <s v="1+ Failures"/>
    <n v="1"/>
    <s v="0-5 hrs"/>
    <s v="0-3months"/>
    <x v="0"/>
  </r>
  <r>
    <n v="1475"/>
    <d v="2024-07-02T00:00:00"/>
    <s v="Premium"/>
    <n v="699"/>
    <n v="4.4000000000000004"/>
    <n v="4"/>
    <n v="0"/>
    <n v="1"/>
    <n v="12"/>
    <s v="No"/>
    <s v="Yes"/>
    <s v="No"/>
    <s v="No"/>
    <s v="No"/>
    <s v="Yes"/>
    <m/>
    <s v="0 Failures"/>
    <n v="0"/>
    <s v="0-5 hrs"/>
    <s v="0-3months"/>
    <x v="0"/>
  </r>
  <r>
    <n v="1476"/>
    <d v="2023-08-11T00:00:00"/>
    <s v="Basic"/>
    <n v="199"/>
    <n v="13"/>
    <n v="2"/>
    <n v="1"/>
    <n v="34"/>
    <n v="55"/>
    <s v="No"/>
    <s v="No"/>
    <s v="Yes"/>
    <s v="No"/>
    <s v="Yes"/>
    <s v="No"/>
    <m/>
    <s v="1+ Failures"/>
    <n v="0"/>
    <s v="10-20hrs"/>
    <s v="12+ months"/>
    <x v="1"/>
  </r>
  <r>
    <n v="1477"/>
    <d v="2023-10-02T00:00:00"/>
    <s v="Basic"/>
    <n v="199"/>
    <n v="3.9"/>
    <n v="1"/>
    <n v="5"/>
    <n v="21"/>
    <n v="44"/>
    <s v="No"/>
    <s v="Yes"/>
    <s v="Yes"/>
    <s v="No"/>
    <s v="Yes"/>
    <s v="No"/>
    <m/>
    <s v="1+ Failures"/>
    <n v="0"/>
    <s v="0-5 hrs"/>
    <s v="12+ months"/>
    <x v="1"/>
  </r>
  <r>
    <n v="1478"/>
    <d v="2023-10-29T00:00:00"/>
    <s v="Standard"/>
    <n v="399"/>
    <n v="5.4"/>
    <n v="1"/>
    <n v="2"/>
    <n v="31"/>
    <n v="45"/>
    <s v="Yes"/>
    <s v="No"/>
    <s v="Yes"/>
    <s v="No"/>
    <s v="Yes"/>
    <s v="No"/>
    <m/>
    <s v="1+ Failures"/>
    <n v="1"/>
    <s v="5-10 hrs"/>
    <s v="12+ months"/>
    <x v="1"/>
  </r>
  <r>
    <n v="1479"/>
    <d v="2024-12-04T00:00:00"/>
    <s v="Standard"/>
    <n v="399"/>
    <n v="11.2"/>
    <n v="6"/>
    <n v="1"/>
    <n v="32"/>
    <n v="16"/>
    <s v="Yes"/>
    <s v="No"/>
    <s v="Yes"/>
    <s v="Yes"/>
    <s v="Yes"/>
    <s v="No"/>
    <m/>
    <s v="1+ Failures"/>
    <n v="1"/>
    <s v="10-20hrs"/>
    <s v="12+ months"/>
    <x v="1"/>
  </r>
  <r>
    <n v="1480"/>
    <d v="2023-11-16T00:00:00"/>
    <s v="Premium"/>
    <n v="699"/>
    <n v="24.1"/>
    <n v="1"/>
    <n v="4"/>
    <n v="18"/>
    <n v="50"/>
    <s v="No"/>
    <s v="No"/>
    <s v="Yes"/>
    <s v="No"/>
    <s v="Yes"/>
    <s v="No"/>
    <m/>
    <s v="1+ Failures"/>
    <n v="0"/>
    <s v="20+ hrs"/>
    <s v="12+ months"/>
    <x v="0"/>
  </r>
  <r>
    <n v="1481"/>
    <d v="2024-09-02T00:00:00"/>
    <s v="Basic"/>
    <n v="199"/>
    <n v="23.9"/>
    <n v="7"/>
    <n v="3"/>
    <n v="14"/>
    <n v="56"/>
    <s v="Yes"/>
    <s v="No"/>
    <s v="Yes"/>
    <s v="Yes"/>
    <s v="Yes"/>
    <s v="No"/>
    <m/>
    <s v="1+ Failures"/>
    <n v="1"/>
    <s v="20+ hrs"/>
    <s v="12+ months"/>
    <x v="1"/>
  </r>
  <r>
    <n v="1482"/>
    <d v="2024-08-03T00:00:00"/>
    <s v="Premium"/>
    <n v="699"/>
    <n v="20.5"/>
    <n v="1"/>
    <n v="4"/>
    <n v="18"/>
    <n v="24"/>
    <s v="Yes"/>
    <s v="No"/>
    <s v="Yes"/>
    <s v="No"/>
    <s v="Yes"/>
    <s v="No"/>
    <m/>
    <s v="1+ Failures"/>
    <n v="1"/>
    <s v="20+ hrs"/>
    <s v="12+ months"/>
    <x v="0"/>
  </r>
  <r>
    <n v="1483"/>
    <d v="2024-06-07T00:00:00"/>
    <s v="Standard"/>
    <n v="399"/>
    <n v="22.5"/>
    <n v="1"/>
    <n v="3"/>
    <n v="24"/>
    <n v="10"/>
    <s v="No"/>
    <s v="No"/>
    <s v="Yes"/>
    <s v="No"/>
    <s v="No"/>
    <s v="No"/>
    <m/>
    <s v="1+ Failures"/>
    <n v="0"/>
    <s v="20+ hrs"/>
    <s v="12+ months"/>
    <x v="1"/>
  </r>
  <r>
    <n v="1484"/>
    <d v="2023-07-04T00:00:00"/>
    <s v="Standard"/>
    <n v="399"/>
    <n v="7.7"/>
    <n v="8"/>
    <n v="2"/>
    <n v="27"/>
    <n v="25"/>
    <s v="Yes"/>
    <s v="No"/>
    <s v="Yes"/>
    <s v="Yes"/>
    <s v="Yes"/>
    <s v="No"/>
    <m/>
    <s v="1+ Failures"/>
    <n v="1"/>
    <s v="5-10 hrs"/>
    <s v="12+ months"/>
    <x v="1"/>
  </r>
  <r>
    <n v="1485"/>
    <d v="2024-01-16T00:00:00"/>
    <s v="Standard"/>
    <n v="399"/>
    <n v="19.899999999999999"/>
    <n v="5"/>
    <n v="1"/>
    <n v="28"/>
    <n v="4"/>
    <s v="Yes"/>
    <s v="No"/>
    <s v="Yes"/>
    <s v="Yes"/>
    <s v="No"/>
    <s v="No"/>
    <m/>
    <s v="1+ Failures"/>
    <n v="1"/>
    <s v="10-20hrs"/>
    <s v="12+ months"/>
    <x v="1"/>
  </r>
  <r>
    <n v="1486"/>
    <d v="2023-12-03T00:00:00"/>
    <s v="Standard"/>
    <n v="399"/>
    <n v="19.600000000000001"/>
    <n v="1"/>
    <n v="0"/>
    <n v="10"/>
    <n v="20"/>
    <s v="No"/>
    <s v="No"/>
    <s v="No"/>
    <s v="No"/>
    <s v="Yes"/>
    <s v="No"/>
    <m/>
    <s v="0 Failures"/>
    <n v="0"/>
    <s v="10-20hrs"/>
    <s v="6-12months"/>
    <x v="1"/>
  </r>
  <r>
    <n v="1487"/>
    <d v="2023-10-18T00:00:00"/>
    <s v="Basic"/>
    <n v="199"/>
    <n v="14.4"/>
    <n v="5"/>
    <n v="1"/>
    <n v="30"/>
    <n v="35"/>
    <s v="Yes"/>
    <s v="No"/>
    <s v="Yes"/>
    <s v="Yes"/>
    <s v="Yes"/>
    <s v="No"/>
    <m/>
    <s v="1+ Failures"/>
    <n v="1"/>
    <s v="10-20hrs"/>
    <s v="12+ months"/>
    <x v="1"/>
  </r>
  <r>
    <n v="1488"/>
    <d v="2024-11-18T00:00:00"/>
    <s v="Premium"/>
    <n v="699"/>
    <n v="13.4"/>
    <n v="1"/>
    <n v="4"/>
    <n v="14"/>
    <n v="17"/>
    <s v="No"/>
    <s v="No"/>
    <s v="Yes"/>
    <s v="No"/>
    <s v="Yes"/>
    <s v="No"/>
    <m/>
    <s v="1+ Failures"/>
    <n v="0"/>
    <s v="10-20hrs"/>
    <s v="12+ months"/>
    <x v="0"/>
  </r>
  <r>
    <n v="1489"/>
    <d v="2023-07-21T00:00:00"/>
    <s v="Basic"/>
    <n v="199"/>
    <n v="17.2"/>
    <n v="6"/>
    <n v="2"/>
    <n v="27"/>
    <n v="52"/>
    <s v="Yes"/>
    <s v="No"/>
    <s v="Yes"/>
    <s v="Yes"/>
    <s v="Yes"/>
    <s v="No"/>
    <m/>
    <s v="1+ Failures"/>
    <n v="1"/>
    <s v="10-20hrs"/>
    <s v="12+ months"/>
    <x v="1"/>
  </r>
  <r>
    <n v="1490"/>
    <d v="2023-06-25T00:00:00"/>
    <s v="Basic"/>
    <n v="199"/>
    <n v="12.7"/>
    <n v="4"/>
    <n v="3"/>
    <n v="32"/>
    <n v="7"/>
    <s v="Yes"/>
    <s v="No"/>
    <s v="Yes"/>
    <s v="No"/>
    <s v="No"/>
    <s v="No"/>
    <m/>
    <s v="1+ Failures"/>
    <n v="1"/>
    <s v="10-20hrs"/>
    <s v="12+ months"/>
    <x v="1"/>
  </r>
  <r>
    <n v="1491"/>
    <d v="2024-10-21T00:00:00"/>
    <s v="Premium"/>
    <n v="699"/>
    <n v="15"/>
    <n v="3"/>
    <n v="4"/>
    <n v="21"/>
    <n v="1"/>
    <s v="Yes"/>
    <s v="No"/>
    <s v="Yes"/>
    <s v="No"/>
    <s v="No"/>
    <s v="No"/>
    <m/>
    <s v="1+ Failures"/>
    <n v="1"/>
    <s v="10-20hrs"/>
    <s v="12+ months"/>
    <x v="0"/>
  </r>
  <r>
    <n v="1492"/>
    <d v="2023-02-07T00:00:00"/>
    <s v="Premium"/>
    <n v="699"/>
    <n v="22.8"/>
    <n v="4"/>
    <n v="1"/>
    <n v="1"/>
    <n v="53"/>
    <s v="No"/>
    <s v="No"/>
    <s v="Yes"/>
    <s v="No"/>
    <s v="Yes"/>
    <s v="Yes"/>
    <m/>
    <s v="1+ Failures"/>
    <n v="0"/>
    <s v="20+ hrs"/>
    <s v="0-3months"/>
    <x v="0"/>
  </r>
  <r>
    <n v="1493"/>
    <d v="2024-03-01T00:00:00"/>
    <s v="Premium"/>
    <n v="699"/>
    <n v="1.5"/>
    <n v="0"/>
    <n v="0"/>
    <n v="34"/>
    <n v="30"/>
    <s v="Yes"/>
    <s v="Yes"/>
    <s v="No"/>
    <s v="No"/>
    <s v="Yes"/>
    <s v="No"/>
    <m/>
    <s v="0 Failures"/>
    <n v="1"/>
    <s v="0-5 hrs"/>
    <s v="12+ months"/>
    <x v="0"/>
  </r>
  <r>
    <n v="1494"/>
    <d v="2023-11-17T00:00:00"/>
    <s v="Premium"/>
    <n v="699"/>
    <n v="7.2"/>
    <n v="5"/>
    <n v="3"/>
    <n v="20"/>
    <n v="5"/>
    <s v="No"/>
    <s v="No"/>
    <s v="Yes"/>
    <s v="Yes"/>
    <s v="No"/>
    <s v="No"/>
    <m/>
    <s v="1+ Failures"/>
    <n v="0"/>
    <s v="5-10 hrs"/>
    <s v="12+ months"/>
    <x v="0"/>
  </r>
  <r>
    <n v="1495"/>
    <d v="2023-05-05T00:00:00"/>
    <s v="Standard"/>
    <n v="399"/>
    <n v="10.1"/>
    <n v="7"/>
    <n v="3"/>
    <n v="4"/>
    <n v="54"/>
    <s v="Yes"/>
    <s v="No"/>
    <s v="Yes"/>
    <s v="Yes"/>
    <s v="Yes"/>
    <s v="Yes"/>
    <m/>
    <s v="1+ Failures"/>
    <n v="1"/>
    <s v="10-20hrs"/>
    <s v="3-6months"/>
    <x v="1"/>
  </r>
  <r>
    <n v="1496"/>
    <d v="2023-11-27T00:00:00"/>
    <s v="Standard"/>
    <n v="399"/>
    <n v="1.2"/>
    <n v="0"/>
    <n v="0"/>
    <n v="7"/>
    <n v="8"/>
    <s v="Yes"/>
    <s v="Yes"/>
    <s v="No"/>
    <s v="No"/>
    <s v="No"/>
    <s v="No"/>
    <m/>
    <s v="0 Failures"/>
    <n v="1"/>
    <s v="0-5 hrs"/>
    <s v="6-12months"/>
    <x v="1"/>
  </r>
  <r>
    <n v="1497"/>
    <d v="2024-01-13T00:00:00"/>
    <s v="Premium"/>
    <n v="699"/>
    <n v="6"/>
    <n v="1"/>
    <n v="1"/>
    <n v="28"/>
    <n v="46"/>
    <s v="No"/>
    <s v="No"/>
    <s v="Yes"/>
    <s v="No"/>
    <s v="Yes"/>
    <s v="No"/>
    <m/>
    <s v="1+ Failures"/>
    <n v="0"/>
    <s v="5-10 hrs"/>
    <s v="12+ months"/>
    <x v="0"/>
  </r>
  <r>
    <n v="1498"/>
    <d v="2023-04-24T00:00:00"/>
    <s v="Premium"/>
    <n v="699"/>
    <n v="23.4"/>
    <n v="0"/>
    <n v="2"/>
    <n v="1"/>
    <n v="56"/>
    <s v="No"/>
    <s v="No"/>
    <s v="Yes"/>
    <s v="No"/>
    <s v="Yes"/>
    <s v="Yes"/>
    <m/>
    <s v="1+ Failures"/>
    <n v="0"/>
    <s v="20+ hrs"/>
    <s v="0-3months"/>
    <x v="0"/>
  </r>
  <r>
    <n v="1499"/>
    <d v="2024-01-24T00:00:00"/>
    <s v="Basic"/>
    <n v="199"/>
    <n v="2.2999999999999998"/>
    <n v="5"/>
    <n v="5"/>
    <n v="20"/>
    <n v="39"/>
    <s v="Yes"/>
    <s v="Yes"/>
    <s v="Yes"/>
    <s v="Yes"/>
    <s v="Yes"/>
    <s v="No"/>
    <m/>
    <s v="1+ Failures"/>
    <n v="1"/>
    <s v="0-5 hrs"/>
    <s v="12+ months"/>
    <x v="1"/>
  </r>
  <r>
    <n v="1500"/>
    <d v="2023-06-01T00:00:00"/>
    <s v="Standard"/>
    <n v="399"/>
    <n v="23.2"/>
    <n v="7"/>
    <n v="0"/>
    <n v="11"/>
    <n v="8"/>
    <s v="No"/>
    <s v="No"/>
    <s v="No"/>
    <s v="Yes"/>
    <s v="No"/>
    <s v="No"/>
    <m/>
    <s v="0 Failures"/>
    <n v="0"/>
    <s v="20+ hrs"/>
    <s v="6-12months"/>
    <x v="1"/>
  </r>
  <r>
    <n v="1501"/>
    <d v="2024-05-04T00:00:00"/>
    <s v="Premium"/>
    <n v="699"/>
    <n v="16.100000000000001"/>
    <n v="1"/>
    <n v="4"/>
    <n v="27"/>
    <n v="33"/>
    <s v="Yes"/>
    <s v="No"/>
    <s v="Yes"/>
    <s v="No"/>
    <s v="Yes"/>
    <s v="No"/>
    <m/>
    <s v="1+ Failures"/>
    <n v="1"/>
    <s v="10-20hrs"/>
    <s v="12+ months"/>
    <x v="0"/>
  </r>
  <r>
    <n v="1502"/>
    <d v="2023-09-28T00:00:00"/>
    <s v="Premium"/>
    <n v="699"/>
    <n v="24.4"/>
    <n v="5"/>
    <n v="5"/>
    <n v="32"/>
    <n v="30"/>
    <s v="Yes"/>
    <s v="No"/>
    <s v="Yes"/>
    <s v="Yes"/>
    <s v="Yes"/>
    <s v="No"/>
    <m/>
    <s v="1+ Failures"/>
    <n v="1"/>
    <s v="20+ hrs"/>
    <s v="12+ months"/>
    <x v="0"/>
  </r>
  <r>
    <n v="1503"/>
    <d v="2023-07-30T00:00:00"/>
    <s v="Standard"/>
    <n v="399"/>
    <n v="9.1"/>
    <n v="3"/>
    <n v="5"/>
    <n v="6"/>
    <n v="41"/>
    <s v="No"/>
    <s v="No"/>
    <s v="Yes"/>
    <s v="No"/>
    <s v="Yes"/>
    <s v="No"/>
    <m/>
    <s v="1+ Failures"/>
    <n v="0"/>
    <s v="5-10 hrs"/>
    <s v="3-6months"/>
    <x v="1"/>
  </r>
  <r>
    <n v="1504"/>
    <d v="2023-08-10T00:00:00"/>
    <s v="Premium"/>
    <n v="699"/>
    <n v="2.2999999999999998"/>
    <n v="7"/>
    <n v="0"/>
    <n v="5"/>
    <n v="13"/>
    <s v="Yes"/>
    <s v="Yes"/>
    <s v="No"/>
    <s v="Yes"/>
    <s v="No"/>
    <s v="Yes"/>
    <m/>
    <s v="0 Failures"/>
    <n v="1"/>
    <s v="0-5 hrs"/>
    <s v="3-6months"/>
    <x v="0"/>
  </r>
  <r>
    <n v="1505"/>
    <d v="2024-06-24T00:00:00"/>
    <s v="Standard"/>
    <n v="399"/>
    <n v="5.0999999999999996"/>
    <n v="1"/>
    <n v="2"/>
    <n v="25"/>
    <n v="13"/>
    <s v="No"/>
    <s v="No"/>
    <s v="Yes"/>
    <s v="No"/>
    <s v="No"/>
    <s v="No"/>
    <m/>
    <s v="1+ Failures"/>
    <n v="0"/>
    <s v="5-10 hrs"/>
    <s v="12+ months"/>
    <x v="1"/>
  </r>
  <r>
    <n v="1506"/>
    <d v="2024-05-31T00:00:00"/>
    <s v="Premium"/>
    <n v="699"/>
    <n v="19.100000000000001"/>
    <n v="4"/>
    <n v="5"/>
    <n v="21"/>
    <n v="29"/>
    <s v="Yes"/>
    <s v="No"/>
    <s v="Yes"/>
    <s v="No"/>
    <s v="Yes"/>
    <s v="No"/>
    <m/>
    <s v="1+ Failures"/>
    <n v="1"/>
    <s v="10-20hrs"/>
    <s v="12+ months"/>
    <x v="0"/>
  </r>
  <r>
    <n v="1507"/>
    <d v="2024-06-09T00:00:00"/>
    <s v="Basic"/>
    <n v="199"/>
    <n v="5.9"/>
    <n v="5"/>
    <n v="3"/>
    <n v="9"/>
    <n v="28"/>
    <s v="No"/>
    <s v="No"/>
    <s v="Yes"/>
    <s v="Yes"/>
    <s v="Yes"/>
    <s v="No"/>
    <m/>
    <s v="1+ Failures"/>
    <n v="0"/>
    <s v="5-10 hrs"/>
    <s v="6-12months"/>
    <x v="1"/>
  </r>
  <r>
    <n v="1508"/>
    <d v="2024-08-14T00:00:00"/>
    <s v="Basic"/>
    <n v="199"/>
    <n v="5.0999999999999996"/>
    <n v="4"/>
    <n v="3"/>
    <n v="26"/>
    <n v="10"/>
    <s v="No"/>
    <s v="No"/>
    <s v="Yes"/>
    <s v="No"/>
    <s v="No"/>
    <s v="No"/>
    <m/>
    <s v="1+ Failures"/>
    <n v="0"/>
    <s v="5-10 hrs"/>
    <s v="12+ months"/>
    <x v="1"/>
  </r>
  <r>
    <n v="1509"/>
    <d v="2024-04-16T00:00:00"/>
    <s v="Premium"/>
    <n v="699"/>
    <n v="4.0999999999999996"/>
    <n v="1"/>
    <n v="5"/>
    <n v="7"/>
    <n v="7"/>
    <s v="Yes"/>
    <s v="Yes"/>
    <s v="Yes"/>
    <s v="No"/>
    <s v="No"/>
    <s v="No"/>
    <m/>
    <s v="1+ Failures"/>
    <n v="1"/>
    <s v="0-5 hrs"/>
    <s v="6-12months"/>
    <x v="0"/>
  </r>
  <r>
    <n v="1510"/>
    <d v="2024-07-17T00:00:00"/>
    <s v="Basic"/>
    <n v="199"/>
    <n v="1.2"/>
    <n v="8"/>
    <n v="3"/>
    <n v="18"/>
    <n v="22"/>
    <s v="Yes"/>
    <s v="Yes"/>
    <s v="Yes"/>
    <s v="Yes"/>
    <s v="Yes"/>
    <s v="No"/>
    <m/>
    <s v="1+ Failures"/>
    <n v="1"/>
    <s v="0-5 hrs"/>
    <s v="12+ months"/>
    <x v="1"/>
  </r>
  <r>
    <n v="1511"/>
    <d v="2023-12-08T00:00:00"/>
    <s v="Basic"/>
    <n v="199"/>
    <n v="11.1"/>
    <n v="2"/>
    <n v="3"/>
    <n v="23"/>
    <n v="32"/>
    <s v="Yes"/>
    <s v="No"/>
    <s v="Yes"/>
    <s v="No"/>
    <s v="Yes"/>
    <s v="No"/>
    <m/>
    <s v="1+ Failures"/>
    <n v="1"/>
    <s v="10-20hrs"/>
    <s v="12+ months"/>
    <x v="1"/>
  </r>
  <r>
    <n v="1512"/>
    <d v="2024-03-08T00:00:00"/>
    <s v="Basic"/>
    <n v="199"/>
    <n v="7.2"/>
    <n v="1"/>
    <n v="0"/>
    <n v="29"/>
    <n v="41"/>
    <s v="No"/>
    <s v="No"/>
    <s v="No"/>
    <s v="No"/>
    <s v="Yes"/>
    <s v="No"/>
    <m/>
    <s v="0 Failures"/>
    <n v="0"/>
    <s v="5-10 hrs"/>
    <s v="12+ months"/>
    <x v="1"/>
  </r>
  <r>
    <n v="1513"/>
    <d v="2024-05-20T00:00:00"/>
    <s v="Basic"/>
    <n v="199"/>
    <n v="5.0999999999999996"/>
    <n v="2"/>
    <n v="4"/>
    <n v="19"/>
    <n v="17"/>
    <s v="No"/>
    <s v="No"/>
    <s v="Yes"/>
    <s v="No"/>
    <s v="Yes"/>
    <s v="No"/>
    <m/>
    <s v="1+ Failures"/>
    <n v="0"/>
    <s v="5-10 hrs"/>
    <s v="12+ months"/>
    <x v="1"/>
  </r>
  <r>
    <n v="1514"/>
    <d v="2023-08-13T00:00:00"/>
    <s v="Premium"/>
    <n v="699"/>
    <n v="3.2"/>
    <n v="0"/>
    <n v="5"/>
    <n v="28"/>
    <n v="15"/>
    <s v="No"/>
    <s v="Yes"/>
    <s v="Yes"/>
    <s v="No"/>
    <s v="Yes"/>
    <s v="No"/>
    <m/>
    <s v="1+ Failures"/>
    <n v="0"/>
    <s v="0-5 hrs"/>
    <s v="12+ months"/>
    <x v="0"/>
  </r>
  <r>
    <n v="1515"/>
    <d v="2023-10-10T00:00:00"/>
    <s v="Basic"/>
    <n v="199"/>
    <n v="22.4"/>
    <n v="4"/>
    <n v="1"/>
    <n v="4"/>
    <n v="4"/>
    <s v="No"/>
    <s v="No"/>
    <s v="Yes"/>
    <s v="No"/>
    <s v="No"/>
    <s v="Yes"/>
    <m/>
    <s v="1+ Failures"/>
    <n v="0"/>
    <s v="20+ hrs"/>
    <s v="3-6months"/>
    <x v="1"/>
  </r>
  <r>
    <n v="1516"/>
    <d v="2024-12-09T00:00:00"/>
    <s v="Basic"/>
    <n v="199"/>
    <n v="10.1"/>
    <n v="1"/>
    <n v="1"/>
    <n v="26"/>
    <n v="46"/>
    <s v="No"/>
    <s v="No"/>
    <s v="Yes"/>
    <s v="No"/>
    <s v="Yes"/>
    <s v="No"/>
    <m/>
    <s v="1+ Failures"/>
    <n v="0"/>
    <s v="10-20hrs"/>
    <s v="12+ months"/>
    <x v="1"/>
  </r>
  <r>
    <n v="1517"/>
    <d v="2024-09-02T00:00:00"/>
    <s v="Standard"/>
    <n v="399"/>
    <n v="5.5"/>
    <n v="3"/>
    <n v="2"/>
    <n v="32"/>
    <n v="40"/>
    <s v="Yes"/>
    <s v="No"/>
    <s v="Yes"/>
    <s v="No"/>
    <s v="Yes"/>
    <s v="No"/>
    <m/>
    <s v="1+ Failures"/>
    <n v="1"/>
    <s v="5-10 hrs"/>
    <s v="12+ months"/>
    <x v="1"/>
  </r>
  <r>
    <n v="1518"/>
    <d v="2023-11-09T00:00:00"/>
    <s v="Standard"/>
    <n v="399"/>
    <n v="2.8"/>
    <n v="8"/>
    <n v="5"/>
    <n v="1"/>
    <n v="39"/>
    <s v="Yes"/>
    <s v="Yes"/>
    <s v="Yes"/>
    <s v="Yes"/>
    <s v="Yes"/>
    <s v="Yes"/>
    <m/>
    <s v="1+ Failures"/>
    <n v="1"/>
    <s v="0-5 hrs"/>
    <s v="0-3months"/>
    <x v="1"/>
  </r>
  <r>
    <n v="1519"/>
    <d v="2024-04-11T00:00:00"/>
    <s v="Premium"/>
    <n v="699"/>
    <n v="4.7"/>
    <n v="1"/>
    <n v="1"/>
    <n v="16"/>
    <n v="11"/>
    <s v="Yes"/>
    <s v="Yes"/>
    <s v="Yes"/>
    <s v="No"/>
    <s v="No"/>
    <s v="No"/>
    <m/>
    <s v="1+ Failures"/>
    <n v="1"/>
    <s v="0-5 hrs"/>
    <s v="12+ months"/>
    <x v="0"/>
  </r>
  <r>
    <n v="1520"/>
    <d v="2023-09-28T00:00:00"/>
    <s v="Basic"/>
    <n v="199"/>
    <n v="16.8"/>
    <n v="6"/>
    <n v="2"/>
    <n v="1"/>
    <n v="1"/>
    <s v="Yes"/>
    <s v="No"/>
    <s v="Yes"/>
    <s v="Yes"/>
    <s v="No"/>
    <s v="Yes"/>
    <m/>
    <s v="1+ Failures"/>
    <n v="1"/>
    <s v="10-20hrs"/>
    <s v="0-3months"/>
    <x v="1"/>
  </r>
  <r>
    <n v="1521"/>
    <d v="2024-08-20T00:00:00"/>
    <s v="Basic"/>
    <n v="199"/>
    <n v="17.100000000000001"/>
    <n v="0"/>
    <n v="4"/>
    <n v="11"/>
    <n v="22"/>
    <s v="No"/>
    <s v="No"/>
    <s v="Yes"/>
    <s v="No"/>
    <s v="Yes"/>
    <s v="No"/>
    <m/>
    <s v="1+ Failures"/>
    <n v="0"/>
    <s v="10-20hrs"/>
    <s v="6-12months"/>
    <x v="1"/>
  </r>
  <r>
    <n v="1522"/>
    <d v="2024-08-03T00:00:00"/>
    <s v="Basic"/>
    <n v="199"/>
    <n v="21.9"/>
    <n v="7"/>
    <n v="0"/>
    <n v="32"/>
    <n v="2"/>
    <s v="No"/>
    <s v="No"/>
    <s v="No"/>
    <s v="Yes"/>
    <s v="No"/>
    <s v="No"/>
    <m/>
    <s v="0 Failures"/>
    <n v="0"/>
    <s v="20+ hrs"/>
    <s v="12+ months"/>
    <x v="1"/>
  </r>
  <r>
    <n v="1523"/>
    <d v="2023-04-07T00:00:00"/>
    <s v="Premium"/>
    <n v="699"/>
    <n v="21"/>
    <n v="8"/>
    <n v="4"/>
    <n v="19"/>
    <n v="10"/>
    <s v="No"/>
    <s v="No"/>
    <s v="Yes"/>
    <s v="Yes"/>
    <s v="No"/>
    <s v="No"/>
    <m/>
    <s v="1+ Failures"/>
    <n v="0"/>
    <s v="20+ hrs"/>
    <s v="12+ months"/>
    <x v="0"/>
  </r>
  <r>
    <n v="1524"/>
    <d v="2024-07-12T00:00:00"/>
    <s v="Basic"/>
    <n v="199"/>
    <n v="20.2"/>
    <n v="5"/>
    <n v="3"/>
    <n v="20"/>
    <n v="31"/>
    <s v="Yes"/>
    <s v="No"/>
    <s v="Yes"/>
    <s v="Yes"/>
    <s v="Yes"/>
    <s v="No"/>
    <m/>
    <s v="1+ Failures"/>
    <n v="1"/>
    <s v="20+ hrs"/>
    <s v="12+ months"/>
    <x v="1"/>
  </r>
  <r>
    <n v="1525"/>
    <d v="2024-12-28T00:00:00"/>
    <s v="Standard"/>
    <n v="399"/>
    <n v="6.7"/>
    <n v="7"/>
    <n v="0"/>
    <n v="32"/>
    <n v="52"/>
    <s v="Yes"/>
    <s v="No"/>
    <s v="No"/>
    <s v="Yes"/>
    <s v="Yes"/>
    <s v="No"/>
    <m/>
    <s v="0 Failures"/>
    <n v="1"/>
    <s v="5-10 hrs"/>
    <s v="12+ months"/>
    <x v="1"/>
  </r>
  <r>
    <n v="1526"/>
    <d v="2024-10-17T00:00:00"/>
    <s v="Standard"/>
    <n v="399"/>
    <n v="19.5"/>
    <n v="7"/>
    <n v="0"/>
    <n v="34"/>
    <n v="17"/>
    <s v="No"/>
    <s v="No"/>
    <s v="No"/>
    <s v="Yes"/>
    <s v="Yes"/>
    <s v="No"/>
    <m/>
    <s v="0 Failures"/>
    <n v="0"/>
    <s v="10-20hrs"/>
    <s v="12+ months"/>
    <x v="1"/>
  </r>
  <r>
    <n v="1527"/>
    <d v="2023-02-01T00:00:00"/>
    <s v="Basic"/>
    <n v="199"/>
    <n v="24.5"/>
    <n v="3"/>
    <n v="5"/>
    <n v="10"/>
    <n v="9"/>
    <s v="No"/>
    <s v="No"/>
    <s v="Yes"/>
    <s v="No"/>
    <s v="No"/>
    <s v="No"/>
    <m/>
    <s v="1+ Failures"/>
    <n v="0"/>
    <s v="20+ hrs"/>
    <s v="6-12months"/>
    <x v="1"/>
  </r>
  <r>
    <n v="1528"/>
    <d v="2024-10-16T00:00:00"/>
    <s v="Basic"/>
    <n v="199"/>
    <n v="9.3000000000000007"/>
    <n v="1"/>
    <n v="1"/>
    <n v="28"/>
    <n v="58"/>
    <s v="No"/>
    <s v="No"/>
    <s v="Yes"/>
    <s v="No"/>
    <s v="Yes"/>
    <s v="No"/>
    <m/>
    <s v="1+ Failures"/>
    <n v="0"/>
    <s v="5-10 hrs"/>
    <s v="12+ months"/>
    <x v="1"/>
  </r>
  <r>
    <n v="1529"/>
    <d v="2023-09-29T00:00:00"/>
    <s v="Basic"/>
    <n v="199"/>
    <n v="22"/>
    <n v="8"/>
    <n v="3"/>
    <n v="18"/>
    <n v="56"/>
    <s v="Yes"/>
    <s v="No"/>
    <s v="Yes"/>
    <s v="Yes"/>
    <s v="Yes"/>
    <s v="No"/>
    <m/>
    <s v="1+ Failures"/>
    <n v="1"/>
    <s v="20+ hrs"/>
    <s v="12+ months"/>
    <x v="1"/>
  </r>
  <r>
    <n v="1530"/>
    <d v="2023-10-10T00:00:00"/>
    <s v="Premium"/>
    <n v="699"/>
    <n v="22.3"/>
    <n v="6"/>
    <n v="4"/>
    <n v="23"/>
    <n v="26"/>
    <s v="No"/>
    <s v="No"/>
    <s v="Yes"/>
    <s v="Yes"/>
    <s v="Yes"/>
    <s v="No"/>
    <m/>
    <s v="1+ Failures"/>
    <n v="0"/>
    <s v="20+ hrs"/>
    <s v="12+ months"/>
    <x v="0"/>
  </r>
  <r>
    <n v="1531"/>
    <d v="2023-05-06T00:00:00"/>
    <s v="Standard"/>
    <n v="399"/>
    <n v="1.5"/>
    <n v="8"/>
    <n v="5"/>
    <n v="13"/>
    <n v="21"/>
    <s v="Yes"/>
    <s v="Yes"/>
    <s v="Yes"/>
    <s v="Yes"/>
    <s v="Yes"/>
    <s v="No"/>
    <m/>
    <s v="1+ Failures"/>
    <n v="1"/>
    <s v="0-5 hrs"/>
    <s v="12+ months"/>
    <x v="1"/>
  </r>
  <r>
    <n v="1532"/>
    <d v="2024-05-25T00:00:00"/>
    <s v="Standard"/>
    <n v="399"/>
    <n v="14.4"/>
    <n v="5"/>
    <n v="2"/>
    <n v="30"/>
    <n v="7"/>
    <s v="No"/>
    <s v="No"/>
    <s v="Yes"/>
    <s v="Yes"/>
    <s v="No"/>
    <s v="No"/>
    <m/>
    <s v="1+ Failures"/>
    <n v="0"/>
    <s v="10-20hrs"/>
    <s v="12+ months"/>
    <x v="1"/>
  </r>
  <r>
    <n v="1533"/>
    <d v="2024-11-11T00:00:00"/>
    <s v="Premium"/>
    <n v="699"/>
    <n v="11.9"/>
    <n v="2"/>
    <n v="4"/>
    <n v="10"/>
    <n v="18"/>
    <s v="No"/>
    <s v="No"/>
    <s v="Yes"/>
    <s v="No"/>
    <s v="Yes"/>
    <s v="No"/>
    <m/>
    <s v="1+ Failures"/>
    <n v="0"/>
    <s v="10-20hrs"/>
    <s v="6-12months"/>
    <x v="0"/>
  </r>
  <r>
    <n v="1534"/>
    <d v="2023-08-11T00:00:00"/>
    <s v="Basic"/>
    <n v="199"/>
    <n v="12.4"/>
    <n v="1"/>
    <n v="2"/>
    <n v="20"/>
    <n v="0"/>
    <s v="No"/>
    <s v="No"/>
    <s v="Yes"/>
    <s v="No"/>
    <s v="No"/>
    <s v="No"/>
    <m/>
    <s v="1+ Failures"/>
    <n v="0"/>
    <s v="10-20hrs"/>
    <s v="12+ months"/>
    <x v="1"/>
  </r>
  <r>
    <n v="1535"/>
    <d v="2023-01-01T00:00:00"/>
    <s v="Standard"/>
    <n v="399"/>
    <n v="1.8"/>
    <n v="4"/>
    <n v="0"/>
    <n v="8"/>
    <n v="27"/>
    <s v="Yes"/>
    <s v="Yes"/>
    <s v="No"/>
    <s v="No"/>
    <s v="Yes"/>
    <s v="No"/>
    <m/>
    <s v="0 Failures"/>
    <n v="1"/>
    <s v="0-5 hrs"/>
    <s v="6-12months"/>
    <x v="1"/>
  </r>
  <r>
    <n v="1536"/>
    <d v="2024-07-28T00:00:00"/>
    <s v="Basic"/>
    <n v="199"/>
    <n v="3.9"/>
    <n v="4"/>
    <n v="4"/>
    <n v="17"/>
    <n v="42"/>
    <s v="Yes"/>
    <s v="Yes"/>
    <s v="Yes"/>
    <s v="No"/>
    <s v="Yes"/>
    <s v="No"/>
    <m/>
    <s v="1+ Failures"/>
    <n v="1"/>
    <s v="0-5 hrs"/>
    <s v="12+ months"/>
    <x v="1"/>
  </r>
  <r>
    <n v="1537"/>
    <d v="2023-03-24T00:00:00"/>
    <s v="Basic"/>
    <n v="199"/>
    <n v="18"/>
    <n v="2"/>
    <n v="5"/>
    <n v="6"/>
    <n v="12"/>
    <s v="No"/>
    <s v="No"/>
    <s v="Yes"/>
    <s v="No"/>
    <s v="No"/>
    <s v="No"/>
    <m/>
    <s v="1+ Failures"/>
    <n v="0"/>
    <s v="10-20hrs"/>
    <s v="3-6months"/>
    <x v="1"/>
  </r>
  <r>
    <n v="1538"/>
    <d v="2024-01-31T00:00:00"/>
    <s v="Standard"/>
    <n v="399"/>
    <n v="1.3"/>
    <n v="5"/>
    <n v="1"/>
    <n v="15"/>
    <n v="51"/>
    <s v="Yes"/>
    <s v="Yes"/>
    <s v="Yes"/>
    <s v="Yes"/>
    <s v="Yes"/>
    <s v="No"/>
    <m/>
    <s v="1+ Failures"/>
    <n v="1"/>
    <s v="0-5 hrs"/>
    <s v="12+ months"/>
    <x v="1"/>
  </r>
  <r>
    <n v="1539"/>
    <d v="2023-11-15T00:00:00"/>
    <s v="Standard"/>
    <n v="399"/>
    <n v="24.2"/>
    <n v="1"/>
    <n v="2"/>
    <n v="26"/>
    <n v="58"/>
    <s v="Yes"/>
    <s v="No"/>
    <s v="Yes"/>
    <s v="No"/>
    <s v="Yes"/>
    <s v="No"/>
    <m/>
    <s v="1+ Failures"/>
    <n v="1"/>
    <s v="20+ hrs"/>
    <s v="12+ months"/>
    <x v="1"/>
  </r>
  <r>
    <n v="1540"/>
    <d v="2023-07-24T00:00:00"/>
    <s v="Basic"/>
    <n v="199"/>
    <n v="17.100000000000001"/>
    <n v="5"/>
    <n v="4"/>
    <n v="28"/>
    <n v="8"/>
    <s v="No"/>
    <s v="No"/>
    <s v="Yes"/>
    <s v="Yes"/>
    <s v="No"/>
    <s v="No"/>
    <m/>
    <s v="1+ Failures"/>
    <n v="0"/>
    <s v="10-20hrs"/>
    <s v="12+ months"/>
    <x v="1"/>
  </r>
  <r>
    <n v="1541"/>
    <d v="2024-08-03T00:00:00"/>
    <s v="Standard"/>
    <n v="399"/>
    <n v="10.7"/>
    <n v="3"/>
    <n v="2"/>
    <n v="9"/>
    <n v="19"/>
    <s v="Yes"/>
    <s v="No"/>
    <s v="Yes"/>
    <s v="No"/>
    <s v="Yes"/>
    <s v="No"/>
    <m/>
    <s v="1+ Failures"/>
    <n v="1"/>
    <s v="10-20hrs"/>
    <s v="6-12months"/>
    <x v="1"/>
  </r>
  <r>
    <n v="1542"/>
    <d v="2024-03-28T00:00:00"/>
    <s v="Premium"/>
    <n v="699"/>
    <n v="13.9"/>
    <n v="6"/>
    <n v="3"/>
    <n v="30"/>
    <n v="6"/>
    <s v="Yes"/>
    <s v="No"/>
    <s v="Yes"/>
    <s v="Yes"/>
    <s v="No"/>
    <s v="No"/>
    <m/>
    <s v="1+ Failures"/>
    <n v="1"/>
    <s v="10-20hrs"/>
    <s v="12+ months"/>
    <x v="0"/>
  </r>
  <r>
    <n v="1543"/>
    <d v="2024-03-06T00:00:00"/>
    <s v="Premium"/>
    <n v="699"/>
    <n v="12.8"/>
    <n v="5"/>
    <n v="3"/>
    <n v="21"/>
    <n v="22"/>
    <s v="Yes"/>
    <s v="No"/>
    <s v="Yes"/>
    <s v="Yes"/>
    <s v="Yes"/>
    <s v="No"/>
    <m/>
    <s v="1+ Failures"/>
    <n v="1"/>
    <s v="10-20hrs"/>
    <s v="12+ months"/>
    <x v="0"/>
  </r>
  <r>
    <n v="1544"/>
    <d v="2023-05-24T00:00:00"/>
    <s v="Standard"/>
    <n v="399"/>
    <n v="1.2"/>
    <n v="8"/>
    <n v="0"/>
    <n v="30"/>
    <n v="49"/>
    <s v="Yes"/>
    <s v="Yes"/>
    <s v="No"/>
    <s v="Yes"/>
    <s v="Yes"/>
    <s v="No"/>
    <m/>
    <s v="0 Failures"/>
    <n v="1"/>
    <s v="0-5 hrs"/>
    <s v="12+ months"/>
    <x v="1"/>
  </r>
  <r>
    <n v="1545"/>
    <d v="2024-08-02T00:00:00"/>
    <s v="Premium"/>
    <n v="699"/>
    <n v="19.8"/>
    <n v="8"/>
    <n v="2"/>
    <n v="20"/>
    <n v="8"/>
    <s v="No"/>
    <s v="No"/>
    <s v="Yes"/>
    <s v="Yes"/>
    <s v="No"/>
    <s v="No"/>
    <m/>
    <s v="1+ Failures"/>
    <n v="0"/>
    <s v="10-20hrs"/>
    <s v="12+ months"/>
    <x v="0"/>
  </r>
  <r>
    <n v="1546"/>
    <d v="2024-04-18T00:00:00"/>
    <s v="Standard"/>
    <n v="399"/>
    <n v="19"/>
    <n v="6"/>
    <n v="1"/>
    <n v="4"/>
    <n v="25"/>
    <s v="No"/>
    <s v="No"/>
    <s v="Yes"/>
    <s v="Yes"/>
    <s v="Yes"/>
    <s v="Yes"/>
    <m/>
    <s v="1+ Failures"/>
    <n v="0"/>
    <s v="10-20hrs"/>
    <s v="3-6months"/>
    <x v="1"/>
  </r>
  <r>
    <n v="1547"/>
    <d v="2024-10-27T00:00:00"/>
    <s v="Premium"/>
    <n v="699"/>
    <n v="21.1"/>
    <n v="1"/>
    <n v="0"/>
    <n v="30"/>
    <n v="17"/>
    <s v="No"/>
    <s v="No"/>
    <s v="No"/>
    <s v="No"/>
    <s v="Yes"/>
    <s v="No"/>
    <m/>
    <s v="0 Failures"/>
    <n v="0"/>
    <s v="20+ hrs"/>
    <s v="12+ months"/>
    <x v="0"/>
  </r>
  <r>
    <n v="1548"/>
    <d v="2023-03-04T00:00:00"/>
    <s v="Basic"/>
    <n v="199"/>
    <n v="15.1"/>
    <n v="4"/>
    <n v="4"/>
    <n v="22"/>
    <n v="30"/>
    <s v="Yes"/>
    <s v="No"/>
    <s v="Yes"/>
    <s v="No"/>
    <s v="Yes"/>
    <s v="No"/>
    <m/>
    <s v="1+ Failures"/>
    <n v="1"/>
    <s v="10-20hrs"/>
    <s v="12+ months"/>
    <x v="1"/>
  </r>
  <r>
    <n v="1549"/>
    <d v="2024-07-29T00:00:00"/>
    <s v="Basic"/>
    <n v="199"/>
    <n v="18.600000000000001"/>
    <n v="0"/>
    <n v="5"/>
    <n v="33"/>
    <n v="13"/>
    <s v="No"/>
    <s v="No"/>
    <s v="Yes"/>
    <s v="No"/>
    <s v="No"/>
    <s v="No"/>
    <m/>
    <s v="1+ Failures"/>
    <n v="0"/>
    <s v="10-20hrs"/>
    <s v="12+ months"/>
    <x v="1"/>
  </r>
  <r>
    <n v="1550"/>
    <d v="2023-01-07T00:00:00"/>
    <s v="Premium"/>
    <n v="699"/>
    <n v="3.8"/>
    <n v="2"/>
    <n v="2"/>
    <n v="32"/>
    <n v="40"/>
    <s v="Yes"/>
    <s v="Yes"/>
    <s v="Yes"/>
    <s v="No"/>
    <s v="Yes"/>
    <s v="No"/>
    <m/>
    <s v="1+ Failures"/>
    <n v="1"/>
    <s v="0-5 hrs"/>
    <s v="12+ months"/>
    <x v="0"/>
  </r>
  <r>
    <n v="1551"/>
    <d v="2024-06-16T00:00:00"/>
    <s v="Standard"/>
    <n v="399"/>
    <n v="3.3"/>
    <n v="0"/>
    <n v="1"/>
    <n v="13"/>
    <n v="38"/>
    <s v="No"/>
    <s v="Yes"/>
    <s v="Yes"/>
    <s v="No"/>
    <s v="Yes"/>
    <s v="No"/>
    <m/>
    <s v="1+ Failures"/>
    <n v="0"/>
    <s v="0-5 hrs"/>
    <s v="12+ months"/>
    <x v="1"/>
  </r>
  <r>
    <n v="1552"/>
    <d v="2024-02-05T00:00:00"/>
    <s v="Basic"/>
    <n v="199"/>
    <n v="5.5"/>
    <n v="7"/>
    <n v="0"/>
    <n v="16"/>
    <n v="53"/>
    <s v="No"/>
    <s v="No"/>
    <s v="No"/>
    <s v="Yes"/>
    <s v="Yes"/>
    <s v="No"/>
    <m/>
    <s v="0 Failures"/>
    <n v="0"/>
    <s v="5-10 hrs"/>
    <s v="12+ months"/>
    <x v="1"/>
  </r>
  <r>
    <n v="1553"/>
    <d v="2024-07-13T00:00:00"/>
    <s v="Basic"/>
    <n v="199"/>
    <n v="7.8"/>
    <n v="7"/>
    <n v="1"/>
    <n v="8"/>
    <n v="52"/>
    <s v="Yes"/>
    <s v="No"/>
    <s v="Yes"/>
    <s v="Yes"/>
    <s v="Yes"/>
    <s v="No"/>
    <m/>
    <s v="1+ Failures"/>
    <n v="1"/>
    <s v="5-10 hrs"/>
    <s v="6-12months"/>
    <x v="1"/>
  </r>
  <r>
    <n v="1554"/>
    <d v="2023-07-09T00:00:00"/>
    <s v="Standard"/>
    <n v="399"/>
    <n v="21.6"/>
    <n v="1"/>
    <n v="3"/>
    <n v="29"/>
    <n v="9"/>
    <s v="No"/>
    <s v="No"/>
    <s v="Yes"/>
    <s v="No"/>
    <s v="No"/>
    <s v="No"/>
    <m/>
    <s v="1+ Failures"/>
    <n v="0"/>
    <s v="20+ hrs"/>
    <s v="12+ months"/>
    <x v="1"/>
  </r>
  <r>
    <n v="1555"/>
    <d v="2023-10-24T00:00:00"/>
    <s v="Basic"/>
    <n v="199"/>
    <n v="4.7"/>
    <n v="8"/>
    <n v="1"/>
    <n v="16"/>
    <n v="30"/>
    <s v="Yes"/>
    <s v="Yes"/>
    <s v="Yes"/>
    <s v="Yes"/>
    <s v="Yes"/>
    <s v="No"/>
    <m/>
    <s v="1+ Failures"/>
    <n v="1"/>
    <s v="0-5 hrs"/>
    <s v="12+ months"/>
    <x v="1"/>
  </r>
  <r>
    <n v="1556"/>
    <d v="2024-01-31T00:00:00"/>
    <s v="Premium"/>
    <n v="699"/>
    <n v="24"/>
    <n v="7"/>
    <n v="2"/>
    <n v="7"/>
    <n v="42"/>
    <s v="Yes"/>
    <s v="No"/>
    <s v="Yes"/>
    <s v="Yes"/>
    <s v="Yes"/>
    <s v="No"/>
    <m/>
    <s v="1+ Failures"/>
    <n v="1"/>
    <s v="20+ hrs"/>
    <s v="6-12months"/>
    <x v="0"/>
  </r>
  <r>
    <n v="1557"/>
    <d v="2023-05-04T00:00:00"/>
    <s v="Premium"/>
    <n v="699"/>
    <n v="11.9"/>
    <n v="6"/>
    <n v="1"/>
    <n v="7"/>
    <n v="1"/>
    <s v="No"/>
    <s v="No"/>
    <s v="Yes"/>
    <s v="Yes"/>
    <s v="No"/>
    <s v="No"/>
    <m/>
    <s v="1+ Failures"/>
    <n v="0"/>
    <s v="10-20hrs"/>
    <s v="6-12months"/>
    <x v="0"/>
  </r>
  <r>
    <n v="1558"/>
    <d v="2024-11-03T00:00:00"/>
    <s v="Premium"/>
    <n v="699"/>
    <n v="0.8"/>
    <n v="4"/>
    <n v="0"/>
    <n v="25"/>
    <n v="41"/>
    <s v="Yes"/>
    <s v="Yes"/>
    <s v="No"/>
    <s v="No"/>
    <s v="Yes"/>
    <s v="No"/>
    <m/>
    <s v="0 Failures"/>
    <n v="1"/>
    <s v="0-5 hrs"/>
    <s v="12+ months"/>
    <x v="0"/>
  </r>
  <r>
    <n v="1559"/>
    <d v="2024-04-14T00:00:00"/>
    <s v="Premium"/>
    <n v="699"/>
    <n v="1.5"/>
    <n v="5"/>
    <n v="1"/>
    <n v="29"/>
    <n v="29"/>
    <s v="No"/>
    <s v="Yes"/>
    <s v="Yes"/>
    <s v="Yes"/>
    <s v="Yes"/>
    <s v="No"/>
    <m/>
    <s v="1+ Failures"/>
    <n v="0"/>
    <s v="0-5 hrs"/>
    <s v="12+ months"/>
    <x v="0"/>
  </r>
  <r>
    <n v="1560"/>
    <d v="2023-08-04T00:00:00"/>
    <s v="Standard"/>
    <n v="399"/>
    <n v="24.6"/>
    <n v="5"/>
    <n v="4"/>
    <n v="1"/>
    <n v="54"/>
    <s v="No"/>
    <s v="No"/>
    <s v="Yes"/>
    <s v="Yes"/>
    <s v="Yes"/>
    <s v="Yes"/>
    <m/>
    <s v="1+ Failures"/>
    <n v="0"/>
    <s v="20+ hrs"/>
    <s v="0-3months"/>
    <x v="1"/>
  </r>
  <r>
    <n v="1561"/>
    <d v="2024-11-02T00:00:00"/>
    <s v="Standard"/>
    <n v="399"/>
    <n v="10.1"/>
    <n v="1"/>
    <n v="1"/>
    <n v="34"/>
    <n v="41"/>
    <s v="Yes"/>
    <s v="No"/>
    <s v="Yes"/>
    <s v="No"/>
    <s v="Yes"/>
    <s v="No"/>
    <m/>
    <s v="1+ Failures"/>
    <n v="1"/>
    <s v="10-20hrs"/>
    <s v="12+ months"/>
    <x v="1"/>
  </r>
  <r>
    <n v="1562"/>
    <d v="2023-11-07T00:00:00"/>
    <s v="Premium"/>
    <n v="699"/>
    <n v="11.8"/>
    <n v="2"/>
    <n v="2"/>
    <n v="22"/>
    <n v="50"/>
    <s v="No"/>
    <s v="No"/>
    <s v="Yes"/>
    <s v="No"/>
    <s v="Yes"/>
    <s v="No"/>
    <m/>
    <s v="1+ Failures"/>
    <n v="0"/>
    <s v="10-20hrs"/>
    <s v="12+ months"/>
    <x v="0"/>
  </r>
  <r>
    <n v="1563"/>
    <d v="2023-07-04T00:00:00"/>
    <s v="Standard"/>
    <n v="399"/>
    <n v="22.9"/>
    <n v="7"/>
    <n v="3"/>
    <n v="5"/>
    <n v="30"/>
    <s v="Yes"/>
    <s v="No"/>
    <s v="Yes"/>
    <s v="Yes"/>
    <s v="Yes"/>
    <s v="Yes"/>
    <m/>
    <s v="1+ Failures"/>
    <n v="1"/>
    <s v="20+ hrs"/>
    <s v="3-6months"/>
    <x v="1"/>
  </r>
  <r>
    <n v="1564"/>
    <d v="2024-08-25T00:00:00"/>
    <s v="Premium"/>
    <n v="699"/>
    <n v="19.5"/>
    <n v="8"/>
    <n v="2"/>
    <n v="33"/>
    <n v="8"/>
    <s v="No"/>
    <s v="No"/>
    <s v="Yes"/>
    <s v="Yes"/>
    <s v="No"/>
    <s v="No"/>
    <m/>
    <s v="1+ Failures"/>
    <n v="0"/>
    <s v="10-20hrs"/>
    <s v="12+ months"/>
    <x v="0"/>
  </r>
  <r>
    <n v="1565"/>
    <d v="2023-06-12T00:00:00"/>
    <s v="Premium"/>
    <n v="699"/>
    <n v="14.8"/>
    <n v="6"/>
    <n v="0"/>
    <n v="23"/>
    <n v="2"/>
    <s v="Yes"/>
    <s v="No"/>
    <s v="No"/>
    <s v="Yes"/>
    <s v="No"/>
    <s v="No"/>
    <m/>
    <s v="0 Failures"/>
    <n v="1"/>
    <s v="10-20hrs"/>
    <s v="12+ months"/>
    <x v="0"/>
  </r>
  <r>
    <n v="1566"/>
    <d v="2023-08-26T00:00:00"/>
    <s v="Basic"/>
    <n v="199"/>
    <n v="16.8"/>
    <n v="7"/>
    <n v="5"/>
    <n v="7"/>
    <n v="30"/>
    <s v="Yes"/>
    <s v="No"/>
    <s v="Yes"/>
    <s v="Yes"/>
    <s v="Yes"/>
    <s v="No"/>
    <m/>
    <s v="1+ Failures"/>
    <n v="1"/>
    <s v="10-20hrs"/>
    <s v="6-12months"/>
    <x v="1"/>
  </r>
  <r>
    <n v="1567"/>
    <d v="2024-03-06T00:00:00"/>
    <s v="Premium"/>
    <n v="699"/>
    <n v="3.1"/>
    <n v="2"/>
    <n v="5"/>
    <n v="16"/>
    <n v="57"/>
    <s v="Yes"/>
    <s v="Yes"/>
    <s v="Yes"/>
    <s v="No"/>
    <s v="Yes"/>
    <s v="No"/>
    <m/>
    <s v="1+ Failures"/>
    <n v="1"/>
    <s v="0-5 hrs"/>
    <s v="12+ months"/>
    <x v="0"/>
  </r>
  <r>
    <n v="1568"/>
    <d v="2024-03-28T00:00:00"/>
    <s v="Basic"/>
    <n v="199"/>
    <n v="15.5"/>
    <n v="1"/>
    <n v="0"/>
    <n v="4"/>
    <n v="54"/>
    <s v="No"/>
    <s v="No"/>
    <s v="No"/>
    <s v="No"/>
    <s v="Yes"/>
    <s v="Yes"/>
    <m/>
    <s v="0 Failures"/>
    <n v="0"/>
    <s v="10-20hrs"/>
    <s v="3-6months"/>
    <x v="1"/>
  </r>
  <r>
    <n v="1569"/>
    <d v="2023-05-17T00:00:00"/>
    <s v="Standard"/>
    <n v="399"/>
    <n v="23.1"/>
    <n v="5"/>
    <n v="0"/>
    <n v="2"/>
    <n v="44"/>
    <s v="Yes"/>
    <s v="No"/>
    <s v="No"/>
    <s v="Yes"/>
    <s v="Yes"/>
    <s v="Yes"/>
    <m/>
    <s v="0 Failures"/>
    <n v="1"/>
    <s v="20+ hrs"/>
    <s v="0-3months"/>
    <x v="1"/>
  </r>
  <r>
    <n v="1570"/>
    <d v="2023-08-19T00:00:00"/>
    <s v="Premium"/>
    <n v="699"/>
    <n v="5.4"/>
    <n v="4"/>
    <n v="3"/>
    <n v="36"/>
    <n v="28"/>
    <s v="Yes"/>
    <s v="No"/>
    <s v="Yes"/>
    <s v="No"/>
    <s v="Yes"/>
    <s v="No"/>
    <m/>
    <s v="1+ Failures"/>
    <n v="1"/>
    <s v="5-10 hrs"/>
    <s v="12+ months"/>
    <x v="0"/>
  </r>
  <r>
    <n v="1571"/>
    <d v="2024-10-06T00:00:00"/>
    <s v="Basic"/>
    <n v="199"/>
    <n v="11.1"/>
    <n v="8"/>
    <n v="1"/>
    <n v="11"/>
    <n v="5"/>
    <s v="No"/>
    <s v="No"/>
    <s v="Yes"/>
    <s v="Yes"/>
    <s v="No"/>
    <s v="No"/>
    <m/>
    <s v="1+ Failures"/>
    <n v="0"/>
    <s v="10-20hrs"/>
    <s v="6-12months"/>
    <x v="1"/>
  </r>
  <r>
    <n v="1572"/>
    <d v="2024-08-04T00:00:00"/>
    <s v="Premium"/>
    <n v="699"/>
    <n v="5.5"/>
    <n v="2"/>
    <n v="0"/>
    <n v="7"/>
    <n v="23"/>
    <s v="No"/>
    <s v="No"/>
    <s v="No"/>
    <s v="No"/>
    <s v="Yes"/>
    <s v="No"/>
    <m/>
    <s v="0 Failures"/>
    <n v="0"/>
    <s v="5-10 hrs"/>
    <s v="6-12months"/>
    <x v="0"/>
  </r>
  <r>
    <n v="1573"/>
    <d v="2024-08-07T00:00:00"/>
    <s v="Premium"/>
    <n v="699"/>
    <n v="8.8000000000000007"/>
    <n v="8"/>
    <n v="3"/>
    <n v="5"/>
    <n v="12"/>
    <s v="No"/>
    <s v="No"/>
    <s v="Yes"/>
    <s v="Yes"/>
    <s v="No"/>
    <s v="Yes"/>
    <m/>
    <s v="1+ Failures"/>
    <n v="0"/>
    <s v="5-10 hrs"/>
    <s v="3-6months"/>
    <x v="0"/>
  </r>
  <r>
    <n v="1574"/>
    <d v="2024-03-13T00:00:00"/>
    <s v="Standard"/>
    <n v="399"/>
    <n v="9.1"/>
    <n v="8"/>
    <n v="1"/>
    <n v="33"/>
    <n v="51"/>
    <s v="Yes"/>
    <s v="No"/>
    <s v="Yes"/>
    <s v="Yes"/>
    <s v="Yes"/>
    <s v="No"/>
    <m/>
    <s v="1+ Failures"/>
    <n v="1"/>
    <s v="5-10 hrs"/>
    <s v="12+ months"/>
    <x v="1"/>
  </r>
  <r>
    <n v="1575"/>
    <d v="2023-04-14T00:00:00"/>
    <s v="Premium"/>
    <n v="699"/>
    <n v="21.9"/>
    <n v="1"/>
    <n v="1"/>
    <n v="25"/>
    <n v="50"/>
    <s v="No"/>
    <s v="No"/>
    <s v="Yes"/>
    <s v="No"/>
    <s v="Yes"/>
    <s v="No"/>
    <m/>
    <s v="1+ Failures"/>
    <n v="0"/>
    <s v="20+ hrs"/>
    <s v="12+ months"/>
    <x v="0"/>
  </r>
  <r>
    <n v="1576"/>
    <d v="2023-10-24T00:00:00"/>
    <s v="Basic"/>
    <n v="199"/>
    <n v="6.1"/>
    <n v="8"/>
    <n v="2"/>
    <n v="32"/>
    <n v="1"/>
    <s v="Yes"/>
    <s v="No"/>
    <s v="Yes"/>
    <s v="Yes"/>
    <s v="No"/>
    <s v="No"/>
    <m/>
    <s v="1+ Failures"/>
    <n v="1"/>
    <s v="5-10 hrs"/>
    <s v="12+ months"/>
    <x v="1"/>
  </r>
  <r>
    <n v="1577"/>
    <d v="2024-08-12T00:00:00"/>
    <s v="Standard"/>
    <n v="399"/>
    <n v="17.7"/>
    <n v="1"/>
    <n v="1"/>
    <n v="25"/>
    <n v="18"/>
    <s v="Yes"/>
    <s v="No"/>
    <s v="Yes"/>
    <s v="No"/>
    <s v="Yes"/>
    <s v="No"/>
    <m/>
    <s v="1+ Failures"/>
    <n v="1"/>
    <s v="10-20hrs"/>
    <s v="12+ months"/>
    <x v="1"/>
  </r>
  <r>
    <n v="1578"/>
    <d v="2024-07-13T00:00:00"/>
    <s v="Basic"/>
    <n v="199"/>
    <n v="23.3"/>
    <n v="8"/>
    <n v="2"/>
    <n v="34"/>
    <n v="25"/>
    <s v="Yes"/>
    <s v="No"/>
    <s v="Yes"/>
    <s v="Yes"/>
    <s v="Yes"/>
    <s v="No"/>
    <m/>
    <s v="1+ Failures"/>
    <n v="1"/>
    <s v="20+ hrs"/>
    <s v="12+ months"/>
    <x v="1"/>
  </r>
  <r>
    <n v="1579"/>
    <d v="2024-03-07T00:00:00"/>
    <s v="Premium"/>
    <n v="699"/>
    <n v="14.8"/>
    <n v="4"/>
    <n v="5"/>
    <n v="8"/>
    <n v="1"/>
    <s v="Yes"/>
    <s v="No"/>
    <s v="Yes"/>
    <s v="No"/>
    <s v="No"/>
    <s v="No"/>
    <m/>
    <s v="1+ Failures"/>
    <n v="1"/>
    <s v="10-20hrs"/>
    <s v="6-12months"/>
    <x v="0"/>
  </r>
  <r>
    <n v="1580"/>
    <d v="2023-12-04T00:00:00"/>
    <s v="Standard"/>
    <n v="399"/>
    <n v="8.6999999999999993"/>
    <n v="0"/>
    <n v="1"/>
    <n v="13"/>
    <n v="13"/>
    <s v="No"/>
    <s v="No"/>
    <s v="Yes"/>
    <s v="No"/>
    <s v="No"/>
    <s v="No"/>
    <m/>
    <s v="1+ Failures"/>
    <n v="0"/>
    <s v="5-10 hrs"/>
    <s v="12+ months"/>
    <x v="1"/>
  </r>
  <r>
    <n v="1581"/>
    <d v="2023-02-06T00:00:00"/>
    <s v="Premium"/>
    <n v="699"/>
    <n v="6.3"/>
    <n v="1"/>
    <n v="4"/>
    <n v="4"/>
    <n v="57"/>
    <s v="No"/>
    <s v="No"/>
    <s v="Yes"/>
    <s v="No"/>
    <s v="Yes"/>
    <s v="Yes"/>
    <m/>
    <s v="1+ Failures"/>
    <n v="0"/>
    <s v="5-10 hrs"/>
    <s v="3-6months"/>
    <x v="0"/>
  </r>
  <r>
    <n v="1582"/>
    <d v="2023-10-05T00:00:00"/>
    <s v="Standard"/>
    <n v="399"/>
    <n v="23.8"/>
    <n v="1"/>
    <n v="4"/>
    <n v="5"/>
    <n v="30"/>
    <s v="No"/>
    <s v="No"/>
    <s v="Yes"/>
    <s v="No"/>
    <s v="Yes"/>
    <s v="Yes"/>
    <m/>
    <s v="1+ Failures"/>
    <n v="0"/>
    <s v="20+ hrs"/>
    <s v="3-6months"/>
    <x v="1"/>
  </r>
  <r>
    <n v="1583"/>
    <d v="2024-03-17T00:00:00"/>
    <s v="Premium"/>
    <n v="699"/>
    <n v="3"/>
    <n v="7"/>
    <n v="4"/>
    <n v="3"/>
    <n v="14"/>
    <s v="Yes"/>
    <s v="Yes"/>
    <s v="Yes"/>
    <s v="Yes"/>
    <s v="No"/>
    <s v="Yes"/>
    <m/>
    <s v="1+ Failures"/>
    <n v="1"/>
    <s v="0-5 hrs"/>
    <s v="0-3months"/>
    <x v="0"/>
  </r>
  <r>
    <n v="1584"/>
    <d v="2023-07-20T00:00:00"/>
    <s v="Standard"/>
    <n v="399"/>
    <n v="19.600000000000001"/>
    <n v="3"/>
    <n v="0"/>
    <n v="20"/>
    <n v="59"/>
    <s v="Yes"/>
    <s v="No"/>
    <s v="No"/>
    <s v="No"/>
    <s v="Yes"/>
    <s v="No"/>
    <m/>
    <s v="0 Failures"/>
    <n v="1"/>
    <s v="10-20hrs"/>
    <s v="12+ months"/>
    <x v="1"/>
  </r>
  <r>
    <n v="1585"/>
    <d v="2024-01-22T00:00:00"/>
    <s v="Premium"/>
    <n v="699"/>
    <n v="17.2"/>
    <n v="0"/>
    <n v="4"/>
    <n v="25"/>
    <n v="30"/>
    <s v="Yes"/>
    <s v="No"/>
    <s v="Yes"/>
    <s v="No"/>
    <s v="Yes"/>
    <s v="No"/>
    <m/>
    <s v="1+ Failures"/>
    <n v="1"/>
    <s v="10-20hrs"/>
    <s v="12+ months"/>
    <x v="0"/>
  </r>
  <r>
    <n v="1586"/>
    <d v="2023-05-01T00:00:00"/>
    <s v="Premium"/>
    <n v="699"/>
    <n v="11"/>
    <n v="6"/>
    <n v="4"/>
    <n v="9"/>
    <n v="8"/>
    <s v="Yes"/>
    <s v="No"/>
    <s v="Yes"/>
    <s v="Yes"/>
    <s v="No"/>
    <s v="No"/>
    <m/>
    <s v="1+ Failures"/>
    <n v="1"/>
    <s v="10-20hrs"/>
    <s v="6-12months"/>
    <x v="0"/>
  </r>
  <r>
    <n v="1587"/>
    <d v="2023-08-26T00:00:00"/>
    <s v="Premium"/>
    <n v="699"/>
    <n v="9.1"/>
    <n v="5"/>
    <n v="3"/>
    <n v="24"/>
    <n v="58"/>
    <s v="Yes"/>
    <s v="No"/>
    <s v="Yes"/>
    <s v="Yes"/>
    <s v="Yes"/>
    <s v="No"/>
    <m/>
    <s v="1+ Failures"/>
    <n v="1"/>
    <s v="5-10 hrs"/>
    <s v="12+ months"/>
    <x v="0"/>
  </r>
  <r>
    <n v="1588"/>
    <d v="2023-01-16T00:00:00"/>
    <s v="Basic"/>
    <n v="199"/>
    <n v="6.1"/>
    <n v="8"/>
    <n v="4"/>
    <n v="1"/>
    <n v="2"/>
    <s v="No"/>
    <s v="No"/>
    <s v="Yes"/>
    <s v="Yes"/>
    <s v="No"/>
    <s v="Yes"/>
    <m/>
    <s v="1+ Failures"/>
    <n v="0"/>
    <s v="5-10 hrs"/>
    <s v="0-3months"/>
    <x v="1"/>
  </r>
  <r>
    <n v="1589"/>
    <d v="2023-10-17T00:00:00"/>
    <s v="Premium"/>
    <n v="699"/>
    <n v="20.399999999999999"/>
    <n v="1"/>
    <n v="0"/>
    <n v="16"/>
    <n v="8"/>
    <s v="No"/>
    <s v="No"/>
    <s v="No"/>
    <s v="No"/>
    <s v="No"/>
    <s v="No"/>
    <m/>
    <s v="0 Failures"/>
    <n v="0"/>
    <s v="20+ hrs"/>
    <s v="12+ months"/>
    <x v="0"/>
  </r>
  <r>
    <n v="1590"/>
    <d v="2024-05-05T00:00:00"/>
    <s v="Basic"/>
    <n v="199"/>
    <n v="9.1"/>
    <n v="3"/>
    <n v="2"/>
    <n v="21"/>
    <n v="8"/>
    <s v="No"/>
    <s v="No"/>
    <s v="Yes"/>
    <s v="No"/>
    <s v="No"/>
    <s v="No"/>
    <m/>
    <s v="1+ Failures"/>
    <n v="0"/>
    <s v="5-10 hrs"/>
    <s v="12+ months"/>
    <x v="1"/>
  </r>
  <r>
    <n v="1591"/>
    <d v="2024-05-21T00:00:00"/>
    <s v="Premium"/>
    <n v="699"/>
    <n v="16.600000000000001"/>
    <n v="1"/>
    <n v="2"/>
    <n v="8"/>
    <n v="60"/>
    <s v="Yes"/>
    <s v="No"/>
    <s v="Yes"/>
    <s v="No"/>
    <s v="Yes"/>
    <s v="No"/>
    <m/>
    <s v="1+ Failures"/>
    <n v="1"/>
    <s v="10-20hrs"/>
    <s v="6-12months"/>
    <x v="0"/>
  </r>
  <r>
    <n v="1592"/>
    <d v="2024-01-11T00:00:00"/>
    <s v="Premium"/>
    <n v="699"/>
    <n v="22.5"/>
    <n v="3"/>
    <n v="3"/>
    <n v="23"/>
    <n v="45"/>
    <s v="Yes"/>
    <s v="No"/>
    <s v="Yes"/>
    <s v="No"/>
    <s v="Yes"/>
    <s v="No"/>
    <m/>
    <s v="1+ Failures"/>
    <n v="1"/>
    <s v="20+ hrs"/>
    <s v="12+ months"/>
    <x v="0"/>
  </r>
  <r>
    <n v="1593"/>
    <d v="2024-12-15T00:00:00"/>
    <s v="Premium"/>
    <n v="699"/>
    <n v="21.8"/>
    <n v="3"/>
    <n v="4"/>
    <n v="19"/>
    <n v="57"/>
    <s v="Yes"/>
    <s v="No"/>
    <s v="Yes"/>
    <s v="No"/>
    <s v="Yes"/>
    <s v="No"/>
    <m/>
    <s v="1+ Failures"/>
    <n v="1"/>
    <s v="20+ hrs"/>
    <s v="12+ months"/>
    <x v="0"/>
  </r>
  <r>
    <n v="1594"/>
    <d v="2024-05-12T00:00:00"/>
    <s v="Premium"/>
    <n v="699"/>
    <n v="3.1"/>
    <n v="5"/>
    <n v="3"/>
    <n v="33"/>
    <n v="45"/>
    <s v="Yes"/>
    <s v="Yes"/>
    <s v="Yes"/>
    <s v="Yes"/>
    <s v="Yes"/>
    <s v="No"/>
    <m/>
    <s v="1+ Failures"/>
    <n v="1"/>
    <s v="0-5 hrs"/>
    <s v="12+ months"/>
    <x v="0"/>
  </r>
  <r>
    <n v="1595"/>
    <d v="2024-07-20T00:00:00"/>
    <s v="Standard"/>
    <n v="399"/>
    <n v="5.5"/>
    <n v="2"/>
    <n v="4"/>
    <n v="6"/>
    <n v="14"/>
    <s v="Yes"/>
    <s v="No"/>
    <s v="Yes"/>
    <s v="No"/>
    <s v="No"/>
    <s v="No"/>
    <m/>
    <s v="1+ Failures"/>
    <n v="1"/>
    <s v="5-10 hrs"/>
    <s v="3-6months"/>
    <x v="1"/>
  </r>
  <r>
    <n v="1596"/>
    <d v="2024-10-27T00:00:00"/>
    <s v="Basic"/>
    <n v="199"/>
    <n v="9.6"/>
    <n v="2"/>
    <n v="0"/>
    <n v="8"/>
    <n v="15"/>
    <s v="No"/>
    <s v="No"/>
    <s v="No"/>
    <s v="No"/>
    <s v="Yes"/>
    <s v="No"/>
    <m/>
    <s v="0 Failures"/>
    <n v="0"/>
    <s v="5-10 hrs"/>
    <s v="6-12months"/>
    <x v="1"/>
  </r>
  <r>
    <n v="1597"/>
    <d v="2023-11-04T00:00:00"/>
    <s v="Standard"/>
    <n v="399"/>
    <n v="1"/>
    <n v="0"/>
    <n v="2"/>
    <n v="8"/>
    <n v="17"/>
    <s v="Yes"/>
    <s v="Yes"/>
    <s v="Yes"/>
    <s v="No"/>
    <s v="Yes"/>
    <s v="No"/>
    <m/>
    <s v="1+ Failures"/>
    <n v="1"/>
    <s v="0-5 hrs"/>
    <s v="6-12months"/>
    <x v="1"/>
  </r>
  <r>
    <n v="1598"/>
    <d v="2024-01-29T00:00:00"/>
    <s v="Basic"/>
    <n v="199"/>
    <n v="7.3"/>
    <n v="6"/>
    <n v="3"/>
    <n v="4"/>
    <n v="1"/>
    <s v="No"/>
    <s v="No"/>
    <s v="Yes"/>
    <s v="Yes"/>
    <s v="No"/>
    <s v="Yes"/>
    <m/>
    <s v="1+ Failures"/>
    <n v="0"/>
    <s v="5-10 hrs"/>
    <s v="3-6months"/>
    <x v="1"/>
  </r>
  <r>
    <n v="1599"/>
    <d v="2023-02-23T00:00:00"/>
    <s v="Standard"/>
    <n v="399"/>
    <n v="6"/>
    <n v="6"/>
    <n v="1"/>
    <n v="3"/>
    <n v="42"/>
    <s v="Yes"/>
    <s v="No"/>
    <s v="Yes"/>
    <s v="Yes"/>
    <s v="Yes"/>
    <s v="Yes"/>
    <m/>
    <s v="1+ Failures"/>
    <n v="1"/>
    <s v="5-10 hrs"/>
    <s v="0-3months"/>
    <x v="1"/>
  </r>
  <r>
    <n v="1600"/>
    <d v="2023-12-11T00:00:00"/>
    <s v="Premium"/>
    <n v="699"/>
    <n v="1.3"/>
    <n v="5"/>
    <n v="0"/>
    <n v="20"/>
    <n v="58"/>
    <s v="Yes"/>
    <s v="Yes"/>
    <s v="No"/>
    <s v="Yes"/>
    <s v="Yes"/>
    <s v="No"/>
    <m/>
    <s v="0 Failures"/>
    <n v="1"/>
    <s v="0-5 hrs"/>
    <s v="12+ months"/>
    <x v="0"/>
  </r>
  <r>
    <n v="1601"/>
    <d v="2024-03-13T00:00:00"/>
    <s v="Standard"/>
    <n v="399"/>
    <n v="19.100000000000001"/>
    <n v="5"/>
    <n v="5"/>
    <n v="14"/>
    <n v="53"/>
    <s v="Yes"/>
    <s v="No"/>
    <s v="Yes"/>
    <s v="Yes"/>
    <s v="Yes"/>
    <s v="No"/>
    <m/>
    <s v="1+ Failures"/>
    <n v="1"/>
    <s v="10-20hrs"/>
    <s v="12+ months"/>
    <x v="1"/>
  </r>
  <r>
    <n v="1602"/>
    <d v="2024-11-25T00:00:00"/>
    <s v="Premium"/>
    <n v="699"/>
    <n v="20.3"/>
    <n v="8"/>
    <n v="3"/>
    <n v="4"/>
    <n v="60"/>
    <s v="Yes"/>
    <s v="No"/>
    <s v="Yes"/>
    <s v="Yes"/>
    <s v="Yes"/>
    <s v="Yes"/>
    <m/>
    <s v="1+ Failures"/>
    <n v="1"/>
    <s v="20+ hrs"/>
    <s v="3-6months"/>
    <x v="0"/>
  </r>
  <r>
    <n v="1603"/>
    <d v="2024-04-23T00:00:00"/>
    <s v="Standard"/>
    <n v="399"/>
    <n v="11.9"/>
    <n v="8"/>
    <n v="2"/>
    <n v="35"/>
    <n v="10"/>
    <s v="No"/>
    <s v="No"/>
    <s v="Yes"/>
    <s v="Yes"/>
    <s v="No"/>
    <s v="No"/>
    <m/>
    <s v="1+ Failures"/>
    <n v="0"/>
    <s v="10-20hrs"/>
    <s v="12+ months"/>
    <x v="1"/>
  </r>
  <r>
    <n v="1604"/>
    <d v="2023-10-08T00:00:00"/>
    <s v="Premium"/>
    <n v="699"/>
    <n v="3.7"/>
    <n v="0"/>
    <n v="2"/>
    <n v="16"/>
    <n v="51"/>
    <s v="Yes"/>
    <s v="Yes"/>
    <s v="Yes"/>
    <s v="No"/>
    <s v="Yes"/>
    <s v="No"/>
    <m/>
    <s v="1+ Failures"/>
    <n v="1"/>
    <s v="0-5 hrs"/>
    <s v="12+ months"/>
    <x v="0"/>
  </r>
  <r>
    <n v="1605"/>
    <d v="2024-09-22T00:00:00"/>
    <s v="Basic"/>
    <n v="199"/>
    <n v="19.399999999999999"/>
    <n v="4"/>
    <n v="2"/>
    <n v="16"/>
    <n v="36"/>
    <s v="Yes"/>
    <s v="No"/>
    <s v="Yes"/>
    <s v="No"/>
    <s v="Yes"/>
    <s v="No"/>
    <m/>
    <s v="1+ Failures"/>
    <n v="1"/>
    <s v="10-20hrs"/>
    <s v="12+ months"/>
    <x v="1"/>
  </r>
  <r>
    <n v="1606"/>
    <d v="2023-01-13T00:00:00"/>
    <s v="Standard"/>
    <n v="399"/>
    <n v="7.1"/>
    <n v="4"/>
    <n v="5"/>
    <n v="24"/>
    <n v="51"/>
    <s v="No"/>
    <s v="No"/>
    <s v="Yes"/>
    <s v="No"/>
    <s v="Yes"/>
    <s v="No"/>
    <m/>
    <s v="1+ Failures"/>
    <n v="0"/>
    <s v="5-10 hrs"/>
    <s v="12+ months"/>
    <x v="1"/>
  </r>
  <r>
    <n v="1607"/>
    <d v="2024-04-18T00:00:00"/>
    <s v="Basic"/>
    <n v="199"/>
    <n v="14.4"/>
    <n v="5"/>
    <n v="2"/>
    <n v="20"/>
    <n v="54"/>
    <s v="Yes"/>
    <s v="No"/>
    <s v="Yes"/>
    <s v="Yes"/>
    <s v="Yes"/>
    <s v="No"/>
    <m/>
    <s v="1+ Failures"/>
    <n v="1"/>
    <s v="10-20hrs"/>
    <s v="12+ months"/>
    <x v="1"/>
  </r>
  <r>
    <n v="1608"/>
    <d v="2024-07-23T00:00:00"/>
    <s v="Basic"/>
    <n v="199"/>
    <n v="0.7"/>
    <n v="0"/>
    <n v="2"/>
    <n v="29"/>
    <n v="30"/>
    <s v="Yes"/>
    <s v="Yes"/>
    <s v="Yes"/>
    <s v="No"/>
    <s v="Yes"/>
    <s v="No"/>
    <m/>
    <s v="1+ Failures"/>
    <n v="1"/>
    <s v="0-5 hrs"/>
    <s v="12+ months"/>
    <x v="1"/>
  </r>
  <r>
    <n v="1609"/>
    <d v="2023-11-18T00:00:00"/>
    <s v="Basic"/>
    <n v="199"/>
    <n v="1.9"/>
    <n v="1"/>
    <n v="2"/>
    <n v="27"/>
    <n v="57"/>
    <s v="Yes"/>
    <s v="Yes"/>
    <s v="Yes"/>
    <s v="No"/>
    <s v="Yes"/>
    <s v="No"/>
    <m/>
    <s v="1+ Failures"/>
    <n v="1"/>
    <s v="0-5 hrs"/>
    <s v="12+ months"/>
    <x v="1"/>
  </r>
  <r>
    <n v="1610"/>
    <d v="2023-08-21T00:00:00"/>
    <s v="Basic"/>
    <n v="199"/>
    <n v="4.9000000000000004"/>
    <n v="4"/>
    <n v="2"/>
    <n v="29"/>
    <n v="55"/>
    <s v="Yes"/>
    <s v="Yes"/>
    <s v="Yes"/>
    <s v="No"/>
    <s v="Yes"/>
    <s v="No"/>
    <m/>
    <s v="1+ Failures"/>
    <n v="1"/>
    <s v="0-5 hrs"/>
    <s v="12+ months"/>
    <x v="1"/>
  </r>
  <r>
    <n v="1611"/>
    <d v="2023-07-08T00:00:00"/>
    <s v="Premium"/>
    <n v="699"/>
    <n v="4.0999999999999996"/>
    <n v="0"/>
    <n v="1"/>
    <n v="12"/>
    <n v="7"/>
    <s v="No"/>
    <s v="Yes"/>
    <s v="Yes"/>
    <s v="No"/>
    <s v="No"/>
    <s v="No"/>
    <m/>
    <s v="1+ Failures"/>
    <n v="0"/>
    <s v="0-5 hrs"/>
    <s v="6-12months"/>
    <x v="0"/>
  </r>
  <r>
    <n v="1612"/>
    <d v="2023-03-04T00:00:00"/>
    <s v="Premium"/>
    <n v="699"/>
    <n v="21.6"/>
    <n v="5"/>
    <n v="0"/>
    <n v="33"/>
    <n v="35"/>
    <s v="No"/>
    <s v="No"/>
    <s v="No"/>
    <s v="Yes"/>
    <s v="Yes"/>
    <s v="No"/>
    <m/>
    <s v="0 Failures"/>
    <n v="0"/>
    <s v="20+ hrs"/>
    <s v="12+ months"/>
    <x v="0"/>
  </r>
  <r>
    <n v="1613"/>
    <d v="2023-12-28T00:00:00"/>
    <s v="Premium"/>
    <n v="699"/>
    <n v="24.4"/>
    <n v="0"/>
    <n v="5"/>
    <n v="17"/>
    <n v="54"/>
    <s v="No"/>
    <s v="No"/>
    <s v="Yes"/>
    <s v="No"/>
    <s v="Yes"/>
    <s v="No"/>
    <m/>
    <s v="1+ Failures"/>
    <n v="0"/>
    <s v="20+ hrs"/>
    <s v="12+ months"/>
    <x v="0"/>
  </r>
  <r>
    <n v="1614"/>
    <d v="2023-04-26T00:00:00"/>
    <s v="Premium"/>
    <n v="699"/>
    <n v="15.2"/>
    <n v="5"/>
    <n v="0"/>
    <n v="3"/>
    <n v="4"/>
    <s v="No"/>
    <s v="No"/>
    <s v="No"/>
    <s v="Yes"/>
    <s v="No"/>
    <s v="Yes"/>
    <m/>
    <s v="0 Failures"/>
    <n v="0"/>
    <s v="10-20hrs"/>
    <s v="0-3months"/>
    <x v="0"/>
  </r>
  <r>
    <n v="1615"/>
    <d v="2024-11-28T00:00:00"/>
    <s v="Premium"/>
    <n v="699"/>
    <n v="6.3"/>
    <n v="5"/>
    <n v="4"/>
    <n v="5"/>
    <n v="23"/>
    <s v="No"/>
    <s v="No"/>
    <s v="Yes"/>
    <s v="Yes"/>
    <s v="Yes"/>
    <s v="Yes"/>
    <m/>
    <s v="1+ Failures"/>
    <n v="0"/>
    <s v="5-10 hrs"/>
    <s v="3-6months"/>
    <x v="0"/>
  </r>
  <r>
    <n v="1616"/>
    <d v="2024-01-04T00:00:00"/>
    <s v="Standard"/>
    <n v="399"/>
    <n v="16.2"/>
    <n v="4"/>
    <n v="1"/>
    <n v="5"/>
    <n v="1"/>
    <s v="No"/>
    <s v="No"/>
    <s v="Yes"/>
    <s v="No"/>
    <s v="No"/>
    <s v="Yes"/>
    <m/>
    <s v="1+ Failures"/>
    <n v="0"/>
    <s v="10-20hrs"/>
    <s v="3-6months"/>
    <x v="1"/>
  </r>
  <r>
    <n v="1617"/>
    <d v="2024-09-28T00:00:00"/>
    <s v="Standard"/>
    <n v="399"/>
    <n v="22.5"/>
    <n v="5"/>
    <n v="3"/>
    <n v="27"/>
    <n v="60"/>
    <s v="No"/>
    <s v="No"/>
    <s v="Yes"/>
    <s v="Yes"/>
    <s v="Yes"/>
    <s v="No"/>
    <m/>
    <s v="1+ Failures"/>
    <n v="0"/>
    <s v="20+ hrs"/>
    <s v="12+ months"/>
    <x v="1"/>
  </r>
  <r>
    <n v="1618"/>
    <d v="2023-04-19T00:00:00"/>
    <s v="Basic"/>
    <n v="199"/>
    <n v="9.5"/>
    <n v="4"/>
    <n v="1"/>
    <n v="11"/>
    <n v="58"/>
    <s v="No"/>
    <s v="No"/>
    <s v="Yes"/>
    <s v="No"/>
    <s v="Yes"/>
    <s v="No"/>
    <m/>
    <s v="1+ Failures"/>
    <n v="0"/>
    <s v="5-10 hrs"/>
    <s v="6-12months"/>
    <x v="1"/>
  </r>
  <r>
    <n v="1619"/>
    <d v="2024-08-18T00:00:00"/>
    <s v="Premium"/>
    <n v="699"/>
    <n v="20.3"/>
    <n v="8"/>
    <n v="5"/>
    <n v="14"/>
    <n v="49"/>
    <s v="Yes"/>
    <s v="No"/>
    <s v="Yes"/>
    <s v="Yes"/>
    <s v="Yes"/>
    <s v="No"/>
    <m/>
    <s v="1+ Failures"/>
    <n v="1"/>
    <s v="20+ hrs"/>
    <s v="12+ months"/>
    <x v="0"/>
  </r>
  <r>
    <n v="1620"/>
    <d v="2023-06-03T00:00:00"/>
    <s v="Premium"/>
    <n v="699"/>
    <n v="23.5"/>
    <n v="6"/>
    <n v="4"/>
    <n v="23"/>
    <n v="2"/>
    <s v="No"/>
    <s v="No"/>
    <s v="Yes"/>
    <s v="Yes"/>
    <s v="No"/>
    <s v="No"/>
    <m/>
    <s v="1+ Failures"/>
    <n v="0"/>
    <s v="20+ hrs"/>
    <s v="12+ months"/>
    <x v="0"/>
  </r>
  <r>
    <n v="1621"/>
    <d v="2024-10-07T00:00:00"/>
    <s v="Standard"/>
    <n v="399"/>
    <n v="23.9"/>
    <n v="3"/>
    <n v="4"/>
    <n v="6"/>
    <n v="32"/>
    <s v="No"/>
    <s v="No"/>
    <s v="Yes"/>
    <s v="No"/>
    <s v="Yes"/>
    <s v="No"/>
    <m/>
    <s v="1+ Failures"/>
    <n v="0"/>
    <s v="20+ hrs"/>
    <s v="3-6months"/>
    <x v="1"/>
  </r>
  <r>
    <n v="1622"/>
    <d v="2024-04-28T00:00:00"/>
    <s v="Premium"/>
    <n v="699"/>
    <n v="13.7"/>
    <n v="1"/>
    <n v="4"/>
    <n v="27"/>
    <n v="51"/>
    <s v="Yes"/>
    <s v="No"/>
    <s v="Yes"/>
    <s v="No"/>
    <s v="Yes"/>
    <s v="No"/>
    <m/>
    <s v="1+ Failures"/>
    <n v="1"/>
    <s v="10-20hrs"/>
    <s v="12+ months"/>
    <x v="0"/>
  </r>
  <r>
    <n v="1623"/>
    <d v="2023-10-28T00:00:00"/>
    <s v="Premium"/>
    <n v="699"/>
    <n v="13.2"/>
    <n v="5"/>
    <n v="2"/>
    <n v="34"/>
    <n v="12"/>
    <s v="No"/>
    <s v="No"/>
    <s v="Yes"/>
    <s v="Yes"/>
    <s v="No"/>
    <s v="No"/>
    <m/>
    <s v="1+ Failures"/>
    <n v="0"/>
    <s v="10-20hrs"/>
    <s v="12+ months"/>
    <x v="0"/>
  </r>
  <r>
    <n v="1624"/>
    <d v="2023-04-29T00:00:00"/>
    <s v="Basic"/>
    <n v="199"/>
    <n v="6.5"/>
    <n v="5"/>
    <n v="1"/>
    <n v="22"/>
    <n v="29"/>
    <s v="Yes"/>
    <s v="No"/>
    <s v="Yes"/>
    <s v="Yes"/>
    <s v="Yes"/>
    <s v="No"/>
    <m/>
    <s v="1+ Failures"/>
    <n v="1"/>
    <s v="5-10 hrs"/>
    <s v="12+ months"/>
    <x v="1"/>
  </r>
  <r>
    <n v="1625"/>
    <d v="2024-06-01T00:00:00"/>
    <s v="Premium"/>
    <n v="699"/>
    <n v="11.4"/>
    <n v="6"/>
    <n v="2"/>
    <n v="16"/>
    <n v="5"/>
    <s v="Yes"/>
    <s v="No"/>
    <s v="Yes"/>
    <s v="Yes"/>
    <s v="No"/>
    <s v="No"/>
    <m/>
    <s v="1+ Failures"/>
    <n v="1"/>
    <s v="10-20hrs"/>
    <s v="12+ months"/>
    <x v="0"/>
  </r>
  <r>
    <n v="1626"/>
    <d v="2024-08-06T00:00:00"/>
    <s v="Basic"/>
    <n v="199"/>
    <n v="16.5"/>
    <n v="3"/>
    <n v="3"/>
    <n v="24"/>
    <n v="50"/>
    <s v="Yes"/>
    <s v="No"/>
    <s v="Yes"/>
    <s v="No"/>
    <s v="Yes"/>
    <s v="No"/>
    <m/>
    <s v="1+ Failures"/>
    <n v="1"/>
    <s v="10-20hrs"/>
    <s v="12+ months"/>
    <x v="1"/>
  </r>
  <r>
    <n v="1627"/>
    <d v="2024-09-12T00:00:00"/>
    <s v="Basic"/>
    <n v="199"/>
    <n v="6.5"/>
    <n v="6"/>
    <n v="5"/>
    <n v="35"/>
    <n v="37"/>
    <s v="Yes"/>
    <s v="No"/>
    <s v="Yes"/>
    <s v="Yes"/>
    <s v="Yes"/>
    <s v="No"/>
    <m/>
    <s v="1+ Failures"/>
    <n v="1"/>
    <s v="5-10 hrs"/>
    <s v="12+ months"/>
    <x v="1"/>
  </r>
  <r>
    <n v="1628"/>
    <d v="2023-06-01T00:00:00"/>
    <s v="Standard"/>
    <n v="399"/>
    <n v="8.9"/>
    <n v="1"/>
    <n v="0"/>
    <n v="19"/>
    <n v="26"/>
    <s v="No"/>
    <s v="No"/>
    <s v="No"/>
    <s v="No"/>
    <s v="Yes"/>
    <s v="No"/>
    <m/>
    <s v="0 Failures"/>
    <n v="0"/>
    <s v="5-10 hrs"/>
    <s v="12+ months"/>
    <x v="1"/>
  </r>
  <r>
    <n v="1629"/>
    <d v="2023-06-20T00:00:00"/>
    <s v="Premium"/>
    <n v="699"/>
    <n v="16"/>
    <n v="3"/>
    <n v="1"/>
    <n v="32"/>
    <n v="56"/>
    <s v="No"/>
    <s v="No"/>
    <s v="Yes"/>
    <s v="No"/>
    <s v="Yes"/>
    <s v="No"/>
    <m/>
    <s v="1+ Failures"/>
    <n v="0"/>
    <s v="10-20hrs"/>
    <s v="12+ months"/>
    <x v="0"/>
  </r>
  <r>
    <n v="1630"/>
    <d v="2023-04-14T00:00:00"/>
    <s v="Basic"/>
    <n v="199"/>
    <n v="7"/>
    <n v="8"/>
    <n v="5"/>
    <n v="27"/>
    <n v="59"/>
    <s v="Yes"/>
    <s v="No"/>
    <s v="Yes"/>
    <s v="Yes"/>
    <s v="Yes"/>
    <s v="No"/>
    <m/>
    <s v="1+ Failures"/>
    <n v="1"/>
    <s v="5-10 hrs"/>
    <s v="12+ months"/>
    <x v="1"/>
  </r>
  <r>
    <n v="1631"/>
    <d v="2023-05-16T00:00:00"/>
    <s v="Basic"/>
    <n v="199"/>
    <n v="20.9"/>
    <n v="0"/>
    <n v="5"/>
    <n v="3"/>
    <n v="10"/>
    <s v="No"/>
    <s v="No"/>
    <s v="Yes"/>
    <s v="No"/>
    <s v="No"/>
    <s v="Yes"/>
    <m/>
    <s v="1+ Failures"/>
    <n v="0"/>
    <s v="20+ hrs"/>
    <s v="0-3months"/>
    <x v="1"/>
  </r>
  <r>
    <n v="1632"/>
    <d v="2024-07-24T00:00:00"/>
    <s v="Premium"/>
    <n v="699"/>
    <n v="23"/>
    <n v="6"/>
    <n v="2"/>
    <n v="34"/>
    <n v="8"/>
    <s v="Yes"/>
    <s v="No"/>
    <s v="Yes"/>
    <s v="Yes"/>
    <s v="No"/>
    <s v="No"/>
    <m/>
    <s v="1+ Failures"/>
    <n v="1"/>
    <s v="20+ hrs"/>
    <s v="12+ months"/>
    <x v="0"/>
  </r>
  <r>
    <n v="1633"/>
    <d v="2023-02-16T00:00:00"/>
    <s v="Basic"/>
    <n v="199"/>
    <n v="3.4"/>
    <n v="5"/>
    <n v="4"/>
    <n v="19"/>
    <n v="38"/>
    <s v="Yes"/>
    <s v="Yes"/>
    <s v="Yes"/>
    <s v="Yes"/>
    <s v="Yes"/>
    <s v="No"/>
    <m/>
    <s v="1+ Failures"/>
    <n v="1"/>
    <s v="0-5 hrs"/>
    <s v="12+ months"/>
    <x v="1"/>
  </r>
  <r>
    <n v="1634"/>
    <d v="2024-03-22T00:00:00"/>
    <s v="Basic"/>
    <n v="199"/>
    <n v="23.8"/>
    <n v="6"/>
    <n v="5"/>
    <n v="23"/>
    <n v="28"/>
    <s v="Yes"/>
    <s v="No"/>
    <s v="Yes"/>
    <s v="Yes"/>
    <s v="Yes"/>
    <s v="No"/>
    <m/>
    <s v="1+ Failures"/>
    <n v="1"/>
    <s v="20+ hrs"/>
    <s v="12+ months"/>
    <x v="1"/>
  </r>
  <r>
    <n v="1635"/>
    <d v="2024-06-05T00:00:00"/>
    <s v="Standard"/>
    <n v="399"/>
    <n v="17.7"/>
    <n v="2"/>
    <n v="5"/>
    <n v="31"/>
    <n v="49"/>
    <s v="Yes"/>
    <s v="No"/>
    <s v="Yes"/>
    <s v="No"/>
    <s v="Yes"/>
    <s v="No"/>
    <m/>
    <s v="1+ Failures"/>
    <n v="1"/>
    <s v="10-20hrs"/>
    <s v="12+ months"/>
    <x v="1"/>
  </r>
  <r>
    <n v="1636"/>
    <d v="2023-11-25T00:00:00"/>
    <s v="Basic"/>
    <n v="199"/>
    <n v="22.4"/>
    <n v="5"/>
    <n v="5"/>
    <n v="10"/>
    <n v="41"/>
    <s v="Yes"/>
    <s v="No"/>
    <s v="Yes"/>
    <s v="Yes"/>
    <s v="Yes"/>
    <s v="No"/>
    <m/>
    <s v="1+ Failures"/>
    <n v="1"/>
    <s v="20+ hrs"/>
    <s v="6-12months"/>
    <x v="1"/>
  </r>
  <r>
    <n v="1637"/>
    <d v="2023-12-16T00:00:00"/>
    <s v="Standard"/>
    <n v="399"/>
    <n v="13"/>
    <n v="4"/>
    <n v="0"/>
    <n v="12"/>
    <n v="14"/>
    <s v="No"/>
    <s v="No"/>
    <s v="No"/>
    <s v="No"/>
    <s v="No"/>
    <s v="No"/>
    <m/>
    <s v="0 Failures"/>
    <n v="0"/>
    <s v="10-20hrs"/>
    <s v="6-12months"/>
    <x v="1"/>
  </r>
  <r>
    <n v="1638"/>
    <d v="2023-11-23T00:00:00"/>
    <s v="Basic"/>
    <n v="199"/>
    <n v="22.5"/>
    <n v="8"/>
    <n v="3"/>
    <n v="34"/>
    <n v="18"/>
    <s v="Yes"/>
    <s v="No"/>
    <s v="Yes"/>
    <s v="Yes"/>
    <s v="Yes"/>
    <s v="No"/>
    <m/>
    <s v="1+ Failures"/>
    <n v="1"/>
    <s v="20+ hrs"/>
    <s v="12+ months"/>
    <x v="1"/>
  </r>
  <r>
    <n v="1639"/>
    <d v="2024-09-22T00:00:00"/>
    <s v="Basic"/>
    <n v="199"/>
    <n v="1.5"/>
    <n v="3"/>
    <n v="3"/>
    <n v="10"/>
    <n v="33"/>
    <s v="Yes"/>
    <s v="Yes"/>
    <s v="Yes"/>
    <s v="No"/>
    <s v="Yes"/>
    <s v="No"/>
    <m/>
    <s v="1+ Failures"/>
    <n v="1"/>
    <s v="0-5 hrs"/>
    <s v="6-12months"/>
    <x v="1"/>
  </r>
  <r>
    <n v="1640"/>
    <d v="2024-03-25T00:00:00"/>
    <s v="Standard"/>
    <n v="399"/>
    <n v="9"/>
    <n v="2"/>
    <n v="0"/>
    <n v="7"/>
    <n v="18"/>
    <s v="No"/>
    <s v="No"/>
    <s v="No"/>
    <s v="No"/>
    <s v="Yes"/>
    <s v="No"/>
    <m/>
    <s v="0 Failures"/>
    <n v="0"/>
    <s v="5-10 hrs"/>
    <s v="6-12months"/>
    <x v="1"/>
  </r>
  <r>
    <n v="1641"/>
    <d v="2023-08-26T00:00:00"/>
    <s v="Basic"/>
    <n v="199"/>
    <n v="7.6"/>
    <n v="4"/>
    <n v="4"/>
    <n v="11"/>
    <n v="48"/>
    <s v="Yes"/>
    <s v="No"/>
    <s v="Yes"/>
    <s v="No"/>
    <s v="Yes"/>
    <s v="No"/>
    <m/>
    <s v="1+ Failures"/>
    <n v="1"/>
    <s v="5-10 hrs"/>
    <s v="6-12months"/>
    <x v="1"/>
  </r>
  <r>
    <n v="1642"/>
    <d v="2023-06-22T00:00:00"/>
    <s v="Premium"/>
    <n v="699"/>
    <n v="4"/>
    <n v="3"/>
    <n v="4"/>
    <n v="18"/>
    <n v="53"/>
    <s v="Yes"/>
    <s v="Yes"/>
    <s v="Yes"/>
    <s v="No"/>
    <s v="Yes"/>
    <s v="No"/>
    <m/>
    <s v="1+ Failures"/>
    <n v="1"/>
    <s v="0-5 hrs"/>
    <s v="12+ months"/>
    <x v="0"/>
  </r>
  <r>
    <n v="1643"/>
    <d v="2024-05-15T00:00:00"/>
    <s v="Basic"/>
    <n v="199"/>
    <n v="24"/>
    <n v="8"/>
    <n v="4"/>
    <n v="3"/>
    <n v="51"/>
    <s v="Yes"/>
    <s v="No"/>
    <s v="Yes"/>
    <s v="Yes"/>
    <s v="Yes"/>
    <s v="Yes"/>
    <m/>
    <s v="1+ Failures"/>
    <n v="1"/>
    <s v="20+ hrs"/>
    <s v="0-3months"/>
    <x v="1"/>
  </r>
  <r>
    <n v="1644"/>
    <d v="2024-04-09T00:00:00"/>
    <s v="Basic"/>
    <n v="199"/>
    <n v="5.5"/>
    <n v="6"/>
    <n v="5"/>
    <n v="24"/>
    <n v="28"/>
    <s v="Yes"/>
    <s v="No"/>
    <s v="Yes"/>
    <s v="Yes"/>
    <s v="Yes"/>
    <s v="No"/>
    <m/>
    <s v="1+ Failures"/>
    <n v="1"/>
    <s v="5-10 hrs"/>
    <s v="12+ months"/>
    <x v="1"/>
  </r>
  <r>
    <n v="1645"/>
    <d v="2023-09-27T00:00:00"/>
    <s v="Standard"/>
    <n v="399"/>
    <n v="18"/>
    <n v="1"/>
    <n v="3"/>
    <n v="8"/>
    <n v="56"/>
    <s v="Yes"/>
    <s v="No"/>
    <s v="Yes"/>
    <s v="No"/>
    <s v="Yes"/>
    <s v="No"/>
    <m/>
    <s v="1+ Failures"/>
    <n v="1"/>
    <s v="10-20hrs"/>
    <s v="6-12months"/>
    <x v="1"/>
  </r>
  <r>
    <n v="1646"/>
    <d v="2023-08-16T00:00:00"/>
    <s v="Basic"/>
    <n v="199"/>
    <n v="24.8"/>
    <n v="1"/>
    <n v="2"/>
    <n v="9"/>
    <n v="51"/>
    <s v="Yes"/>
    <s v="No"/>
    <s v="Yes"/>
    <s v="No"/>
    <s v="Yes"/>
    <s v="No"/>
    <m/>
    <s v="1+ Failures"/>
    <n v="1"/>
    <s v="20+ hrs"/>
    <s v="6-12months"/>
    <x v="1"/>
  </r>
  <r>
    <n v="1647"/>
    <d v="2024-06-09T00:00:00"/>
    <s v="Premium"/>
    <n v="699"/>
    <n v="8.5"/>
    <n v="8"/>
    <n v="2"/>
    <n v="5"/>
    <n v="17"/>
    <s v="Yes"/>
    <s v="No"/>
    <s v="Yes"/>
    <s v="Yes"/>
    <s v="Yes"/>
    <s v="Yes"/>
    <m/>
    <s v="1+ Failures"/>
    <n v="1"/>
    <s v="5-10 hrs"/>
    <s v="3-6months"/>
    <x v="0"/>
  </r>
  <r>
    <n v="1648"/>
    <d v="2024-12-23T00:00:00"/>
    <s v="Premium"/>
    <n v="699"/>
    <n v="17.8"/>
    <n v="5"/>
    <n v="0"/>
    <n v="5"/>
    <n v="27"/>
    <s v="Yes"/>
    <s v="No"/>
    <s v="No"/>
    <s v="Yes"/>
    <s v="Yes"/>
    <s v="Yes"/>
    <m/>
    <s v="0 Failures"/>
    <n v="1"/>
    <s v="10-20hrs"/>
    <s v="3-6months"/>
    <x v="0"/>
  </r>
  <r>
    <n v="1649"/>
    <d v="2023-02-06T00:00:00"/>
    <s v="Premium"/>
    <n v="699"/>
    <n v="5.2"/>
    <n v="8"/>
    <n v="5"/>
    <n v="21"/>
    <n v="53"/>
    <s v="No"/>
    <s v="No"/>
    <s v="Yes"/>
    <s v="Yes"/>
    <s v="Yes"/>
    <s v="No"/>
    <m/>
    <s v="1+ Failures"/>
    <n v="0"/>
    <s v="5-10 hrs"/>
    <s v="12+ months"/>
    <x v="0"/>
  </r>
  <r>
    <n v="1650"/>
    <d v="2024-04-26T00:00:00"/>
    <s v="Premium"/>
    <n v="699"/>
    <n v="6.5"/>
    <n v="6"/>
    <n v="1"/>
    <n v="1"/>
    <n v="43"/>
    <s v="Yes"/>
    <s v="No"/>
    <s v="Yes"/>
    <s v="Yes"/>
    <s v="Yes"/>
    <s v="Yes"/>
    <m/>
    <s v="1+ Failures"/>
    <n v="1"/>
    <s v="5-10 hrs"/>
    <s v="0-3months"/>
    <x v="0"/>
  </r>
  <r>
    <n v="1651"/>
    <d v="2023-04-01T00:00:00"/>
    <s v="Basic"/>
    <n v="199"/>
    <n v="20.399999999999999"/>
    <n v="7"/>
    <n v="2"/>
    <n v="32"/>
    <n v="8"/>
    <s v="Yes"/>
    <s v="No"/>
    <s v="Yes"/>
    <s v="Yes"/>
    <s v="No"/>
    <s v="No"/>
    <m/>
    <s v="1+ Failures"/>
    <n v="1"/>
    <s v="20+ hrs"/>
    <s v="12+ months"/>
    <x v="1"/>
  </r>
  <r>
    <n v="1652"/>
    <d v="2024-12-28T00:00:00"/>
    <s v="Premium"/>
    <n v="699"/>
    <n v="0.6"/>
    <n v="1"/>
    <n v="3"/>
    <n v="14"/>
    <n v="35"/>
    <s v="Yes"/>
    <s v="Yes"/>
    <s v="Yes"/>
    <s v="No"/>
    <s v="Yes"/>
    <s v="No"/>
    <m/>
    <s v="1+ Failures"/>
    <n v="1"/>
    <s v="0-5 hrs"/>
    <s v="12+ months"/>
    <x v="0"/>
  </r>
  <r>
    <n v="1653"/>
    <d v="2023-08-29T00:00:00"/>
    <s v="Basic"/>
    <n v="199"/>
    <n v="10.7"/>
    <n v="4"/>
    <n v="4"/>
    <n v="3"/>
    <n v="24"/>
    <s v="Yes"/>
    <s v="No"/>
    <s v="Yes"/>
    <s v="No"/>
    <s v="Yes"/>
    <s v="Yes"/>
    <m/>
    <s v="1+ Failures"/>
    <n v="1"/>
    <s v="10-20hrs"/>
    <s v="0-3months"/>
    <x v="1"/>
  </r>
  <r>
    <n v="1654"/>
    <d v="2023-10-27T00:00:00"/>
    <s v="Premium"/>
    <n v="699"/>
    <n v="12.4"/>
    <n v="2"/>
    <n v="2"/>
    <n v="23"/>
    <n v="53"/>
    <s v="Yes"/>
    <s v="No"/>
    <s v="Yes"/>
    <s v="No"/>
    <s v="Yes"/>
    <s v="No"/>
    <m/>
    <s v="1+ Failures"/>
    <n v="1"/>
    <s v="10-20hrs"/>
    <s v="12+ months"/>
    <x v="0"/>
  </r>
  <r>
    <n v="1655"/>
    <d v="2023-10-30T00:00:00"/>
    <s v="Premium"/>
    <n v="699"/>
    <n v="12.5"/>
    <n v="6"/>
    <n v="4"/>
    <n v="32"/>
    <n v="22"/>
    <s v="Yes"/>
    <s v="No"/>
    <s v="Yes"/>
    <s v="Yes"/>
    <s v="Yes"/>
    <s v="No"/>
    <m/>
    <s v="1+ Failures"/>
    <n v="1"/>
    <s v="10-20hrs"/>
    <s v="12+ months"/>
    <x v="0"/>
  </r>
  <r>
    <n v="1656"/>
    <d v="2024-11-09T00:00:00"/>
    <s v="Basic"/>
    <n v="199"/>
    <n v="3.3"/>
    <n v="4"/>
    <n v="3"/>
    <n v="15"/>
    <n v="28"/>
    <s v="Yes"/>
    <s v="Yes"/>
    <s v="Yes"/>
    <s v="No"/>
    <s v="Yes"/>
    <s v="No"/>
    <m/>
    <s v="1+ Failures"/>
    <n v="1"/>
    <s v="0-5 hrs"/>
    <s v="12+ months"/>
    <x v="1"/>
  </r>
  <r>
    <n v="1657"/>
    <d v="2024-02-12T00:00:00"/>
    <s v="Standard"/>
    <n v="399"/>
    <n v="4.8"/>
    <n v="5"/>
    <n v="5"/>
    <n v="8"/>
    <n v="7"/>
    <s v="Yes"/>
    <s v="Yes"/>
    <s v="Yes"/>
    <s v="Yes"/>
    <s v="No"/>
    <s v="No"/>
    <m/>
    <s v="1+ Failures"/>
    <n v="1"/>
    <s v="0-5 hrs"/>
    <s v="6-12months"/>
    <x v="1"/>
  </r>
  <r>
    <n v="1658"/>
    <d v="2023-08-29T00:00:00"/>
    <s v="Premium"/>
    <n v="699"/>
    <n v="19.5"/>
    <n v="7"/>
    <n v="3"/>
    <n v="9"/>
    <n v="38"/>
    <s v="Yes"/>
    <s v="No"/>
    <s v="Yes"/>
    <s v="Yes"/>
    <s v="Yes"/>
    <s v="No"/>
    <m/>
    <s v="1+ Failures"/>
    <n v="1"/>
    <s v="10-20hrs"/>
    <s v="6-12months"/>
    <x v="0"/>
  </r>
  <r>
    <n v="1659"/>
    <d v="2023-11-27T00:00:00"/>
    <s v="Basic"/>
    <n v="199"/>
    <n v="7.1"/>
    <n v="3"/>
    <n v="3"/>
    <n v="19"/>
    <n v="3"/>
    <s v="No"/>
    <s v="No"/>
    <s v="Yes"/>
    <s v="No"/>
    <s v="No"/>
    <s v="No"/>
    <m/>
    <s v="1+ Failures"/>
    <n v="0"/>
    <s v="5-10 hrs"/>
    <s v="12+ months"/>
    <x v="1"/>
  </r>
  <r>
    <n v="1660"/>
    <d v="2023-02-25T00:00:00"/>
    <s v="Standard"/>
    <n v="399"/>
    <n v="10.6"/>
    <n v="7"/>
    <n v="3"/>
    <n v="21"/>
    <n v="25"/>
    <s v="Yes"/>
    <s v="No"/>
    <s v="Yes"/>
    <s v="Yes"/>
    <s v="Yes"/>
    <s v="No"/>
    <m/>
    <s v="1+ Failures"/>
    <n v="1"/>
    <s v="10-20hrs"/>
    <s v="12+ months"/>
    <x v="1"/>
  </r>
  <r>
    <n v="1661"/>
    <d v="2024-04-03T00:00:00"/>
    <s v="Standard"/>
    <n v="399"/>
    <n v="18.3"/>
    <n v="5"/>
    <n v="5"/>
    <n v="32"/>
    <n v="52"/>
    <s v="Yes"/>
    <s v="No"/>
    <s v="Yes"/>
    <s v="Yes"/>
    <s v="Yes"/>
    <s v="No"/>
    <m/>
    <s v="1+ Failures"/>
    <n v="1"/>
    <s v="10-20hrs"/>
    <s v="12+ months"/>
    <x v="1"/>
  </r>
  <r>
    <n v="1662"/>
    <d v="2023-04-23T00:00:00"/>
    <s v="Standard"/>
    <n v="399"/>
    <n v="14.5"/>
    <n v="2"/>
    <n v="4"/>
    <n v="15"/>
    <n v="13"/>
    <s v="No"/>
    <s v="No"/>
    <s v="Yes"/>
    <s v="No"/>
    <s v="No"/>
    <s v="No"/>
    <m/>
    <s v="1+ Failures"/>
    <n v="0"/>
    <s v="10-20hrs"/>
    <s v="12+ months"/>
    <x v="1"/>
  </r>
  <r>
    <n v="1663"/>
    <d v="2024-01-24T00:00:00"/>
    <s v="Premium"/>
    <n v="699"/>
    <n v="3.7"/>
    <n v="8"/>
    <n v="0"/>
    <n v="22"/>
    <n v="60"/>
    <s v="Yes"/>
    <s v="Yes"/>
    <s v="No"/>
    <s v="Yes"/>
    <s v="Yes"/>
    <s v="No"/>
    <m/>
    <s v="0 Failures"/>
    <n v="1"/>
    <s v="0-5 hrs"/>
    <s v="12+ months"/>
    <x v="0"/>
  </r>
  <r>
    <n v="1664"/>
    <d v="2023-08-04T00:00:00"/>
    <s v="Basic"/>
    <n v="199"/>
    <n v="22.8"/>
    <n v="8"/>
    <n v="0"/>
    <n v="22"/>
    <n v="41"/>
    <s v="Yes"/>
    <s v="No"/>
    <s v="No"/>
    <s v="Yes"/>
    <s v="Yes"/>
    <s v="No"/>
    <m/>
    <s v="0 Failures"/>
    <n v="1"/>
    <s v="20+ hrs"/>
    <s v="12+ months"/>
    <x v="1"/>
  </r>
  <r>
    <n v="1665"/>
    <d v="2023-08-23T00:00:00"/>
    <s v="Standard"/>
    <n v="399"/>
    <n v="5.4"/>
    <n v="2"/>
    <n v="4"/>
    <n v="35"/>
    <n v="25"/>
    <s v="No"/>
    <s v="No"/>
    <s v="Yes"/>
    <s v="No"/>
    <s v="Yes"/>
    <s v="No"/>
    <m/>
    <s v="1+ Failures"/>
    <n v="0"/>
    <s v="5-10 hrs"/>
    <s v="12+ months"/>
    <x v="1"/>
  </r>
  <r>
    <n v="1666"/>
    <d v="2023-09-12T00:00:00"/>
    <s v="Standard"/>
    <n v="399"/>
    <n v="22.8"/>
    <n v="5"/>
    <n v="3"/>
    <n v="11"/>
    <n v="13"/>
    <s v="No"/>
    <s v="No"/>
    <s v="Yes"/>
    <s v="Yes"/>
    <s v="No"/>
    <s v="No"/>
    <m/>
    <s v="1+ Failures"/>
    <n v="0"/>
    <s v="20+ hrs"/>
    <s v="6-12months"/>
    <x v="1"/>
  </r>
  <r>
    <n v="1667"/>
    <d v="2024-05-11T00:00:00"/>
    <s v="Basic"/>
    <n v="199"/>
    <n v="21.2"/>
    <n v="8"/>
    <n v="0"/>
    <n v="3"/>
    <n v="32"/>
    <s v="Yes"/>
    <s v="No"/>
    <s v="No"/>
    <s v="Yes"/>
    <s v="Yes"/>
    <s v="Yes"/>
    <m/>
    <s v="0 Failures"/>
    <n v="1"/>
    <s v="20+ hrs"/>
    <s v="0-3months"/>
    <x v="1"/>
  </r>
  <r>
    <n v="1668"/>
    <d v="2023-09-11T00:00:00"/>
    <s v="Basic"/>
    <n v="199"/>
    <n v="7.4"/>
    <n v="0"/>
    <n v="1"/>
    <n v="11"/>
    <n v="40"/>
    <s v="No"/>
    <s v="No"/>
    <s v="Yes"/>
    <s v="No"/>
    <s v="Yes"/>
    <s v="No"/>
    <m/>
    <s v="1+ Failures"/>
    <n v="0"/>
    <s v="5-10 hrs"/>
    <s v="6-12months"/>
    <x v="1"/>
  </r>
  <r>
    <n v="1669"/>
    <d v="2023-10-04T00:00:00"/>
    <s v="Basic"/>
    <n v="199"/>
    <n v="18.899999999999999"/>
    <n v="6"/>
    <n v="5"/>
    <n v="18"/>
    <n v="25"/>
    <s v="Yes"/>
    <s v="No"/>
    <s v="Yes"/>
    <s v="Yes"/>
    <s v="Yes"/>
    <s v="No"/>
    <m/>
    <s v="1+ Failures"/>
    <n v="1"/>
    <s v="10-20hrs"/>
    <s v="12+ months"/>
    <x v="1"/>
  </r>
  <r>
    <n v="1670"/>
    <d v="2024-07-08T00:00:00"/>
    <s v="Basic"/>
    <n v="199"/>
    <n v="2.2999999999999998"/>
    <n v="6"/>
    <n v="0"/>
    <n v="5"/>
    <n v="0"/>
    <s v="No"/>
    <s v="Yes"/>
    <s v="No"/>
    <s v="Yes"/>
    <s v="No"/>
    <s v="Yes"/>
    <m/>
    <s v="0 Failures"/>
    <n v="0"/>
    <s v="0-5 hrs"/>
    <s v="3-6months"/>
    <x v="1"/>
  </r>
  <r>
    <n v="1671"/>
    <d v="2023-11-16T00:00:00"/>
    <s v="Premium"/>
    <n v="699"/>
    <n v="2.8"/>
    <n v="6"/>
    <n v="1"/>
    <n v="10"/>
    <n v="53"/>
    <s v="Yes"/>
    <s v="Yes"/>
    <s v="Yes"/>
    <s v="Yes"/>
    <s v="Yes"/>
    <s v="No"/>
    <m/>
    <s v="1+ Failures"/>
    <n v="1"/>
    <s v="0-5 hrs"/>
    <s v="6-12months"/>
    <x v="0"/>
  </r>
  <r>
    <n v="1672"/>
    <d v="2023-04-13T00:00:00"/>
    <s v="Standard"/>
    <n v="399"/>
    <n v="13.1"/>
    <n v="0"/>
    <n v="2"/>
    <n v="28"/>
    <n v="17"/>
    <s v="No"/>
    <s v="No"/>
    <s v="Yes"/>
    <s v="No"/>
    <s v="Yes"/>
    <s v="No"/>
    <m/>
    <s v="1+ Failures"/>
    <n v="0"/>
    <s v="10-20hrs"/>
    <s v="12+ months"/>
    <x v="1"/>
  </r>
  <r>
    <n v="1673"/>
    <d v="2024-07-28T00:00:00"/>
    <s v="Standard"/>
    <n v="399"/>
    <n v="9.6999999999999993"/>
    <n v="6"/>
    <n v="0"/>
    <n v="31"/>
    <n v="14"/>
    <s v="No"/>
    <s v="No"/>
    <s v="No"/>
    <s v="Yes"/>
    <s v="No"/>
    <s v="No"/>
    <m/>
    <s v="0 Failures"/>
    <n v="0"/>
    <s v="5-10 hrs"/>
    <s v="12+ months"/>
    <x v="1"/>
  </r>
  <r>
    <n v="1674"/>
    <d v="2024-05-23T00:00:00"/>
    <s v="Standard"/>
    <n v="399"/>
    <n v="7.5"/>
    <n v="8"/>
    <n v="4"/>
    <n v="31"/>
    <n v="15"/>
    <s v="Yes"/>
    <s v="No"/>
    <s v="Yes"/>
    <s v="Yes"/>
    <s v="Yes"/>
    <s v="No"/>
    <m/>
    <s v="1+ Failures"/>
    <n v="1"/>
    <s v="5-10 hrs"/>
    <s v="12+ months"/>
    <x v="1"/>
  </r>
  <r>
    <n v="1675"/>
    <d v="2024-08-14T00:00:00"/>
    <s v="Premium"/>
    <n v="699"/>
    <n v="23.8"/>
    <n v="8"/>
    <n v="5"/>
    <n v="26"/>
    <n v="6"/>
    <s v="Yes"/>
    <s v="No"/>
    <s v="Yes"/>
    <s v="Yes"/>
    <s v="No"/>
    <s v="No"/>
    <m/>
    <s v="1+ Failures"/>
    <n v="1"/>
    <s v="20+ hrs"/>
    <s v="12+ months"/>
    <x v="0"/>
  </r>
  <r>
    <n v="1676"/>
    <d v="2024-10-20T00:00:00"/>
    <s v="Basic"/>
    <n v="199"/>
    <n v="19.399999999999999"/>
    <n v="7"/>
    <n v="2"/>
    <n v="26"/>
    <n v="30"/>
    <s v="Yes"/>
    <s v="No"/>
    <s v="Yes"/>
    <s v="Yes"/>
    <s v="Yes"/>
    <s v="No"/>
    <m/>
    <s v="1+ Failures"/>
    <n v="1"/>
    <s v="10-20hrs"/>
    <s v="12+ months"/>
    <x v="1"/>
  </r>
  <r>
    <n v="1677"/>
    <d v="2024-05-16T00:00:00"/>
    <s v="Standard"/>
    <n v="399"/>
    <n v="4"/>
    <n v="1"/>
    <n v="0"/>
    <n v="22"/>
    <n v="35"/>
    <s v="Yes"/>
    <s v="Yes"/>
    <s v="No"/>
    <s v="No"/>
    <s v="Yes"/>
    <s v="No"/>
    <m/>
    <s v="0 Failures"/>
    <n v="1"/>
    <s v="0-5 hrs"/>
    <s v="12+ months"/>
    <x v="1"/>
  </r>
  <r>
    <n v="1678"/>
    <d v="2024-08-03T00:00:00"/>
    <s v="Premium"/>
    <n v="699"/>
    <n v="2.6"/>
    <n v="6"/>
    <n v="4"/>
    <n v="16"/>
    <n v="53"/>
    <s v="Yes"/>
    <s v="Yes"/>
    <s v="Yes"/>
    <s v="Yes"/>
    <s v="Yes"/>
    <s v="No"/>
    <m/>
    <s v="1+ Failures"/>
    <n v="1"/>
    <s v="0-5 hrs"/>
    <s v="12+ months"/>
    <x v="0"/>
  </r>
  <r>
    <n v="1679"/>
    <d v="2023-06-04T00:00:00"/>
    <s v="Basic"/>
    <n v="199"/>
    <n v="19.3"/>
    <n v="4"/>
    <n v="3"/>
    <n v="4"/>
    <n v="19"/>
    <s v="No"/>
    <s v="No"/>
    <s v="Yes"/>
    <s v="No"/>
    <s v="Yes"/>
    <s v="Yes"/>
    <m/>
    <s v="1+ Failures"/>
    <n v="0"/>
    <s v="10-20hrs"/>
    <s v="3-6months"/>
    <x v="1"/>
  </r>
  <r>
    <n v="1680"/>
    <d v="2024-07-29T00:00:00"/>
    <s v="Basic"/>
    <n v="199"/>
    <n v="17.399999999999999"/>
    <n v="6"/>
    <n v="0"/>
    <n v="21"/>
    <n v="17"/>
    <s v="No"/>
    <s v="No"/>
    <s v="No"/>
    <s v="Yes"/>
    <s v="Yes"/>
    <s v="No"/>
    <m/>
    <s v="0 Failures"/>
    <n v="0"/>
    <s v="10-20hrs"/>
    <s v="12+ months"/>
    <x v="1"/>
  </r>
  <r>
    <n v="1681"/>
    <d v="2024-06-10T00:00:00"/>
    <s v="Standard"/>
    <n v="399"/>
    <n v="12.7"/>
    <n v="3"/>
    <n v="2"/>
    <n v="35"/>
    <n v="29"/>
    <s v="No"/>
    <s v="No"/>
    <s v="Yes"/>
    <s v="No"/>
    <s v="Yes"/>
    <s v="No"/>
    <m/>
    <s v="1+ Failures"/>
    <n v="0"/>
    <s v="10-20hrs"/>
    <s v="12+ months"/>
    <x v="1"/>
  </r>
  <r>
    <n v="1682"/>
    <d v="2023-01-14T00:00:00"/>
    <s v="Premium"/>
    <n v="699"/>
    <n v="23.1"/>
    <n v="6"/>
    <n v="5"/>
    <n v="6"/>
    <n v="4"/>
    <s v="Yes"/>
    <s v="No"/>
    <s v="Yes"/>
    <s v="Yes"/>
    <s v="No"/>
    <s v="No"/>
    <m/>
    <s v="1+ Failures"/>
    <n v="1"/>
    <s v="20+ hrs"/>
    <s v="3-6months"/>
    <x v="0"/>
  </r>
  <r>
    <n v="1683"/>
    <d v="2023-04-27T00:00:00"/>
    <s v="Basic"/>
    <n v="199"/>
    <n v="18.8"/>
    <n v="2"/>
    <n v="1"/>
    <n v="34"/>
    <n v="28"/>
    <s v="No"/>
    <s v="No"/>
    <s v="Yes"/>
    <s v="No"/>
    <s v="Yes"/>
    <s v="No"/>
    <m/>
    <s v="1+ Failures"/>
    <n v="0"/>
    <s v="10-20hrs"/>
    <s v="12+ months"/>
    <x v="1"/>
  </r>
  <r>
    <n v="1684"/>
    <d v="2024-07-14T00:00:00"/>
    <s v="Basic"/>
    <n v="199"/>
    <n v="12.6"/>
    <n v="8"/>
    <n v="3"/>
    <n v="28"/>
    <n v="8"/>
    <s v="No"/>
    <s v="No"/>
    <s v="Yes"/>
    <s v="Yes"/>
    <s v="No"/>
    <s v="No"/>
    <m/>
    <s v="1+ Failures"/>
    <n v="0"/>
    <s v="10-20hrs"/>
    <s v="12+ months"/>
    <x v="1"/>
  </r>
  <r>
    <n v="1685"/>
    <d v="2024-11-23T00:00:00"/>
    <s v="Standard"/>
    <n v="399"/>
    <n v="0.7"/>
    <n v="1"/>
    <n v="3"/>
    <n v="26"/>
    <n v="18"/>
    <s v="No"/>
    <s v="Yes"/>
    <s v="Yes"/>
    <s v="No"/>
    <s v="Yes"/>
    <s v="No"/>
    <m/>
    <s v="1+ Failures"/>
    <n v="0"/>
    <s v="0-5 hrs"/>
    <s v="12+ months"/>
    <x v="1"/>
  </r>
  <r>
    <n v="1686"/>
    <d v="2023-10-25T00:00:00"/>
    <s v="Standard"/>
    <n v="399"/>
    <n v="8.4"/>
    <n v="5"/>
    <n v="4"/>
    <n v="34"/>
    <n v="41"/>
    <s v="Yes"/>
    <s v="No"/>
    <s v="Yes"/>
    <s v="Yes"/>
    <s v="Yes"/>
    <s v="No"/>
    <m/>
    <s v="1+ Failures"/>
    <n v="1"/>
    <s v="5-10 hrs"/>
    <s v="12+ months"/>
    <x v="1"/>
  </r>
  <r>
    <n v="1687"/>
    <d v="2024-04-18T00:00:00"/>
    <s v="Premium"/>
    <n v="699"/>
    <n v="20.2"/>
    <n v="5"/>
    <n v="4"/>
    <n v="14"/>
    <n v="38"/>
    <s v="Yes"/>
    <s v="No"/>
    <s v="Yes"/>
    <s v="Yes"/>
    <s v="Yes"/>
    <s v="No"/>
    <m/>
    <s v="1+ Failures"/>
    <n v="1"/>
    <s v="20+ hrs"/>
    <s v="12+ months"/>
    <x v="0"/>
  </r>
  <r>
    <n v="1688"/>
    <d v="2024-04-30T00:00:00"/>
    <s v="Basic"/>
    <n v="199"/>
    <n v="23.2"/>
    <n v="2"/>
    <n v="1"/>
    <n v="22"/>
    <n v="33"/>
    <s v="No"/>
    <s v="No"/>
    <s v="Yes"/>
    <s v="No"/>
    <s v="Yes"/>
    <s v="No"/>
    <m/>
    <s v="1+ Failures"/>
    <n v="0"/>
    <s v="20+ hrs"/>
    <s v="12+ months"/>
    <x v="1"/>
  </r>
  <r>
    <n v="1689"/>
    <d v="2023-01-06T00:00:00"/>
    <s v="Basic"/>
    <n v="199"/>
    <n v="10.7"/>
    <n v="2"/>
    <n v="3"/>
    <n v="21"/>
    <n v="4"/>
    <s v="No"/>
    <s v="No"/>
    <s v="Yes"/>
    <s v="No"/>
    <s v="No"/>
    <s v="No"/>
    <m/>
    <s v="1+ Failures"/>
    <n v="0"/>
    <s v="10-20hrs"/>
    <s v="12+ months"/>
    <x v="1"/>
  </r>
  <r>
    <n v="1690"/>
    <d v="2023-03-04T00:00:00"/>
    <s v="Standard"/>
    <n v="399"/>
    <n v="5.4"/>
    <n v="1"/>
    <n v="4"/>
    <n v="13"/>
    <n v="29"/>
    <s v="Yes"/>
    <s v="No"/>
    <s v="Yes"/>
    <s v="No"/>
    <s v="Yes"/>
    <s v="No"/>
    <m/>
    <s v="1+ Failures"/>
    <n v="1"/>
    <s v="5-10 hrs"/>
    <s v="12+ months"/>
    <x v="1"/>
  </r>
  <r>
    <n v="1691"/>
    <d v="2023-08-20T00:00:00"/>
    <s v="Premium"/>
    <n v="699"/>
    <n v="15.1"/>
    <n v="1"/>
    <n v="2"/>
    <n v="30"/>
    <n v="40"/>
    <s v="Yes"/>
    <s v="No"/>
    <s v="Yes"/>
    <s v="No"/>
    <s v="Yes"/>
    <s v="No"/>
    <m/>
    <s v="1+ Failures"/>
    <n v="1"/>
    <s v="10-20hrs"/>
    <s v="12+ months"/>
    <x v="0"/>
  </r>
  <r>
    <n v="1692"/>
    <d v="2024-03-12T00:00:00"/>
    <s v="Standard"/>
    <n v="399"/>
    <n v="23.2"/>
    <n v="4"/>
    <n v="2"/>
    <n v="1"/>
    <n v="52"/>
    <s v="No"/>
    <s v="No"/>
    <s v="Yes"/>
    <s v="No"/>
    <s v="Yes"/>
    <s v="Yes"/>
    <m/>
    <s v="1+ Failures"/>
    <n v="0"/>
    <s v="20+ hrs"/>
    <s v="0-3months"/>
    <x v="1"/>
  </r>
  <r>
    <n v="1693"/>
    <d v="2024-11-06T00:00:00"/>
    <s v="Premium"/>
    <n v="699"/>
    <n v="9.5"/>
    <n v="6"/>
    <n v="2"/>
    <n v="20"/>
    <n v="35"/>
    <s v="Yes"/>
    <s v="No"/>
    <s v="Yes"/>
    <s v="Yes"/>
    <s v="Yes"/>
    <s v="No"/>
    <m/>
    <s v="1+ Failures"/>
    <n v="1"/>
    <s v="5-10 hrs"/>
    <s v="12+ months"/>
    <x v="0"/>
  </r>
  <r>
    <n v="1694"/>
    <d v="2023-09-27T00:00:00"/>
    <s v="Basic"/>
    <n v="199"/>
    <n v="15"/>
    <n v="1"/>
    <n v="5"/>
    <n v="5"/>
    <n v="13"/>
    <s v="Yes"/>
    <s v="No"/>
    <s v="Yes"/>
    <s v="No"/>
    <s v="No"/>
    <s v="Yes"/>
    <m/>
    <s v="1+ Failures"/>
    <n v="1"/>
    <s v="10-20hrs"/>
    <s v="3-6months"/>
    <x v="1"/>
  </r>
  <r>
    <n v="1695"/>
    <d v="2023-12-05T00:00:00"/>
    <s v="Premium"/>
    <n v="699"/>
    <n v="3.6"/>
    <n v="8"/>
    <n v="4"/>
    <n v="7"/>
    <n v="41"/>
    <s v="Yes"/>
    <s v="Yes"/>
    <s v="Yes"/>
    <s v="Yes"/>
    <s v="Yes"/>
    <s v="No"/>
    <m/>
    <s v="1+ Failures"/>
    <n v="1"/>
    <s v="0-5 hrs"/>
    <s v="6-12months"/>
    <x v="0"/>
  </r>
  <r>
    <n v="1696"/>
    <d v="2023-08-26T00:00:00"/>
    <s v="Premium"/>
    <n v="699"/>
    <n v="24.2"/>
    <n v="7"/>
    <n v="1"/>
    <n v="18"/>
    <n v="10"/>
    <s v="Yes"/>
    <s v="No"/>
    <s v="Yes"/>
    <s v="Yes"/>
    <s v="No"/>
    <s v="No"/>
    <m/>
    <s v="1+ Failures"/>
    <n v="1"/>
    <s v="20+ hrs"/>
    <s v="12+ months"/>
    <x v="0"/>
  </r>
  <r>
    <n v="1697"/>
    <d v="2023-01-01T00:00:00"/>
    <s v="Basic"/>
    <n v="199"/>
    <n v="23.3"/>
    <n v="2"/>
    <n v="1"/>
    <n v="6"/>
    <n v="10"/>
    <s v="No"/>
    <s v="No"/>
    <s v="Yes"/>
    <s v="No"/>
    <s v="No"/>
    <s v="No"/>
    <m/>
    <s v="1+ Failures"/>
    <n v="0"/>
    <s v="20+ hrs"/>
    <s v="3-6months"/>
    <x v="1"/>
  </r>
  <r>
    <n v="1698"/>
    <d v="2024-03-11T00:00:00"/>
    <s v="Standard"/>
    <n v="399"/>
    <n v="22.5"/>
    <n v="0"/>
    <n v="1"/>
    <n v="5"/>
    <n v="32"/>
    <s v="No"/>
    <s v="No"/>
    <s v="Yes"/>
    <s v="No"/>
    <s v="Yes"/>
    <s v="Yes"/>
    <m/>
    <s v="1+ Failures"/>
    <n v="0"/>
    <s v="20+ hrs"/>
    <s v="3-6months"/>
    <x v="1"/>
  </r>
  <r>
    <n v="1699"/>
    <d v="2024-01-22T00:00:00"/>
    <s v="Premium"/>
    <n v="699"/>
    <n v="8.5"/>
    <n v="8"/>
    <n v="0"/>
    <n v="31"/>
    <n v="15"/>
    <s v="No"/>
    <s v="No"/>
    <s v="No"/>
    <s v="Yes"/>
    <s v="Yes"/>
    <s v="No"/>
    <m/>
    <s v="0 Failures"/>
    <n v="0"/>
    <s v="5-10 hrs"/>
    <s v="12+ months"/>
    <x v="0"/>
  </r>
  <r>
    <n v="1700"/>
    <d v="2024-09-11T00:00:00"/>
    <s v="Standard"/>
    <n v="399"/>
    <n v="9.1999999999999993"/>
    <n v="8"/>
    <n v="2"/>
    <n v="31"/>
    <n v="33"/>
    <s v="Yes"/>
    <s v="No"/>
    <s v="Yes"/>
    <s v="Yes"/>
    <s v="Yes"/>
    <s v="No"/>
    <m/>
    <s v="1+ Failures"/>
    <n v="1"/>
    <s v="5-10 hrs"/>
    <s v="12+ months"/>
    <x v="1"/>
  </r>
  <r>
    <n v="1701"/>
    <d v="2024-07-27T00:00:00"/>
    <s v="Basic"/>
    <n v="199"/>
    <n v="23.7"/>
    <n v="4"/>
    <n v="5"/>
    <n v="11"/>
    <n v="9"/>
    <s v="No"/>
    <s v="No"/>
    <s v="Yes"/>
    <s v="No"/>
    <s v="No"/>
    <s v="No"/>
    <m/>
    <s v="1+ Failures"/>
    <n v="0"/>
    <s v="20+ hrs"/>
    <s v="6-12months"/>
    <x v="1"/>
  </r>
  <r>
    <n v="1702"/>
    <d v="2024-03-21T00:00:00"/>
    <s v="Standard"/>
    <n v="399"/>
    <n v="17.5"/>
    <n v="4"/>
    <n v="5"/>
    <n v="32"/>
    <n v="7"/>
    <s v="No"/>
    <s v="No"/>
    <s v="Yes"/>
    <s v="No"/>
    <s v="No"/>
    <s v="No"/>
    <m/>
    <s v="1+ Failures"/>
    <n v="0"/>
    <s v="10-20hrs"/>
    <s v="12+ months"/>
    <x v="1"/>
  </r>
  <r>
    <n v="1703"/>
    <d v="2024-03-10T00:00:00"/>
    <s v="Premium"/>
    <n v="699"/>
    <n v="4.9000000000000004"/>
    <n v="5"/>
    <n v="3"/>
    <n v="23"/>
    <n v="49"/>
    <s v="Yes"/>
    <s v="Yes"/>
    <s v="Yes"/>
    <s v="Yes"/>
    <s v="Yes"/>
    <s v="No"/>
    <m/>
    <s v="1+ Failures"/>
    <n v="1"/>
    <s v="0-5 hrs"/>
    <s v="12+ months"/>
    <x v="0"/>
  </r>
  <r>
    <n v="1704"/>
    <d v="2023-01-11T00:00:00"/>
    <s v="Basic"/>
    <n v="199"/>
    <n v="22"/>
    <n v="3"/>
    <n v="3"/>
    <n v="36"/>
    <n v="23"/>
    <s v="Yes"/>
    <s v="No"/>
    <s v="Yes"/>
    <s v="No"/>
    <s v="Yes"/>
    <s v="No"/>
    <m/>
    <s v="1+ Failures"/>
    <n v="1"/>
    <s v="20+ hrs"/>
    <s v="12+ months"/>
    <x v="1"/>
  </r>
  <r>
    <n v="1705"/>
    <d v="2023-04-07T00:00:00"/>
    <s v="Basic"/>
    <n v="199"/>
    <n v="9.3000000000000007"/>
    <n v="3"/>
    <n v="0"/>
    <n v="29"/>
    <n v="37"/>
    <s v="Yes"/>
    <s v="No"/>
    <s v="No"/>
    <s v="No"/>
    <s v="Yes"/>
    <s v="No"/>
    <m/>
    <s v="0 Failures"/>
    <n v="1"/>
    <s v="5-10 hrs"/>
    <s v="12+ months"/>
    <x v="1"/>
  </r>
  <r>
    <n v="1706"/>
    <d v="2023-10-09T00:00:00"/>
    <s v="Standard"/>
    <n v="399"/>
    <n v="12.8"/>
    <n v="0"/>
    <n v="4"/>
    <n v="17"/>
    <n v="17"/>
    <s v="Yes"/>
    <s v="No"/>
    <s v="Yes"/>
    <s v="No"/>
    <s v="Yes"/>
    <s v="No"/>
    <m/>
    <s v="1+ Failures"/>
    <n v="1"/>
    <s v="10-20hrs"/>
    <s v="12+ months"/>
    <x v="1"/>
  </r>
  <r>
    <n v="1707"/>
    <d v="2024-08-08T00:00:00"/>
    <s v="Premium"/>
    <n v="699"/>
    <n v="10.3"/>
    <n v="4"/>
    <n v="2"/>
    <n v="31"/>
    <n v="40"/>
    <s v="Yes"/>
    <s v="No"/>
    <s v="Yes"/>
    <s v="No"/>
    <s v="Yes"/>
    <s v="No"/>
    <m/>
    <s v="1+ Failures"/>
    <n v="1"/>
    <s v="10-20hrs"/>
    <s v="12+ months"/>
    <x v="0"/>
  </r>
  <r>
    <n v="1708"/>
    <d v="2024-10-25T00:00:00"/>
    <s v="Basic"/>
    <n v="199"/>
    <n v="24.9"/>
    <n v="7"/>
    <n v="3"/>
    <n v="31"/>
    <n v="11"/>
    <s v="Yes"/>
    <s v="No"/>
    <s v="Yes"/>
    <s v="Yes"/>
    <s v="No"/>
    <s v="No"/>
    <m/>
    <s v="1+ Failures"/>
    <n v="1"/>
    <s v="20+ hrs"/>
    <s v="12+ months"/>
    <x v="1"/>
  </r>
  <r>
    <n v="1709"/>
    <d v="2024-12-23T00:00:00"/>
    <s v="Premium"/>
    <n v="699"/>
    <n v="1.4"/>
    <n v="0"/>
    <n v="4"/>
    <n v="7"/>
    <n v="57"/>
    <s v="Yes"/>
    <s v="Yes"/>
    <s v="Yes"/>
    <s v="No"/>
    <s v="Yes"/>
    <s v="No"/>
    <m/>
    <s v="1+ Failures"/>
    <n v="1"/>
    <s v="0-5 hrs"/>
    <s v="6-12months"/>
    <x v="0"/>
  </r>
  <r>
    <n v="1710"/>
    <d v="2023-05-03T00:00:00"/>
    <s v="Premium"/>
    <n v="699"/>
    <n v="21.8"/>
    <n v="2"/>
    <n v="0"/>
    <n v="12"/>
    <n v="26"/>
    <s v="No"/>
    <s v="No"/>
    <s v="No"/>
    <s v="No"/>
    <s v="Yes"/>
    <s v="No"/>
    <m/>
    <s v="0 Failures"/>
    <n v="0"/>
    <s v="20+ hrs"/>
    <s v="6-12months"/>
    <x v="0"/>
  </r>
  <r>
    <n v="1711"/>
    <d v="2023-10-12T00:00:00"/>
    <s v="Basic"/>
    <n v="199"/>
    <n v="16.100000000000001"/>
    <n v="0"/>
    <n v="2"/>
    <n v="29"/>
    <n v="6"/>
    <s v="No"/>
    <s v="No"/>
    <s v="Yes"/>
    <s v="No"/>
    <s v="No"/>
    <s v="No"/>
    <m/>
    <s v="1+ Failures"/>
    <n v="0"/>
    <s v="10-20hrs"/>
    <s v="12+ months"/>
    <x v="1"/>
  </r>
  <r>
    <n v="1712"/>
    <d v="2024-08-23T00:00:00"/>
    <s v="Basic"/>
    <n v="199"/>
    <n v="8.6999999999999993"/>
    <n v="5"/>
    <n v="5"/>
    <n v="2"/>
    <n v="10"/>
    <s v="No"/>
    <s v="No"/>
    <s v="Yes"/>
    <s v="Yes"/>
    <s v="No"/>
    <s v="Yes"/>
    <m/>
    <s v="1+ Failures"/>
    <n v="0"/>
    <s v="5-10 hrs"/>
    <s v="0-3months"/>
    <x v="1"/>
  </r>
  <r>
    <n v="1713"/>
    <d v="2023-03-04T00:00:00"/>
    <s v="Premium"/>
    <n v="699"/>
    <n v="13.2"/>
    <n v="6"/>
    <n v="3"/>
    <n v="24"/>
    <n v="53"/>
    <s v="Yes"/>
    <s v="No"/>
    <s v="Yes"/>
    <s v="Yes"/>
    <s v="Yes"/>
    <s v="No"/>
    <m/>
    <s v="1+ Failures"/>
    <n v="1"/>
    <s v="10-20hrs"/>
    <s v="12+ months"/>
    <x v="0"/>
  </r>
  <r>
    <n v="1714"/>
    <d v="2023-06-26T00:00:00"/>
    <s v="Basic"/>
    <n v="199"/>
    <n v="20.7"/>
    <n v="8"/>
    <n v="1"/>
    <n v="13"/>
    <n v="46"/>
    <s v="Yes"/>
    <s v="No"/>
    <s v="Yes"/>
    <s v="Yes"/>
    <s v="Yes"/>
    <s v="No"/>
    <m/>
    <s v="1+ Failures"/>
    <n v="1"/>
    <s v="20+ hrs"/>
    <s v="12+ months"/>
    <x v="1"/>
  </r>
  <r>
    <n v="1715"/>
    <d v="2024-10-12T00:00:00"/>
    <s v="Standard"/>
    <n v="399"/>
    <n v="7.3"/>
    <n v="3"/>
    <n v="5"/>
    <n v="3"/>
    <n v="32"/>
    <s v="Yes"/>
    <s v="No"/>
    <s v="Yes"/>
    <s v="No"/>
    <s v="Yes"/>
    <s v="Yes"/>
    <m/>
    <s v="1+ Failures"/>
    <n v="1"/>
    <s v="5-10 hrs"/>
    <s v="0-3months"/>
    <x v="1"/>
  </r>
  <r>
    <n v="1716"/>
    <d v="2024-08-04T00:00:00"/>
    <s v="Premium"/>
    <n v="699"/>
    <n v="8.1"/>
    <n v="8"/>
    <n v="2"/>
    <n v="1"/>
    <n v="7"/>
    <s v="Yes"/>
    <s v="No"/>
    <s v="Yes"/>
    <s v="Yes"/>
    <s v="No"/>
    <s v="Yes"/>
    <m/>
    <s v="1+ Failures"/>
    <n v="1"/>
    <s v="5-10 hrs"/>
    <s v="0-3months"/>
    <x v="0"/>
  </r>
  <r>
    <n v="1717"/>
    <d v="2023-07-06T00:00:00"/>
    <s v="Premium"/>
    <n v="699"/>
    <n v="14.4"/>
    <n v="7"/>
    <n v="0"/>
    <n v="6"/>
    <n v="7"/>
    <s v="No"/>
    <s v="No"/>
    <s v="No"/>
    <s v="Yes"/>
    <s v="No"/>
    <s v="No"/>
    <m/>
    <s v="0 Failures"/>
    <n v="0"/>
    <s v="10-20hrs"/>
    <s v="3-6months"/>
    <x v="0"/>
  </r>
  <r>
    <n v="1718"/>
    <d v="2024-10-15T00:00:00"/>
    <s v="Premium"/>
    <n v="699"/>
    <n v="5"/>
    <n v="0"/>
    <n v="1"/>
    <n v="6"/>
    <n v="50"/>
    <s v="Yes"/>
    <s v="No"/>
    <s v="Yes"/>
    <s v="No"/>
    <s v="Yes"/>
    <s v="No"/>
    <m/>
    <s v="1+ Failures"/>
    <n v="1"/>
    <s v="0-5 hrs"/>
    <s v="3-6months"/>
    <x v="0"/>
  </r>
  <r>
    <n v="1719"/>
    <d v="2023-07-15T00:00:00"/>
    <s v="Standard"/>
    <n v="399"/>
    <n v="2.5"/>
    <n v="3"/>
    <n v="2"/>
    <n v="30"/>
    <n v="53"/>
    <s v="Yes"/>
    <s v="Yes"/>
    <s v="Yes"/>
    <s v="No"/>
    <s v="Yes"/>
    <s v="No"/>
    <m/>
    <s v="1+ Failures"/>
    <n v="1"/>
    <s v="0-5 hrs"/>
    <s v="12+ months"/>
    <x v="1"/>
  </r>
  <r>
    <n v="1720"/>
    <d v="2023-05-24T00:00:00"/>
    <s v="Premium"/>
    <n v="699"/>
    <n v="8.1"/>
    <n v="6"/>
    <n v="5"/>
    <n v="9"/>
    <n v="18"/>
    <s v="Yes"/>
    <s v="No"/>
    <s v="Yes"/>
    <s v="Yes"/>
    <s v="Yes"/>
    <s v="No"/>
    <m/>
    <s v="1+ Failures"/>
    <n v="1"/>
    <s v="5-10 hrs"/>
    <s v="6-12months"/>
    <x v="0"/>
  </r>
  <r>
    <n v="1721"/>
    <d v="2023-10-30T00:00:00"/>
    <s v="Premium"/>
    <n v="699"/>
    <n v="10.6"/>
    <n v="3"/>
    <n v="2"/>
    <n v="21"/>
    <n v="56"/>
    <s v="Yes"/>
    <s v="No"/>
    <s v="Yes"/>
    <s v="No"/>
    <s v="Yes"/>
    <s v="No"/>
    <m/>
    <s v="1+ Failures"/>
    <n v="1"/>
    <s v="10-20hrs"/>
    <s v="12+ months"/>
    <x v="0"/>
  </r>
  <r>
    <n v="1722"/>
    <d v="2024-10-19T00:00:00"/>
    <s v="Standard"/>
    <n v="399"/>
    <n v="7"/>
    <n v="7"/>
    <n v="2"/>
    <n v="29"/>
    <n v="37"/>
    <s v="Yes"/>
    <s v="No"/>
    <s v="Yes"/>
    <s v="Yes"/>
    <s v="Yes"/>
    <s v="No"/>
    <m/>
    <s v="1+ Failures"/>
    <n v="1"/>
    <s v="5-10 hrs"/>
    <s v="12+ months"/>
    <x v="1"/>
  </r>
  <r>
    <n v="1723"/>
    <d v="2024-01-30T00:00:00"/>
    <s v="Premium"/>
    <n v="699"/>
    <n v="20.8"/>
    <n v="2"/>
    <n v="0"/>
    <n v="29"/>
    <n v="60"/>
    <s v="No"/>
    <s v="No"/>
    <s v="No"/>
    <s v="No"/>
    <s v="Yes"/>
    <s v="No"/>
    <m/>
    <s v="0 Failures"/>
    <n v="0"/>
    <s v="20+ hrs"/>
    <s v="12+ months"/>
    <x v="0"/>
  </r>
  <r>
    <n v="1724"/>
    <d v="2023-10-23T00:00:00"/>
    <s v="Basic"/>
    <n v="199"/>
    <n v="14.4"/>
    <n v="6"/>
    <n v="2"/>
    <n v="35"/>
    <n v="41"/>
    <s v="No"/>
    <s v="No"/>
    <s v="Yes"/>
    <s v="Yes"/>
    <s v="Yes"/>
    <s v="No"/>
    <m/>
    <s v="1+ Failures"/>
    <n v="0"/>
    <s v="10-20hrs"/>
    <s v="12+ months"/>
    <x v="1"/>
  </r>
  <r>
    <n v="1725"/>
    <d v="2023-10-03T00:00:00"/>
    <s v="Basic"/>
    <n v="199"/>
    <n v="17.600000000000001"/>
    <n v="8"/>
    <n v="4"/>
    <n v="22"/>
    <n v="53"/>
    <s v="Yes"/>
    <s v="No"/>
    <s v="Yes"/>
    <s v="Yes"/>
    <s v="Yes"/>
    <s v="No"/>
    <m/>
    <s v="1+ Failures"/>
    <n v="1"/>
    <s v="10-20hrs"/>
    <s v="12+ months"/>
    <x v="1"/>
  </r>
  <r>
    <n v="1726"/>
    <d v="2023-04-29T00:00:00"/>
    <s v="Basic"/>
    <n v="199"/>
    <n v="19.399999999999999"/>
    <n v="4"/>
    <n v="1"/>
    <n v="33"/>
    <n v="29"/>
    <s v="Yes"/>
    <s v="No"/>
    <s v="Yes"/>
    <s v="No"/>
    <s v="Yes"/>
    <s v="No"/>
    <m/>
    <s v="1+ Failures"/>
    <n v="1"/>
    <s v="10-20hrs"/>
    <s v="12+ months"/>
    <x v="1"/>
  </r>
  <r>
    <n v="1727"/>
    <d v="2024-01-22T00:00:00"/>
    <s v="Premium"/>
    <n v="699"/>
    <n v="12.1"/>
    <n v="7"/>
    <n v="4"/>
    <n v="12"/>
    <n v="20"/>
    <s v="Yes"/>
    <s v="No"/>
    <s v="Yes"/>
    <s v="Yes"/>
    <s v="Yes"/>
    <s v="No"/>
    <m/>
    <s v="1+ Failures"/>
    <n v="1"/>
    <s v="10-20hrs"/>
    <s v="6-12months"/>
    <x v="0"/>
  </r>
  <r>
    <n v="1728"/>
    <d v="2023-01-09T00:00:00"/>
    <s v="Premium"/>
    <n v="699"/>
    <n v="8.4"/>
    <n v="1"/>
    <n v="5"/>
    <n v="3"/>
    <n v="22"/>
    <s v="No"/>
    <s v="No"/>
    <s v="Yes"/>
    <s v="No"/>
    <s v="Yes"/>
    <s v="Yes"/>
    <m/>
    <s v="1+ Failures"/>
    <n v="0"/>
    <s v="5-10 hrs"/>
    <s v="0-3months"/>
    <x v="0"/>
  </r>
  <r>
    <n v="1729"/>
    <d v="2024-01-02T00:00:00"/>
    <s v="Basic"/>
    <n v="199"/>
    <n v="12.1"/>
    <n v="5"/>
    <n v="5"/>
    <n v="27"/>
    <n v="57"/>
    <s v="Yes"/>
    <s v="No"/>
    <s v="Yes"/>
    <s v="Yes"/>
    <s v="Yes"/>
    <s v="No"/>
    <m/>
    <s v="1+ Failures"/>
    <n v="1"/>
    <s v="10-20hrs"/>
    <s v="12+ months"/>
    <x v="1"/>
  </r>
  <r>
    <n v="1730"/>
    <d v="2024-04-12T00:00:00"/>
    <s v="Standard"/>
    <n v="399"/>
    <n v="11.9"/>
    <n v="2"/>
    <n v="0"/>
    <n v="11"/>
    <n v="28"/>
    <s v="No"/>
    <s v="No"/>
    <s v="No"/>
    <s v="No"/>
    <s v="Yes"/>
    <s v="No"/>
    <m/>
    <s v="0 Failures"/>
    <n v="0"/>
    <s v="10-20hrs"/>
    <s v="6-12months"/>
    <x v="1"/>
  </r>
  <r>
    <n v="1731"/>
    <d v="2024-09-07T00:00:00"/>
    <s v="Premium"/>
    <n v="699"/>
    <n v="18.399999999999999"/>
    <n v="7"/>
    <n v="1"/>
    <n v="28"/>
    <n v="16"/>
    <s v="No"/>
    <s v="No"/>
    <s v="Yes"/>
    <s v="Yes"/>
    <s v="Yes"/>
    <s v="No"/>
    <m/>
    <s v="1+ Failures"/>
    <n v="0"/>
    <s v="10-20hrs"/>
    <s v="12+ months"/>
    <x v="0"/>
  </r>
  <r>
    <n v="1732"/>
    <d v="2024-06-03T00:00:00"/>
    <s v="Standard"/>
    <n v="399"/>
    <n v="17.100000000000001"/>
    <n v="4"/>
    <n v="0"/>
    <n v="31"/>
    <n v="59"/>
    <s v="No"/>
    <s v="No"/>
    <s v="No"/>
    <s v="No"/>
    <s v="Yes"/>
    <s v="No"/>
    <m/>
    <s v="0 Failures"/>
    <n v="0"/>
    <s v="10-20hrs"/>
    <s v="12+ months"/>
    <x v="1"/>
  </r>
  <r>
    <n v="1733"/>
    <d v="2023-06-17T00:00:00"/>
    <s v="Basic"/>
    <n v="199"/>
    <n v="10.9"/>
    <n v="4"/>
    <n v="4"/>
    <n v="27"/>
    <n v="25"/>
    <s v="Yes"/>
    <s v="No"/>
    <s v="Yes"/>
    <s v="No"/>
    <s v="Yes"/>
    <s v="No"/>
    <m/>
    <s v="1+ Failures"/>
    <n v="1"/>
    <s v="10-20hrs"/>
    <s v="12+ months"/>
    <x v="1"/>
  </r>
  <r>
    <n v="1734"/>
    <d v="2023-05-23T00:00:00"/>
    <s v="Premium"/>
    <n v="699"/>
    <n v="23.1"/>
    <n v="8"/>
    <n v="1"/>
    <n v="11"/>
    <n v="60"/>
    <s v="No"/>
    <s v="No"/>
    <s v="Yes"/>
    <s v="Yes"/>
    <s v="Yes"/>
    <s v="No"/>
    <m/>
    <s v="1+ Failures"/>
    <n v="0"/>
    <s v="20+ hrs"/>
    <s v="6-12months"/>
    <x v="0"/>
  </r>
  <r>
    <n v="1735"/>
    <d v="2023-05-25T00:00:00"/>
    <s v="Basic"/>
    <n v="199"/>
    <n v="19.8"/>
    <n v="0"/>
    <n v="0"/>
    <n v="22"/>
    <n v="19"/>
    <s v="No"/>
    <s v="No"/>
    <s v="No"/>
    <s v="No"/>
    <s v="Yes"/>
    <s v="No"/>
    <m/>
    <s v="0 Failures"/>
    <n v="0"/>
    <s v="10-20hrs"/>
    <s v="12+ months"/>
    <x v="1"/>
  </r>
  <r>
    <n v="1736"/>
    <d v="2023-06-26T00:00:00"/>
    <s v="Standard"/>
    <n v="399"/>
    <n v="10.199999999999999"/>
    <n v="7"/>
    <n v="0"/>
    <n v="30"/>
    <n v="42"/>
    <s v="Yes"/>
    <s v="No"/>
    <s v="No"/>
    <s v="Yes"/>
    <s v="Yes"/>
    <s v="No"/>
    <m/>
    <s v="0 Failures"/>
    <n v="1"/>
    <s v="10-20hrs"/>
    <s v="12+ months"/>
    <x v="1"/>
  </r>
  <r>
    <n v="1737"/>
    <d v="2023-09-08T00:00:00"/>
    <s v="Standard"/>
    <n v="399"/>
    <n v="2.5"/>
    <n v="3"/>
    <n v="1"/>
    <n v="20"/>
    <n v="27"/>
    <s v="Yes"/>
    <s v="Yes"/>
    <s v="Yes"/>
    <s v="No"/>
    <s v="Yes"/>
    <s v="No"/>
    <m/>
    <s v="1+ Failures"/>
    <n v="1"/>
    <s v="0-5 hrs"/>
    <s v="12+ months"/>
    <x v="1"/>
  </r>
  <r>
    <n v="1738"/>
    <d v="2023-04-13T00:00:00"/>
    <s v="Basic"/>
    <n v="199"/>
    <n v="21.2"/>
    <n v="5"/>
    <n v="0"/>
    <n v="36"/>
    <n v="30"/>
    <s v="Yes"/>
    <s v="No"/>
    <s v="No"/>
    <s v="Yes"/>
    <s v="Yes"/>
    <s v="No"/>
    <m/>
    <s v="0 Failures"/>
    <n v="1"/>
    <s v="20+ hrs"/>
    <s v="12+ months"/>
    <x v="1"/>
  </r>
  <r>
    <n v="1739"/>
    <d v="2024-04-19T00:00:00"/>
    <s v="Standard"/>
    <n v="399"/>
    <n v="17.3"/>
    <n v="3"/>
    <n v="3"/>
    <n v="36"/>
    <n v="42"/>
    <s v="Yes"/>
    <s v="No"/>
    <s v="Yes"/>
    <s v="No"/>
    <s v="Yes"/>
    <s v="No"/>
    <m/>
    <s v="1+ Failures"/>
    <n v="1"/>
    <s v="10-20hrs"/>
    <s v="12+ months"/>
    <x v="1"/>
  </r>
  <r>
    <n v="1740"/>
    <d v="2023-05-17T00:00:00"/>
    <s v="Premium"/>
    <n v="699"/>
    <n v="19.2"/>
    <n v="1"/>
    <n v="3"/>
    <n v="16"/>
    <n v="8"/>
    <s v="Yes"/>
    <s v="No"/>
    <s v="Yes"/>
    <s v="No"/>
    <s v="No"/>
    <s v="No"/>
    <m/>
    <s v="1+ Failures"/>
    <n v="1"/>
    <s v="10-20hrs"/>
    <s v="12+ months"/>
    <x v="0"/>
  </r>
  <r>
    <n v="1741"/>
    <d v="2023-12-22T00:00:00"/>
    <s v="Standard"/>
    <n v="399"/>
    <n v="22.5"/>
    <n v="6"/>
    <n v="4"/>
    <n v="21"/>
    <n v="25"/>
    <s v="Yes"/>
    <s v="No"/>
    <s v="Yes"/>
    <s v="Yes"/>
    <s v="Yes"/>
    <s v="No"/>
    <m/>
    <s v="1+ Failures"/>
    <n v="1"/>
    <s v="20+ hrs"/>
    <s v="12+ months"/>
    <x v="1"/>
  </r>
  <r>
    <n v="1742"/>
    <d v="2024-05-28T00:00:00"/>
    <s v="Standard"/>
    <n v="399"/>
    <n v="5.9"/>
    <n v="2"/>
    <n v="1"/>
    <n v="2"/>
    <n v="23"/>
    <s v="No"/>
    <s v="No"/>
    <s v="Yes"/>
    <s v="No"/>
    <s v="Yes"/>
    <s v="Yes"/>
    <m/>
    <s v="1+ Failures"/>
    <n v="0"/>
    <s v="5-10 hrs"/>
    <s v="0-3months"/>
    <x v="1"/>
  </r>
  <r>
    <n v="1743"/>
    <d v="2023-08-05T00:00:00"/>
    <s v="Basic"/>
    <n v="199"/>
    <n v="22.9"/>
    <n v="3"/>
    <n v="1"/>
    <n v="26"/>
    <n v="31"/>
    <s v="Yes"/>
    <s v="No"/>
    <s v="Yes"/>
    <s v="No"/>
    <s v="Yes"/>
    <s v="No"/>
    <m/>
    <s v="1+ Failures"/>
    <n v="1"/>
    <s v="20+ hrs"/>
    <s v="12+ months"/>
    <x v="1"/>
  </r>
  <r>
    <n v="1744"/>
    <d v="2023-10-19T00:00:00"/>
    <s v="Standard"/>
    <n v="399"/>
    <n v="2.8"/>
    <n v="6"/>
    <n v="5"/>
    <n v="28"/>
    <n v="11"/>
    <s v="Yes"/>
    <s v="Yes"/>
    <s v="Yes"/>
    <s v="Yes"/>
    <s v="No"/>
    <s v="No"/>
    <m/>
    <s v="1+ Failures"/>
    <n v="1"/>
    <s v="0-5 hrs"/>
    <s v="12+ months"/>
    <x v="1"/>
  </r>
  <r>
    <n v="1745"/>
    <d v="2024-03-07T00:00:00"/>
    <s v="Standard"/>
    <n v="399"/>
    <n v="17"/>
    <n v="7"/>
    <n v="0"/>
    <n v="25"/>
    <n v="16"/>
    <s v="No"/>
    <s v="No"/>
    <s v="No"/>
    <s v="Yes"/>
    <s v="Yes"/>
    <s v="No"/>
    <m/>
    <s v="0 Failures"/>
    <n v="0"/>
    <s v="10-20hrs"/>
    <s v="12+ months"/>
    <x v="1"/>
  </r>
  <r>
    <n v="1746"/>
    <d v="2023-12-21T00:00:00"/>
    <s v="Basic"/>
    <n v="199"/>
    <n v="10.3"/>
    <n v="8"/>
    <n v="0"/>
    <n v="11"/>
    <n v="29"/>
    <s v="No"/>
    <s v="No"/>
    <s v="No"/>
    <s v="Yes"/>
    <s v="Yes"/>
    <s v="No"/>
    <m/>
    <s v="0 Failures"/>
    <n v="0"/>
    <s v="10-20hrs"/>
    <s v="6-12months"/>
    <x v="1"/>
  </r>
  <r>
    <n v="1747"/>
    <d v="2024-08-11T00:00:00"/>
    <s v="Premium"/>
    <n v="699"/>
    <n v="16.600000000000001"/>
    <n v="6"/>
    <n v="0"/>
    <n v="7"/>
    <n v="10"/>
    <s v="No"/>
    <s v="No"/>
    <s v="No"/>
    <s v="Yes"/>
    <s v="No"/>
    <s v="No"/>
    <m/>
    <s v="0 Failures"/>
    <n v="0"/>
    <s v="10-20hrs"/>
    <s v="6-12months"/>
    <x v="0"/>
  </r>
  <r>
    <n v="1748"/>
    <d v="2024-02-16T00:00:00"/>
    <s v="Premium"/>
    <n v="699"/>
    <n v="17.3"/>
    <n v="0"/>
    <n v="3"/>
    <n v="25"/>
    <n v="41"/>
    <s v="No"/>
    <s v="No"/>
    <s v="Yes"/>
    <s v="No"/>
    <s v="Yes"/>
    <s v="No"/>
    <m/>
    <s v="1+ Failures"/>
    <n v="0"/>
    <s v="10-20hrs"/>
    <s v="12+ months"/>
    <x v="0"/>
  </r>
  <r>
    <n v="1749"/>
    <d v="2024-04-06T00:00:00"/>
    <s v="Standard"/>
    <n v="399"/>
    <n v="7.9"/>
    <n v="4"/>
    <n v="5"/>
    <n v="4"/>
    <n v="40"/>
    <s v="Yes"/>
    <s v="No"/>
    <s v="Yes"/>
    <s v="No"/>
    <s v="Yes"/>
    <s v="Yes"/>
    <m/>
    <s v="1+ Failures"/>
    <n v="1"/>
    <s v="5-10 hrs"/>
    <s v="3-6months"/>
    <x v="1"/>
  </r>
  <r>
    <n v="1750"/>
    <d v="2023-07-03T00:00:00"/>
    <s v="Premium"/>
    <n v="699"/>
    <n v="19.600000000000001"/>
    <n v="5"/>
    <n v="4"/>
    <n v="24"/>
    <n v="23"/>
    <s v="Yes"/>
    <s v="No"/>
    <s v="Yes"/>
    <s v="Yes"/>
    <s v="Yes"/>
    <s v="No"/>
    <m/>
    <s v="1+ Failures"/>
    <n v="1"/>
    <s v="10-20hrs"/>
    <s v="12+ months"/>
    <x v="0"/>
  </r>
  <r>
    <n v="1751"/>
    <d v="2024-12-25T00:00:00"/>
    <s v="Standard"/>
    <n v="399"/>
    <n v="19.100000000000001"/>
    <n v="1"/>
    <n v="1"/>
    <n v="35"/>
    <n v="0"/>
    <s v="No"/>
    <s v="No"/>
    <s v="Yes"/>
    <s v="No"/>
    <s v="No"/>
    <s v="No"/>
    <m/>
    <s v="1+ Failures"/>
    <n v="0"/>
    <s v="10-20hrs"/>
    <s v="12+ months"/>
    <x v="1"/>
  </r>
  <r>
    <n v="1752"/>
    <d v="2023-02-10T00:00:00"/>
    <s v="Premium"/>
    <n v="699"/>
    <n v="5.3"/>
    <n v="7"/>
    <n v="3"/>
    <n v="17"/>
    <n v="3"/>
    <s v="Yes"/>
    <s v="No"/>
    <s v="Yes"/>
    <s v="Yes"/>
    <s v="No"/>
    <s v="No"/>
    <m/>
    <s v="1+ Failures"/>
    <n v="1"/>
    <s v="5-10 hrs"/>
    <s v="12+ months"/>
    <x v="0"/>
  </r>
  <r>
    <n v="1753"/>
    <d v="2024-03-11T00:00:00"/>
    <s v="Basic"/>
    <n v="199"/>
    <n v="11.8"/>
    <n v="0"/>
    <n v="4"/>
    <n v="32"/>
    <n v="43"/>
    <s v="Yes"/>
    <s v="No"/>
    <s v="Yes"/>
    <s v="No"/>
    <s v="Yes"/>
    <s v="No"/>
    <m/>
    <s v="1+ Failures"/>
    <n v="1"/>
    <s v="10-20hrs"/>
    <s v="12+ months"/>
    <x v="1"/>
  </r>
  <r>
    <n v="1754"/>
    <d v="2024-01-01T00:00:00"/>
    <s v="Standard"/>
    <n v="399"/>
    <n v="19.3"/>
    <n v="0"/>
    <n v="4"/>
    <n v="19"/>
    <n v="17"/>
    <s v="Yes"/>
    <s v="No"/>
    <s v="Yes"/>
    <s v="No"/>
    <s v="Yes"/>
    <s v="No"/>
    <m/>
    <s v="1+ Failures"/>
    <n v="1"/>
    <s v="10-20hrs"/>
    <s v="12+ months"/>
    <x v="1"/>
  </r>
  <r>
    <n v="1755"/>
    <d v="2024-01-01T00:00:00"/>
    <s v="Standard"/>
    <n v="399"/>
    <n v="11.4"/>
    <n v="4"/>
    <n v="5"/>
    <n v="2"/>
    <n v="2"/>
    <s v="No"/>
    <s v="No"/>
    <s v="Yes"/>
    <s v="No"/>
    <s v="No"/>
    <s v="Yes"/>
    <m/>
    <s v="1+ Failures"/>
    <n v="0"/>
    <s v="10-20hrs"/>
    <s v="0-3months"/>
    <x v="1"/>
  </r>
  <r>
    <n v="1756"/>
    <d v="2023-04-07T00:00:00"/>
    <s v="Premium"/>
    <n v="699"/>
    <n v="13.5"/>
    <n v="6"/>
    <n v="1"/>
    <n v="3"/>
    <n v="11"/>
    <s v="Yes"/>
    <s v="No"/>
    <s v="Yes"/>
    <s v="Yes"/>
    <s v="No"/>
    <s v="Yes"/>
    <m/>
    <s v="1+ Failures"/>
    <n v="1"/>
    <s v="10-20hrs"/>
    <s v="0-3months"/>
    <x v="0"/>
  </r>
  <r>
    <n v="1757"/>
    <d v="2024-12-06T00:00:00"/>
    <s v="Basic"/>
    <n v="199"/>
    <n v="16"/>
    <n v="6"/>
    <n v="2"/>
    <n v="10"/>
    <n v="22"/>
    <s v="No"/>
    <s v="No"/>
    <s v="Yes"/>
    <s v="Yes"/>
    <s v="Yes"/>
    <s v="No"/>
    <m/>
    <s v="1+ Failures"/>
    <n v="0"/>
    <s v="10-20hrs"/>
    <s v="6-12months"/>
    <x v="1"/>
  </r>
  <r>
    <n v="1758"/>
    <d v="2023-12-01T00:00:00"/>
    <s v="Premium"/>
    <n v="699"/>
    <n v="23"/>
    <n v="8"/>
    <n v="4"/>
    <n v="16"/>
    <n v="29"/>
    <s v="Yes"/>
    <s v="No"/>
    <s v="Yes"/>
    <s v="Yes"/>
    <s v="Yes"/>
    <s v="No"/>
    <m/>
    <s v="1+ Failures"/>
    <n v="1"/>
    <s v="20+ hrs"/>
    <s v="12+ months"/>
    <x v="0"/>
  </r>
  <r>
    <n v="1759"/>
    <d v="2023-03-22T00:00:00"/>
    <s v="Standard"/>
    <n v="399"/>
    <n v="4.0999999999999996"/>
    <n v="1"/>
    <n v="3"/>
    <n v="3"/>
    <n v="32"/>
    <s v="No"/>
    <s v="Yes"/>
    <s v="Yes"/>
    <s v="No"/>
    <s v="Yes"/>
    <s v="Yes"/>
    <m/>
    <s v="1+ Failures"/>
    <n v="0"/>
    <s v="0-5 hrs"/>
    <s v="0-3months"/>
    <x v="1"/>
  </r>
  <r>
    <n v="1760"/>
    <d v="2024-10-30T00:00:00"/>
    <s v="Standard"/>
    <n v="399"/>
    <n v="10.9"/>
    <n v="0"/>
    <n v="1"/>
    <n v="20"/>
    <n v="60"/>
    <s v="No"/>
    <s v="No"/>
    <s v="Yes"/>
    <s v="No"/>
    <s v="Yes"/>
    <s v="No"/>
    <m/>
    <s v="1+ Failures"/>
    <n v="0"/>
    <s v="10-20hrs"/>
    <s v="12+ months"/>
    <x v="1"/>
  </r>
  <r>
    <n v="1761"/>
    <d v="2023-09-25T00:00:00"/>
    <s v="Premium"/>
    <n v="699"/>
    <n v="21"/>
    <n v="6"/>
    <n v="0"/>
    <n v="6"/>
    <n v="50"/>
    <s v="Yes"/>
    <s v="No"/>
    <s v="No"/>
    <s v="Yes"/>
    <s v="Yes"/>
    <s v="No"/>
    <m/>
    <s v="0 Failures"/>
    <n v="1"/>
    <s v="20+ hrs"/>
    <s v="3-6months"/>
    <x v="0"/>
  </r>
  <r>
    <n v="1762"/>
    <d v="2024-08-10T00:00:00"/>
    <s v="Standard"/>
    <n v="399"/>
    <n v="13.7"/>
    <n v="3"/>
    <n v="5"/>
    <n v="33"/>
    <n v="51"/>
    <s v="Yes"/>
    <s v="No"/>
    <s v="Yes"/>
    <s v="No"/>
    <s v="Yes"/>
    <s v="No"/>
    <m/>
    <s v="1+ Failures"/>
    <n v="1"/>
    <s v="10-20hrs"/>
    <s v="12+ months"/>
    <x v="1"/>
  </r>
  <r>
    <n v="1763"/>
    <d v="2023-07-10T00:00:00"/>
    <s v="Standard"/>
    <n v="399"/>
    <n v="19.100000000000001"/>
    <n v="6"/>
    <n v="2"/>
    <n v="14"/>
    <n v="47"/>
    <s v="Yes"/>
    <s v="No"/>
    <s v="Yes"/>
    <s v="Yes"/>
    <s v="Yes"/>
    <s v="No"/>
    <m/>
    <s v="1+ Failures"/>
    <n v="1"/>
    <s v="10-20hrs"/>
    <s v="12+ months"/>
    <x v="1"/>
  </r>
  <r>
    <n v="1764"/>
    <d v="2023-01-06T00:00:00"/>
    <s v="Standard"/>
    <n v="399"/>
    <n v="17"/>
    <n v="6"/>
    <n v="1"/>
    <n v="33"/>
    <n v="43"/>
    <s v="Yes"/>
    <s v="No"/>
    <s v="Yes"/>
    <s v="Yes"/>
    <s v="Yes"/>
    <s v="No"/>
    <m/>
    <s v="1+ Failures"/>
    <n v="1"/>
    <s v="10-20hrs"/>
    <s v="12+ months"/>
    <x v="1"/>
  </r>
  <r>
    <n v="1765"/>
    <d v="2024-04-18T00:00:00"/>
    <s v="Standard"/>
    <n v="399"/>
    <n v="1"/>
    <n v="6"/>
    <n v="5"/>
    <n v="14"/>
    <n v="8"/>
    <s v="Yes"/>
    <s v="Yes"/>
    <s v="Yes"/>
    <s v="Yes"/>
    <s v="No"/>
    <s v="No"/>
    <m/>
    <s v="1+ Failures"/>
    <n v="1"/>
    <s v="0-5 hrs"/>
    <s v="12+ months"/>
    <x v="1"/>
  </r>
  <r>
    <n v="1766"/>
    <d v="2023-03-07T00:00:00"/>
    <s v="Premium"/>
    <n v="699"/>
    <n v="2.9"/>
    <n v="3"/>
    <n v="0"/>
    <n v="21"/>
    <n v="45"/>
    <s v="Yes"/>
    <s v="Yes"/>
    <s v="No"/>
    <s v="No"/>
    <s v="Yes"/>
    <s v="No"/>
    <m/>
    <s v="0 Failures"/>
    <n v="1"/>
    <s v="0-5 hrs"/>
    <s v="12+ months"/>
    <x v="0"/>
  </r>
  <r>
    <n v="1767"/>
    <d v="2023-12-03T00:00:00"/>
    <s v="Premium"/>
    <n v="699"/>
    <n v="18.3"/>
    <n v="7"/>
    <n v="4"/>
    <n v="19"/>
    <n v="26"/>
    <s v="Yes"/>
    <s v="No"/>
    <s v="Yes"/>
    <s v="Yes"/>
    <s v="Yes"/>
    <s v="No"/>
    <m/>
    <s v="1+ Failures"/>
    <n v="1"/>
    <s v="10-20hrs"/>
    <s v="12+ months"/>
    <x v="0"/>
  </r>
  <r>
    <n v="1768"/>
    <d v="2023-12-21T00:00:00"/>
    <s v="Premium"/>
    <n v="699"/>
    <n v="12.2"/>
    <n v="8"/>
    <n v="0"/>
    <n v="25"/>
    <n v="21"/>
    <s v="Yes"/>
    <s v="No"/>
    <s v="No"/>
    <s v="Yes"/>
    <s v="Yes"/>
    <s v="No"/>
    <m/>
    <s v="0 Failures"/>
    <n v="1"/>
    <s v="10-20hrs"/>
    <s v="12+ months"/>
    <x v="0"/>
  </r>
  <r>
    <n v="1769"/>
    <d v="2024-11-20T00:00:00"/>
    <s v="Standard"/>
    <n v="399"/>
    <n v="11.8"/>
    <n v="7"/>
    <n v="1"/>
    <n v="10"/>
    <n v="34"/>
    <s v="No"/>
    <s v="No"/>
    <s v="Yes"/>
    <s v="Yes"/>
    <s v="Yes"/>
    <s v="No"/>
    <m/>
    <s v="1+ Failures"/>
    <n v="0"/>
    <s v="10-20hrs"/>
    <s v="6-12months"/>
    <x v="1"/>
  </r>
  <r>
    <n v="1770"/>
    <d v="2023-12-20T00:00:00"/>
    <s v="Standard"/>
    <n v="399"/>
    <n v="10.4"/>
    <n v="1"/>
    <n v="5"/>
    <n v="17"/>
    <n v="31"/>
    <s v="Yes"/>
    <s v="No"/>
    <s v="Yes"/>
    <s v="No"/>
    <s v="Yes"/>
    <s v="No"/>
    <m/>
    <s v="1+ Failures"/>
    <n v="1"/>
    <s v="10-20hrs"/>
    <s v="12+ months"/>
    <x v="1"/>
  </r>
  <r>
    <n v="1771"/>
    <d v="2023-11-19T00:00:00"/>
    <s v="Basic"/>
    <n v="199"/>
    <n v="18.8"/>
    <n v="8"/>
    <n v="2"/>
    <n v="14"/>
    <n v="19"/>
    <s v="Yes"/>
    <s v="No"/>
    <s v="Yes"/>
    <s v="Yes"/>
    <s v="Yes"/>
    <s v="No"/>
    <m/>
    <s v="1+ Failures"/>
    <n v="1"/>
    <s v="10-20hrs"/>
    <s v="12+ months"/>
    <x v="1"/>
  </r>
  <r>
    <n v="1772"/>
    <d v="2024-03-01T00:00:00"/>
    <s v="Standard"/>
    <n v="399"/>
    <n v="1.2"/>
    <n v="2"/>
    <n v="4"/>
    <n v="30"/>
    <n v="22"/>
    <s v="Yes"/>
    <s v="Yes"/>
    <s v="Yes"/>
    <s v="No"/>
    <s v="Yes"/>
    <s v="No"/>
    <m/>
    <s v="1+ Failures"/>
    <n v="1"/>
    <s v="0-5 hrs"/>
    <s v="12+ months"/>
    <x v="1"/>
  </r>
  <r>
    <n v="1773"/>
    <d v="2023-05-15T00:00:00"/>
    <s v="Basic"/>
    <n v="199"/>
    <n v="14.1"/>
    <n v="7"/>
    <n v="1"/>
    <n v="19"/>
    <n v="24"/>
    <s v="No"/>
    <s v="No"/>
    <s v="Yes"/>
    <s v="Yes"/>
    <s v="Yes"/>
    <s v="No"/>
    <m/>
    <s v="1+ Failures"/>
    <n v="0"/>
    <s v="10-20hrs"/>
    <s v="12+ months"/>
    <x v="1"/>
  </r>
  <r>
    <n v="1774"/>
    <d v="2023-07-02T00:00:00"/>
    <s v="Standard"/>
    <n v="399"/>
    <n v="2.9"/>
    <n v="3"/>
    <n v="1"/>
    <n v="8"/>
    <n v="7"/>
    <s v="No"/>
    <s v="Yes"/>
    <s v="Yes"/>
    <s v="No"/>
    <s v="No"/>
    <s v="No"/>
    <m/>
    <s v="1+ Failures"/>
    <n v="0"/>
    <s v="0-5 hrs"/>
    <s v="6-12months"/>
    <x v="1"/>
  </r>
  <r>
    <n v="1775"/>
    <d v="2023-10-13T00:00:00"/>
    <s v="Basic"/>
    <n v="199"/>
    <n v="14"/>
    <n v="5"/>
    <n v="1"/>
    <n v="26"/>
    <n v="26"/>
    <s v="No"/>
    <s v="No"/>
    <s v="Yes"/>
    <s v="Yes"/>
    <s v="Yes"/>
    <s v="No"/>
    <m/>
    <s v="1+ Failures"/>
    <n v="0"/>
    <s v="10-20hrs"/>
    <s v="12+ months"/>
    <x v="1"/>
  </r>
  <r>
    <n v="1776"/>
    <d v="2023-08-19T00:00:00"/>
    <s v="Standard"/>
    <n v="399"/>
    <n v="15.9"/>
    <n v="5"/>
    <n v="4"/>
    <n v="24"/>
    <n v="34"/>
    <s v="Yes"/>
    <s v="No"/>
    <s v="Yes"/>
    <s v="Yes"/>
    <s v="Yes"/>
    <s v="No"/>
    <m/>
    <s v="1+ Failures"/>
    <n v="1"/>
    <s v="10-20hrs"/>
    <s v="12+ months"/>
    <x v="1"/>
  </r>
  <r>
    <n v="1777"/>
    <d v="2023-07-01T00:00:00"/>
    <s v="Standard"/>
    <n v="399"/>
    <n v="19"/>
    <n v="4"/>
    <n v="3"/>
    <n v="32"/>
    <n v="10"/>
    <s v="No"/>
    <s v="No"/>
    <s v="Yes"/>
    <s v="No"/>
    <s v="No"/>
    <s v="No"/>
    <m/>
    <s v="1+ Failures"/>
    <n v="0"/>
    <s v="10-20hrs"/>
    <s v="12+ months"/>
    <x v="1"/>
  </r>
  <r>
    <n v="1778"/>
    <d v="2023-04-11T00:00:00"/>
    <s v="Standard"/>
    <n v="399"/>
    <n v="0.6"/>
    <n v="5"/>
    <n v="3"/>
    <n v="19"/>
    <n v="41"/>
    <s v="Yes"/>
    <s v="Yes"/>
    <s v="Yes"/>
    <s v="Yes"/>
    <s v="Yes"/>
    <s v="No"/>
    <m/>
    <s v="1+ Failures"/>
    <n v="1"/>
    <s v="0-5 hrs"/>
    <s v="12+ months"/>
    <x v="1"/>
  </r>
  <r>
    <n v="1779"/>
    <d v="2023-08-18T00:00:00"/>
    <s v="Standard"/>
    <n v="399"/>
    <n v="24.4"/>
    <n v="6"/>
    <n v="1"/>
    <n v="27"/>
    <n v="40"/>
    <s v="Yes"/>
    <s v="No"/>
    <s v="Yes"/>
    <s v="Yes"/>
    <s v="Yes"/>
    <s v="No"/>
    <m/>
    <s v="1+ Failures"/>
    <n v="1"/>
    <s v="20+ hrs"/>
    <s v="12+ months"/>
    <x v="1"/>
  </r>
  <r>
    <n v="1780"/>
    <d v="2023-06-20T00:00:00"/>
    <s v="Basic"/>
    <n v="199"/>
    <n v="25"/>
    <n v="6"/>
    <n v="0"/>
    <n v="33"/>
    <n v="20"/>
    <s v="No"/>
    <s v="No"/>
    <s v="No"/>
    <s v="Yes"/>
    <s v="Yes"/>
    <s v="No"/>
    <m/>
    <s v="0 Failures"/>
    <n v="0"/>
    <s v="20+ hrs"/>
    <s v="12+ months"/>
    <x v="1"/>
  </r>
  <r>
    <n v="1781"/>
    <d v="2024-10-31T00:00:00"/>
    <s v="Premium"/>
    <n v="699"/>
    <n v="17.3"/>
    <n v="5"/>
    <n v="0"/>
    <n v="31"/>
    <n v="47"/>
    <s v="No"/>
    <s v="No"/>
    <s v="No"/>
    <s v="Yes"/>
    <s v="Yes"/>
    <s v="No"/>
    <m/>
    <s v="0 Failures"/>
    <n v="0"/>
    <s v="10-20hrs"/>
    <s v="12+ months"/>
    <x v="0"/>
  </r>
  <r>
    <n v="1782"/>
    <d v="2023-09-03T00:00:00"/>
    <s v="Standard"/>
    <n v="399"/>
    <n v="13"/>
    <n v="3"/>
    <n v="1"/>
    <n v="36"/>
    <n v="29"/>
    <s v="No"/>
    <s v="No"/>
    <s v="Yes"/>
    <s v="No"/>
    <s v="Yes"/>
    <s v="No"/>
    <m/>
    <s v="1+ Failures"/>
    <n v="0"/>
    <s v="10-20hrs"/>
    <s v="12+ months"/>
    <x v="1"/>
  </r>
  <r>
    <n v="1783"/>
    <d v="2023-02-01T00:00:00"/>
    <s v="Basic"/>
    <n v="199"/>
    <n v="23.5"/>
    <n v="3"/>
    <n v="2"/>
    <n v="31"/>
    <n v="8"/>
    <s v="Yes"/>
    <s v="No"/>
    <s v="Yes"/>
    <s v="No"/>
    <s v="No"/>
    <s v="No"/>
    <m/>
    <s v="1+ Failures"/>
    <n v="1"/>
    <s v="20+ hrs"/>
    <s v="12+ months"/>
    <x v="1"/>
  </r>
  <r>
    <n v="1784"/>
    <d v="2024-04-17T00:00:00"/>
    <s v="Basic"/>
    <n v="199"/>
    <n v="11.8"/>
    <n v="7"/>
    <n v="1"/>
    <n v="30"/>
    <n v="50"/>
    <s v="Yes"/>
    <s v="No"/>
    <s v="Yes"/>
    <s v="Yes"/>
    <s v="Yes"/>
    <s v="No"/>
    <m/>
    <s v="1+ Failures"/>
    <n v="1"/>
    <s v="10-20hrs"/>
    <s v="12+ months"/>
    <x v="1"/>
  </r>
  <r>
    <n v="1785"/>
    <d v="2023-03-13T00:00:00"/>
    <s v="Premium"/>
    <n v="699"/>
    <n v="20.2"/>
    <n v="5"/>
    <n v="1"/>
    <n v="8"/>
    <n v="15"/>
    <s v="No"/>
    <s v="No"/>
    <s v="Yes"/>
    <s v="Yes"/>
    <s v="Yes"/>
    <s v="No"/>
    <m/>
    <s v="1+ Failures"/>
    <n v="0"/>
    <s v="20+ hrs"/>
    <s v="6-12months"/>
    <x v="0"/>
  </r>
  <r>
    <n v="1786"/>
    <d v="2023-03-14T00:00:00"/>
    <s v="Basic"/>
    <n v="199"/>
    <n v="17.2"/>
    <n v="6"/>
    <n v="4"/>
    <n v="3"/>
    <n v="30"/>
    <s v="No"/>
    <s v="No"/>
    <s v="Yes"/>
    <s v="Yes"/>
    <s v="Yes"/>
    <s v="Yes"/>
    <m/>
    <s v="1+ Failures"/>
    <n v="0"/>
    <s v="10-20hrs"/>
    <s v="0-3months"/>
    <x v="1"/>
  </r>
  <r>
    <n v="1787"/>
    <d v="2024-10-24T00:00:00"/>
    <s v="Standard"/>
    <n v="399"/>
    <n v="22.1"/>
    <n v="8"/>
    <n v="0"/>
    <n v="17"/>
    <n v="45"/>
    <s v="No"/>
    <s v="No"/>
    <s v="No"/>
    <s v="Yes"/>
    <s v="Yes"/>
    <s v="No"/>
    <m/>
    <s v="0 Failures"/>
    <n v="0"/>
    <s v="20+ hrs"/>
    <s v="12+ months"/>
    <x v="1"/>
  </r>
  <r>
    <n v="1788"/>
    <d v="2023-02-10T00:00:00"/>
    <s v="Premium"/>
    <n v="699"/>
    <n v="11.2"/>
    <n v="0"/>
    <n v="2"/>
    <n v="2"/>
    <n v="51"/>
    <s v="Yes"/>
    <s v="No"/>
    <s v="Yes"/>
    <s v="No"/>
    <s v="Yes"/>
    <s v="Yes"/>
    <m/>
    <s v="1+ Failures"/>
    <n v="1"/>
    <s v="10-20hrs"/>
    <s v="0-3months"/>
    <x v="0"/>
  </r>
  <r>
    <n v="1789"/>
    <d v="2023-05-08T00:00:00"/>
    <s v="Standard"/>
    <n v="399"/>
    <n v="18.100000000000001"/>
    <n v="8"/>
    <n v="5"/>
    <n v="26"/>
    <n v="41"/>
    <s v="Yes"/>
    <s v="No"/>
    <s v="Yes"/>
    <s v="Yes"/>
    <s v="Yes"/>
    <s v="No"/>
    <m/>
    <s v="1+ Failures"/>
    <n v="1"/>
    <s v="10-20hrs"/>
    <s v="12+ months"/>
    <x v="1"/>
  </r>
  <r>
    <n v="1790"/>
    <d v="2024-11-03T00:00:00"/>
    <s v="Basic"/>
    <n v="199"/>
    <n v="21.3"/>
    <n v="1"/>
    <n v="5"/>
    <n v="10"/>
    <n v="10"/>
    <s v="No"/>
    <s v="No"/>
    <s v="Yes"/>
    <s v="No"/>
    <s v="No"/>
    <s v="No"/>
    <m/>
    <s v="1+ Failures"/>
    <n v="0"/>
    <s v="20+ hrs"/>
    <s v="6-12months"/>
    <x v="1"/>
  </r>
  <r>
    <n v="1791"/>
    <d v="2024-10-19T00:00:00"/>
    <s v="Standard"/>
    <n v="399"/>
    <n v="22.9"/>
    <n v="7"/>
    <n v="1"/>
    <n v="10"/>
    <n v="16"/>
    <s v="Yes"/>
    <s v="No"/>
    <s v="Yes"/>
    <s v="Yes"/>
    <s v="Yes"/>
    <s v="No"/>
    <m/>
    <s v="1+ Failures"/>
    <n v="1"/>
    <s v="20+ hrs"/>
    <s v="6-12months"/>
    <x v="1"/>
  </r>
  <r>
    <n v="1792"/>
    <d v="2023-10-30T00:00:00"/>
    <s v="Premium"/>
    <n v="699"/>
    <n v="11.7"/>
    <n v="7"/>
    <n v="1"/>
    <n v="5"/>
    <n v="48"/>
    <s v="Yes"/>
    <s v="No"/>
    <s v="Yes"/>
    <s v="Yes"/>
    <s v="Yes"/>
    <s v="Yes"/>
    <m/>
    <s v="1+ Failures"/>
    <n v="1"/>
    <s v="10-20hrs"/>
    <s v="3-6months"/>
    <x v="0"/>
  </r>
  <r>
    <n v="1793"/>
    <d v="2024-08-31T00:00:00"/>
    <s v="Premium"/>
    <n v="699"/>
    <n v="8.6"/>
    <n v="7"/>
    <n v="5"/>
    <n v="29"/>
    <n v="16"/>
    <s v="No"/>
    <s v="No"/>
    <s v="Yes"/>
    <s v="Yes"/>
    <s v="Yes"/>
    <s v="No"/>
    <m/>
    <s v="1+ Failures"/>
    <n v="0"/>
    <s v="5-10 hrs"/>
    <s v="12+ months"/>
    <x v="0"/>
  </r>
  <r>
    <n v="1794"/>
    <d v="2024-07-31T00:00:00"/>
    <s v="Basic"/>
    <n v="199"/>
    <n v="4.0999999999999996"/>
    <n v="4"/>
    <n v="0"/>
    <n v="9"/>
    <n v="14"/>
    <s v="No"/>
    <s v="Yes"/>
    <s v="No"/>
    <s v="No"/>
    <s v="No"/>
    <s v="No"/>
    <m/>
    <s v="0 Failures"/>
    <n v="0"/>
    <s v="0-5 hrs"/>
    <s v="6-12months"/>
    <x v="1"/>
  </r>
  <r>
    <n v="1795"/>
    <d v="2024-12-31T00:00:00"/>
    <s v="Standard"/>
    <n v="399"/>
    <n v="8"/>
    <n v="2"/>
    <n v="4"/>
    <n v="19"/>
    <n v="40"/>
    <s v="Yes"/>
    <s v="No"/>
    <s v="Yes"/>
    <s v="No"/>
    <s v="Yes"/>
    <s v="No"/>
    <m/>
    <s v="1+ Failures"/>
    <n v="1"/>
    <s v="5-10 hrs"/>
    <s v="12+ months"/>
    <x v="1"/>
  </r>
  <r>
    <n v="1796"/>
    <d v="2024-01-29T00:00:00"/>
    <s v="Standard"/>
    <n v="399"/>
    <n v="4.3"/>
    <n v="2"/>
    <n v="1"/>
    <n v="19"/>
    <n v="38"/>
    <s v="Yes"/>
    <s v="Yes"/>
    <s v="Yes"/>
    <s v="No"/>
    <s v="Yes"/>
    <s v="No"/>
    <m/>
    <s v="1+ Failures"/>
    <n v="1"/>
    <s v="0-5 hrs"/>
    <s v="12+ months"/>
    <x v="1"/>
  </r>
  <r>
    <n v="1797"/>
    <d v="2023-01-13T00:00:00"/>
    <s v="Standard"/>
    <n v="399"/>
    <n v="1.2"/>
    <n v="3"/>
    <n v="4"/>
    <n v="15"/>
    <n v="19"/>
    <s v="Yes"/>
    <s v="Yes"/>
    <s v="Yes"/>
    <s v="No"/>
    <s v="Yes"/>
    <s v="No"/>
    <m/>
    <s v="1+ Failures"/>
    <n v="1"/>
    <s v="0-5 hrs"/>
    <s v="12+ months"/>
    <x v="1"/>
  </r>
  <r>
    <n v="1798"/>
    <d v="2023-06-24T00:00:00"/>
    <s v="Standard"/>
    <n v="399"/>
    <n v="18.2"/>
    <n v="8"/>
    <n v="3"/>
    <n v="24"/>
    <n v="30"/>
    <s v="Yes"/>
    <s v="No"/>
    <s v="Yes"/>
    <s v="Yes"/>
    <s v="Yes"/>
    <s v="No"/>
    <m/>
    <s v="1+ Failures"/>
    <n v="1"/>
    <s v="10-20hrs"/>
    <s v="12+ months"/>
    <x v="1"/>
  </r>
  <r>
    <n v="1799"/>
    <d v="2024-05-11T00:00:00"/>
    <s v="Standard"/>
    <n v="399"/>
    <n v="14.9"/>
    <n v="8"/>
    <n v="2"/>
    <n v="10"/>
    <n v="33"/>
    <s v="Yes"/>
    <s v="No"/>
    <s v="Yes"/>
    <s v="Yes"/>
    <s v="Yes"/>
    <s v="No"/>
    <m/>
    <s v="1+ Failures"/>
    <n v="1"/>
    <s v="10-20hrs"/>
    <s v="6-12months"/>
    <x v="1"/>
  </r>
  <r>
    <n v="1800"/>
    <d v="2023-01-15T00:00:00"/>
    <s v="Premium"/>
    <n v="699"/>
    <n v="21.8"/>
    <n v="7"/>
    <n v="1"/>
    <n v="11"/>
    <n v="30"/>
    <s v="No"/>
    <s v="No"/>
    <s v="Yes"/>
    <s v="Yes"/>
    <s v="Yes"/>
    <s v="No"/>
    <m/>
    <s v="1+ Failures"/>
    <n v="0"/>
    <s v="20+ hrs"/>
    <s v="6-12months"/>
    <x v="0"/>
  </r>
  <r>
    <n v="1801"/>
    <d v="2024-09-15T00:00:00"/>
    <s v="Premium"/>
    <n v="699"/>
    <n v="8.9"/>
    <n v="4"/>
    <n v="1"/>
    <n v="5"/>
    <n v="14"/>
    <s v="Yes"/>
    <s v="No"/>
    <s v="Yes"/>
    <s v="No"/>
    <s v="No"/>
    <s v="Yes"/>
    <m/>
    <s v="1+ Failures"/>
    <n v="1"/>
    <s v="5-10 hrs"/>
    <s v="3-6months"/>
    <x v="0"/>
  </r>
  <r>
    <n v="1802"/>
    <d v="2024-10-15T00:00:00"/>
    <s v="Premium"/>
    <n v="699"/>
    <n v="16.399999999999999"/>
    <n v="5"/>
    <n v="3"/>
    <n v="8"/>
    <n v="29"/>
    <s v="Yes"/>
    <s v="No"/>
    <s v="Yes"/>
    <s v="Yes"/>
    <s v="Yes"/>
    <s v="No"/>
    <m/>
    <s v="1+ Failures"/>
    <n v="1"/>
    <s v="10-20hrs"/>
    <s v="6-12months"/>
    <x v="0"/>
  </r>
  <r>
    <n v="1803"/>
    <d v="2024-10-03T00:00:00"/>
    <s v="Basic"/>
    <n v="199"/>
    <n v="22.5"/>
    <n v="3"/>
    <n v="2"/>
    <n v="34"/>
    <n v="42"/>
    <s v="Yes"/>
    <s v="No"/>
    <s v="Yes"/>
    <s v="No"/>
    <s v="Yes"/>
    <s v="No"/>
    <m/>
    <s v="1+ Failures"/>
    <n v="1"/>
    <s v="20+ hrs"/>
    <s v="12+ months"/>
    <x v="1"/>
  </r>
  <r>
    <n v="1804"/>
    <d v="2024-07-04T00:00:00"/>
    <s v="Basic"/>
    <n v="199"/>
    <n v="12.9"/>
    <n v="4"/>
    <n v="4"/>
    <n v="22"/>
    <n v="34"/>
    <s v="No"/>
    <s v="No"/>
    <s v="Yes"/>
    <s v="No"/>
    <s v="Yes"/>
    <s v="No"/>
    <m/>
    <s v="1+ Failures"/>
    <n v="0"/>
    <s v="10-20hrs"/>
    <s v="12+ months"/>
    <x v="1"/>
  </r>
  <r>
    <n v="1805"/>
    <d v="2023-07-07T00:00:00"/>
    <s v="Basic"/>
    <n v="199"/>
    <n v="11.4"/>
    <n v="8"/>
    <n v="1"/>
    <n v="4"/>
    <n v="15"/>
    <s v="No"/>
    <s v="No"/>
    <s v="Yes"/>
    <s v="Yes"/>
    <s v="Yes"/>
    <s v="Yes"/>
    <m/>
    <s v="1+ Failures"/>
    <n v="0"/>
    <s v="10-20hrs"/>
    <s v="3-6months"/>
    <x v="1"/>
  </r>
  <r>
    <n v="1806"/>
    <d v="2023-09-30T00:00:00"/>
    <s v="Premium"/>
    <n v="699"/>
    <n v="6.1"/>
    <n v="7"/>
    <n v="1"/>
    <n v="16"/>
    <n v="2"/>
    <s v="No"/>
    <s v="No"/>
    <s v="Yes"/>
    <s v="Yes"/>
    <s v="No"/>
    <s v="No"/>
    <m/>
    <s v="1+ Failures"/>
    <n v="0"/>
    <s v="5-10 hrs"/>
    <s v="12+ months"/>
    <x v="0"/>
  </r>
  <r>
    <n v="1807"/>
    <d v="2023-05-16T00:00:00"/>
    <s v="Premium"/>
    <n v="699"/>
    <n v="2.7"/>
    <n v="3"/>
    <n v="5"/>
    <n v="18"/>
    <n v="53"/>
    <s v="No"/>
    <s v="Yes"/>
    <s v="Yes"/>
    <s v="No"/>
    <s v="Yes"/>
    <s v="No"/>
    <m/>
    <s v="1+ Failures"/>
    <n v="0"/>
    <s v="0-5 hrs"/>
    <s v="12+ months"/>
    <x v="0"/>
  </r>
  <r>
    <n v="1808"/>
    <d v="2024-05-03T00:00:00"/>
    <s v="Premium"/>
    <n v="699"/>
    <n v="2"/>
    <n v="3"/>
    <n v="1"/>
    <n v="20"/>
    <n v="37"/>
    <s v="No"/>
    <s v="Yes"/>
    <s v="Yes"/>
    <s v="No"/>
    <s v="Yes"/>
    <s v="No"/>
    <m/>
    <s v="1+ Failures"/>
    <n v="0"/>
    <s v="0-5 hrs"/>
    <s v="12+ months"/>
    <x v="0"/>
  </r>
  <r>
    <n v="1809"/>
    <d v="2023-07-21T00:00:00"/>
    <s v="Standard"/>
    <n v="399"/>
    <n v="13.7"/>
    <n v="0"/>
    <n v="2"/>
    <n v="7"/>
    <n v="50"/>
    <s v="No"/>
    <s v="No"/>
    <s v="Yes"/>
    <s v="No"/>
    <s v="Yes"/>
    <s v="No"/>
    <m/>
    <s v="1+ Failures"/>
    <n v="0"/>
    <s v="10-20hrs"/>
    <s v="6-12months"/>
    <x v="1"/>
  </r>
  <r>
    <n v="1810"/>
    <d v="2023-08-09T00:00:00"/>
    <s v="Standard"/>
    <n v="399"/>
    <n v="11.3"/>
    <n v="7"/>
    <n v="1"/>
    <n v="8"/>
    <n v="6"/>
    <s v="No"/>
    <s v="No"/>
    <s v="Yes"/>
    <s v="Yes"/>
    <s v="No"/>
    <s v="No"/>
    <m/>
    <s v="1+ Failures"/>
    <n v="0"/>
    <s v="10-20hrs"/>
    <s v="6-12months"/>
    <x v="1"/>
  </r>
  <r>
    <n v="1811"/>
    <d v="2023-04-25T00:00:00"/>
    <s v="Premium"/>
    <n v="699"/>
    <n v="7.8"/>
    <n v="0"/>
    <n v="4"/>
    <n v="32"/>
    <n v="27"/>
    <s v="No"/>
    <s v="No"/>
    <s v="Yes"/>
    <s v="No"/>
    <s v="Yes"/>
    <s v="No"/>
    <m/>
    <s v="1+ Failures"/>
    <n v="0"/>
    <s v="5-10 hrs"/>
    <s v="12+ months"/>
    <x v="0"/>
  </r>
  <r>
    <n v="1812"/>
    <d v="2024-04-12T00:00:00"/>
    <s v="Premium"/>
    <n v="699"/>
    <n v="19.5"/>
    <n v="3"/>
    <n v="4"/>
    <n v="29"/>
    <n v="51"/>
    <s v="No"/>
    <s v="No"/>
    <s v="Yes"/>
    <s v="No"/>
    <s v="Yes"/>
    <s v="No"/>
    <m/>
    <s v="1+ Failures"/>
    <n v="0"/>
    <s v="10-20hrs"/>
    <s v="12+ months"/>
    <x v="0"/>
  </r>
  <r>
    <n v="1813"/>
    <d v="2024-06-03T00:00:00"/>
    <s v="Basic"/>
    <n v="199"/>
    <n v="19"/>
    <n v="4"/>
    <n v="3"/>
    <n v="17"/>
    <n v="40"/>
    <s v="Yes"/>
    <s v="No"/>
    <s v="Yes"/>
    <s v="No"/>
    <s v="Yes"/>
    <s v="No"/>
    <m/>
    <s v="1+ Failures"/>
    <n v="1"/>
    <s v="10-20hrs"/>
    <s v="12+ months"/>
    <x v="1"/>
  </r>
  <r>
    <n v="1814"/>
    <d v="2023-12-16T00:00:00"/>
    <s v="Standard"/>
    <n v="399"/>
    <n v="7.5"/>
    <n v="4"/>
    <n v="2"/>
    <n v="33"/>
    <n v="55"/>
    <s v="Yes"/>
    <s v="No"/>
    <s v="Yes"/>
    <s v="No"/>
    <s v="Yes"/>
    <s v="No"/>
    <m/>
    <s v="1+ Failures"/>
    <n v="1"/>
    <s v="5-10 hrs"/>
    <s v="12+ months"/>
    <x v="1"/>
  </r>
  <r>
    <n v="1815"/>
    <d v="2024-05-14T00:00:00"/>
    <s v="Standard"/>
    <n v="399"/>
    <n v="12.8"/>
    <n v="7"/>
    <n v="0"/>
    <n v="36"/>
    <n v="48"/>
    <s v="No"/>
    <s v="No"/>
    <s v="No"/>
    <s v="Yes"/>
    <s v="Yes"/>
    <s v="No"/>
    <m/>
    <s v="0 Failures"/>
    <n v="0"/>
    <s v="10-20hrs"/>
    <s v="12+ months"/>
    <x v="1"/>
  </r>
  <r>
    <n v="1816"/>
    <d v="2023-03-09T00:00:00"/>
    <s v="Basic"/>
    <n v="199"/>
    <n v="22.4"/>
    <n v="8"/>
    <n v="3"/>
    <n v="21"/>
    <n v="31"/>
    <s v="Yes"/>
    <s v="No"/>
    <s v="Yes"/>
    <s v="Yes"/>
    <s v="Yes"/>
    <s v="No"/>
    <m/>
    <s v="1+ Failures"/>
    <n v="1"/>
    <s v="20+ hrs"/>
    <s v="12+ months"/>
    <x v="1"/>
  </r>
  <r>
    <n v="1817"/>
    <d v="2023-07-07T00:00:00"/>
    <s v="Standard"/>
    <n v="399"/>
    <n v="2.8"/>
    <n v="7"/>
    <n v="2"/>
    <n v="20"/>
    <n v="40"/>
    <s v="Yes"/>
    <s v="Yes"/>
    <s v="Yes"/>
    <s v="Yes"/>
    <s v="Yes"/>
    <s v="No"/>
    <m/>
    <s v="1+ Failures"/>
    <n v="1"/>
    <s v="0-5 hrs"/>
    <s v="12+ months"/>
    <x v="1"/>
  </r>
  <r>
    <n v="1818"/>
    <d v="2024-06-27T00:00:00"/>
    <s v="Basic"/>
    <n v="199"/>
    <n v="19.2"/>
    <n v="3"/>
    <n v="2"/>
    <n v="7"/>
    <n v="32"/>
    <s v="Yes"/>
    <s v="No"/>
    <s v="Yes"/>
    <s v="No"/>
    <s v="Yes"/>
    <s v="No"/>
    <m/>
    <s v="1+ Failures"/>
    <n v="1"/>
    <s v="10-20hrs"/>
    <s v="6-12months"/>
    <x v="1"/>
  </r>
  <r>
    <n v="1819"/>
    <d v="2023-06-10T00:00:00"/>
    <s v="Standard"/>
    <n v="399"/>
    <n v="17.3"/>
    <n v="3"/>
    <n v="4"/>
    <n v="7"/>
    <n v="43"/>
    <s v="Yes"/>
    <s v="No"/>
    <s v="Yes"/>
    <s v="No"/>
    <s v="Yes"/>
    <s v="No"/>
    <m/>
    <s v="1+ Failures"/>
    <n v="1"/>
    <s v="10-20hrs"/>
    <s v="6-12months"/>
    <x v="1"/>
  </r>
  <r>
    <n v="1820"/>
    <d v="2024-06-12T00:00:00"/>
    <s v="Basic"/>
    <n v="199"/>
    <n v="19.8"/>
    <n v="2"/>
    <n v="4"/>
    <n v="26"/>
    <n v="42"/>
    <s v="Yes"/>
    <s v="No"/>
    <s v="Yes"/>
    <s v="No"/>
    <s v="Yes"/>
    <s v="No"/>
    <m/>
    <s v="1+ Failures"/>
    <n v="1"/>
    <s v="10-20hrs"/>
    <s v="12+ months"/>
    <x v="1"/>
  </r>
  <r>
    <n v="1821"/>
    <d v="2023-11-07T00:00:00"/>
    <s v="Standard"/>
    <n v="399"/>
    <n v="19.600000000000001"/>
    <n v="4"/>
    <n v="1"/>
    <n v="27"/>
    <n v="59"/>
    <s v="Yes"/>
    <s v="No"/>
    <s v="Yes"/>
    <s v="No"/>
    <s v="Yes"/>
    <s v="No"/>
    <m/>
    <s v="1+ Failures"/>
    <n v="1"/>
    <s v="10-20hrs"/>
    <s v="12+ months"/>
    <x v="1"/>
  </r>
  <r>
    <n v="1822"/>
    <d v="2024-03-11T00:00:00"/>
    <s v="Standard"/>
    <n v="399"/>
    <n v="8"/>
    <n v="5"/>
    <n v="5"/>
    <n v="10"/>
    <n v="20"/>
    <s v="Yes"/>
    <s v="No"/>
    <s v="Yes"/>
    <s v="Yes"/>
    <s v="Yes"/>
    <s v="No"/>
    <m/>
    <s v="1+ Failures"/>
    <n v="1"/>
    <s v="5-10 hrs"/>
    <s v="6-12months"/>
    <x v="1"/>
  </r>
  <r>
    <n v="1823"/>
    <d v="2023-12-29T00:00:00"/>
    <s v="Premium"/>
    <n v="699"/>
    <n v="19.2"/>
    <n v="0"/>
    <n v="3"/>
    <n v="26"/>
    <n v="3"/>
    <s v="No"/>
    <s v="No"/>
    <s v="Yes"/>
    <s v="No"/>
    <s v="No"/>
    <s v="No"/>
    <m/>
    <s v="1+ Failures"/>
    <n v="0"/>
    <s v="10-20hrs"/>
    <s v="12+ months"/>
    <x v="0"/>
  </r>
  <r>
    <n v="1824"/>
    <d v="2023-08-02T00:00:00"/>
    <s v="Premium"/>
    <n v="699"/>
    <n v="24.4"/>
    <n v="4"/>
    <n v="0"/>
    <n v="9"/>
    <n v="52"/>
    <s v="No"/>
    <s v="No"/>
    <s v="No"/>
    <s v="No"/>
    <s v="Yes"/>
    <s v="No"/>
    <m/>
    <s v="0 Failures"/>
    <n v="0"/>
    <s v="20+ hrs"/>
    <s v="6-12months"/>
    <x v="0"/>
  </r>
  <r>
    <n v="1825"/>
    <d v="2024-01-27T00:00:00"/>
    <s v="Premium"/>
    <n v="699"/>
    <n v="7.7"/>
    <n v="5"/>
    <n v="0"/>
    <n v="17"/>
    <n v="20"/>
    <s v="No"/>
    <s v="No"/>
    <s v="No"/>
    <s v="Yes"/>
    <s v="Yes"/>
    <s v="No"/>
    <m/>
    <s v="0 Failures"/>
    <n v="0"/>
    <s v="5-10 hrs"/>
    <s v="12+ months"/>
    <x v="0"/>
  </r>
  <r>
    <n v="1826"/>
    <d v="2023-10-08T00:00:00"/>
    <s v="Standard"/>
    <n v="399"/>
    <n v="14.2"/>
    <n v="3"/>
    <n v="1"/>
    <n v="36"/>
    <n v="39"/>
    <s v="No"/>
    <s v="No"/>
    <s v="Yes"/>
    <s v="No"/>
    <s v="Yes"/>
    <s v="No"/>
    <m/>
    <s v="1+ Failures"/>
    <n v="0"/>
    <s v="10-20hrs"/>
    <s v="12+ months"/>
    <x v="1"/>
  </r>
  <r>
    <n v="1827"/>
    <d v="2024-08-30T00:00:00"/>
    <s v="Basic"/>
    <n v="199"/>
    <n v="6.5"/>
    <n v="5"/>
    <n v="5"/>
    <n v="5"/>
    <n v="30"/>
    <s v="No"/>
    <s v="No"/>
    <s v="Yes"/>
    <s v="Yes"/>
    <s v="Yes"/>
    <s v="Yes"/>
    <m/>
    <s v="1+ Failures"/>
    <n v="0"/>
    <s v="5-10 hrs"/>
    <s v="3-6months"/>
    <x v="1"/>
  </r>
  <r>
    <n v="1828"/>
    <d v="2023-09-13T00:00:00"/>
    <s v="Standard"/>
    <n v="399"/>
    <n v="19.600000000000001"/>
    <n v="6"/>
    <n v="5"/>
    <n v="3"/>
    <n v="58"/>
    <s v="Yes"/>
    <s v="No"/>
    <s v="Yes"/>
    <s v="Yes"/>
    <s v="Yes"/>
    <s v="Yes"/>
    <m/>
    <s v="1+ Failures"/>
    <n v="1"/>
    <s v="10-20hrs"/>
    <s v="0-3months"/>
    <x v="1"/>
  </r>
  <r>
    <n v="1829"/>
    <d v="2024-01-14T00:00:00"/>
    <s v="Standard"/>
    <n v="399"/>
    <n v="2"/>
    <n v="0"/>
    <n v="5"/>
    <n v="25"/>
    <n v="21"/>
    <s v="Yes"/>
    <s v="Yes"/>
    <s v="Yes"/>
    <s v="No"/>
    <s v="Yes"/>
    <s v="No"/>
    <m/>
    <s v="1+ Failures"/>
    <n v="1"/>
    <s v="0-5 hrs"/>
    <s v="12+ months"/>
    <x v="1"/>
  </r>
  <r>
    <n v="1830"/>
    <d v="2024-02-28T00:00:00"/>
    <s v="Standard"/>
    <n v="399"/>
    <n v="3.2"/>
    <n v="2"/>
    <n v="5"/>
    <n v="19"/>
    <n v="4"/>
    <s v="Yes"/>
    <s v="Yes"/>
    <s v="Yes"/>
    <s v="No"/>
    <s v="No"/>
    <s v="No"/>
    <m/>
    <s v="1+ Failures"/>
    <n v="1"/>
    <s v="0-5 hrs"/>
    <s v="12+ months"/>
    <x v="1"/>
  </r>
  <r>
    <n v="1831"/>
    <d v="2023-12-02T00:00:00"/>
    <s v="Basic"/>
    <n v="199"/>
    <n v="15"/>
    <n v="3"/>
    <n v="4"/>
    <n v="10"/>
    <n v="5"/>
    <s v="No"/>
    <s v="No"/>
    <s v="Yes"/>
    <s v="No"/>
    <s v="No"/>
    <s v="No"/>
    <m/>
    <s v="1+ Failures"/>
    <n v="0"/>
    <s v="10-20hrs"/>
    <s v="6-12months"/>
    <x v="1"/>
  </r>
  <r>
    <n v="1832"/>
    <d v="2024-12-07T00:00:00"/>
    <s v="Premium"/>
    <n v="699"/>
    <n v="19.2"/>
    <n v="4"/>
    <n v="4"/>
    <n v="35"/>
    <n v="33"/>
    <s v="No"/>
    <s v="No"/>
    <s v="Yes"/>
    <s v="No"/>
    <s v="Yes"/>
    <s v="No"/>
    <m/>
    <s v="1+ Failures"/>
    <n v="0"/>
    <s v="10-20hrs"/>
    <s v="12+ months"/>
    <x v="0"/>
  </r>
  <r>
    <n v="1833"/>
    <d v="2024-01-05T00:00:00"/>
    <s v="Basic"/>
    <n v="199"/>
    <n v="19.399999999999999"/>
    <n v="1"/>
    <n v="5"/>
    <n v="9"/>
    <n v="45"/>
    <s v="No"/>
    <s v="No"/>
    <s v="Yes"/>
    <s v="No"/>
    <s v="Yes"/>
    <s v="No"/>
    <m/>
    <s v="1+ Failures"/>
    <n v="0"/>
    <s v="10-20hrs"/>
    <s v="6-12months"/>
    <x v="1"/>
  </r>
  <r>
    <n v="1834"/>
    <d v="2023-07-23T00:00:00"/>
    <s v="Standard"/>
    <n v="399"/>
    <n v="5"/>
    <n v="7"/>
    <n v="1"/>
    <n v="14"/>
    <n v="29"/>
    <s v="Yes"/>
    <s v="No"/>
    <s v="Yes"/>
    <s v="Yes"/>
    <s v="Yes"/>
    <s v="No"/>
    <m/>
    <s v="1+ Failures"/>
    <n v="1"/>
    <s v="0-5 hrs"/>
    <s v="12+ months"/>
    <x v="1"/>
  </r>
  <r>
    <n v="1835"/>
    <d v="2024-03-13T00:00:00"/>
    <s v="Premium"/>
    <n v="699"/>
    <n v="6.8"/>
    <n v="0"/>
    <n v="1"/>
    <n v="17"/>
    <n v="7"/>
    <s v="No"/>
    <s v="No"/>
    <s v="Yes"/>
    <s v="No"/>
    <s v="No"/>
    <s v="No"/>
    <m/>
    <s v="1+ Failures"/>
    <n v="0"/>
    <s v="5-10 hrs"/>
    <s v="12+ months"/>
    <x v="0"/>
  </r>
  <r>
    <n v="1836"/>
    <d v="2024-01-18T00:00:00"/>
    <s v="Standard"/>
    <n v="399"/>
    <n v="20.100000000000001"/>
    <n v="8"/>
    <n v="0"/>
    <n v="32"/>
    <n v="58"/>
    <s v="No"/>
    <s v="No"/>
    <s v="No"/>
    <s v="Yes"/>
    <s v="Yes"/>
    <s v="No"/>
    <m/>
    <s v="0 Failures"/>
    <n v="0"/>
    <s v="20+ hrs"/>
    <s v="12+ months"/>
    <x v="1"/>
  </r>
  <r>
    <n v="1837"/>
    <d v="2023-10-17T00:00:00"/>
    <s v="Basic"/>
    <n v="199"/>
    <n v="24.9"/>
    <n v="8"/>
    <n v="2"/>
    <n v="28"/>
    <n v="50"/>
    <s v="Yes"/>
    <s v="No"/>
    <s v="Yes"/>
    <s v="Yes"/>
    <s v="Yes"/>
    <s v="No"/>
    <m/>
    <s v="1+ Failures"/>
    <n v="1"/>
    <s v="20+ hrs"/>
    <s v="12+ months"/>
    <x v="1"/>
  </r>
  <r>
    <n v="1838"/>
    <d v="2023-04-26T00:00:00"/>
    <s v="Premium"/>
    <n v="699"/>
    <n v="16"/>
    <n v="1"/>
    <n v="4"/>
    <n v="22"/>
    <n v="5"/>
    <s v="No"/>
    <s v="No"/>
    <s v="Yes"/>
    <s v="No"/>
    <s v="No"/>
    <s v="No"/>
    <m/>
    <s v="1+ Failures"/>
    <n v="0"/>
    <s v="10-20hrs"/>
    <s v="12+ months"/>
    <x v="0"/>
  </r>
  <r>
    <n v="1839"/>
    <d v="2024-10-27T00:00:00"/>
    <s v="Premium"/>
    <n v="699"/>
    <n v="20.100000000000001"/>
    <n v="1"/>
    <n v="4"/>
    <n v="11"/>
    <n v="59"/>
    <s v="Yes"/>
    <s v="No"/>
    <s v="Yes"/>
    <s v="No"/>
    <s v="Yes"/>
    <s v="No"/>
    <m/>
    <s v="1+ Failures"/>
    <n v="1"/>
    <s v="20+ hrs"/>
    <s v="6-12months"/>
    <x v="0"/>
  </r>
  <r>
    <n v="1840"/>
    <d v="2023-06-05T00:00:00"/>
    <s v="Basic"/>
    <n v="199"/>
    <n v="19.3"/>
    <n v="6"/>
    <n v="2"/>
    <n v="5"/>
    <n v="29"/>
    <s v="Yes"/>
    <s v="No"/>
    <s v="Yes"/>
    <s v="Yes"/>
    <s v="Yes"/>
    <s v="Yes"/>
    <m/>
    <s v="1+ Failures"/>
    <n v="1"/>
    <s v="10-20hrs"/>
    <s v="3-6months"/>
    <x v="1"/>
  </r>
  <r>
    <n v="1841"/>
    <d v="2024-03-18T00:00:00"/>
    <s v="Premium"/>
    <n v="699"/>
    <n v="2.2999999999999998"/>
    <n v="5"/>
    <n v="3"/>
    <n v="22"/>
    <n v="33"/>
    <s v="Yes"/>
    <s v="Yes"/>
    <s v="Yes"/>
    <s v="Yes"/>
    <s v="Yes"/>
    <s v="No"/>
    <m/>
    <s v="1+ Failures"/>
    <n v="1"/>
    <s v="0-5 hrs"/>
    <s v="12+ months"/>
    <x v="0"/>
  </r>
  <r>
    <n v="1842"/>
    <d v="2023-01-09T00:00:00"/>
    <s v="Basic"/>
    <n v="199"/>
    <n v="14.6"/>
    <n v="0"/>
    <n v="4"/>
    <n v="26"/>
    <n v="53"/>
    <s v="Yes"/>
    <s v="No"/>
    <s v="Yes"/>
    <s v="No"/>
    <s v="Yes"/>
    <s v="No"/>
    <m/>
    <s v="1+ Failures"/>
    <n v="1"/>
    <s v="10-20hrs"/>
    <s v="12+ months"/>
    <x v="1"/>
  </r>
  <r>
    <n v="1843"/>
    <d v="2023-12-01T00:00:00"/>
    <s v="Basic"/>
    <n v="199"/>
    <n v="11"/>
    <n v="4"/>
    <n v="1"/>
    <n v="21"/>
    <n v="37"/>
    <s v="No"/>
    <s v="No"/>
    <s v="Yes"/>
    <s v="No"/>
    <s v="Yes"/>
    <s v="No"/>
    <m/>
    <s v="1+ Failures"/>
    <n v="0"/>
    <s v="10-20hrs"/>
    <s v="12+ months"/>
    <x v="1"/>
  </r>
  <r>
    <n v="1844"/>
    <d v="2024-08-13T00:00:00"/>
    <s v="Premium"/>
    <n v="699"/>
    <n v="16.5"/>
    <n v="3"/>
    <n v="4"/>
    <n v="30"/>
    <n v="59"/>
    <s v="Yes"/>
    <s v="No"/>
    <s v="Yes"/>
    <s v="No"/>
    <s v="Yes"/>
    <s v="No"/>
    <m/>
    <s v="1+ Failures"/>
    <n v="1"/>
    <s v="10-20hrs"/>
    <s v="12+ months"/>
    <x v="0"/>
  </r>
  <r>
    <n v="1845"/>
    <d v="2024-06-30T00:00:00"/>
    <s v="Basic"/>
    <n v="199"/>
    <n v="19.399999999999999"/>
    <n v="3"/>
    <n v="2"/>
    <n v="13"/>
    <n v="11"/>
    <s v="Yes"/>
    <s v="No"/>
    <s v="Yes"/>
    <s v="No"/>
    <s v="No"/>
    <s v="No"/>
    <m/>
    <s v="1+ Failures"/>
    <n v="1"/>
    <s v="10-20hrs"/>
    <s v="12+ months"/>
    <x v="1"/>
  </r>
  <r>
    <n v="1846"/>
    <d v="2023-11-19T00:00:00"/>
    <s v="Premium"/>
    <n v="699"/>
    <n v="19.600000000000001"/>
    <n v="8"/>
    <n v="2"/>
    <n v="3"/>
    <n v="4"/>
    <s v="Yes"/>
    <s v="No"/>
    <s v="Yes"/>
    <s v="Yes"/>
    <s v="No"/>
    <s v="Yes"/>
    <m/>
    <s v="1+ Failures"/>
    <n v="1"/>
    <s v="10-20hrs"/>
    <s v="0-3months"/>
    <x v="0"/>
  </r>
  <r>
    <n v="1847"/>
    <d v="2023-08-11T00:00:00"/>
    <s v="Basic"/>
    <n v="199"/>
    <n v="5.4"/>
    <n v="2"/>
    <n v="3"/>
    <n v="14"/>
    <n v="17"/>
    <s v="Yes"/>
    <s v="No"/>
    <s v="Yes"/>
    <s v="No"/>
    <s v="Yes"/>
    <s v="No"/>
    <m/>
    <s v="1+ Failures"/>
    <n v="1"/>
    <s v="5-10 hrs"/>
    <s v="12+ months"/>
    <x v="1"/>
  </r>
  <r>
    <n v="1848"/>
    <d v="2023-01-27T00:00:00"/>
    <s v="Standard"/>
    <n v="399"/>
    <n v="3.9"/>
    <n v="7"/>
    <n v="0"/>
    <n v="2"/>
    <n v="53"/>
    <s v="No"/>
    <s v="Yes"/>
    <s v="No"/>
    <s v="Yes"/>
    <s v="Yes"/>
    <s v="Yes"/>
    <m/>
    <s v="0 Failures"/>
    <n v="0"/>
    <s v="0-5 hrs"/>
    <s v="0-3months"/>
    <x v="1"/>
  </r>
  <r>
    <n v="1849"/>
    <d v="2024-01-25T00:00:00"/>
    <s v="Standard"/>
    <n v="399"/>
    <n v="9.8000000000000007"/>
    <n v="7"/>
    <n v="3"/>
    <n v="14"/>
    <n v="25"/>
    <s v="Yes"/>
    <s v="No"/>
    <s v="Yes"/>
    <s v="Yes"/>
    <s v="Yes"/>
    <s v="No"/>
    <m/>
    <s v="1+ Failures"/>
    <n v="1"/>
    <s v="5-10 hrs"/>
    <s v="12+ months"/>
    <x v="1"/>
  </r>
  <r>
    <n v="1850"/>
    <d v="2024-06-12T00:00:00"/>
    <s v="Premium"/>
    <n v="699"/>
    <n v="2.8"/>
    <n v="2"/>
    <n v="4"/>
    <n v="8"/>
    <n v="58"/>
    <s v="Yes"/>
    <s v="Yes"/>
    <s v="Yes"/>
    <s v="No"/>
    <s v="Yes"/>
    <s v="No"/>
    <m/>
    <s v="1+ Failures"/>
    <n v="1"/>
    <s v="0-5 hrs"/>
    <s v="6-12months"/>
    <x v="0"/>
  </r>
  <r>
    <n v="1851"/>
    <d v="2023-11-21T00:00:00"/>
    <s v="Basic"/>
    <n v="199"/>
    <n v="19"/>
    <n v="1"/>
    <n v="3"/>
    <n v="11"/>
    <n v="47"/>
    <s v="No"/>
    <s v="No"/>
    <s v="Yes"/>
    <s v="No"/>
    <s v="Yes"/>
    <s v="No"/>
    <m/>
    <s v="1+ Failures"/>
    <n v="0"/>
    <s v="10-20hrs"/>
    <s v="6-12months"/>
    <x v="1"/>
  </r>
  <r>
    <n v="1852"/>
    <d v="2024-06-04T00:00:00"/>
    <s v="Standard"/>
    <n v="399"/>
    <n v="5.7"/>
    <n v="1"/>
    <n v="4"/>
    <n v="13"/>
    <n v="23"/>
    <s v="Yes"/>
    <s v="No"/>
    <s v="Yes"/>
    <s v="No"/>
    <s v="Yes"/>
    <s v="No"/>
    <m/>
    <s v="1+ Failures"/>
    <n v="1"/>
    <s v="5-10 hrs"/>
    <s v="12+ months"/>
    <x v="1"/>
  </r>
  <r>
    <n v="1853"/>
    <d v="2023-04-13T00:00:00"/>
    <s v="Basic"/>
    <n v="199"/>
    <n v="0.9"/>
    <n v="6"/>
    <n v="3"/>
    <n v="30"/>
    <n v="25"/>
    <s v="Yes"/>
    <s v="Yes"/>
    <s v="Yes"/>
    <s v="Yes"/>
    <s v="Yes"/>
    <s v="No"/>
    <m/>
    <s v="1+ Failures"/>
    <n v="1"/>
    <s v="0-5 hrs"/>
    <s v="12+ months"/>
    <x v="1"/>
  </r>
  <r>
    <n v="1854"/>
    <d v="2023-11-04T00:00:00"/>
    <s v="Standard"/>
    <n v="399"/>
    <n v="23.7"/>
    <n v="1"/>
    <n v="3"/>
    <n v="24"/>
    <n v="60"/>
    <s v="No"/>
    <s v="No"/>
    <s v="Yes"/>
    <s v="No"/>
    <s v="Yes"/>
    <s v="No"/>
    <m/>
    <s v="1+ Failures"/>
    <n v="0"/>
    <s v="20+ hrs"/>
    <s v="12+ months"/>
    <x v="1"/>
  </r>
  <r>
    <n v="1855"/>
    <d v="2023-10-09T00:00:00"/>
    <s v="Basic"/>
    <n v="199"/>
    <n v="16.399999999999999"/>
    <n v="6"/>
    <n v="3"/>
    <n v="6"/>
    <n v="1"/>
    <s v="No"/>
    <s v="No"/>
    <s v="Yes"/>
    <s v="Yes"/>
    <s v="No"/>
    <s v="No"/>
    <m/>
    <s v="1+ Failures"/>
    <n v="0"/>
    <s v="10-20hrs"/>
    <s v="3-6months"/>
    <x v="1"/>
  </r>
  <r>
    <n v="1856"/>
    <d v="2024-06-15T00:00:00"/>
    <s v="Premium"/>
    <n v="699"/>
    <n v="1.6"/>
    <n v="3"/>
    <n v="1"/>
    <n v="21"/>
    <n v="36"/>
    <s v="Yes"/>
    <s v="Yes"/>
    <s v="Yes"/>
    <s v="No"/>
    <s v="Yes"/>
    <s v="No"/>
    <m/>
    <s v="1+ Failures"/>
    <n v="1"/>
    <s v="0-5 hrs"/>
    <s v="12+ months"/>
    <x v="0"/>
  </r>
  <r>
    <n v="1857"/>
    <d v="2024-11-07T00:00:00"/>
    <s v="Basic"/>
    <n v="199"/>
    <n v="17.5"/>
    <n v="0"/>
    <n v="0"/>
    <n v="9"/>
    <n v="38"/>
    <s v="No"/>
    <s v="No"/>
    <s v="No"/>
    <s v="No"/>
    <s v="Yes"/>
    <s v="No"/>
    <m/>
    <s v="0 Failures"/>
    <n v="0"/>
    <s v="10-20hrs"/>
    <s v="6-12months"/>
    <x v="1"/>
  </r>
  <r>
    <n v="1858"/>
    <d v="2024-06-15T00:00:00"/>
    <s v="Standard"/>
    <n v="399"/>
    <n v="15.6"/>
    <n v="2"/>
    <n v="3"/>
    <n v="24"/>
    <n v="11"/>
    <s v="Yes"/>
    <s v="No"/>
    <s v="Yes"/>
    <s v="No"/>
    <s v="No"/>
    <s v="No"/>
    <m/>
    <s v="1+ Failures"/>
    <n v="1"/>
    <s v="10-20hrs"/>
    <s v="12+ months"/>
    <x v="1"/>
  </r>
  <r>
    <n v="1859"/>
    <d v="2023-11-10T00:00:00"/>
    <s v="Basic"/>
    <n v="199"/>
    <n v="9.4"/>
    <n v="1"/>
    <n v="1"/>
    <n v="12"/>
    <n v="1"/>
    <s v="No"/>
    <s v="No"/>
    <s v="Yes"/>
    <s v="No"/>
    <s v="No"/>
    <s v="No"/>
    <m/>
    <s v="1+ Failures"/>
    <n v="0"/>
    <s v="5-10 hrs"/>
    <s v="6-12months"/>
    <x v="1"/>
  </r>
  <r>
    <n v="1860"/>
    <d v="2023-01-27T00:00:00"/>
    <s v="Standard"/>
    <n v="399"/>
    <n v="22.8"/>
    <n v="4"/>
    <n v="4"/>
    <n v="24"/>
    <n v="20"/>
    <s v="Yes"/>
    <s v="No"/>
    <s v="Yes"/>
    <s v="No"/>
    <s v="Yes"/>
    <s v="No"/>
    <m/>
    <s v="1+ Failures"/>
    <n v="1"/>
    <s v="20+ hrs"/>
    <s v="12+ months"/>
    <x v="1"/>
  </r>
  <r>
    <n v="1861"/>
    <d v="2024-02-22T00:00:00"/>
    <s v="Standard"/>
    <n v="399"/>
    <n v="22.3"/>
    <n v="0"/>
    <n v="5"/>
    <n v="2"/>
    <n v="55"/>
    <s v="Yes"/>
    <s v="No"/>
    <s v="Yes"/>
    <s v="No"/>
    <s v="Yes"/>
    <s v="Yes"/>
    <m/>
    <s v="1+ Failures"/>
    <n v="1"/>
    <s v="20+ hrs"/>
    <s v="0-3months"/>
    <x v="1"/>
  </r>
  <r>
    <n v="1862"/>
    <d v="2023-12-24T00:00:00"/>
    <s v="Basic"/>
    <n v="199"/>
    <n v="9.6999999999999993"/>
    <n v="8"/>
    <n v="1"/>
    <n v="35"/>
    <n v="10"/>
    <s v="Yes"/>
    <s v="No"/>
    <s v="Yes"/>
    <s v="Yes"/>
    <s v="No"/>
    <s v="No"/>
    <m/>
    <s v="1+ Failures"/>
    <n v="1"/>
    <s v="5-10 hrs"/>
    <s v="12+ months"/>
    <x v="1"/>
  </r>
  <r>
    <n v="1863"/>
    <d v="2024-03-01T00:00:00"/>
    <s v="Basic"/>
    <n v="199"/>
    <n v="10.8"/>
    <n v="1"/>
    <n v="0"/>
    <n v="6"/>
    <n v="30"/>
    <s v="No"/>
    <s v="No"/>
    <s v="No"/>
    <s v="No"/>
    <s v="Yes"/>
    <s v="No"/>
    <m/>
    <s v="0 Failures"/>
    <n v="0"/>
    <s v="10-20hrs"/>
    <s v="3-6months"/>
    <x v="1"/>
  </r>
  <r>
    <n v="1864"/>
    <d v="2023-09-21T00:00:00"/>
    <s v="Premium"/>
    <n v="699"/>
    <n v="3.8"/>
    <n v="0"/>
    <n v="2"/>
    <n v="29"/>
    <n v="30"/>
    <s v="Yes"/>
    <s v="Yes"/>
    <s v="Yes"/>
    <s v="No"/>
    <s v="Yes"/>
    <s v="No"/>
    <m/>
    <s v="1+ Failures"/>
    <n v="1"/>
    <s v="0-5 hrs"/>
    <s v="12+ months"/>
    <x v="0"/>
  </r>
  <r>
    <n v="1865"/>
    <d v="2024-05-04T00:00:00"/>
    <s v="Basic"/>
    <n v="199"/>
    <n v="16.600000000000001"/>
    <n v="5"/>
    <n v="4"/>
    <n v="21"/>
    <n v="42"/>
    <s v="Yes"/>
    <s v="No"/>
    <s v="Yes"/>
    <s v="Yes"/>
    <s v="Yes"/>
    <s v="No"/>
    <m/>
    <s v="1+ Failures"/>
    <n v="1"/>
    <s v="10-20hrs"/>
    <s v="12+ months"/>
    <x v="1"/>
  </r>
  <r>
    <n v="1866"/>
    <d v="2023-08-19T00:00:00"/>
    <s v="Standard"/>
    <n v="399"/>
    <n v="3.6"/>
    <n v="8"/>
    <n v="1"/>
    <n v="13"/>
    <n v="51"/>
    <s v="No"/>
    <s v="Yes"/>
    <s v="Yes"/>
    <s v="Yes"/>
    <s v="Yes"/>
    <s v="No"/>
    <m/>
    <s v="1+ Failures"/>
    <n v="0"/>
    <s v="0-5 hrs"/>
    <s v="12+ months"/>
    <x v="1"/>
  </r>
  <r>
    <n v="1867"/>
    <d v="2023-09-13T00:00:00"/>
    <s v="Premium"/>
    <n v="699"/>
    <n v="18.7"/>
    <n v="6"/>
    <n v="2"/>
    <n v="6"/>
    <n v="56"/>
    <s v="Yes"/>
    <s v="No"/>
    <s v="Yes"/>
    <s v="Yes"/>
    <s v="Yes"/>
    <s v="No"/>
    <m/>
    <s v="1+ Failures"/>
    <n v="1"/>
    <s v="10-20hrs"/>
    <s v="3-6months"/>
    <x v="0"/>
  </r>
  <r>
    <n v="1868"/>
    <d v="2024-11-15T00:00:00"/>
    <s v="Basic"/>
    <n v="199"/>
    <n v="5"/>
    <n v="4"/>
    <n v="2"/>
    <n v="17"/>
    <n v="45"/>
    <s v="No"/>
    <s v="No"/>
    <s v="Yes"/>
    <s v="No"/>
    <s v="Yes"/>
    <s v="No"/>
    <m/>
    <s v="1+ Failures"/>
    <n v="0"/>
    <s v="0-5 hrs"/>
    <s v="12+ months"/>
    <x v="1"/>
  </r>
  <r>
    <n v="1869"/>
    <d v="2024-11-08T00:00:00"/>
    <s v="Premium"/>
    <n v="699"/>
    <n v="13.2"/>
    <n v="4"/>
    <n v="1"/>
    <n v="34"/>
    <n v="20"/>
    <s v="No"/>
    <s v="No"/>
    <s v="Yes"/>
    <s v="No"/>
    <s v="Yes"/>
    <s v="No"/>
    <m/>
    <s v="1+ Failures"/>
    <n v="0"/>
    <s v="10-20hrs"/>
    <s v="12+ months"/>
    <x v="0"/>
  </r>
  <r>
    <n v="1870"/>
    <d v="2023-07-06T00:00:00"/>
    <s v="Basic"/>
    <n v="199"/>
    <n v="18.8"/>
    <n v="6"/>
    <n v="5"/>
    <n v="3"/>
    <n v="3"/>
    <s v="No"/>
    <s v="No"/>
    <s v="Yes"/>
    <s v="Yes"/>
    <s v="No"/>
    <s v="Yes"/>
    <m/>
    <s v="1+ Failures"/>
    <n v="0"/>
    <s v="10-20hrs"/>
    <s v="0-3months"/>
    <x v="1"/>
  </r>
  <r>
    <n v="1871"/>
    <d v="2024-08-08T00:00:00"/>
    <s v="Basic"/>
    <n v="199"/>
    <n v="16"/>
    <n v="3"/>
    <n v="1"/>
    <n v="10"/>
    <n v="25"/>
    <s v="Yes"/>
    <s v="No"/>
    <s v="Yes"/>
    <s v="No"/>
    <s v="Yes"/>
    <s v="No"/>
    <m/>
    <s v="1+ Failures"/>
    <n v="1"/>
    <s v="10-20hrs"/>
    <s v="6-12months"/>
    <x v="1"/>
  </r>
  <r>
    <n v="1872"/>
    <d v="2024-08-14T00:00:00"/>
    <s v="Standard"/>
    <n v="399"/>
    <n v="21.5"/>
    <n v="3"/>
    <n v="5"/>
    <n v="31"/>
    <n v="55"/>
    <s v="No"/>
    <s v="No"/>
    <s v="Yes"/>
    <s v="No"/>
    <s v="Yes"/>
    <s v="No"/>
    <m/>
    <s v="1+ Failures"/>
    <n v="0"/>
    <s v="20+ hrs"/>
    <s v="12+ months"/>
    <x v="1"/>
  </r>
  <r>
    <n v="1873"/>
    <d v="2023-05-01T00:00:00"/>
    <s v="Standard"/>
    <n v="399"/>
    <n v="24.8"/>
    <n v="7"/>
    <n v="4"/>
    <n v="29"/>
    <n v="16"/>
    <s v="No"/>
    <s v="No"/>
    <s v="Yes"/>
    <s v="Yes"/>
    <s v="Yes"/>
    <s v="No"/>
    <m/>
    <s v="1+ Failures"/>
    <n v="0"/>
    <s v="20+ hrs"/>
    <s v="12+ months"/>
    <x v="1"/>
  </r>
  <r>
    <n v="1874"/>
    <d v="2023-07-10T00:00:00"/>
    <s v="Premium"/>
    <n v="699"/>
    <n v="16.600000000000001"/>
    <n v="8"/>
    <n v="2"/>
    <n v="18"/>
    <n v="21"/>
    <s v="No"/>
    <s v="No"/>
    <s v="Yes"/>
    <s v="Yes"/>
    <s v="Yes"/>
    <s v="No"/>
    <m/>
    <s v="1+ Failures"/>
    <n v="0"/>
    <s v="10-20hrs"/>
    <s v="12+ months"/>
    <x v="0"/>
  </r>
  <r>
    <n v="1875"/>
    <d v="2024-11-15T00:00:00"/>
    <s v="Standard"/>
    <n v="399"/>
    <n v="20.3"/>
    <n v="7"/>
    <n v="4"/>
    <n v="22"/>
    <n v="29"/>
    <s v="Yes"/>
    <s v="No"/>
    <s v="Yes"/>
    <s v="Yes"/>
    <s v="Yes"/>
    <s v="No"/>
    <m/>
    <s v="1+ Failures"/>
    <n v="1"/>
    <s v="20+ hrs"/>
    <s v="12+ months"/>
    <x v="1"/>
  </r>
  <r>
    <n v="1876"/>
    <d v="2024-07-10T00:00:00"/>
    <s v="Standard"/>
    <n v="399"/>
    <n v="6.9"/>
    <n v="5"/>
    <n v="3"/>
    <n v="34"/>
    <n v="41"/>
    <s v="Yes"/>
    <s v="No"/>
    <s v="Yes"/>
    <s v="Yes"/>
    <s v="Yes"/>
    <s v="No"/>
    <m/>
    <s v="1+ Failures"/>
    <n v="1"/>
    <s v="5-10 hrs"/>
    <s v="12+ months"/>
    <x v="1"/>
  </r>
  <r>
    <n v="1877"/>
    <d v="2023-10-30T00:00:00"/>
    <s v="Basic"/>
    <n v="199"/>
    <n v="6.1"/>
    <n v="7"/>
    <n v="0"/>
    <n v="7"/>
    <n v="7"/>
    <s v="No"/>
    <s v="No"/>
    <s v="No"/>
    <s v="Yes"/>
    <s v="No"/>
    <s v="No"/>
    <m/>
    <s v="0 Failures"/>
    <n v="0"/>
    <s v="5-10 hrs"/>
    <s v="6-12months"/>
    <x v="1"/>
  </r>
  <r>
    <n v="1878"/>
    <d v="2024-05-31T00:00:00"/>
    <s v="Basic"/>
    <n v="199"/>
    <n v="8"/>
    <n v="6"/>
    <n v="4"/>
    <n v="23"/>
    <n v="60"/>
    <s v="Yes"/>
    <s v="No"/>
    <s v="Yes"/>
    <s v="Yes"/>
    <s v="Yes"/>
    <s v="No"/>
    <m/>
    <s v="1+ Failures"/>
    <n v="1"/>
    <s v="5-10 hrs"/>
    <s v="12+ months"/>
    <x v="1"/>
  </r>
  <r>
    <n v="1879"/>
    <d v="2023-08-16T00:00:00"/>
    <s v="Basic"/>
    <n v="199"/>
    <n v="20.6"/>
    <n v="8"/>
    <n v="1"/>
    <n v="26"/>
    <n v="9"/>
    <s v="No"/>
    <s v="No"/>
    <s v="Yes"/>
    <s v="Yes"/>
    <s v="No"/>
    <s v="No"/>
    <m/>
    <s v="1+ Failures"/>
    <n v="0"/>
    <s v="20+ hrs"/>
    <s v="12+ months"/>
    <x v="1"/>
  </r>
  <r>
    <n v="1880"/>
    <d v="2024-07-30T00:00:00"/>
    <s v="Basic"/>
    <n v="199"/>
    <n v="18.5"/>
    <n v="5"/>
    <n v="4"/>
    <n v="13"/>
    <n v="38"/>
    <s v="No"/>
    <s v="No"/>
    <s v="Yes"/>
    <s v="Yes"/>
    <s v="Yes"/>
    <s v="No"/>
    <m/>
    <s v="1+ Failures"/>
    <n v="0"/>
    <s v="10-20hrs"/>
    <s v="12+ months"/>
    <x v="1"/>
  </r>
  <r>
    <n v="1881"/>
    <d v="2024-06-27T00:00:00"/>
    <s v="Premium"/>
    <n v="699"/>
    <n v="1.7"/>
    <n v="8"/>
    <n v="2"/>
    <n v="34"/>
    <n v="34"/>
    <s v="Yes"/>
    <s v="Yes"/>
    <s v="Yes"/>
    <s v="Yes"/>
    <s v="Yes"/>
    <s v="No"/>
    <m/>
    <s v="1+ Failures"/>
    <n v="1"/>
    <s v="0-5 hrs"/>
    <s v="12+ months"/>
    <x v="0"/>
  </r>
  <r>
    <n v="1882"/>
    <d v="2023-08-20T00:00:00"/>
    <s v="Basic"/>
    <n v="199"/>
    <n v="4.4000000000000004"/>
    <n v="2"/>
    <n v="5"/>
    <n v="24"/>
    <n v="40"/>
    <s v="No"/>
    <s v="Yes"/>
    <s v="Yes"/>
    <s v="No"/>
    <s v="Yes"/>
    <s v="No"/>
    <m/>
    <s v="1+ Failures"/>
    <n v="0"/>
    <s v="0-5 hrs"/>
    <s v="12+ months"/>
    <x v="1"/>
  </r>
  <r>
    <n v="1883"/>
    <d v="2024-02-15T00:00:00"/>
    <s v="Premium"/>
    <n v="699"/>
    <n v="13.8"/>
    <n v="6"/>
    <n v="1"/>
    <n v="10"/>
    <n v="17"/>
    <s v="Yes"/>
    <s v="No"/>
    <s v="Yes"/>
    <s v="Yes"/>
    <s v="Yes"/>
    <s v="No"/>
    <m/>
    <s v="1+ Failures"/>
    <n v="1"/>
    <s v="10-20hrs"/>
    <s v="6-12months"/>
    <x v="0"/>
  </r>
  <r>
    <n v="1884"/>
    <d v="2023-11-04T00:00:00"/>
    <s v="Standard"/>
    <n v="399"/>
    <n v="22.6"/>
    <n v="6"/>
    <n v="3"/>
    <n v="25"/>
    <n v="29"/>
    <s v="Yes"/>
    <s v="No"/>
    <s v="Yes"/>
    <s v="Yes"/>
    <s v="Yes"/>
    <s v="No"/>
    <m/>
    <s v="1+ Failures"/>
    <n v="1"/>
    <s v="20+ hrs"/>
    <s v="12+ months"/>
    <x v="1"/>
  </r>
  <r>
    <n v="1885"/>
    <d v="2024-09-19T00:00:00"/>
    <s v="Basic"/>
    <n v="199"/>
    <n v="6.7"/>
    <n v="8"/>
    <n v="5"/>
    <n v="5"/>
    <n v="19"/>
    <s v="Yes"/>
    <s v="No"/>
    <s v="Yes"/>
    <s v="Yes"/>
    <s v="Yes"/>
    <s v="Yes"/>
    <m/>
    <s v="1+ Failures"/>
    <n v="1"/>
    <s v="5-10 hrs"/>
    <s v="3-6months"/>
    <x v="1"/>
  </r>
  <r>
    <n v="1886"/>
    <d v="2023-06-14T00:00:00"/>
    <s v="Premium"/>
    <n v="699"/>
    <n v="2"/>
    <n v="6"/>
    <n v="1"/>
    <n v="5"/>
    <n v="9"/>
    <s v="Yes"/>
    <s v="Yes"/>
    <s v="Yes"/>
    <s v="Yes"/>
    <s v="No"/>
    <s v="Yes"/>
    <m/>
    <s v="1+ Failures"/>
    <n v="1"/>
    <s v="0-5 hrs"/>
    <s v="3-6months"/>
    <x v="0"/>
  </r>
  <r>
    <n v="1887"/>
    <d v="2023-12-25T00:00:00"/>
    <s v="Basic"/>
    <n v="199"/>
    <n v="19.8"/>
    <n v="6"/>
    <n v="3"/>
    <n v="26"/>
    <n v="37"/>
    <s v="Yes"/>
    <s v="No"/>
    <s v="Yes"/>
    <s v="Yes"/>
    <s v="Yes"/>
    <s v="No"/>
    <m/>
    <s v="1+ Failures"/>
    <n v="1"/>
    <s v="10-20hrs"/>
    <s v="12+ months"/>
    <x v="1"/>
  </r>
  <r>
    <n v="1888"/>
    <d v="2024-08-22T00:00:00"/>
    <s v="Basic"/>
    <n v="199"/>
    <n v="24.1"/>
    <n v="4"/>
    <n v="1"/>
    <n v="15"/>
    <n v="57"/>
    <s v="Yes"/>
    <s v="No"/>
    <s v="Yes"/>
    <s v="No"/>
    <s v="Yes"/>
    <s v="No"/>
    <m/>
    <s v="1+ Failures"/>
    <n v="1"/>
    <s v="20+ hrs"/>
    <s v="12+ months"/>
    <x v="1"/>
  </r>
  <r>
    <n v="1889"/>
    <d v="2023-01-12T00:00:00"/>
    <s v="Premium"/>
    <n v="699"/>
    <n v="5.5"/>
    <n v="2"/>
    <n v="5"/>
    <n v="10"/>
    <n v="17"/>
    <s v="No"/>
    <s v="No"/>
    <s v="Yes"/>
    <s v="No"/>
    <s v="Yes"/>
    <s v="No"/>
    <m/>
    <s v="1+ Failures"/>
    <n v="0"/>
    <s v="5-10 hrs"/>
    <s v="6-12months"/>
    <x v="0"/>
  </r>
  <r>
    <n v="1890"/>
    <d v="2024-04-27T00:00:00"/>
    <s v="Premium"/>
    <n v="699"/>
    <n v="13.3"/>
    <n v="8"/>
    <n v="0"/>
    <n v="8"/>
    <n v="49"/>
    <s v="No"/>
    <s v="No"/>
    <s v="No"/>
    <s v="Yes"/>
    <s v="Yes"/>
    <s v="No"/>
    <m/>
    <s v="0 Failures"/>
    <n v="0"/>
    <s v="10-20hrs"/>
    <s v="6-12months"/>
    <x v="0"/>
  </r>
  <r>
    <n v="1891"/>
    <d v="2023-06-07T00:00:00"/>
    <s v="Basic"/>
    <n v="199"/>
    <n v="7.8"/>
    <n v="1"/>
    <n v="4"/>
    <n v="29"/>
    <n v="47"/>
    <s v="No"/>
    <s v="No"/>
    <s v="Yes"/>
    <s v="No"/>
    <s v="Yes"/>
    <s v="No"/>
    <m/>
    <s v="1+ Failures"/>
    <n v="0"/>
    <s v="5-10 hrs"/>
    <s v="12+ months"/>
    <x v="1"/>
  </r>
  <r>
    <n v="1892"/>
    <d v="2023-04-26T00:00:00"/>
    <s v="Basic"/>
    <n v="199"/>
    <n v="21.9"/>
    <n v="0"/>
    <n v="3"/>
    <n v="22"/>
    <n v="53"/>
    <s v="No"/>
    <s v="No"/>
    <s v="Yes"/>
    <s v="No"/>
    <s v="Yes"/>
    <s v="No"/>
    <m/>
    <s v="1+ Failures"/>
    <n v="0"/>
    <s v="20+ hrs"/>
    <s v="12+ months"/>
    <x v="1"/>
  </r>
  <r>
    <n v="1893"/>
    <d v="2024-05-13T00:00:00"/>
    <s v="Premium"/>
    <n v="699"/>
    <n v="10.9"/>
    <n v="2"/>
    <n v="5"/>
    <n v="30"/>
    <n v="44"/>
    <s v="No"/>
    <s v="No"/>
    <s v="Yes"/>
    <s v="No"/>
    <s v="Yes"/>
    <s v="No"/>
    <m/>
    <s v="1+ Failures"/>
    <n v="0"/>
    <s v="10-20hrs"/>
    <s v="12+ months"/>
    <x v="0"/>
  </r>
  <r>
    <n v="1894"/>
    <d v="2024-01-07T00:00:00"/>
    <s v="Standard"/>
    <n v="399"/>
    <n v="13.3"/>
    <n v="1"/>
    <n v="5"/>
    <n v="15"/>
    <n v="38"/>
    <s v="No"/>
    <s v="No"/>
    <s v="Yes"/>
    <s v="No"/>
    <s v="Yes"/>
    <s v="No"/>
    <m/>
    <s v="1+ Failures"/>
    <n v="0"/>
    <s v="10-20hrs"/>
    <s v="12+ months"/>
    <x v="1"/>
  </r>
  <r>
    <n v="1895"/>
    <d v="2023-10-14T00:00:00"/>
    <s v="Basic"/>
    <n v="199"/>
    <n v="21"/>
    <n v="6"/>
    <n v="3"/>
    <n v="32"/>
    <n v="3"/>
    <s v="No"/>
    <s v="No"/>
    <s v="Yes"/>
    <s v="Yes"/>
    <s v="No"/>
    <s v="No"/>
    <m/>
    <s v="1+ Failures"/>
    <n v="0"/>
    <s v="20+ hrs"/>
    <s v="12+ months"/>
    <x v="1"/>
  </r>
  <r>
    <n v="1896"/>
    <d v="2023-09-15T00:00:00"/>
    <s v="Premium"/>
    <n v="699"/>
    <n v="22.7"/>
    <n v="8"/>
    <n v="2"/>
    <n v="18"/>
    <n v="26"/>
    <s v="Yes"/>
    <s v="No"/>
    <s v="Yes"/>
    <s v="Yes"/>
    <s v="Yes"/>
    <s v="No"/>
    <m/>
    <s v="1+ Failures"/>
    <n v="1"/>
    <s v="20+ hrs"/>
    <s v="12+ months"/>
    <x v="0"/>
  </r>
  <r>
    <n v="1897"/>
    <d v="2024-08-28T00:00:00"/>
    <s v="Standard"/>
    <n v="399"/>
    <n v="0.8"/>
    <n v="7"/>
    <n v="1"/>
    <n v="6"/>
    <n v="37"/>
    <s v="Yes"/>
    <s v="Yes"/>
    <s v="Yes"/>
    <s v="Yes"/>
    <s v="Yes"/>
    <s v="No"/>
    <m/>
    <s v="1+ Failures"/>
    <n v="1"/>
    <s v="0-5 hrs"/>
    <s v="3-6months"/>
    <x v="1"/>
  </r>
  <r>
    <n v="1898"/>
    <d v="2024-01-20T00:00:00"/>
    <s v="Standard"/>
    <n v="399"/>
    <n v="3"/>
    <n v="7"/>
    <n v="4"/>
    <n v="18"/>
    <n v="38"/>
    <s v="Yes"/>
    <s v="Yes"/>
    <s v="Yes"/>
    <s v="Yes"/>
    <s v="Yes"/>
    <s v="No"/>
    <m/>
    <s v="1+ Failures"/>
    <n v="1"/>
    <s v="0-5 hrs"/>
    <s v="12+ months"/>
    <x v="1"/>
  </r>
  <r>
    <n v="1899"/>
    <d v="2024-10-20T00:00:00"/>
    <s v="Premium"/>
    <n v="699"/>
    <n v="21.8"/>
    <n v="6"/>
    <n v="0"/>
    <n v="34"/>
    <n v="38"/>
    <s v="Yes"/>
    <s v="No"/>
    <s v="No"/>
    <s v="Yes"/>
    <s v="Yes"/>
    <s v="No"/>
    <m/>
    <s v="0 Failures"/>
    <n v="1"/>
    <s v="20+ hrs"/>
    <s v="12+ months"/>
    <x v="0"/>
  </r>
  <r>
    <n v="1900"/>
    <d v="2024-09-10T00:00:00"/>
    <s v="Basic"/>
    <n v="199"/>
    <n v="3.4"/>
    <n v="3"/>
    <n v="2"/>
    <n v="7"/>
    <n v="37"/>
    <s v="Yes"/>
    <s v="Yes"/>
    <s v="Yes"/>
    <s v="No"/>
    <s v="Yes"/>
    <s v="No"/>
    <m/>
    <s v="1+ Failures"/>
    <n v="1"/>
    <s v="0-5 hrs"/>
    <s v="6-12months"/>
    <x v="1"/>
  </r>
  <r>
    <n v="1901"/>
    <d v="2024-04-16T00:00:00"/>
    <s v="Standard"/>
    <n v="399"/>
    <n v="18.100000000000001"/>
    <n v="0"/>
    <n v="2"/>
    <n v="26"/>
    <n v="41"/>
    <s v="No"/>
    <s v="No"/>
    <s v="Yes"/>
    <s v="No"/>
    <s v="Yes"/>
    <s v="No"/>
    <m/>
    <s v="1+ Failures"/>
    <n v="0"/>
    <s v="10-20hrs"/>
    <s v="12+ months"/>
    <x v="1"/>
  </r>
  <r>
    <n v="1902"/>
    <d v="2024-11-16T00:00:00"/>
    <s v="Premium"/>
    <n v="699"/>
    <n v="1.4"/>
    <n v="6"/>
    <n v="5"/>
    <n v="34"/>
    <n v="47"/>
    <s v="Yes"/>
    <s v="Yes"/>
    <s v="Yes"/>
    <s v="Yes"/>
    <s v="Yes"/>
    <s v="No"/>
    <m/>
    <s v="1+ Failures"/>
    <n v="1"/>
    <s v="0-5 hrs"/>
    <s v="12+ months"/>
    <x v="0"/>
  </r>
  <r>
    <n v="1903"/>
    <d v="2023-10-27T00:00:00"/>
    <s v="Basic"/>
    <n v="199"/>
    <n v="14.4"/>
    <n v="0"/>
    <n v="5"/>
    <n v="14"/>
    <n v="60"/>
    <s v="Yes"/>
    <s v="No"/>
    <s v="Yes"/>
    <s v="No"/>
    <s v="Yes"/>
    <s v="No"/>
    <m/>
    <s v="1+ Failures"/>
    <n v="1"/>
    <s v="10-20hrs"/>
    <s v="12+ months"/>
    <x v="1"/>
  </r>
  <r>
    <n v="1904"/>
    <d v="2023-12-27T00:00:00"/>
    <s v="Standard"/>
    <n v="399"/>
    <n v="18.399999999999999"/>
    <n v="4"/>
    <n v="2"/>
    <n v="2"/>
    <n v="52"/>
    <s v="Yes"/>
    <s v="No"/>
    <s v="Yes"/>
    <s v="No"/>
    <s v="Yes"/>
    <s v="Yes"/>
    <m/>
    <s v="1+ Failures"/>
    <n v="1"/>
    <s v="10-20hrs"/>
    <s v="0-3months"/>
    <x v="1"/>
  </r>
  <r>
    <n v="1905"/>
    <d v="2024-10-12T00:00:00"/>
    <s v="Basic"/>
    <n v="199"/>
    <n v="11.4"/>
    <n v="0"/>
    <n v="2"/>
    <n v="18"/>
    <n v="29"/>
    <s v="No"/>
    <s v="No"/>
    <s v="Yes"/>
    <s v="No"/>
    <s v="Yes"/>
    <s v="No"/>
    <m/>
    <s v="1+ Failures"/>
    <n v="0"/>
    <s v="10-20hrs"/>
    <s v="12+ months"/>
    <x v="1"/>
  </r>
  <r>
    <n v="1906"/>
    <d v="2023-12-23T00:00:00"/>
    <s v="Standard"/>
    <n v="399"/>
    <n v="5.6"/>
    <n v="8"/>
    <n v="5"/>
    <n v="11"/>
    <n v="20"/>
    <s v="No"/>
    <s v="No"/>
    <s v="Yes"/>
    <s v="Yes"/>
    <s v="Yes"/>
    <s v="No"/>
    <m/>
    <s v="1+ Failures"/>
    <n v="0"/>
    <s v="5-10 hrs"/>
    <s v="6-12months"/>
    <x v="1"/>
  </r>
  <r>
    <n v="1907"/>
    <d v="2023-08-22T00:00:00"/>
    <s v="Basic"/>
    <n v="199"/>
    <n v="21.5"/>
    <n v="5"/>
    <n v="2"/>
    <n v="32"/>
    <n v="39"/>
    <s v="Yes"/>
    <s v="No"/>
    <s v="Yes"/>
    <s v="Yes"/>
    <s v="Yes"/>
    <s v="No"/>
    <m/>
    <s v="1+ Failures"/>
    <n v="1"/>
    <s v="20+ hrs"/>
    <s v="12+ months"/>
    <x v="1"/>
  </r>
  <r>
    <n v="1908"/>
    <d v="2024-05-24T00:00:00"/>
    <s v="Standard"/>
    <n v="399"/>
    <n v="3"/>
    <n v="1"/>
    <n v="5"/>
    <n v="20"/>
    <n v="25"/>
    <s v="Yes"/>
    <s v="Yes"/>
    <s v="Yes"/>
    <s v="No"/>
    <s v="Yes"/>
    <s v="No"/>
    <m/>
    <s v="1+ Failures"/>
    <n v="1"/>
    <s v="0-5 hrs"/>
    <s v="12+ months"/>
    <x v="1"/>
  </r>
  <r>
    <n v="1909"/>
    <d v="2023-12-26T00:00:00"/>
    <s v="Premium"/>
    <n v="699"/>
    <n v="19"/>
    <n v="3"/>
    <n v="2"/>
    <n v="12"/>
    <n v="54"/>
    <s v="No"/>
    <s v="No"/>
    <s v="Yes"/>
    <s v="No"/>
    <s v="Yes"/>
    <s v="No"/>
    <m/>
    <s v="1+ Failures"/>
    <n v="0"/>
    <s v="10-20hrs"/>
    <s v="6-12months"/>
    <x v="0"/>
  </r>
  <r>
    <n v="1910"/>
    <d v="2023-07-14T00:00:00"/>
    <s v="Standard"/>
    <n v="399"/>
    <n v="22.4"/>
    <n v="2"/>
    <n v="1"/>
    <n v="29"/>
    <n v="20"/>
    <s v="Yes"/>
    <s v="No"/>
    <s v="Yes"/>
    <s v="No"/>
    <s v="Yes"/>
    <s v="No"/>
    <m/>
    <s v="1+ Failures"/>
    <n v="1"/>
    <s v="20+ hrs"/>
    <s v="12+ months"/>
    <x v="1"/>
  </r>
  <r>
    <n v="1911"/>
    <d v="2023-07-02T00:00:00"/>
    <s v="Premium"/>
    <n v="699"/>
    <n v="22.8"/>
    <n v="8"/>
    <n v="2"/>
    <n v="20"/>
    <n v="48"/>
    <s v="Yes"/>
    <s v="No"/>
    <s v="Yes"/>
    <s v="Yes"/>
    <s v="Yes"/>
    <s v="No"/>
    <m/>
    <s v="1+ Failures"/>
    <n v="1"/>
    <s v="20+ hrs"/>
    <s v="12+ months"/>
    <x v="0"/>
  </r>
  <r>
    <n v="1912"/>
    <d v="2024-11-10T00:00:00"/>
    <s v="Standard"/>
    <n v="399"/>
    <n v="5.4"/>
    <n v="1"/>
    <n v="5"/>
    <n v="5"/>
    <n v="38"/>
    <s v="No"/>
    <s v="No"/>
    <s v="Yes"/>
    <s v="No"/>
    <s v="Yes"/>
    <s v="Yes"/>
    <m/>
    <s v="1+ Failures"/>
    <n v="0"/>
    <s v="5-10 hrs"/>
    <s v="3-6months"/>
    <x v="1"/>
  </r>
  <r>
    <n v="1913"/>
    <d v="2024-01-30T00:00:00"/>
    <s v="Standard"/>
    <n v="399"/>
    <n v="4.0999999999999996"/>
    <n v="5"/>
    <n v="4"/>
    <n v="17"/>
    <n v="22"/>
    <s v="Yes"/>
    <s v="Yes"/>
    <s v="Yes"/>
    <s v="Yes"/>
    <s v="Yes"/>
    <s v="No"/>
    <m/>
    <s v="1+ Failures"/>
    <n v="1"/>
    <s v="0-5 hrs"/>
    <s v="12+ months"/>
    <x v="1"/>
  </r>
  <r>
    <n v="1914"/>
    <d v="2023-02-11T00:00:00"/>
    <s v="Basic"/>
    <n v="199"/>
    <n v="15.5"/>
    <n v="1"/>
    <n v="2"/>
    <n v="19"/>
    <n v="14"/>
    <s v="No"/>
    <s v="No"/>
    <s v="Yes"/>
    <s v="No"/>
    <s v="No"/>
    <s v="No"/>
    <m/>
    <s v="1+ Failures"/>
    <n v="0"/>
    <s v="10-20hrs"/>
    <s v="12+ months"/>
    <x v="1"/>
  </r>
  <r>
    <n v="1915"/>
    <d v="2024-12-12T00:00:00"/>
    <s v="Basic"/>
    <n v="199"/>
    <n v="4.3"/>
    <n v="4"/>
    <n v="0"/>
    <n v="36"/>
    <n v="31"/>
    <s v="Yes"/>
    <s v="Yes"/>
    <s v="No"/>
    <s v="No"/>
    <s v="Yes"/>
    <s v="No"/>
    <m/>
    <s v="0 Failures"/>
    <n v="1"/>
    <s v="0-5 hrs"/>
    <s v="12+ months"/>
    <x v="1"/>
  </r>
  <r>
    <n v="1916"/>
    <d v="2023-01-13T00:00:00"/>
    <s v="Basic"/>
    <n v="199"/>
    <n v="21.9"/>
    <n v="7"/>
    <n v="5"/>
    <n v="16"/>
    <n v="51"/>
    <s v="Yes"/>
    <s v="No"/>
    <s v="Yes"/>
    <s v="Yes"/>
    <s v="Yes"/>
    <s v="No"/>
    <m/>
    <s v="1+ Failures"/>
    <n v="1"/>
    <s v="20+ hrs"/>
    <s v="12+ months"/>
    <x v="1"/>
  </r>
  <r>
    <n v="1917"/>
    <d v="2024-08-04T00:00:00"/>
    <s v="Standard"/>
    <n v="399"/>
    <n v="24.1"/>
    <n v="7"/>
    <n v="3"/>
    <n v="16"/>
    <n v="26"/>
    <s v="Yes"/>
    <s v="No"/>
    <s v="Yes"/>
    <s v="Yes"/>
    <s v="Yes"/>
    <s v="No"/>
    <m/>
    <s v="1+ Failures"/>
    <n v="1"/>
    <s v="20+ hrs"/>
    <s v="12+ months"/>
    <x v="1"/>
  </r>
  <r>
    <n v="1918"/>
    <d v="2024-02-01T00:00:00"/>
    <s v="Basic"/>
    <n v="199"/>
    <n v="5.0999999999999996"/>
    <n v="8"/>
    <n v="4"/>
    <n v="27"/>
    <n v="25"/>
    <s v="Yes"/>
    <s v="No"/>
    <s v="Yes"/>
    <s v="Yes"/>
    <s v="Yes"/>
    <s v="No"/>
    <m/>
    <s v="1+ Failures"/>
    <n v="1"/>
    <s v="5-10 hrs"/>
    <s v="12+ months"/>
    <x v="1"/>
  </r>
  <r>
    <n v="1919"/>
    <d v="2023-08-29T00:00:00"/>
    <s v="Premium"/>
    <n v="699"/>
    <n v="17.8"/>
    <n v="5"/>
    <n v="2"/>
    <n v="17"/>
    <n v="27"/>
    <s v="Yes"/>
    <s v="No"/>
    <s v="Yes"/>
    <s v="Yes"/>
    <s v="Yes"/>
    <s v="No"/>
    <m/>
    <s v="1+ Failures"/>
    <n v="1"/>
    <s v="10-20hrs"/>
    <s v="12+ months"/>
    <x v="0"/>
  </r>
  <r>
    <n v="1920"/>
    <d v="2024-12-20T00:00:00"/>
    <s v="Standard"/>
    <n v="399"/>
    <n v="9.1999999999999993"/>
    <n v="2"/>
    <n v="2"/>
    <n v="35"/>
    <n v="55"/>
    <s v="No"/>
    <s v="No"/>
    <s v="Yes"/>
    <s v="No"/>
    <s v="Yes"/>
    <s v="No"/>
    <m/>
    <s v="1+ Failures"/>
    <n v="0"/>
    <s v="5-10 hrs"/>
    <s v="12+ months"/>
    <x v="1"/>
  </r>
  <r>
    <n v="1921"/>
    <d v="2023-11-18T00:00:00"/>
    <s v="Basic"/>
    <n v="199"/>
    <n v="14.7"/>
    <n v="1"/>
    <n v="4"/>
    <n v="35"/>
    <n v="45"/>
    <s v="Yes"/>
    <s v="No"/>
    <s v="Yes"/>
    <s v="No"/>
    <s v="Yes"/>
    <s v="No"/>
    <m/>
    <s v="1+ Failures"/>
    <n v="1"/>
    <s v="10-20hrs"/>
    <s v="12+ months"/>
    <x v="1"/>
  </r>
  <r>
    <n v="1922"/>
    <d v="2023-02-24T00:00:00"/>
    <s v="Basic"/>
    <n v="199"/>
    <n v="18.100000000000001"/>
    <n v="8"/>
    <n v="1"/>
    <n v="15"/>
    <n v="29"/>
    <s v="Yes"/>
    <s v="No"/>
    <s v="Yes"/>
    <s v="Yes"/>
    <s v="Yes"/>
    <s v="No"/>
    <m/>
    <s v="1+ Failures"/>
    <n v="1"/>
    <s v="10-20hrs"/>
    <s v="12+ months"/>
    <x v="1"/>
  </r>
  <r>
    <n v="1923"/>
    <d v="2024-04-04T00:00:00"/>
    <s v="Standard"/>
    <n v="399"/>
    <n v="12.7"/>
    <n v="6"/>
    <n v="0"/>
    <n v="29"/>
    <n v="10"/>
    <s v="Yes"/>
    <s v="No"/>
    <s v="No"/>
    <s v="Yes"/>
    <s v="No"/>
    <s v="No"/>
    <m/>
    <s v="0 Failures"/>
    <n v="1"/>
    <s v="10-20hrs"/>
    <s v="12+ months"/>
    <x v="1"/>
  </r>
  <r>
    <n v="1924"/>
    <d v="2023-12-29T00:00:00"/>
    <s v="Premium"/>
    <n v="699"/>
    <n v="22.4"/>
    <n v="7"/>
    <n v="5"/>
    <n v="4"/>
    <n v="9"/>
    <s v="Yes"/>
    <s v="No"/>
    <s v="Yes"/>
    <s v="Yes"/>
    <s v="No"/>
    <s v="Yes"/>
    <m/>
    <s v="1+ Failures"/>
    <n v="1"/>
    <s v="20+ hrs"/>
    <s v="3-6months"/>
    <x v="0"/>
  </r>
  <r>
    <n v="1925"/>
    <d v="2024-12-22T00:00:00"/>
    <s v="Basic"/>
    <n v="199"/>
    <n v="14.5"/>
    <n v="0"/>
    <n v="5"/>
    <n v="18"/>
    <n v="38"/>
    <s v="Yes"/>
    <s v="No"/>
    <s v="Yes"/>
    <s v="No"/>
    <s v="Yes"/>
    <s v="No"/>
    <m/>
    <s v="1+ Failures"/>
    <n v="1"/>
    <s v="10-20hrs"/>
    <s v="12+ months"/>
    <x v="1"/>
  </r>
  <r>
    <n v="1926"/>
    <d v="2023-11-08T00:00:00"/>
    <s v="Basic"/>
    <n v="199"/>
    <n v="5.8"/>
    <n v="7"/>
    <n v="2"/>
    <n v="26"/>
    <n v="34"/>
    <s v="Yes"/>
    <s v="No"/>
    <s v="Yes"/>
    <s v="Yes"/>
    <s v="Yes"/>
    <s v="No"/>
    <m/>
    <s v="1+ Failures"/>
    <n v="1"/>
    <s v="5-10 hrs"/>
    <s v="12+ months"/>
    <x v="1"/>
  </r>
  <r>
    <n v="1927"/>
    <d v="2024-11-28T00:00:00"/>
    <s v="Standard"/>
    <n v="399"/>
    <n v="14.5"/>
    <n v="8"/>
    <n v="3"/>
    <n v="15"/>
    <n v="9"/>
    <s v="No"/>
    <s v="No"/>
    <s v="Yes"/>
    <s v="Yes"/>
    <s v="No"/>
    <s v="No"/>
    <m/>
    <s v="1+ Failures"/>
    <n v="0"/>
    <s v="10-20hrs"/>
    <s v="12+ months"/>
    <x v="1"/>
  </r>
  <r>
    <n v="1928"/>
    <d v="2023-05-03T00:00:00"/>
    <s v="Premium"/>
    <n v="699"/>
    <n v="21.6"/>
    <n v="0"/>
    <n v="5"/>
    <n v="21"/>
    <n v="48"/>
    <s v="Yes"/>
    <s v="No"/>
    <s v="Yes"/>
    <s v="No"/>
    <s v="Yes"/>
    <s v="No"/>
    <m/>
    <s v="1+ Failures"/>
    <n v="1"/>
    <s v="20+ hrs"/>
    <s v="12+ months"/>
    <x v="0"/>
  </r>
  <r>
    <n v="1929"/>
    <d v="2024-09-07T00:00:00"/>
    <s v="Basic"/>
    <n v="199"/>
    <n v="13.5"/>
    <n v="2"/>
    <n v="5"/>
    <n v="5"/>
    <n v="12"/>
    <s v="Yes"/>
    <s v="No"/>
    <s v="Yes"/>
    <s v="No"/>
    <s v="No"/>
    <s v="Yes"/>
    <m/>
    <s v="1+ Failures"/>
    <n v="1"/>
    <s v="10-20hrs"/>
    <s v="3-6months"/>
    <x v="1"/>
  </r>
  <r>
    <n v="1930"/>
    <d v="2023-04-07T00:00:00"/>
    <s v="Basic"/>
    <n v="199"/>
    <n v="1.2"/>
    <n v="7"/>
    <n v="5"/>
    <n v="12"/>
    <n v="7"/>
    <s v="Yes"/>
    <s v="Yes"/>
    <s v="Yes"/>
    <s v="Yes"/>
    <s v="No"/>
    <s v="No"/>
    <m/>
    <s v="1+ Failures"/>
    <n v="1"/>
    <s v="0-5 hrs"/>
    <s v="6-12months"/>
    <x v="1"/>
  </r>
  <r>
    <n v="1931"/>
    <d v="2023-12-18T00:00:00"/>
    <s v="Standard"/>
    <n v="399"/>
    <n v="20.2"/>
    <n v="6"/>
    <n v="5"/>
    <n v="25"/>
    <n v="30"/>
    <s v="Yes"/>
    <s v="No"/>
    <s v="Yes"/>
    <s v="Yes"/>
    <s v="Yes"/>
    <s v="No"/>
    <m/>
    <s v="1+ Failures"/>
    <n v="1"/>
    <s v="20+ hrs"/>
    <s v="12+ months"/>
    <x v="1"/>
  </r>
  <r>
    <n v="1932"/>
    <d v="2024-05-26T00:00:00"/>
    <s v="Basic"/>
    <n v="199"/>
    <n v="8.1"/>
    <n v="2"/>
    <n v="5"/>
    <n v="7"/>
    <n v="27"/>
    <s v="No"/>
    <s v="No"/>
    <s v="Yes"/>
    <s v="No"/>
    <s v="Yes"/>
    <s v="No"/>
    <m/>
    <s v="1+ Failures"/>
    <n v="0"/>
    <s v="5-10 hrs"/>
    <s v="6-12months"/>
    <x v="1"/>
  </r>
  <r>
    <n v="1933"/>
    <d v="2024-10-10T00:00:00"/>
    <s v="Basic"/>
    <n v="199"/>
    <n v="6.9"/>
    <n v="3"/>
    <n v="1"/>
    <n v="12"/>
    <n v="22"/>
    <s v="No"/>
    <s v="No"/>
    <s v="Yes"/>
    <s v="No"/>
    <s v="Yes"/>
    <s v="No"/>
    <m/>
    <s v="1+ Failures"/>
    <n v="0"/>
    <s v="5-10 hrs"/>
    <s v="6-12months"/>
    <x v="1"/>
  </r>
  <r>
    <n v="1934"/>
    <d v="2024-09-12T00:00:00"/>
    <s v="Basic"/>
    <n v="199"/>
    <n v="11.6"/>
    <n v="1"/>
    <n v="4"/>
    <n v="22"/>
    <n v="16"/>
    <s v="Yes"/>
    <s v="No"/>
    <s v="Yes"/>
    <s v="No"/>
    <s v="Yes"/>
    <s v="No"/>
    <m/>
    <s v="1+ Failures"/>
    <n v="1"/>
    <s v="10-20hrs"/>
    <s v="12+ months"/>
    <x v="1"/>
  </r>
  <r>
    <n v="1935"/>
    <d v="2024-06-25T00:00:00"/>
    <s v="Basic"/>
    <n v="199"/>
    <n v="1.9"/>
    <n v="5"/>
    <n v="0"/>
    <n v="36"/>
    <n v="10"/>
    <s v="Yes"/>
    <s v="Yes"/>
    <s v="No"/>
    <s v="Yes"/>
    <s v="No"/>
    <s v="No"/>
    <m/>
    <s v="0 Failures"/>
    <n v="1"/>
    <s v="0-5 hrs"/>
    <s v="12+ months"/>
    <x v="1"/>
  </r>
  <r>
    <n v="1936"/>
    <d v="2024-07-30T00:00:00"/>
    <s v="Basic"/>
    <n v="199"/>
    <n v="8.5"/>
    <n v="4"/>
    <n v="0"/>
    <n v="1"/>
    <n v="51"/>
    <s v="No"/>
    <s v="No"/>
    <s v="No"/>
    <s v="No"/>
    <s v="Yes"/>
    <s v="Yes"/>
    <m/>
    <s v="0 Failures"/>
    <n v="0"/>
    <s v="5-10 hrs"/>
    <s v="0-3months"/>
    <x v="1"/>
  </r>
  <r>
    <n v="1937"/>
    <d v="2024-07-02T00:00:00"/>
    <s v="Standard"/>
    <n v="399"/>
    <n v="23.9"/>
    <n v="3"/>
    <n v="5"/>
    <n v="5"/>
    <n v="39"/>
    <s v="Yes"/>
    <s v="No"/>
    <s v="Yes"/>
    <s v="No"/>
    <s v="Yes"/>
    <s v="Yes"/>
    <m/>
    <s v="1+ Failures"/>
    <n v="1"/>
    <s v="20+ hrs"/>
    <s v="3-6months"/>
    <x v="1"/>
  </r>
  <r>
    <n v="1938"/>
    <d v="2024-03-27T00:00:00"/>
    <s v="Basic"/>
    <n v="199"/>
    <n v="2.9"/>
    <n v="2"/>
    <n v="4"/>
    <n v="23"/>
    <n v="23"/>
    <s v="Yes"/>
    <s v="Yes"/>
    <s v="Yes"/>
    <s v="No"/>
    <s v="Yes"/>
    <s v="No"/>
    <m/>
    <s v="1+ Failures"/>
    <n v="1"/>
    <s v="0-5 hrs"/>
    <s v="12+ months"/>
    <x v="1"/>
  </r>
  <r>
    <n v="1939"/>
    <d v="2024-07-04T00:00:00"/>
    <s v="Premium"/>
    <n v="699"/>
    <n v="12.9"/>
    <n v="7"/>
    <n v="0"/>
    <n v="12"/>
    <n v="39"/>
    <s v="Yes"/>
    <s v="No"/>
    <s v="No"/>
    <s v="Yes"/>
    <s v="Yes"/>
    <s v="No"/>
    <m/>
    <s v="0 Failures"/>
    <n v="1"/>
    <s v="10-20hrs"/>
    <s v="6-12months"/>
    <x v="0"/>
  </r>
  <r>
    <n v="1940"/>
    <d v="2024-06-14T00:00:00"/>
    <s v="Basic"/>
    <n v="199"/>
    <n v="23.4"/>
    <n v="1"/>
    <n v="2"/>
    <n v="20"/>
    <n v="43"/>
    <s v="Yes"/>
    <s v="No"/>
    <s v="Yes"/>
    <s v="No"/>
    <s v="Yes"/>
    <s v="No"/>
    <m/>
    <s v="1+ Failures"/>
    <n v="1"/>
    <s v="20+ hrs"/>
    <s v="12+ months"/>
    <x v="1"/>
  </r>
  <r>
    <n v="1941"/>
    <d v="2024-04-10T00:00:00"/>
    <s v="Basic"/>
    <n v="199"/>
    <n v="12.7"/>
    <n v="2"/>
    <n v="4"/>
    <n v="7"/>
    <n v="58"/>
    <s v="Yes"/>
    <s v="No"/>
    <s v="Yes"/>
    <s v="No"/>
    <s v="Yes"/>
    <s v="No"/>
    <m/>
    <s v="1+ Failures"/>
    <n v="1"/>
    <s v="10-20hrs"/>
    <s v="6-12months"/>
    <x v="1"/>
  </r>
  <r>
    <n v="1942"/>
    <d v="2023-12-13T00:00:00"/>
    <s v="Premium"/>
    <n v="699"/>
    <n v="20.9"/>
    <n v="7"/>
    <n v="0"/>
    <n v="36"/>
    <n v="42"/>
    <s v="No"/>
    <s v="No"/>
    <s v="No"/>
    <s v="Yes"/>
    <s v="Yes"/>
    <s v="No"/>
    <m/>
    <s v="0 Failures"/>
    <n v="0"/>
    <s v="20+ hrs"/>
    <s v="12+ months"/>
    <x v="0"/>
  </r>
  <r>
    <n v="1943"/>
    <d v="2024-01-02T00:00:00"/>
    <s v="Basic"/>
    <n v="199"/>
    <n v="4"/>
    <n v="7"/>
    <n v="1"/>
    <n v="24"/>
    <n v="50"/>
    <s v="Yes"/>
    <s v="Yes"/>
    <s v="Yes"/>
    <s v="Yes"/>
    <s v="Yes"/>
    <s v="No"/>
    <m/>
    <s v="1+ Failures"/>
    <n v="1"/>
    <s v="0-5 hrs"/>
    <s v="12+ months"/>
    <x v="1"/>
  </r>
  <r>
    <n v="1944"/>
    <d v="2023-11-25T00:00:00"/>
    <s v="Basic"/>
    <n v="199"/>
    <n v="20.399999999999999"/>
    <n v="1"/>
    <n v="4"/>
    <n v="31"/>
    <n v="5"/>
    <s v="No"/>
    <s v="No"/>
    <s v="Yes"/>
    <s v="No"/>
    <s v="No"/>
    <s v="No"/>
    <m/>
    <s v="1+ Failures"/>
    <n v="0"/>
    <s v="20+ hrs"/>
    <s v="12+ months"/>
    <x v="1"/>
  </r>
  <r>
    <n v="1945"/>
    <d v="2023-05-19T00:00:00"/>
    <s v="Premium"/>
    <n v="699"/>
    <n v="13.3"/>
    <n v="8"/>
    <n v="5"/>
    <n v="35"/>
    <n v="12"/>
    <s v="Yes"/>
    <s v="No"/>
    <s v="Yes"/>
    <s v="Yes"/>
    <s v="No"/>
    <s v="No"/>
    <m/>
    <s v="1+ Failures"/>
    <n v="1"/>
    <s v="10-20hrs"/>
    <s v="12+ months"/>
    <x v="0"/>
  </r>
  <r>
    <n v="1946"/>
    <d v="2024-05-17T00:00:00"/>
    <s v="Standard"/>
    <n v="399"/>
    <n v="7.7"/>
    <n v="6"/>
    <n v="3"/>
    <n v="13"/>
    <n v="27"/>
    <s v="Yes"/>
    <s v="No"/>
    <s v="Yes"/>
    <s v="Yes"/>
    <s v="Yes"/>
    <s v="No"/>
    <m/>
    <s v="1+ Failures"/>
    <n v="1"/>
    <s v="5-10 hrs"/>
    <s v="12+ months"/>
    <x v="1"/>
  </r>
  <r>
    <n v="1947"/>
    <d v="2024-05-24T00:00:00"/>
    <s v="Basic"/>
    <n v="199"/>
    <n v="3.1"/>
    <n v="8"/>
    <n v="3"/>
    <n v="32"/>
    <n v="39"/>
    <s v="Yes"/>
    <s v="Yes"/>
    <s v="Yes"/>
    <s v="Yes"/>
    <s v="Yes"/>
    <s v="No"/>
    <m/>
    <s v="1+ Failures"/>
    <n v="1"/>
    <s v="0-5 hrs"/>
    <s v="12+ months"/>
    <x v="1"/>
  </r>
  <r>
    <n v="1948"/>
    <d v="2024-08-24T00:00:00"/>
    <s v="Standard"/>
    <n v="399"/>
    <n v="13.4"/>
    <n v="0"/>
    <n v="1"/>
    <n v="4"/>
    <n v="60"/>
    <s v="Yes"/>
    <s v="No"/>
    <s v="Yes"/>
    <s v="No"/>
    <s v="Yes"/>
    <s v="Yes"/>
    <m/>
    <s v="1+ Failures"/>
    <n v="1"/>
    <s v="10-20hrs"/>
    <s v="3-6months"/>
    <x v="1"/>
  </r>
  <r>
    <n v="1949"/>
    <d v="2023-02-18T00:00:00"/>
    <s v="Premium"/>
    <n v="699"/>
    <n v="4.7"/>
    <n v="5"/>
    <n v="5"/>
    <n v="35"/>
    <n v="3"/>
    <s v="Yes"/>
    <s v="Yes"/>
    <s v="Yes"/>
    <s v="Yes"/>
    <s v="No"/>
    <s v="No"/>
    <m/>
    <s v="1+ Failures"/>
    <n v="1"/>
    <s v="0-5 hrs"/>
    <s v="12+ months"/>
    <x v="0"/>
  </r>
  <r>
    <n v="1950"/>
    <d v="2024-03-20T00:00:00"/>
    <s v="Standard"/>
    <n v="399"/>
    <n v="5.0999999999999996"/>
    <n v="8"/>
    <n v="0"/>
    <n v="25"/>
    <n v="52"/>
    <s v="No"/>
    <s v="No"/>
    <s v="No"/>
    <s v="Yes"/>
    <s v="Yes"/>
    <s v="No"/>
    <m/>
    <s v="0 Failures"/>
    <n v="0"/>
    <s v="5-10 hrs"/>
    <s v="12+ months"/>
    <x v="1"/>
  </r>
  <r>
    <n v="1951"/>
    <d v="2023-02-15T00:00:00"/>
    <s v="Premium"/>
    <n v="699"/>
    <n v="13.3"/>
    <n v="2"/>
    <n v="4"/>
    <n v="33"/>
    <n v="23"/>
    <s v="No"/>
    <s v="No"/>
    <s v="Yes"/>
    <s v="No"/>
    <s v="Yes"/>
    <s v="No"/>
    <m/>
    <s v="1+ Failures"/>
    <n v="0"/>
    <s v="10-20hrs"/>
    <s v="12+ months"/>
    <x v="0"/>
  </r>
  <r>
    <n v="1952"/>
    <d v="2023-07-28T00:00:00"/>
    <s v="Basic"/>
    <n v="199"/>
    <n v="11.7"/>
    <n v="2"/>
    <n v="1"/>
    <n v="7"/>
    <n v="45"/>
    <s v="Yes"/>
    <s v="No"/>
    <s v="Yes"/>
    <s v="No"/>
    <s v="Yes"/>
    <s v="No"/>
    <m/>
    <s v="1+ Failures"/>
    <n v="1"/>
    <s v="10-20hrs"/>
    <s v="6-12months"/>
    <x v="1"/>
  </r>
  <r>
    <n v="1953"/>
    <d v="2024-12-06T00:00:00"/>
    <s v="Standard"/>
    <n v="399"/>
    <n v="14.5"/>
    <n v="0"/>
    <n v="0"/>
    <n v="14"/>
    <n v="59"/>
    <s v="No"/>
    <s v="No"/>
    <s v="No"/>
    <s v="No"/>
    <s v="Yes"/>
    <s v="No"/>
    <m/>
    <s v="0 Failures"/>
    <n v="0"/>
    <s v="10-20hrs"/>
    <s v="12+ months"/>
    <x v="1"/>
  </r>
  <r>
    <n v="1954"/>
    <d v="2023-12-05T00:00:00"/>
    <s v="Basic"/>
    <n v="199"/>
    <n v="0.6"/>
    <n v="3"/>
    <n v="5"/>
    <n v="19"/>
    <n v="52"/>
    <s v="No"/>
    <s v="Yes"/>
    <s v="Yes"/>
    <s v="No"/>
    <s v="Yes"/>
    <s v="No"/>
    <m/>
    <s v="1+ Failures"/>
    <n v="0"/>
    <s v="0-5 hrs"/>
    <s v="12+ months"/>
    <x v="1"/>
  </r>
  <r>
    <n v="1955"/>
    <d v="2024-09-05T00:00:00"/>
    <s v="Basic"/>
    <n v="199"/>
    <n v="20.8"/>
    <n v="5"/>
    <n v="3"/>
    <n v="25"/>
    <n v="2"/>
    <s v="Yes"/>
    <s v="No"/>
    <s v="Yes"/>
    <s v="Yes"/>
    <s v="No"/>
    <s v="No"/>
    <m/>
    <s v="1+ Failures"/>
    <n v="1"/>
    <s v="20+ hrs"/>
    <s v="12+ months"/>
    <x v="1"/>
  </r>
  <r>
    <n v="1956"/>
    <d v="2024-10-03T00:00:00"/>
    <s v="Basic"/>
    <n v="199"/>
    <n v="22.1"/>
    <n v="6"/>
    <n v="5"/>
    <n v="17"/>
    <n v="36"/>
    <s v="Yes"/>
    <s v="No"/>
    <s v="Yes"/>
    <s v="Yes"/>
    <s v="Yes"/>
    <s v="No"/>
    <m/>
    <s v="1+ Failures"/>
    <n v="1"/>
    <s v="20+ hrs"/>
    <s v="12+ months"/>
    <x v="1"/>
  </r>
  <r>
    <n v="1957"/>
    <d v="2024-02-28T00:00:00"/>
    <s v="Standard"/>
    <n v="399"/>
    <n v="23.5"/>
    <n v="4"/>
    <n v="3"/>
    <n v="14"/>
    <n v="44"/>
    <s v="Yes"/>
    <s v="No"/>
    <s v="Yes"/>
    <s v="No"/>
    <s v="Yes"/>
    <s v="No"/>
    <m/>
    <s v="1+ Failures"/>
    <n v="1"/>
    <s v="20+ hrs"/>
    <s v="12+ months"/>
    <x v="1"/>
  </r>
  <r>
    <n v="1958"/>
    <d v="2024-10-03T00:00:00"/>
    <s v="Standard"/>
    <n v="399"/>
    <n v="21.1"/>
    <n v="3"/>
    <n v="3"/>
    <n v="18"/>
    <n v="16"/>
    <s v="No"/>
    <s v="No"/>
    <s v="Yes"/>
    <s v="No"/>
    <s v="Yes"/>
    <s v="No"/>
    <m/>
    <s v="1+ Failures"/>
    <n v="0"/>
    <s v="20+ hrs"/>
    <s v="12+ months"/>
    <x v="1"/>
  </r>
  <r>
    <n v="1959"/>
    <d v="2023-03-14T00:00:00"/>
    <s v="Premium"/>
    <n v="699"/>
    <n v="1.5"/>
    <n v="7"/>
    <n v="1"/>
    <n v="26"/>
    <n v="42"/>
    <s v="Yes"/>
    <s v="Yes"/>
    <s v="Yes"/>
    <s v="Yes"/>
    <s v="Yes"/>
    <s v="No"/>
    <m/>
    <s v="1+ Failures"/>
    <n v="1"/>
    <s v="0-5 hrs"/>
    <s v="12+ months"/>
    <x v="0"/>
  </r>
  <r>
    <n v="1960"/>
    <d v="2023-06-21T00:00:00"/>
    <s v="Premium"/>
    <n v="699"/>
    <n v="3.3"/>
    <n v="7"/>
    <n v="0"/>
    <n v="8"/>
    <n v="11"/>
    <s v="No"/>
    <s v="Yes"/>
    <s v="No"/>
    <s v="Yes"/>
    <s v="No"/>
    <s v="No"/>
    <m/>
    <s v="0 Failures"/>
    <n v="0"/>
    <s v="0-5 hrs"/>
    <s v="6-12months"/>
    <x v="0"/>
  </r>
  <r>
    <n v="1961"/>
    <d v="2024-08-06T00:00:00"/>
    <s v="Premium"/>
    <n v="699"/>
    <n v="23.9"/>
    <n v="6"/>
    <n v="2"/>
    <n v="17"/>
    <n v="34"/>
    <s v="Yes"/>
    <s v="No"/>
    <s v="Yes"/>
    <s v="Yes"/>
    <s v="Yes"/>
    <s v="No"/>
    <m/>
    <s v="1+ Failures"/>
    <n v="1"/>
    <s v="20+ hrs"/>
    <s v="12+ months"/>
    <x v="0"/>
  </r>
  <r>
    <n v="1962"/>
    <d v="2024-05-24T00:00:00"/>
    <s v="Standard"/>
    <n v="399"/>
    <n v="19.100000000000001"/>
    <n v="6"/>
    <n v="1"/>
    <n v="7"/>
    <n v="60"/>
    <s v="Yes"/>
    <s v="No"/>
    <s v="Yes"/>
    <s v="Yes"/>
    <s v="Yes"/>
    <s v="No"/>
    <m/>
    <s v="1+ Failures"/>
    <n v="1"/>
    <s v="10-20hrs"/>
    <s v="6-12months"/>
    <x v="1"/>
  </r>
  <r>
    <n v="1963"/>
    <d v="2023-08-23T00:00:00"/>
    <s v="Basic"/>
    <n v="199"/>
    <n v="13.2"/>
    <n v="0"/>
    <n v="3"/>
    <n v="9"/>
    <n v="30"/>
    <s v="Yes"/>
    <s v="No"/>
    <s v="Yes"/>
    <s v="No"/>
    <s v="Yes"/>
    <s v="No"/>
    <m/>
    <s v="1+ Failures"/>
    <n v="1"/>
    <s v="10-20hrs"/>
    <s v="6-12months"/>
    <x v="1"/>
  </r>
  <r>
    <n v="1964"/>
    <d v="2024-03-24T00:00:00"/>
    <s v="Basic"/>
    <n v="199"/>
    <n v="5"/>
    <n v="1"/>
    <n v="1"/>
    <n v="25"/>
    <n v="27"/>
    <s v="No"/>
    <s v="No"/>
    <s v="Yes"/>
    <s v="No"/>
    <s v="Yes"/>
    <s v="No"/>
    <m/>
    <s v="1+ Failures"/>
    <n v="0"/>
    <s v="0-5 hrs"/>
    <s v="12+ months"/>
    <x v="1"/>
  </r>
  <r>
    <n v="1965"/>
    <d v="2023-07-13T00:00:00"/>
    <s v="Premium"/>
    <n v="699"/>
    <n v="11.3"/>
    <n v="0"/>
    <n v="5"/>
    <n v="10"/>
    <n v="59"/>
    <s v="Yes"/>
    <s v="No"/>
    <s v="Yes"/>
    <s v="No"/>
    <s v="Yes"/>
    <s v="No"/>
    <m/>
    <s v="1+ Failures"/>
    <n v="1"/>
    <s v="10-20hrs"/>
    <s v="6-12months"/>
    <x v="0"/>
  </r>
  <r>
    <n v="1966"/>
    <d v="2023-09-14T00:00:00"/>
    <s v="Basic"/>
    <n v="199"/>
    <n v="1.6"/>
    <n v="0"/>
    <n v="1"/>
    <n v="21"/>
    <n v="21"/>
    <s v="No"/>
    <s v="Yes"/>
    <s v="Yes"/>
    <s v="No"/>
    <s v="Yes"/>
    <s v="No"/>
    <m/>
    <s v="1+ Failures"/>
    <n v="0"/>
    <s v="0-5 hrs"/>
    <s v="12+ months"/>
    <x v="1"/>
  </r>
  <r>
    <n v="1967"/>
    <d v="2023-10-26T00:00:00"/>
    <s v="Basic"/>
    <n v="199"/>
    <n v="11.8"/>
    <n v="0"/>
    <n v="3"/>
    <n v="23"/>
    <n v="24"/>
    <s v="Yes"/>
    <s v="No"/>
    <s v="Yes"/>
    <s v="No"/>
    <s v="Yes"/>
    <s v="No"/>
    <m/>
    <s v="1+ Failures"/>
    <n v="1"/>
    <s v="10-20hrs"/>
    <s v="12+ months"/>
    <x v="1"/>
  </r>
  <r>
    <n v="1968"/>
    <d v="2023-01-26T00:00:00"/>
    <s v="Premium"/>
    <n v="699"/>
    <n v="6"/>
    <n v="3"/>
    <n v="2"/>
    <n v="5"/>
    <n v="42"/>
    <s v="No"/>
    <s v="No"/>
    <s v="Yes"/>
    <s v="No"/>
    <s v="Yes"/>
    <s v="Yes"/>
    <m/>
    <s v="1+ Failures"/>
    <n v="0"/>
    <s v="5-10 hrs"/>
    <s v="3-6months"/>
    <x v="0"/>
  </r>
  <r>
    <n v="1969"/>
    <d v="2024-07-14T00:00:00"/>
    <s v="Standard"/>
    <n v="399"/>
    <n v="21.2"/>
    <n v="8"/>
    <n v="2"/>
    <n v="5"/>
    <n v="35"/>
    <s v="Yes"/>
    <s v="No"/>
    <s v="Yes"/>
    <s v="Yes"/>
    <s v="Yes"/>
    <s v="Yes"/>
    <m/>
    <s v="1+ Failures"/>
    <n v="1"/>
    <s v="20+ hrs"/>
    <s v="3-6months"/>
    <x v="1"/>
  </r>
  <r>
    <n v="1970"/>
    <d v="2024-09-25T00:00:00"/>
    <s v="Standard"/>
    <n v="399"/>
    <n v="3.2"/>
    <n v="1"/>
    <n v="3"/>
    <n v="4"/>
    <n v="33"/>
    <s v="Yes"/>
    <s v="Yes"/>
    <s v="Yes"/>
    <s v="No"/>
    <s v="Yes"/>
    <s v="Yes"/>
    <m/>
    <s v="1+ Failures"/>
    <n v="1"/>
    <s v="0-5 hrs"/>
    <s v="3-6months"/>
    <x v="1"/>
  </r>
  <r>
    <n v="1971"/>
    <d v="2023-04-17T00:00:00"/>
    <s v="Premium"/>
    <n v="699"/>
    <n v="18.2"/>
    <n v="5"/>
    <n v="2"/>
    <n v="11"/>
    <n v="2"/>
    <s v="Yes"/>
    <s v="No"/>
    <s v="Yes"/>
    <s v="Yes"/>
    <s v="No"/>
    <s v="No"/>
    <m/>
    <s v="1+ Failures"/>
    <n v="1"/>
    <s v="10-20hrs"/>
    <s v="6-12months"/>
    <x v="0"/>
  </r>
  <r>
    <n v="1972"/>
    <d v="2024-08-03T00:00:00"/>
    <s v="Premium"/>
    <n v="699"/>
    <n v="0.6"/>
    <n v="0"/>
    <n v="4"/>
    <n v="15"/>
    <n v="3"/>
    <s v="No"/>
    <s v="Yes"/>
    <s v="Yes"/>
    <s v="No"/>
    <s v="No"/>
    <s v="No"/>
    <m/>
    <s v="1+ Failures"/>
    <n v="0"/>
    <s v="0-5 hrs"/>
    <s v="12+ months"/>
    <x v="0"/>
  </r>
  <r>
    <n v="1973"/>
    <d v="2024-10-26T00:00:00"/>
    <s v="Basic"/>
    <n v="199"/>
    <n v="19.2"/>
    <n v="0"/>
    <n v="4"/>
    <n v="15"/>
    <n v="34"/>
    <s v="Yes"/>
    <s v="No"/>
    <s v="Yes"/>
    <s v="No"/>
    <s v="Yes"/>
    <s v="No"/>
    <m/>
    <s v="1+ Failures"/>
    <n v="1"/>
    <s v="10-20hrs"/>
    <s v="12+ months"/>
    <x v="1"/>
  </r>
  <r>
    <n v="1974"/>
    <d v="2024-11-30T00:00:00"/>
    <s v="Standard"/>
    <n v="399"/>
    <n v="7.4"/>
    <n v="6"/>
    <n v="3"/>
    <n v="25"/>
    <n v="58"/>
    <s v="Yes"/>
    <s v="No"/>
    <s v="Yes"/>
    <s v="Yes"/>
    <s v="Yes"/>
    <s v="No"/>
    <m/>
    <s v="1+ Failures"/>
    <n v="1"/>
    <s v="5-10 hrs"/>
    <s v="12+ months"/>
    <x v="1"/>
  </r>
  <r>
    <n v="1975"/>
    <d v="2024-04-10T00:00:00"/>
    <s v="Standard"/>
    <n v="399"/>
    <n v="9"/>
    <n v="7"/>
    <n v="3"/>
    <n v="17"/>
    <n v="58"/>
    <s v="No"/>
    <s v="No"/>
    <s v="Yes"/>
    <s v="Yes"/>
    <s v="Yes"/>
    <s v="No"/>
    <m/>
    <s v="1+ Failures"/>
    <n v="0"/>
    <s v="5-10 hrs"/>
    <s v="12+ months"/>
    <x v="1"/>
  </r>
  <r>
    <n v="1976"/>
    <d v="2024-02-02T00:00:00"/>
    <s v="Premium"/>
    <n v="699"/>
    <n v="6"/>
    <n v="4"/>
    <n v="5"/>
    <n v="24"/>
    <n v="46"/>
    <s v="Yes"/>
    <s v="No"/>
    <s v="Yes"/>
    <s v="No"/>
    <s v="Yes"/>
    <s v="No"/>
    <m/>
    <s v="1+ Failures"/>
    <n v="1"/>
    <s v="5-10 hrs"/>
    <s v="12+ months"/>
    <x v="0"/>
  </r>
  <r>
    <n v="1977"/>
    <d v="2023-02-13T00:00:00"/>
    <s v="Standard"/>
    <n v="399"/>
    <n v="9.5"/>
    <n v="0"/>
    <n v="3"/>
    <n v="11"/>
    <n v="51"/>
    <s v="Yes"/>
    <s v="No"/>
    <s v="Yes"/>
    <s v="No"/>
    <s v="Yes"/>
    <s v="No"/>
    <m/>
    <s v="1+ Failures"/>
    <n v="1"/>
    <s v="5-10 hrs"/>
    <s v="6-12months"/>
    <x v="1"/>
  </r>
  <r>
    <n v="1978"/>
    <d v="2024-10-03T00:00:00"/>
    <s v="Standard"/>
    <n v="399"/>
    <n v="17.899999999999999"/>
    <n v="8"/>
    <n v="1"/>
    <n v="27"/>
    <n v="25"/>
    <s v="Yes"/>
    <s v="No"/>
    <s v="Yes"/>
    <s v="Yes"/>
    <s v="Yes"/>
    <s v="No"/>
    <m/>
    <s v="1+ Failures"/>
    <n v="1"/>
    <s v="10-20hrs"/>
    <s v="12+ months"/>
    <x v="1"/>
  </r>
  <r>
    <n v="1979"/>
    <d v="2024-03-30T00:00:00"/>
    <s v="Standard"/>
    <n v="399"/>
    <n v="23.6"/>
    <n v="6"/>
    <n v="3"/>
    <n v="14"/>
    <n v="29"/>
    <s v="Yes"/>
    <s v="No"/>
    <s v="Yes"/>
    <s v="Yes"/>
    <s v="Yes"/>
    <s v="No"/>
    <m/>
    <s v="1+ Failures"/>
    <n v="1"/>
    <s v="20+ hrs"/>
    <s v="12+ months"/>
    <x v="1"/>
  </r>
  <r>
    <n v="1980"/>
    <d v="2024-06-26T00:00:00"/>
    <s v="Standard"/>
    <n v="399"/>
    <n v="9.4"/>
    <n v="5"/>
    <n v="5"/>
    <n v="30"/>
    <n v="25"/>
    <s v="Yes"/>
    <s v="No"/>
    <s v="Yes"/>
    <s v="Yes"/>
    <s v="Yes"/>
    <s v="No"/>
    <m/>
    <s v="1+ Failures"/>
    <n v="1"/>
    <s v="5-10 hrs"/>
    <s v="12+ months"/>
    <x v="1"/>
  </r>
  <r>
    <n v="1981"/>
    <d v="2024-11-06T00:00:00"/>
    <s v="Basic"/>
    <n v="199"/>
    <n v="5.8"/>
    <n v="3"/>
    <n v="4"/>
    <n v="16"/>
    <n v="12"/>
    <s v="No"/>
    <s v="No"/>
    <s v="Yes"/>
    <s v="No"/>
    <s v="No"/>
    <s v="No"/>
    <m/>
    <s v="1+ Failures"/>
    <n v="0"/>
    <s v="5-10 hrs"/>
    <s v="12+ months"/>
    <x v="1"/>
  </r>
  <r>
    <n v="1982"/>
    <d v="2023-08-07T00:00:00"/>
    <s v="Premium"/>
    <n v="699"/>
    <n v="22.6"/>
    <n v="8"/>
    <n v="3"/>
    <n v="24"/>
    <n v="23"/>
    <s v="Yes"/>
    <s v="No"/>
    <s v="Yes"/>
    <s v="Yes"/>
    <s v="Yes"/>
    <s v="No"/>
    <m/>
    <s v="1+ Failures"/>
    <n v="1"/>
    <s v="20+ hrs"/>
    <s v="12+ months"/>
    <x v="0"/>
  </r>
  <r>
    <n v="1983"/>
    <d v="2024-09-30T00:00:00"/>
    <s v="Standard"/>
    <n v="399"/>
    <n v="12"/>
    <n v="8"/>
    <n v="5"/>
    <n v="10"/>
    <n v="28"/>
    <s v="Yes"/>
    <s v="No"/>
    <s v="Yes"/>
    <s v="Yes"/>
    <s v="Yes"/>
    <s v="No"/>
    <m/>
    <s v="1+ Failures"/>
    <n v="1"/>
    <s v="10-20hrs"/>
    <s v="6-12months"/>
    <x v="1"/>
  </r>
  <r>
    <n v="1984"/>
    <d v="2024-01-29T00:00:00"/>
    <s v="Standard"/>
    <n v="399"/>
    <n v="5.4"/>
    <n v="5"/>
    <n v="4"/>
    <n v="4"/>
    <n v="56"/>
    <s v="Yes"/>
    <s v="No"/>
    <s v="Yes"/>
    <s v="Yes"/>
    <s v="Yes"/>
    <s v="Yes"/>
    <m/>
    <s v="1+ Failures"/>
    <n v="1"/>
    <s v="5-10 hrs"/>
    <s v="3-6months"/>
    <x v="1"/>
  </r>
  <r>
    <n v="1985"/>
    <d v="2024-08-04T00:00:00"/>
    <s v="Premium"/>
    <n v="699"/>
    <n v="4.9000000000000004"/>
    <n v="7"/>
    <n v="0"/>
    <n v="28"/>
    <n v="44"/>
    <s v="Yes"/>
    <s v="Yes"/>
    <s v="No"/>
    <s v="Yes"/>
    <s v="Yes"/>
    <s v="No"/>
    <m/>
    <s v="0 Failures"/>
    <n v="1"/>
    <s v="0-5 hrs"/>
    <s v="12+ months"/>
    <x v="0"/>
  </r>
  <r>
    <n v="1986"/>
    <d v="2023-07-22T00:00:00"/>
    <s v="Premium"/>
    <n v="699"/>
    <n v="7.2"/>
    <n v="2"/>
    <n v="5"/>
    <n v="12"/>
    <n v="25"/>
    <s v="Yes"/>
    <s v="No"/>
    <s v="Yes"/>
    <s v="No"/>
    <s v="Yes"/>
    <s v="No"/>
    <m/>
    <s v="1+ Failures"/>
    <n v="1"/>
    <s v="5-10 hrs"/>
    <s v="6-12months"/>
    <x v="0"/>
  </r>
  <r>
    <n v="1987"/>
    <d v="2024-05-13T00:00:00"/>
    <s v="Basic"/>
    <n v="199"/>
    <n v="8.3000000000000007"/>
    <n v="3"/>
    <n v="5"/>
    <n v="27"/>
    <n v="8"/>
    <s v="No"/>
    <s v="No"/>
    <s v="Yes"/>
    <s v="No"/>
    <s v="No"/>
    <s v="No"/>
    <m/>
    <s v="1+ Failures"/>
    <n v="0"/>
    <s v="5-10 hrs"/>
    <s v="12+ months"/>
    <x v="1"/>
  </r>
  <r>
    <n v="1988"/>
    <d v="2023-03-29T00:00:00"/>
    <s v="Standard"/>
    <n v="399"/>
    <n v="18.5"/>
    <n v="0"/>
    <n v="5"/>
    <n v="34"/>
    <n v="6"/>
    <s v="No"/>
    <s v="No"/>
    <s v="Yes"/>
    <s v="No"/>
    <s v="No"/>
    <s v="No"/>
    <m/>
    <s v="1+ Failures"/>
    <n v="0"/>
    <s v="10-20hrs"/>
    <s v="12+ months"/>
    <x v="1"/>
  </r>
  <r>
    <n v="1989"/>
    <d v="2024-01-01T00:00:00"/>
    <s v="Basic"/>
    <n v="199"/>
    <n v="23"/>
    <n v="0"/>
    <n v="2"/>
    <n v="1"/>
    <n v="54"/>
    <s v="Yes"/>
    <s v="No"/>
    <s v="Yes"/>
    <s v="No"/>
    <s v="Yes"/>
    <s v="Yes"/>
    <m/>
    <s v="1+ Failures"/>
    <n v="1"/>
    <s v="20+ hrs"/>
    <s v="0-3months"/>
    <x v="1"/>
  </r>
  <r>
    <n v="1990"/>
    <d v="2023-11-20T00:00:00"/>
    <s v="Basic"/>
    <n v="199"/>
    <n v="24"/>
    <n v="4"/>
    <n v="0"/>
    <n v="10"/>
    <n v="23"/>
    <s v="No"/>
    <s v="No"/>
    <s v="No"/>
    <s v="No"/>
    <s v="Yes"/>
    <s v="No"/>
    <m/>
    <s v="0 Failures"/>
    <n v="0"/>
    <s v="20+ hrs"/>
    <s v="6-12months"/>
    <x v="1"/>
  </r>
  <r>
    <n v="1991"/>
    <d v="2024-07-29T00:00:00"/>
    <s v="Premium"/>
    <n v="699"/>
    <n v="12.1"/>
    <n v="2"/>
    <n v="2"/>
    <n v="29"/>
    <n v="19"/>
    <s v="Yes"/>
    <s v="No"/>
    <s v="Yes"/>
    <s v="No"/>
    <s v="Yes"/>
    <s v="No"/>
    <m/>
    <s v="1+ Failures"/>
    <n v="1"/>
    <s v="10-20hrs"/>
    <s v="12+ months"/>
    <x v="0"/>
  </r>
  <r>
    <n v="1992"/>
    <d v="2023-06-12T00:00:00"/>
    <s v="Basic"/>
    <n v="199"/>
    <n v="4.5"/>
    <n v="1"/>
    <n v="4"/>
    <n v="10"/>
    <n v="58"/>
    <s v="Yes"/>
    <s v="Yes"/>
    <s v="Yes"/>
    <s v="No"/>
    <s v="Yes"/>
    <s v="No"/>
    <m/>
    <s v="1+ Failures"/>
    <n v="1"/>
    <s v="0-5 hrs"/>
    <s v="6-12months"/>
    <x v="1"/>
  </r>
  <r>
    <n v="1993"/>
    <d v="2023-04-27T00:00:00"/>
    <s v="Premium"/>
    <n v="699"/>
    <n v="15.9"/>
    <n v="4"/>
    <n v="5"/>
    <n v="36"/>
    <n v="54"/>
    <s v="No"/>
    <s v="No"/>
    <s v="Yes"/>
    <s v="No"/>
    <s v="Yes"/>
    <s v="No"/>
    <m/>
    <s v="1+ Failures"/>
    <n v="0"/>
    <s v="10-20hrs"/>
    <s v="12+ months"/>
    <x v="0"/>
  </r>
  <r>
    <n v="1994"/>
    <d v="2024-04-29T00:00:00"/>
    <s v="Premium"/>
    <n v="699"/>
    <n v="22.8"/>
    <n v="1"/>
    <n v="0"/>
    <n v="10"/>
    <n v="8"/>
    <s v="No"/>
    <s v="No"/>
    <s v="No"/>
    <s v="No"/>
    <s v="No"/>
    <s v="No"/>
    <m/>
    <s v="0 Failures"/>
    <n v="0"/>
    <s v="20+ hrs"/>
    <s v="6-12months"/>
    <x v="0"/>
  </r>
  <r>
    <n v="1995"/>
    <d v="2024-01-07T00:00:00"/>
    <s v="Standard"/>
    <n v="399"/>
    <n v="4.7"/>
    <n v="0"/>
    <n v="4"/>
    <n v="31"/>
    <n v="44"/>
    <s v="No"/>
    <s v="Yes"/>
    <s v="Yes"/>
    <s v="No"/>
    <s v="Yes"/>
    <s v="No"/>
    <m/>
    <s v="1+ Failures"/>
    <n v="0"/>
    <s v="0-5 hrs"/>
    <s v="12+ months"/>
    <x v="1"/>
  </r>
  <r>
    <n v="1996"/>
    <d v="2023-12-19T00:00:00"/>
    <s v="Standard"/>
    <n v="399"/>
    <n v="11.5"/>
    <n v="0"/>
    <n v="3"/>
    <n v="12"/>
    <n v="60"/>
    <s v="No"/>
    <s v="No"/>
    <s v="Yes"/>
    <s v="No"/>
    <s v="Yes"/>
    <s v="No"/>
    <m/>
    <s v="1+ Failures"/>
    <n v="0"/>
    <s v="10-20hrs"/>
    <s v="6-12months"/>
    <x v="1"/>
  </r>
  <r>
    <n v="1997"/>
    <d v="2024-11-24T00:00:00"/>
    <s v="Standard"/>
    <n v="399"/>
    <n v="22.2"/>
    <n v="1"/>
    <n v="1"/>
    <n v="6"/>
    <n v="8"/>
    <s v="No"/>
    <s v="No"/>
    <s v="Yes"/>
    <s v="No"/>
    <s v="No"/>
    <s v="No"/>
    <m/>
    <s v="1+ Failures"/>
    <n v="0"/>
    <s v="20+ hrs"/>
    <s v="3-6months"/>
    <x v="1"/>
  </r>
  <r>
    <n v="1998"/>
    <d v="2023-03-27T00:00:00"/>
    <s v="Standard"/>
    <n v="399"/>
    <n v="3.2"/>
    <n v="3"/>
    <n v="5"/>
    <n v="10"/>
    <n v="20"/>
    <s v="Yes"/>
    <s v="Yes"/>
    <s v="Yes"/>
    <s v="No"/>
    <s v="Yes"/>
    <s v="No"/>
    <m/>
    <s v="1+ Failures"/>
    <n v="1"/>
    <s v="0-5 hrs"/>
    <s v="6-12months"/>
    <x v="1"/>
  </r>
  <r>
    <n v="1999"/>
    <d v="2023-07-16T00:00:00"/>
    <s v="Standard"/>
    <n v="399"/>
    <n v="0.9"/>
    <n v="6"/>
    <n v="1"/>
    <n v="32"/>
    <n v="23"/>
    <s v="No"/>
    <s v="Yes"/>
    <s v="Yes"/>
    <s v="Yes"/>
    <s v="Yes"/>
    <s v="No"/>
    <m/>
    <s v="1+ Failures"/>
    <n v="0"/>
    <s v="0-5 hrs"/>
    <s v="12+ months"/>
    <x v="1"/>
  </r>
  <r>
    <n v="2000"/>
    <d v="2023-02-23T00:00:00"/>
    <s v="Premium"/>
    <n v="699"/>
    <n v="24.6"/>
    <n v="0"/>
    <n v="3"/>
    <n v="18"/>
    <n v="20"/>
    <s v="No"/>
    <s v="No"/>
    <s v="Yes"/>
    <s v="No"/>
    <s v="Yes"/>
    <s v="No"/>
    <m/>
    <s v="1+ Failures"/>
    <n v="0"/>
    <s v="20+ hrs"/>
    <s v="12+ months"/>
    <x v="0"/>
  </r>
  <r>
    <n v="2001"/>
    <d v="2023-10-07T00:00:00"/>
    <s v="Premium"/>
    <n v="699"/>
    <n v="17.7"/>
    <n v="4"/>
    <n v="3"/>
    <n v="16"/>
    <n v="27"/>
    <s v="Yes"/>
    <s v="No"/>
    <s v="Yes"/>
    <s v="No"/>
    <s v="Yes"/>
    <s v="No"/>
    <m/>
    <s v="1+ Failures"/>
    <n v="1"/>
    <s v="10-20hrs"/>
    <s v="12+ months"/>
    <x v="0"/>
  </r>
  <r>
    <n v="2002"/>
    <d v="2024-10-01T00:00:00"/>
    <s v="Premium"/>
    <n v="699"/>
    <n v="16.7"/>
    <n v="5"/>
    <n v="4"/>
    <n v="30"/>
    <n v="2"/>
    <s v="Yes"/>
    <s v="No"/>
    <s v="Yes"/>
    <s v="Yes"/>
    <s v="No"/>
    <s v="No"/>
    <m/>
    <s v="1+ Failures"/>
    <n v="1"/>
    <s v="10-20hrs"/>
    <s v="12+ months"/>
    <x v="0"/>
  </r>
  <r>
    <n v="2003"/>
    <d v="2024-12-12T00:00:00"/>
    <s v="Basic"/>
    <n v="199"/>
    <n v="7.9"/>
    <n v="3"/>
    <n v="3"/>
    <n v="2"/>
    <n v="24"/>
    <s v="Yes"/>
    <s v="No"/>
    <s v="Yes"/>
    <s v="No"/>
    <s v="Yes"/>
    <s v="Yes"/>
    <m/>
    <s v="1+ Failures"/>
    <n v="1"/>
    <s v="5-10 hrs"/>
    <s v="0-3months"/>
    <x v="1"/>
  </r>
  <r>
    <n v="2004"/>
    <d v="2024-03-10T00:00:00"/>
    <s v="Premium"/>
    <n v="699"/>
    <n v="17.600000000000001"/>
    <n v="5"/>
    <n v="2"/>
    <n v="18"/>
    <n v="51"/>
    <s v="Yes"/>
    <s v="No"/>
    <s v="Yes"/>
    <s v="Yes"/>
    <s v="Yes"/>
    <s v="No"/>
    <m/>
    <s v="1+ Failures"/>
    <n v="1"/>
    <s v="10-20hrs"/>
    <s v="12+ months"/>
    <x v="0"/>
  </r>
  <r>
    <n v="2005"/>
    <d v="2024-05-15T00:00:00"/>
    <s v="Standard"/>
    <n v="399"/>
    <n v="3.7"/>
    <n v="5"/>
    <n v="5"/>
    <n v="22"/>
    <n v="16"/>
    <s v="Yes"/>
    <s v="Yes"/>
    <s v="Yes"/>
    <s v="Yes"/>
    <s v="Yes"/>
    <s v="No"/>
    <m/>
    <s v="1+ Failures"/>
    <n v="1"/>
    <s v="0-5 hrs"/>
    <s v="12+ months"/>
    <x v="1"/>
  </r>
  <r>
    <n v="2006"/>
    <d v="2023-11-23T00:00:00"/>
    <s v="Standard"/>
    <n v="399"/>
    <n v="2.5"/>
    <n v="7"/>
    <n v="5"/>
    <n v="18"/>
    <n v="5"/>
    <s v="No"/>
    <s v="Yes"/>
    <s v="Yes"/>
    <s v="Yes"/>
    <s v="No"/>
    <s v="No"/>
    <m/>
    <s v="1+ Failures"/>
    <n v="0"/>
    <s v="0-5 hrs"/>
    <s v="12+ months"/>
    <x v="1"/>
  </r>
  <r>
    <n v="2007"/>
    <d v="2024-01-18T00:00:00"/>
    <s v="Premium"/>
    <n v="699"/>
    <n v="1.1000000000000001"/>
    <n v="2"/>
    <n v="0"/>
    <n v="8"/>
    <n v="15"/>
    <s v="Yes"/>
    <s v="Yes"/>
    <s v="No"/>
    <s v="No"/>
    <s v="Yes"/>
    <s v="No"/>
    <m/>
    <s v="0 Failures"/>
    <n v="1"/>
    <s v="0-5 hrs"/>
    <s v="6-12months"/>
    <x v="0"/>
  </r>
  <r>
    <n v="2008"/>
    <d v="2023-01-14T00:00:00"/>
    <s v="Basic"/>
    <n v="199"/>
    <n v="14.5"/>
    <n v="3"/>
    <n v="0"/>
    <n v="10"/>
    <n v="55"/>
    <s v="Yes"/>
    <s v="No"/>
    <s v="No"/>
    <s v="No"/>
    <s v="Yes"/>
    <s v="No"/>
    <m/>
    <s v="0 Failures"/>
    <n v="1"/>
    <s v="10-20hrs"/>
    <s v="6-12months"/>
    <x v="1"/>
  </r>
  <r>
    <n v="2009"/>
    <d v="2024-04-16T00:00:00"/>
    <s v="Premium"/>
    <n v="699"/>
    <n v="21.8"/>
    <n v="1"/>
    <n v="1"/>
    <n v="22"/>
    <n v="37"/>
    <s v="No"/>
    <s v="No"/>
    <s v="Yes"/>
    <s v="No"/>
    <s v="Yes"/>
    <s v="No"/>
    <m/>
    <s v="1+ Failures"/>
    <n v="0"/>
    <s v="20+ hrs"/>
    <s v="12+ months"/>
    <x v="0"/>
  </r>
  <r>
    <n v="2010"/>
    <d v="2023-05-23T00:00:00"/>
    <s v="Premium"/>
    <n v="699"/>
    <n v="19.8"/>
    <n v="1"/>
    <n v="4"/>
    <n v="22"/>
    <n v="7"/>
    <s v="Yes"/>
    <s v="No"/>
    <s v="Yes"/>
    <s v="No"/>
    <s v="No"/>
    <s v="No"/>
    <m/>
    <s v="1+ Failures"/>
    <n v="1"/>
    <s v="10-20hrs"/>
    <s v="12+ months"/>
    <x v="0"/>
  </r>
  <r>
    <n v="2011"/>
    <d v="2023-08-27T00:00:00"/>
    <s v="Basic"/>
    <n v="199"/>
    <n v="5"/>
    <n v="1"/>
    <n v="0"/>
    <n v="6"/>
    <n v="27"/>
    <s v="No"/>
    <s v="No"/>
    <s v="No"/>
    <s v="No"/>
    <s v="Yes"/>
    <s v="No"/>
    <m/>
    <s v="0 Failures"/>
    <n v="0"/>
    <s v="0-5 hrs"/>
    <s v="3-6months"/>
    <x v="1"/>
  </r>
  <r>
    <n v="2012"/>
    <d v="2024-05-02T00:00:00"/>
    <s v="Basic"/>
    <n v="199"/>
    <n v="18.100000000000001"/>
    <n v="6"/>
    <n v="2"/>
    <n v="4"/>
    <n v="40"/>
    <s v="Yes"/>
    <s v="No"/>
    <s v="Yes"/>
    <s v="Yes"/>
    <s v="Yes"/>
    <s v="Yes"/>
    <m/>
    <s v="1+ Failures"/>
    <n v="1"/>
    <s v="10-20hrs"/>
    <s v="3-6months"/>
    <x v="1"/>
  </r>
  <r>
    <n v="2013"/>
    <d v="2024-08-29T00:00:00"/>
    <s v="Basic"/>
    <n v="199"/>
    <n v="15.3"/>
    <n v="2"/>
    <n v="3"/>
    <n v="32"/>
    <n v="18"/>
    <s v="No"/>
    <s v="No"/>
    <s v="Yes"/>
    <s v="No"/>
    <s v="Yes"/>
    <s v="No"/>
    <m/>
    <s v="1+ Failures"/>
    <n v="0"/>
    <s v="10-20hrs"/>
    <s v="12+ months"/>
    <x v="1"/>
  </r>
  <r>
    <n v="2014"/>
    <d v="2023-09-27T00:00:00"/>
    <s v="Basic"/>
    <n v="199"/>
    <n v="5"/>
    <n v="0"/>
    <n v="0"/>
    <n v="29"/>
    <n v="11"/>
    <s v="No"/>
    <s v="No"/>
    <s v="No"/>
    <s v="No"/>
    <s v="No"/>
    <s v="No"/>
    <m/>
    <s v="0 Failures"/>
    <n v="0"/>
    <s v="0-5 hrs"/>
    <s v="12+ months"/>
    <x v="1"/>
  </r>
  <r>
    <n v="2015"/>
    <d v="2023-03-19T00:00:00"/>
    <s v="Basic"/>
    <n v="199"/>
    <n v="14.6"/>
    <n v="3"/>
    <n v="5"/>
    <n v="35"/>
    <n v="7"/>
    <s v="No"/>
    <s v="No"/>
    <s v="Yes"/>
    <s v="No"/>
    <s v="No"/>
    <s v="No"/>
    <m/>
    <s v="1+ Failures"/>
    <n v="0"/>
    <s v="10-20hrs"/>
    <s v="12+ months"/>
    <x v="1"/>
  </r>
  <r>
    <n v="2016"/>
    <d v="2024-08-29T00:00:00"/>
    <s v="Basic"/>
    <n v="199"/>
    <n v="21.3"/>
    <n v="3"/>
    <n v="1"/>
    <n v="12"/>
    <n v="25"/>
    <s v="No"/>
    <s v="No"/>
    <s v="Yes"/>
    <s v="No"/>
    <s v="Yes"/>
    <s v="No"/>
    <m/>
    <s v="1+ Failures"/>
    <n v="0"/>
    <s v="20+ hrs"/>
    <s v="6-12months"/>
    <x v="1"/>
  </r>
  <r>
    <n v="2017"/>
    <d v="2023-12-20T00:00:00"/>
    <s v="Standard"/>
    <n v="399"/>
    <n v="12.9"/>
    <n v="4"/>
    <n v="1"/>
    <n v="27"/>
    <n v="27"/>
    <s v="Yes"/>
    <s v="No"/>
    <s v="Yes"/>
    <s v="No"/>
    <s v="Yes"/>
    <s v="No"/>
    <m/>
    <s v="1+ Failures"/>
    <n v="1"/>
    <s v="10-20hrs"/>
    <s v="12+ months"/>
    <x v="1"/>
  </r>
  <r>
    <n v="2018"/>
    <d v="2023-03-05T00:00:00"/>
    <s v="Premium"/>
    <n v="699"/>
    <n v="13.5"/>
    <n v="4"/>
    <n v="2"/>
    <n v="16"/>
    <n v="48"/>
    <s v="Yes"/>
    <s v="No"/>
    <s v="Yes"/>
    <s v="No"/>
    <s v="Yes"/>
    <s v="No"/>
    <m/>
    <s v="1+ Failures"/>
    <n v="1"/>
    <s v="10-20hrs"/>
    <s v="12+ months"/>
    <x v="0"/>
  </r>
  <r>
    <n v="2019"/>
    <d v="2023-03-23T00:00:00"/>
    <s v="Basic"/>
    <n v="199"/>
    <n v="8.9"/>
    <n v="0"/>
    <n v="4"/>
    <n v="32"/>
    <n v="48"/>
    <s v="No"/>
    <s v="No"/>
    <s v="Yes"/>
    <s v="No"/>
    <s v="Yes"/>
    <s v="No"/>
    <m/>
    <s v="1+ Failures"/>
    <n v="0"/>
    <s v="5-10 hrs"/>
    <s v="12+ months"/>
    <x v="1"/>
  </r>
  <r>
    <n v="2020"/>
    <d v="2024-01-06T00:00:00"/>
    <s v="Premium"/>
    <n v="699"/>
    <n v="0.8"/>
    <n v="1"/>
    <n v="2"/>
    <n v="29"/>
    <n v="37"/>
    <s v="Yes"/>
    <s v="Yes"/>
    <s v="Yes"/>
    <s v="No"/>
    <s v="Yes"/>
    <s v="No"/>
    <m/>
    <s v="1+ Failures"/>
    <n v="1"/>
    <s v="0-5 hrs"/>
    <s v="12+ months"/>
    <x v="0"/>
  </r>
  <r>
    <n v="2021"/>
    <d v="2024-05-06T00:00:00"/>
    <s v="Premium"/>
    <n v="699"/>
    <n v="14.4"/>
    <n v="5"/>
    <n v="3"/>
    <n v="5"/>
    <n v="22"/>
    <s v="Yes"/>
    <s v="No"/>
    <s v="Yes"/>
    <s v="Yes"/>
    <s v="Yes"/>
    <s v="Yes"/>
    <m/>
    <s v="1+ Failures"/>
    <n v="1"/>
    <s v="10-20hrs"/>
    <s v="3-6months"/>
    <x v="0"/>
  </r>
  <r>
    <n v="2022"/>
    <d v="2023-07-14T00:00:00"/>
    <s v="Standard"/>
    <n v="399"/>
    <n v="7.9"/>
    <n v="7"/>
    <n v="2"/>
    <n v="32"/>
    <n v="34"/>
    <s v="No"/>
    <s v="No"/>
    <s v="Yes"/>
    <s v="Yes"/>
    <s v="Yes"/>
    <s v="No"/>
    <m/>
    <s v="1+ Failures"/>
    <n v="0"/>
    <s v="5-10 hrs"/>
    <s v="12+ months"/>
    <x v="1"/>
  </r>
  <r>
    <n v="2023"/>
    <d v="2023-11-29T00:00:00"/>
    <s v="Basic"/>
    <n v="199"/>
    <n v="1.5"/>
    <n v="5"/>
    <n v="3"/>
    <n v="11"/>
    <n v="29"/>
    <s v="Yes"/>
    <s v="Yes"/>
    <s v="Yes"/>
    <s v="Yes"/>
    <s v="Yes"/>
    <s v="No"/>
    <m/>
    <s v="1+ Failures"/>
    <n v="1"/>
    <s v="0-5 hrs"/>
    <s v="6-12months"/>
    <x v="1"/>
  </r>
  <r>
    <n v="2024"/>
    <d v="2024-01-30T00:00:00"/>
    <s v="Standard"/>
    <n v="399"/>
    <n v="21.8"/>
    <n v="7"/>
    <n v="3"/>
    <n v="30"/>
    <n v="9"/>
    <s v="Yes"/>
    <s v="No"/>
    <s v="Yes"/>
    <s v="Yes"/>
    <s v="No"/>
    <s v="No"/>
    <m/>
    <s v="1+ Failures"/>
    <n v="1"/>
    <s v="20+ hrs"/>
    <s v="12+ months"/>
    <x v="1"/>
  </r>
  <r>
    <n v="2025"/>
    <d v="2024-02-14T00:00:00"/>
    <s v="Standard"/>
    <n v="399"/>
    <n v="21.9"/>
    <n v="5"/>
    <n v="3"/>
    <n v="2"/>
    <n v="55"/>
    <s v="Yes"/>
    <s v="No"/>
    <s v="Yes"/>
    <s v="Yes"/>
    <s v="Yes"/>
    <s v="Yes"/>
    <m/>
    <s v="1+ Failures"/>
    <n v="1"/>
    <s v="20+ hrs"/>
    <s v="0-3months"/>
    <x v="1"/>
  </r>
  <r>
    <n v="2026"/>
    <d v="2023-08-11T00:00:00"/>
    <s v="Standard"/>
    <n v="399"/>
    <n v="11.1"/>
    <n v="2"/>
    <n v="1"/>
    <n v="1"/>
    <n v="37"/>
    <s v="No"/>
    <s v="No"/>
    <s v="Yes"/>
    <s v="No"/>
    <s v="Yes"/>
    <s v="Yes"/>
    <m/>
    <s v="1+ Failures"/>
    <n v="0"/>
    <s v="10-20hrs"/>
    <s v="0-3months"/>
    <x v="1"/>
  </r>
  <r>
    <n v="2027"/>
    <d v="2024-05-24T00:00:00"/>
    <s v="Basic"/>
    <n v="199"/>
    <n v="10.1"/>
    <n v="2"/>
    <n v="2"/>
    <n v="2"/>
    <n v="21"/>
    <s v="Yes"/>
    <s v="No"/>
    <s v="Yes"/>
    <s v="No"/>
    <s v="Yes"/>
    <s v="Yes"/>
    <m/>
    <s v="1+ Failures"/>
    <n v="1"/>
    <s v="10-20hrs"/>
    <s v="0-3months"/>
    <x v="1"/>
  </r>
  <r>
    <n v="2028"/>
    <d v="2024-09-13T00:00:00"/>
    <s v="Standard"/>
    <n v="399"/>
    <n v="7.9"/>
    <n v="8"/>
    <n v="2"/>
    <n v="11"/>
    <n v="14"/>
    <s v="Yes"/>
    <s v="No"/>
    <s v="Yes"/>
    <s v="Yes"/>
    <s v="No"/>
    <s v="No"/>
    <m/>
    <s v="1+ Failures"/>
    <n v="1"/>
    <s v="5-10 hrs"/>
    <s v="6-12months"/>
    <x v="1"/>
  </r>
  <r>
    <n v="2029"/>
    <d v="2023-04-19T00:00:00"/>
    <s v="Premium"/>
    <n v="699"/>
    <n v="11.1"/>
    <n v="2"/>
    <n v="3"/>
    <n v="32"/>
    <n v="42"/>
    <s v="Yes"/>
    <s v="No"/>
    <s v="Yes"/>
    <s v="No"/>
    <s v="Yes"/>
    <s v="No"/>
    <m/>
    <s v="1+ Failures"/>
    <n v="1"/>
    <s v="10-20hrs"/>
    <s v="12+ months"/>
    <x v="0"/>
  </r>
  <r>
    <n v="2030"/>
    <d v="2024-05-21T00:00:00"/>
    <s v="Basic"/>
    <n v="199"/>
    <n v="17.8"/>
    <n v="4"/>
    <n v="1"/>
    <n v="21"/>
    <n v="15"/>
    <s v="No"/>
    <s v="No"/>
    <s v="Yes"/>
    <s v="No"/>
    <s v="Yes"/>
    <s v="No"/>
    <m/>
    <s v="1+ Failures"/>
    <n v="0"/>
    <s v="10-20hrs"/>
    <s v="12+ months"/>
    <x v="1"/>
  </r>
  <r>
    <n v="2031"/>
    <d v="2023-11-15T00:00:00"/>
    <s v="Basic"/>
    <n v="199"/>
    <n v="12.5"/>
    <n v="4"/>
    <n v="5"/>
    <n v="27"/>
    <n v="10"/>
    <s v="Yes"/>
    <s v="No"/>
    <s v="Yes"/>
    <s v="No"/>
    <s v="No"/>
    <s v="No"/>
    <m/>
    <s v="1+ Failures"/>
    <n v="1"/>
    <s v="10-20hrs"/>
    <s v="12+ months"/>
    <x v="1"/>
  </r>
  <r>
    <n v="2032"/>
    <d v="2024-01-18T00:00:00"/>
    <s v="Premium"/>
    <n v="699"/>
    <n v="15.5"/>
    <n v="2"/>
    <n v="4"/>
    <n v="28"/>
    <n v="18"/>
    <s v="Yes"/>
    <s v="No"/>
    <s v="Yes"/>
    <s v="No"/>
    <s v="Yes"/>
    <s v="No"/>
    <m/>
    <s v="1+ Failures"/>
    <n v="1"/>
    <s v="10-20hrs"/>
    <s v="12+ months"/>
    <x v="0"/>
  </r>
  <r>
    <n v="2033"/>
    <d v="2024-03-03T00:00:00"/>
    <s v="Premium"/>
    <n v="699"/>
    <n v="9.6"/>
    <n v="7"/>
    <n v="0"/>
    <n v="9"/>
    <n v="1"/>
    <s v="No"/>
    <s v="No"/>
    <s v="No"/>
    <s v="Yes"/>
    <s v="No"/>
    <s v="No"/>
    <m/>
    <s v="0 Failures"/>
    <n v="0"/>
    <s v="5-10 hrs"/>
    <s v="6-12months"/>
    <x v="0"/>
  </r>
  <r>
    <n v="2034"/>
    <d v="2024-05-02T00:00:00"/>
    <s v="Basic"/>
    <n v="199"/>
    <n v="23.6"/>
    <n v="3"/>
    <n v="2"/>
    <n v="14"/>
    <n v="40"/>
    <s v="No"/>
    <s v="No"/>
    <s v="Yes"/>
    <s v="No"/>
    <s v="Yes"/>
    <s v="No"/>
    <m/>
    <s v="1+ Failures"/>
    <n v="0"/>
    <s v="20+ hrs"/>
    <s v="12+ months"/>
    <x v="1"/>
  </r>
  <r>
    <n v="2035"/>
    <d v="2023-11-26T00:00:00"/>
    <s v="Standard"/>
    <n v="399"/>
    <n v="8.8000000000000007"/>
    <n v="5"/>
    <n v="5"/>
    <n v="36"/>
    <n v="12"/>
    <s v="No"/>
    <s v="No"/>
    <s v="Yes"/>
    <s v="Yes"/>
    <s v="No"/>
    <s v="No"/>
    <m/>
    <s v="1+ Failures"/>
    <n v="0"/>
    <s v="5-10 hrs"/>
    <s v="12+ months"/>
    <x v="1"/>
  </r>
  <r>
    <n v="2036"/>
    <d v="2023-01-20T00:00:00"/>
    <s v="Premium"/>
    <n v="699"/>
    <n v="17.8"/>
    <n v="3"/>
    <n v="1"/>
    <n v="15"/>
    <n v="31"/>
    <s v="No"/>
    <s v="No"/>
    <s v="Yes"/>
    <s v="No"/>
    <s v="Yes"/>
    <s v="No"/>
    <m/>
    <s v="1+ Failures"/>
    <n v="0"/>
    <s v="10-20hrs"/>
    <s v="12+ months"/>
    <x v="0"/>
  </r>
  <r>
    <n v="2037"/>
    <d v="2024-06-25T00:00:00"/>
    <s v="Standard"/>
    <n v="399"/>
    <n v="22.1"/>
    <n v="6"/>
    <n v="1"/>
    <n v="33"/>
    <n v="39"/>
    <s v="Yes"/>
    <s v="No"/>
    <s v="Yes"/>
    <s v="Yes"/>
    <s v="Yes"/>
    <s v="No"/>
    <m/>
    <s v="1+ Failures"/>
    <n v="1"/>
    <s v="20+ hrs"/>
    <s v="12+ months"/>
    <x v="1"/>
  </r>
  <r>
    <n v="2038"/>
    <d v="2023-07-17T00:00:00"/>
    <s v="Standard"/>
    <n v="399"/>
    <n v="15.3"/>
    <n v="4"/>
    <n v="0"/>
    <n v="30"/>
    <n v="28"/>
    <s v="Yes"/>
    <s v="No"/>
    <s v="No"/>
    <s v="No"/>
    <s v="Yes"/>
    <s v="No"/>
    <m/>
    <s v="0 Failures"/>
    <n v="1"/>
    <s v="10-20hrs"/>
    <s v="12+ months"/>
    <x v="1"/>
  </r>
  <r>
    <n v="2039"/>
    <d v="2023-01-04T00:00:00"/>
    <s v="Standard"/>
    <n v="399"/>
    <n v="9.4"/>
    <n v="0"/>
    <n v="3"/>
    <n v="10"/>
    <n v="15"/>
    <s v="Yes"/>
    <s v="No"/>
    <s v="Yes"/>
    <s v="No"/>
    <s v="Yes"/>
    <s v="No"/>
    <m/>
    <s v="1+ Failures"/>
    <n v="1"/>
    <s v="5-10 hrs"/>
    <s v="6-12months"/>
    <x v="1"/>
  </r>
  <r>
    <n v="2040"/>
    <d v="2023-11-24T00:00:00"/>
    <s v="Standard"/>
    <n v="399"/>
    <n v="20.7"/>
    <n v="7"/>
    <n v="4"/>
    <n v="23"/>
    <n v="9"/>
    <s v="No"/>
    <s v="No"/>
    <s v="Yes"/>
    <s v="Yes"/>
    <s v="No"/>
    <s v="No"/>
    <m/>
    <s v="1+ Failures"/>
    <n v="0"/>
    <s v="20+ hrs"/>
    <s v="12+ months"/>
    <x v="1"/>
  </r>
  <r>
    <n v="2041"/>
    <d v="2023-07-12T00:00:00"/>
    <s v="Standard"/>
    <n v="399"/>
    <n v="15.3"/>
    <n v="8"/>
    <n v="1"/>
    <n v="21"/>
    <n v="52"/>
    <s v="No"/>
    <s v="No"/>
    <s v="Yes"/>
    <s v="Yes"/>
    <s v="Yes"/>
    <s v="No"/>
    <m/>
    <s v="1+ Failures"/>
    <n v="0"/>
    <s v="10-20hrs"/>
    <s v="12+ months"/>
    <x v="1"/>
  </r>
  <r>
    <n v="2042"/>
    <d v="2024-05-31T00:00:00"/>
    <s v="Premium"/>
    <n v="699"/>
    <n v="7.7"/>
    <n v="0"/>
    <n v="5"/>
    <n v="8"/>
    <n v="56"/>
    <s v="Yes"/>
    <s v="No"/>
    <s v="Yes"/>
    <s v="No"/>
    <s v="Yes"/>
    <s v="No"/>
    <m/>
    <s v="1+ Failures"/>
    <n v="1"/>
    <s v="5-10 hrs"/>
    <s v="6-12months"/>
    <x v="0"/>
  </r>
  <r>
    <n v="2043"/>
    <d v="2023-11-02T00:00:00"/>
    <s v="Standard"/>
    <n v="399"/>
    <n v="19.899999999999999"/>
    <n v="6"/>
    <n v="5"/>
    <n v="16"/>
    <n v="52"/>
    <s v="No"/>
    <s v="No"/>
    <s v="Yes"/>
    <s v="Yes"/>
    <s v="Yes"/>
    <s v="No"/>
    <m/>
    <s v="1+ Failures"/>
    <n v="0"/>
    <s v="10-20hrs"/>
    <s v="12+ months"/>
    <x v="1"/>
  </r>
  <r>
    <n v="2044"/>
    <d v="2024-03-07T00:00:00"/>
    <s v="Standard"/>
    <n v="399"/>
    <n v="4"/>
    <n v="0"/>
    <n v="0"/>
    <n v="14"/>
    <n v="41"/>
    <s v="No"/>
    <s v="Yes"/>
    <s v="No"/>
    <s v="No"/>
    <s v="Yes"/>
    <s v="No"/>
    <m/>
    <s v="0 Failures"/>
    <n v="0"/>
    <s v="0-5 hrs"/>
    <s v="12+ months"/>
    <x v="1"/>
  </r>
  <r>
    <n v="2045"/>
    <d v="2023-06-10T00:00:00"/>
    <s v="Basic"/>
    <n v="199"/>
    <n v="11.9"/>
    <n v="2"/>
    <n v="3"/>
    <n v="24"/>
    <n v="40"/>
    <s v="Yes"/>
    <s v="No"/>
    <s v="Yes"/>
    <s v="No"/>
    <s v="Yes"/>
    <s v="No"/>
    <m/>
    <s v="1+ Failures"/>
    <n v="1"/>
    <s v="10-20hrs"/>
    <s v="12+ months"/>
    <x v="1"/>
  </r>
  <r>
    <n v="2046"/>
    <d v="2024-12-24T00:00:00"/>
    <s v="Premium"/>
    <n v="699"/>
    <n v="19.100000000000001"/>
    <n v="1"/>
    <n v="2"/>
    <n v="29"/>
    <n v="29"/>
    <s v="Yes"/>
    <s v="No"/>
    <s v="Yes"/>
    <s v="No"/>
    <s v="Yes"/>
    <s v="No"/>
    <m/>
    <s v="1+ Failures"/>
    <n v="1"/>
    <s v="10-20hrs"/>
    <s v="12+ months"/>
    <x v="0"/>
  </r>
  <r>
    <n v="2047"/>
    <d v="2023-12-01T00:00:00"/>
    <s v="Premium"/>
    <n v="699"/>
    <n v="7.5"/>
    <n v="2"/>
    <n v="2"/>
    <n v="30"/>
    <n v="1"/>
    <s v="Yes"/>
    <s v="No"/>
    <s v="Yes"/>
    <s v="No"/>
    <s v="No"/>
    <s v="No"/>
    <m/>
    <s v="1+ Failures"/>
    <n v="1"/>
    <s v="5-10 hrs"/>
    <s v="12+ months"/>
    <x v="0"/>
  </r>
  <r>
    <n v="2048"/>
    <d v="2024-10-05T00:00:00"/>
    <s v="Premium"/>
    <n v="699"/>
    <n v="9.5"/>
    <n v="5"/>
    <n v="5"/>
    <n v="31"/>
    <n v="24"/>
    <s v="Yes"/>
    <s v="No"/>
    <s v="Yes"/>
    <s v="Yes"/>
    <s v="Yes"/>
    <s v="No"/>
    <m/>
    <s v="1+ Failures"/>
    <n v="1"/>
    <s v="5-10 hrs"/>
    <s v="12+ months"/>
    <x v="0"/>
  </r>
  <r>
    <n v="2049"/>
    <d v="2024-10-21T00:00:00"/>
    <s v="Standard"/>
    <n v="399"/>
    <n v="10.199999999999999"/>
    <n v="5"/>
    <n v="4"/>
    <n v="21"/>
    <n v="53"/>
    <s v="No"/>
    <s v="No"/>
    <s v="Yes"/>
    <s v="Yes"/>
    <s v="Yes"/>
    <s v="No"/>
    <m/>
    <s v="1+ Failures"/>
    <n v="0"/>
    <s v="10-20hrs"/>
    <s v="12+ months"/>
    <x v="1"/>
  </r>
  <r>
    <n v="2050"/>
    <d v="2024-12-31T00:00:00"/>
    <s v="Standard"/>
    <n v="399"/>
    <n v="14.4"/>
    <n v="0"/>
    <n v="4"/>
    <n v="21"/>
    <n v="3"/>
    <s v="No"/>
    <s v="No"/>
    <s v="Yes"/>
    <s v="No"/>
    <s v="No"/>
    <s v="No"/>
    <m/>
    <s v="1+ Failures"/>
    <n v="0"/>
    <s v="10-20hrs"/>
    <s v="12+ months"/>
    <x v="1"/>
  </r>
  <r>
    <n v="2051"/>
    <d v="2023-06-17T00:00:00"/>
    <s v="Basic"/>
    <n v="199"/>
    <n v="2.1"/>
    <n v="1"/>
    <n v="1"/>
    <n v="32"/>
    <n v="9"/>
    <s v="Yes"/>
    <s v="Yes"/>
    <s v="Yes"/>
    <s v="No"/>
    <s v="No"/>
    <s v="No"/>
    <m/>
    <s v="1+ Failures"/>
    <n v="1"/>
    <s v="0-5 hrs"/>
    <s v="12+ months"/>
    <x v="1"/>
  </r>
  <r>
    <n v="2052"/>
    <d v="2023-12-18T00:00:00"/>
    <s v="Premium"/>
    <n v="699"/>
    <n v="2.8"/>
    <n v="5"/>
    <n v="2"/>
    <n v="16"/>
    <n v="21"/>
    <s v="Yes"/>
    <s v="Yes"/>
    <s v="Yes"/>
    <s v="Yes"/>
    <s v="Yes"/>
    <s v="No"/>
    <m/>
    <s v="1+ Failures"/>
    <n v="1"/>
    <s v="0-5 hrs"/>
    <s v="12+ months"/>
    <x v="0"/>
  </r>
  <r>
    <n v="2053"/>
    <d v="2024-02-10T00:00:00"/>
    <s v="Basic"/>
    <n v="199"/>
    <n v="10.3"/>
    <n v="0"/>
    <n v="4"/>
    <n v="32"/>
    <n v="26"/>
    <s v="No"/>
    <s v="No"/>
    <s v="Yes"/>
    <s v="No"/>
    <s v="Yes"/>
    <s v="No"/>
    <m/>
    <s v="1+ Failures"/>
    <n v="0"/>
    <s v="10-20hrs"/>
    <s v="12+ months"/>
    <x v="1"/>
  </r>
  <r>
    <n v="2054"/>
    <d v="2023-09-25T00:00:00"/>
    <s v="Premium"/>
    <n v="699"/>
    <n v="13.9"/>
    <n v="1"/>
    <n v="1"/>
    <n v="10"/>
    <n v="28"/>
    <s v="Yes"/>
    <s v="No"/>
    <s v="Yes"/>
    <s v="No"/>
    <s v="Yes"/>
    <s v="No"/>
    <m/>
    <s v="1+ Failures"/>
    <n v="1"/>
    <s v="10-20hrs"/>
    <s v="6-12months"/>
    <x v="0"/>
  </r>
  <r>
    <n v="2055"/>
    <d v="2024-12-15T00:00:00"/>
    <s v="Basic"/>
    <n v="199"/>
    <n v="1.9"/>
    <n v="8"/>
    <n v="0"/>
    <n v="16"/>
    <n v="3"/>
    <s v="No"/>
    <s v="Yes"/>
    <s v="No"/>
    <s v="Yes"/>
    <s v="No"/>
    <s v="No"/>
    <m/>
    <s v="0 Failures"/>
    <n v="0"/>
    <s v="0-5 hrs"/>
    <s v="12+ months"/>
    <x v="1"/>
  </r>
  <r>
    <n v="2056"/>
    <d v="2023-05-21T00:00:00"/>
    <s v="Basic"/>
    <n v="199"/>
    <n v="1.5"/>
    <n v="3"/>
    <n v="1"/>
    <n v="31"/>
    <n v="60"/>
    <s v="Yes"/>
    <s v="Yes"/>
    <s v="Yes"/>
    <s v="No"/>
    <s v="Yes"/>
    <s v="No"/>
    <m/>
    <s v="1+ Failures"/>
    <n v="1"/>
    <s v="0-5 hrs"/>
    <s v="12+ months"/>
    <x v="1"/>
  </r>
  <r>
    <n v="2057"/>
    <d v="2024-05-19T00:00:00"/>
    <s v="Premium"/>
    <n v="699"/>
    <n v="8.4"/>
    <n v="6"/>
    <n v="0"/>
    <n v="21"/>
    <n v="32"/>
    <s v="No"/>
    <s v="No"/>
    <s v="No"/>
    <s v="Yes"/>
    <s v="Yes"/>
    <s v="No"/>
    <m/>
    <s v="0 Failures"/>
    <n v="0"/>
    <s v="5-10 hrs"/>
    <s v="12+ months"/>
    <x v="0"/>
  </r>
  <r>
    <n v="2058"/>
    <d v="2023-08-24T00:00:00"/>
    <s v="Basic"/>
    <n v="199"/>
    <n v="14"/>
    <n v="0"/>
    <n v="1"/>
    <n v="27"/>
    <n v="37"/>
    <s v="Yes"/>
    <s v="No"/>
    <s v="Yes"/>
    <s v="No"/>
    <s v="Yes"/>
    <s v="No"/>
    <m/>
    <s v="1+ Failures"/>
    <n v="1"/>
    <s v="10-20hrs"/>
    <s v="12+ months"/>
    <x v="1"/>
  </r>
  <r>
    <n v="2059"/>
    <d v="2023-06-18T00:00:00"/>
    <s v="Premium"/>
    <n v="699"/>
    <n v="0.7"/>
    <n v="1"/>
    <n v="4"/>
    <n v="32"/>
    <n v="56"/>
    <s v="Yes"/>
    <s v="Yes"/>
    <s v="Yes"/>
    <s v="No"/>
    <s v="Yes"/>
    <s v="No"/>
    <m/>
    <s v="1+ Failures"/>
    <n v="1"/>
    <s v="0-5 hrs"/>
    <s v="12+ months"/>
    <x v="0"/>
  </r>
  <r>
    <n v="2060"/>
    <d v="2023-09-30T00:00:00"/>
    <s v="Standard"/>
    <n v="399"/>
    <n v="4.2"/>
    <n v="0"/>
    <n v="5"/>
    <n v="14"/>
    <n v="47"/>
    <s v="Yes"/>
    <s v="Yes"/>
    <s v="Yes"/>
    <s v="No"/>
    <s v="Yes"/>
    <s v="No"/>
    <m/>
    <s v="1+ Failures"/>
    <n v="1"/>
    <s v="0-5 hrs"/>
    <s v="12+ months"/>
    <x v="1"/>
  </r>
  <r>
    <n v="2061"/>
    <d v="2023-12-09T00:00:00"/>
    <s v="Premium"/>
    <n v="699"/>
    <n v="13"/>
    <n v="2"/>
    <n v="1"/>
    <n v="24"/>
    <n v="48"/>
    <s v="No"/>
    <s v="No"/>
    <s v="Yes"/>
    <s v="No"/>
    <s v="Yes"/>
    <s v="No"/>
    <m/>
    <s v="1+ Failures"/>
    <n v="0"/>
    <s v="10-20hrs"/>
    <s v="12+ months"/>
    <x v="0"/>
  </r>
  <r>
    <n v="2062"/>
    <d v="2023-01-30T00:00:00"/>
    <s v="Basic"/>
    <n v="199"/>
    <n v="22.5"/>
    <n v="6"/>
    <n v="0"/>
    <n v="21"/>
    <n v="41"/>
    <s v="Yes"/>
    <s v="No"/>
    <s v="No"/>
    <s v="Yes"/>
    <s v="Yes"/>
    <s v="No"/>
    <m/>
    <s v="0 Failures"/>
    <n v="1"/>
    <s v="20+ hrs"/>
    <s v="12+ months"/>
    <x v="1"/>
  </r>
  <r>
    <n v="2063"/>
    <d v="2023-04-20T00:00:00"/>
    <s v="Standard"/>
    <n v="399"/>
    <n v="19.399999999999999"/>
    <n v="3"/>
    <n v="1"/>
    <n v="33"/>
    <n v="7"/>
    <s v="Yes"/>
    <s v="No"/>
    <s v="Yes"/>
    <s v="No"/>
    <s v="No"/>
    <s v="No"/>
    <m/>
    <s v="1+ Failures"/>
    <n v="1"/>
    <s v="10-20hrs"/>
    <s v="12+ months"/>
    <x v="1"/>
  </r>
  <r>
    <n v="2064"/>
    <d v="2024-08-30T00:00:00"/>
    <s v="Premium"/>
    <n v="699"/>
    <n v="5.4"/>
    <n v="4"/>
    <n v="5"/>
    <n v="14"/>
    <n v="43"/>
    <s v="Yes"/>
    <s v="No"/>
    <s v="Yes"/>
    <s v="No"/>
    <s v="Yes"/>
    <s v="No"/>
    <m/>
    <s v="1+ Failures"/>
    <n v="1"/>
    <s v="5-10 hrs"/>
    <s v="12+ months"/>
    <x v="0"/>
  </r>
  <r>
    <n v="2065"/>
    <d v="2023-09-16T00:00:00"/>
    <s v="Standard"/>
    <n v="399"/>
    <n v="11.9"/>
    <n v="3"/>
    <n v="4"/>
    <n v="24"/>
    <n v="56"/>
    <s v="No"/>
    <s v="No"/>
    <s v="Yes"/>
    <s v="No"/>
    <s v="Yes"/>
    <s v="No"/>
    <m/>
    <s v="1+ Failures"/>
    <n v="0"/>
    <s v="10-20hrs"/>
    <s v="12+ months"/>
    <x v="1"/>
  </r>
  <r>
    <n v="2066"/>
    <d v="2023-12-08T00:00:00"/>
    <s v="Basic"/>
    <n v="199"/>
    <n v="1.1000000000000001"/>
    <n v="0"/>
    <n v="1"/>
    <n v="33"/>
    <n v="53"/>
    <s v="Yes"/>
    <s v="Yes"/>
    <s v="Yes"/>
    <s v="No"/>
    <s v="Yes"/>
    <s v="No"/>
    <m/>
    <s v="1+ Failures"/>
    <n v="1"/>
    <s v="0-5 hrs"/>
    <s v="12+ months"/>
    <x v="1"/>
  </r>
  <r>
    <n v="2067"/>
    <d v="2024-02-05T00:00:00"/>
    <s v="Basic"/>
    <n v="199"/>
    <n v="23.7"/>
    <n v="6"/>
    <n v="5"/>
    <n v="32"/>
    <n v="20"/>
    <s v="Yes"/>
    <s v="No"/>
    <s v="Yes"/>
    <s v="Yes"/>
    <s v="Yes"/>
    <s v="No"/>
    <m/>
    <s v="1+ Failures"/>
    <n v="1"/>
    <s v="20+ hrs"/>
    <s v="12+ months"/>
    <x v="1"/>
  </r>
  <r>
    <n v="2068"/>
    <d v="2024-11-14T00:00:00"/>
    <s v="Premium"/>
    <n v="699"/>
    <n v="23.1"/>
    <n v="7"/>
    <n v="4"/>
    <n v="11"/>
    <n v="38"/>
    <s v="Yes"/>
    <s v="No"/>
    <s v="Yes"/>
    <s v="Yes"/>
    <s v="Yes"/>
    <s v="No"/>
    <m/>
    <s v="1+ Failures"/>
    <n v="1"/>
    <s v="20+ hrs"/>
    <s v="6-12months"/>
    <x v="0"/>
  </r>
  <r>
    <n v="2069"/>
    <d v="2023-01-12T00:00:00"/>
    <s v="Basic"/>
    <n v="199"/>
    <n v="15.6"/>
    <n v="0"/>
    <n v="0"/>
    <n v="5"/>
    <n v="39"/>
    <s v="Yes"/>
    <s v="No"/>
    <s v="No"/>
    <s v="No"/>
    <s v="Yes"/>
    <s v="Yes"/>
    <m/>
    <s v="0 Failures"/>
    <n v="1"/>
    <s v="10-20hrs"/>
    <s v="3-6months"/>
    <x v="1"/>
  </r>
  <r>
    <n v="2070"/>
    <d v="2023-04-10T00:00:00"/>
    <s v="Standard"/>
    <n v="399"/>
    <n v="7.9"/>
    <n v="6"/>
    <n v="5"/>
    <n v="1"/>
    <n v="36"/>
    <s v="No"/>
    <s v="No"/>
    <s v="Yes"/>
    <s v="Yes"/>
    <s v="Yes"/>
    <s v="Yes"/>
    <m/>
    <s v="1+ Failures"/>
    <n v="0"/>
    <s v="5-10 hrs"/>
    <s v="0-3months"/>
    <x v="1"/>
  </r>
  <r>
    <n v="2071"/>
    <d v="2023-03-19T00:00:00"/>
    <s v="Basic"/>
    <n v="199"/>
    <n v="5.8"/>
    <n v="3"/>
    <n v="3"/>
    <n v="24"/>
    <n v="47"/>
    <s v="No"/>
    <s v="No"/>
    <s v="Yes"/>
    <s v="No"/>
    <s v="Yes"/>
    <s v="No"/>
    <m/>
    <s v="1+ Failures"/>
    <n v="0"/>
    <s v="5-10 hrs"/>
    <s v="12+ months"/>
    <x v="1"/>
  </r>
  <r>
    <n v="2072"/>
    <d v="2023-05-26T00:00:00"/>
    <s v="Standard"/>
    <n v="399"/>
    <n v="16.5"/>
    <n v="4"/>
    <n v="0"/>
    <n v="27"/>
    <n v="57"/>
    <s v="Yes"/>
    <s v="No"/>
    <s v="No"/>
    <s v="No"/>
    <s v="Yes"/>
    <s v="No"/>
    <m/>
    <s v="0 Failures"/>
    <n v="1"/>
    <s v="10-20hrs"/>
    <s v="12+ months"/>
    <x v="1"/>
  </r>
  <r>
    <n v="2073"/>
    <d v="2024-11-29T00:00:00"/>
    <s v="Standard"/>
    <n v="399"/>
    <n v="23.3"/>
    <n v="3"/>
    <n v="0"/>
    <n v="30"/>
    <n v="58"/>
    <s v="No"/>
    <s v="No"/>
    <s v="No"/>
    <s v="No"/>
    <s v="Yes"/>
    <s v="No"/>
    <m/>
    <s v="0 Failures"/>
    <n v="0"/>
    <s v="20+ hrs"/>
    <s v="12+ months"/>
    <x v="1"/>
  </r>
  <r>
    <n v="2074"/>
    <d v="2024-08-16T00:00:00"/>
    <s v="Basic"/>
    <n v="199"/>
    <n v="4.8"/>
    <n v="1"/>
    <n v="0"/>
    <n v="31"/>
    <n v="46"/>
    <s v="Yes"/>
    <s v="Yes"/>
    <s v="No"/>
    <s v="No"/>
    <s v="Yes"/>
    <s v="No"/>
    <m/>
    <s v="0 Failures"/>
    <n v="1"/>
    <s v="0-5 hrs"/>
    <s v="12+ months"/>
    <x v="1"/>
  </r>
  <r>
    <n v="2075"/>
    <d v="2024-12-09T00:00:00"/>
    <s v="Premium"/>
    <n v="699"/>
    <n v="7.2"/>
    <n v="0"/>
    <n v="5"/>
    <n v="36"/>
    <n v="36"/>
    <s v="Yes"/>
    <s v="No"/>
    <s v="Yes"/>
    <s v="No"/>
    <s v="Yes"/>
    <s v="No"/>
    <m/>
    <s v="1+ Failures"/>
    <n v="1"/>
    <s v="5-10 hrs"/>
    <s v="12+ months"/>
    <x v="0"/>
  </r>
  <r>
    <n v="2076"/>
    <d v="2024-04-21T00:00:00"/>
    <s v="Basic"/>
    <n v="199"/>
    <n v="2.1"/>
    <n v="6"/>
    <n v="0"/>
    <n v="14"/>
    <n v="2"/>
    <s v="Yes"/>
    <s v="Yes"/>
    <s v="No"/>
    <s v="Yes"/>
    <s v="No"/>
    <s v="No"/>
    <m/>
    <s v="0 Failures"/>
    <n v="1"/>
    <s v="0-5 hrs"/>
    <s v="12+ months"/>
    <x v="1"/>
  </r>
  <r>
    <n v="2077"/>
    <d v="2023-10-15T00:00:00"/>
    <s v="Standard"/>
    <n v="399"/>
    <n v="24.3"/>
    <n v="0"/>
    <n v="5"/>
    <n v="12"/>
    <n v="4"/>
    <s v="No"/>
    <s v="No"/>
    <s v="Yes"/>
    <s v="No"/>
    <s v="No"/>
    <s v="No"/>
    <m/>
    <s v="1+ Failures"/>
    <n v="0"/>
    <s v="20+ hrs"/>
    <s v="6-12months"/>
    <x v="1"/>
  </r>
  <r>
    <n v="2078"/>
    <d v="2023-07-12T00:00:00"/>
    <s v="Premium"/>
    <n v="699"/>
    <n v="18.100000000000001"/>
    <n v="3"/>
    <n v="2"/>
    <n v="19"/>
    <n v="1"/>
    <s v="No"/>
    <s v="No"/>
    <s v="Yes"/>
    <s v="No"/>
    <s v="No"/>
    <s v="No"/>
    <m/>
    <s v="1+ Failures"/>
    <n v="0"/>
    <s v="10-20hrs"/>
    <s v="12+ months"/>
    <x v="0"/>
  </r>
  <r>
    <n v="2079"/>
    <d v="2024-07-26T00:00:00"/>
    <s v="Basic"/>
    <n v="199"/>
    <n v="20.399999999999999"/>
    <n v="0"/>
    <n v="4"/>
    <n v="29"/>
    <n v="53"/>
    <s v="No"/>
    <s v="No"/>
    <s v="Yes"/>
    <s v="No"/>
    <s v="Yes"/>
    <s v="No"/>
    <m/>
    <s v="1+ Failures"/>
    <n v="0"/>
    <s v="20+ hrs"/>
    <s v="12+ months"/>
    <x v="1"/>
  </r>
  <r>
    <n v="2080"/>
    <d v="2024-01-12T00:00:00"/>
    <s v="Premium"/>
    <n v="699"/>
    <n v="19.899999999999999"/>
    <n v="0"/>
    <n v="2"/>
    <n v="32"/>
    <n v="23"/>
    <s v="Yes"/>
    <s v="No"/>
    <s v="Yes"/>
    <s v="No"/>
    <s v="Yes"/>
    <s v="No"/>
    <m/>
    <s v="1+ Failures"/>
    <n v="1"/>
    <s v="10-20hrs"/>
    <s v="12+ months"/>
    <x v="0"/>
  </r>
  <r>
    <n v="2081"/>
    <d v="2024-07-18T00:00:00"/>
    <s v="Standard"/>
    <n v="399"/>
    <n v="13.8"/>
    <n v="5"/>
    <n v="5"/>
    <n v="31"/>
    <n v="57"/>
    <s v="Yes"/>
    <s v="No"/>
    <s v="Yes"/>
    <s v="Yes"/>
    <s v="Yes"/>
    <s v="No"/>
    <m/>
    <s v="1+ Failures"/>
    <n v="1"/>
    <s v="10-20hrs"/>
    <s v="12+ months"/>
    <x v="1"/>
  </r>
  <r>
    <n v="2082"/>
    <d v="2024-01-17T00:00:00"/>
    <s v="Premium"/>
    <n v="699"/>
    <n v="8.4"/>
    <n v="5"/>
    <n v="3"/>
    <n v="10"/>
    <n v="11"/>
    <s v="No"/>
    <s v="No"/>
    <s v="Yes"/>
    <s v="Yes"/>
    <s v="No"/>
    <s v="No"/>
    <m/>
    <s v="1+ Failures"/>
    <n v="0"/>
    <s v="5-10 hrs"/>
    <s v="6-12months"/>
    <x v="0"/>
  </r>
  <r>
    <n v="2083"/>
    <d v="2024-11-22T00:00:00"/>
    <s v="Standard"/>
    <n v="399"/>
    <n v="19.3"/>
    <n v="2"/>
    <n v="5"/>
    <n v="23"/>
    <n v="48"/>
    <s v="No"/>
    <s v="No"/>
    <s v="Yes"/>
    <s v="No"/>
    <s v="Yes"/>
    <s v="No"/>
    <m/>
    <s v="1+ Failures"/>
    <n v="0"/>
    <s v="10-20hrs"/>
    <s v="12+ months"/>
    <x v="1"/>
  </r>
  <r>
    <n v="2084"/>
    <d v="2023-05-21T00:00:00"/>
    <s v="Premium"/>
    <n v="699"/>
    <n v="9.3000000000000007"/>
    <n v="6"/>
    <n v="0"/>
    <n v="27"/>
    <n v="38"/>
    <s v="Yes"/>
    <s v="No"/>
    <s v="No"/>
    <s v="Yes"/>
    <s v="Yes"/>
    <s v="No"/>
    <m/>
    <s v="0 Failures"/>
    <n v="1"/>
    <s v="5-10 hrs"/>
    <s v="12+ months"/>
    <x v="0"/>
  </r>
  <r>
    <n v="2085"/>
    <d v="2023-02-13T00:00:00"/>
    <s v="Standard"/>
    <n v="399"/>
    <n v="16.3"/>
    <n v="7"/>
    <n v="4"/>
    <n v="23"/>
    <n v="55"/>
    <s v="Yes"/>
    <s v="No"/>
    <s v="Yes"/>
    <s v="Yes"/>
    <s v="Yes"/>
    <s v="No"/>
    <m/>
    <s v="1+ Failures"/>
    <n v="1"/>
    <s v="10-20hrs"/>
    <s v="12+ months"/>
    <x v="1"/>
  </r>
  <r>
    <n v="2086"/>
    <d v="2023-06-13T00:00:00"/>
    <s v="Standard"/>
    <n v="399"/>
    <n v="23"/>
    <n v="2"/>
    <n v="4"/>
    <n v="33"/>
    <n v="21"/>
    <s v="Yes"/>
    <s v="No"/>
    <s v="Yes"/>
    <s v="No"/>
    <s v="Yes"/>
    <s v="No"/>
    <m/>
    <s v="1+ Failures"/>
    <n v="1"/>
    <s v="20+ hrs"/>
    <s v="12+ months"/>
    <x v="1"/>
  </r>
  <r>
    <n v="2087"/>
    <d v="2024-03-05T00:00:00"/>
    <s v="Premium"/>
    <n v="699"/>
    <n v="24.4"/>
    <n v="3"/>
    <n v="5"/>
    <n v="9"/>
    <n v="25"/>
    <s v="Yes"/>
    <s v="No"/>
    <s v="Yes"/>
    <s v="No"/>
    <s v="Yes"/>
    <s v="No"/>
    <m/>
    <s v="1+ Failures"/>
    <n v="1"/>
    <s v="20+ hrs"/>
    <s v="6-12months"/>
    <x v="0"/>
  </r>
  <r>
    <n v="2088"/>
    <d v="2024-07-17T00:00:00"/>
    <s v="Basic"/>
    <n v="199"/>
    <n v="13.8"/>
    <n v="8"/>
    <n v="0"/>
    <n v="33"/>
    <n v="36"/>
    <s v="Yes"/>
    <s v="No"/>
    <s v="No"/>
    <s v="Yes"/>
    <s v="Yes"/>
    <s v="No"/>
    <m/>
    <s v="0 Failures"/>
    <n v="1"/>
    <s v="10-20hrs"/>
    <s v="12+ months"/>
    <x v="1"/>
  </r>
  <r>
    <n v="2089"/>
    <d v="2024-01-18T00:00:00"/>
    <s v="Premium"/>
    <n v="699"/>
    <n v="18.600000000000001"/>
    <n v="5"/>
    <n v="3"/>
    <n v="11"/>
    <n v="7"/>
    <s v="Yes"/>
    <s v="No"/>
    <s v="Yes"/>
    <s v="Yes"/>
    <s v="No"/>
    <s v="No"/>
    <m/>
    <s v="1+ Failures"/>
    <n v="1"/>
    <s v="10-20hrs"/>
    <s v="6-12months"/>
    <x v="0"/>
  </r>
  <r>
    <n v="2090"/>
    <d v="2024-02-22T00:00:00"/>
    <s v="Premium"/>
    <n v="699"/>
    <n v="13.3"/>
    <n v="6"/>
    <n v="1"/>
    <n v="26"/>
    <n v="36"/>
    <s v="Yes"/>
    <s v="No"/>
    <s v="Yes"/>
    <s v="Yes"/>
    <s v="Yes"/>
    <s v="No"/>
    <m/>
    <s v="1+ Failures"/>
    <n v="1"/>
    <s v="10-20hrs"/>
    <s v="12+ months"/>
    <x v="0"/>
  </r>
  <r>
    <n v="2091"/>
    <d v="2023-07-12T00:00:00"/>
    <s v="Premium"/>
    <n v="699"/>
    <n v="6"/>
    <n v="7"/>
    <n v="1"/>
    <n v="7"/>
    <n v="53"/>
    <s v="No"/>
    <s v="No"/>
    <s v="Yes"/>
    <s v="Yes"/>
    <s v="Yes"/>
    <s v="No"/>
    <m/>
    <s v="1+ Failures"/>
    <n v="0"/>
    <s v="5-10 hrs"/>
    <s v="6-12months"/>
    <x v="0"/>
  </r>
  <r>
    <n v="2092"/>
    <d v="2023-03-15T00:00:00"/>
    <s v="Premium"/>
    <n v="699"/>
    <n v="22.4"/>
    <n v="8"/>
    <n v="0"/>
    <n v="1"/>
    <n v="31"/>
    <s v="Yes"/>
    <s v="No"/>
    <s v="No"/>
    <s v="Yes"/>
    <s v="Yes"/>
    <s v="Yes"/>
    <m/>
    <s v="0 Failures"/>
    <n v="1"/>
    <s v="20+ hrs"/>
    <s v="0-3months"/>
    <x v="0"/>
  </r>
  <r>
    <n v="2093"/>
    <d v="2024-10-15T00:00:00"/>
    <s v="Premium"/>
    <n v="699"/>
    <n v="6.4"/>
    <n v="6"/>
    <n v="2"/>
    <n v="20"/>
    <n v="52"/>
    <s v="Yes"/>
    <s v="No"/>
    <s v="Yes"/>
    <s v="Yes"/>
    <s v="Yes"/>
    <s v="No"/>
    <m/>
    <s v="1+ Failures"/>
    <n v="1"/>
    <s v="5-10 hrs"/>
    <s v="12+ months"/>
    <x v="0"/>
  </r>
  <r>
    <n v="2094"/>
    <d v="2024-11-27T00:00:00"/>
    <s v="Basic"/>
    <n v="199"/>
    <n v="1.1000000000000001"/>
    <n v="0"/>
    <n v="2"/>
    <n v="13"/>
    <n v="7"/>
    <s v="Yes"/>
    <s v="Yes"/>
    <s v="Yes"/>
    <s v="No"/>
    <s v="No"/>
    <s v="No"/>
    <m/>
    <s v="1+ Failures"/>
    <n v="1"/>
    <s v="0-5 hrs"/>
    <s v="12+ months"/>
    <x v="1"/>
  </r>
  <r>
    <n v="2095"/>
    <d v="2024-02-17T00:00:00"/>
    <s v="Basic"/>
    <n v="199"/>
    <n v="6.7"/>
    <n v="1"/>
    <n v="3"/>
    <n v="5"/>
    <n v="60"/>
    <s v="Yes"/>
    <s v="No"/>
    <s v="Yes"/>
    <s v="No"/>
    <s v="Yes"/>
    <s v="Yes"/>
    <m/>
    <s v="1+ Failures"/>
    <n v="1"/>
    <s v="5-10 hrs"/>
    <s v="3-6months"/>
    <x v="1"/>
  </r>
  <r>
    <n v="2096"/>
    <d v="2024-08-26T00:00:00"/>
    <s v="Basic"/>
    <n v="199"/>
    <n v="8.9"/>
    <n v="5"/>
    <n v="1"/>
    <n v="20"/>
    <n v="19"/>
    <s v="No"/>
    <s v="No"/>
    <s v="Yes"/>
    <s v="Yes"/>
    <s v="Yes"/>
    <s v="No"/>
    <m/>
    <s v="1+ Failures"/>
    <n v="0"/>
    <s v="5-10 hrs"/>
    <s v="12+ months"/>
    <x v="1"/>
  </r>
  <r>
    <n v="2097"/>
    <d v="2023-09-19T00:00:00"/>
    <s v="Standard"/>
    <n v="399"/>
    <n v="17.100000000000001"/>
    <n v="0"/>
    <n v="3"/>
    <n v="3"/>
    <n v="20"/>
    <s v="No"/>
    <s v="No"/>
    <s v="Yes"/>
    <s v="No"/>
    <s v="Yes"/>
    <s v="Yes"/>
    <m/>
    <s v="1+ Failures"/>
    <n v="0"/>
    <s v="10-20hrs"/>
    <s v="0-3months"/>
    <x v="1"/>
  </r>
  <r>
    <n v="2098"/>
    <d v="2024-12-06T00:00:00"/>
    <s v="Premium"/>
    <n v="699"/>
    <n v="21.6"/>
    <n v="6"/>
    <n v="4"/>
    <n v="31"/>
    <n v="49"/>
    <s v="Yes"/>
    <s v="No"/>
    <s v="Yes"/>
    <s v="Yes"/>
    <s v="Yes"/>
    <s v="No"/>
    <m/>
    <s v="1+ Failures"/>
    <n v="1"/>
    <s v="20+ hrs"/>
    <s v="12+ months"/>
    <x v="0"/>
  </r>
  <r>
    <n v="2099"/>
    <d v="2024-05-14T00:00:00"/>
    <s v="Premium"/>
    <n v="699"/>
    <n v="23.8"/>
    <n v="7"/>
    <n v="0"/>
    <n v="23"/>
    <n v="24"/>
    <s v="Yes"/>
    <s v="No"/>
    <s v="No"/>
    <s v="Yes"/>
    <s v="Yes"/>
    <s v="No"/>
    <m/>
    <s v="0 Failures"/>
    <n v="1"/>
    <s v="20+ hrs"/>
    <s v="12+ months"/>
    <x v="0"/>
  </r>
  <r>
    <n v="2100"/>
    <d v="2024-10-08T00:00:00"/>
    <s v="Basic"/>
    <n v="199"/>
    <n v="6.7"/>
    <n v="1"/>
    <n v="0"/>
    <n v="31"/>
    <n v="15"/>
    <s v="No"/>
    <s v="No"/>
    <s v="No"/>
    <s v="No"/>
    <s v="Yes"/>
    <s v="No"/>
    <m/>
    <s v="0 Failures"/>
    <n v="0"/>
    <s v="5-10 hrs"/>
    <s v="12+ months"/>
    <x v="1"/>
  </r>
  <r>
    <n v="2101"/>
    <d v="2023-02-05T00:00:00"/>
    <s v="Basic"/>
    <n v="199"/>
    <n v="9.8000000000000007"/>
    <n v="5"/>
    <n v="1"/>
    <n v="30"/>
    <n v="38"/>
    <s v="No"/>
    <s v="No"/>
    <s v="Yes"/>
    <s v="Yes"/>
    <s v="Yes"/>
    <s v="No"/>
    <m/>
    <s v="1+ Failures"/>
    <n v="0"/>
    <s v="5-10 hrs"/>
    <s v="12+ months"/>
    <x v="1"/>
  </r>
  <r>
    <n v="2102"/>
    <d v="2023-01-11T00:00:00"/>
    <s v="Standard"/>
    <n v="399"/>
    <n v="14"/>
    <n v="7"/>
    <n v="1"/>
    <n v="20"/>
    <n v="39"/>
    <s v="Yes"/>
    <s v="No"/>
    <s v="Yes"/>
    <s v="Yes"/>
    <s v="Yes"/>
    <s v="No"/>
    <m/>
    <s v="1+ Failures"/>
    <n v="1"/>
    <s v="10-20hrs"/>
    <s v="12+ months"/>
    <x v="1"/>
  </r>
  <r>
    <n v="2103"/>
    <d v="2023-07-05T00:00:00"/>
    <s v="Premium"/>
    <n v="699"/>
    <n v="15"/>
    <n v="0"/>
    <n v="4"/>
    <n v="9"/>
    <n v="28"/>
    <s v="Yes"/>
    <s v="No"/>
    <s v="Yes"/>
    <s v="No"/>
    <s v="Yes"/>
    <s v="No"/>
    <m/>
    <s v="1+ Failures"/>
    <n v="1"/>
    <s v="10-20hrs"/>
    <s v="6-12months"/>
    <x v="0"/>
  </r>
  <r>
    <n v="2104"/>
    <d v="2023-09-17T00:00:00"/>
    <s v="Standard"/>
    <n v="399"/>
    <n v="17.600000000000001"/>
    <n v="6"/>
    <n v="4"/>
    <n v="18"/>
    <n v="41"/>
    <s v="Yes"/>
    <s v="No"/>
    <s v="Yes"/>
    <s v="Yes"/>
    <s v="Yes"/>
    <s v="No"/>
    <m/>
    <s v="1+ Failures"/>
    <n v="1"/>
    <s v="10-20hrs"/>
    <s v="12+ months"/>
    <x v="1"/>
  </r>
  <r>
    <n v="2105"/>
    <d v="2023-06-16T00:00:00"/>
    <s v="Premium"/>
    <n v="699"/>
    <n v="17.600000000000001"/>
    <n v="7"/>
    <n v="1"/>
    <n v="8"/>
    <n v="57"/>
    <s v="Yes"/>
    <s v="No"/>
    <s v="Yes"/>
    <s v="Yes"/>
    <s v="Yes"/>
    <s v="No"/>
    <m/>
    <s v="1+ Failures"/>
    <n v="1"/>
    <s v="10-20hrs"/>
    <s v="6-12months"/>
    <x v="0"/>
  </r>
  <r>
    <n v="2106"/>
    <d v="2023-03-20T00:00:00"/>
    <s v="Basic"/>
    <n v="199"/>
    <n v="15.2"/>
    <n v="6"/>
    <n v="0"/>
    <n v="19"/>
    <n v="43"/>
    <s v="Yes"/>
    <s v="No"/>
    <s v="No"/>
    <s v="Yes"/>
    <s v="Yes"/>
    <s v="No"/>
    <m/>
    <s v="0 Failures"/>
    <n v="1"/>
    <s v="10-20hrs"/>
    <s v="12+ months"/>
    <x v="1"/>
  </r>
  <r>
    <n v="2107"/>
    <d v="2024-10-31T00:00:00"/>
    <s v="Basic"/>
    <n v="199"/>
    <n v="12.4"/>
    <n v="0"/>
    <n v="3"/>
    <n v="31"/>
    <n v="49"/>
    <s v="No"/>
    <s v="No"/>
    <s v="Yes"/>
    <s v="No"/>
    <s v="Yes"/>
    <s v="No"/>
    <m/>
    <s v="1+ Failures"/>
    <n v="0"/>
    <s v="10-20hrs"/>
    <s v="12+ months"/>
    <x v="1"/>
  </r>
  <r>
    <n v="2108"/>
    <d v="2024-08-20T00:00:00"/>
    <s v="Basic"/>
    <n v="199"/>
    <n v="1.6"/>
    <n v="2"/>
    <n v="1"/>
    <n v="25"/>
    <n v="21"/>
    <s v="No"/>
    <s v="Yes"/>
    <s v="Yes"/>
    <s v="No"/>
    <s v="Yes"/>
    <s v="No"/>
    <m/>
    <s v="1+ Failures"/>
    <n v="0"/>
    <s v="0-5 hrs"/>
    <s v="12+ months"/>
    <x v="1"/>
  </r>
  <r>
    <n v="2109"/>
    <d v="2024-09-11T00:00:00"/>
    <s v="Standard"/>
    <n v="399"/>
    <n v="18"/>
    <n v="1"/>
    <n v="0"/>
    <n v="15"/>
    <n v="10"/>
    <s v="No"/>
    <s v="No"/>
    <s v="No"/>
    <s v="No"/>
    <s v="No"/>
    <s v="No"/>
    <m/>
    <s v="0 Failures"/>
    <n v="0"/>
    <s v="10-20hrs"/>
    <s v="12+ months"/>
    <x v="1"/>
  </r>
  <r>
    <n v="2110"/>
    <d v="2024-06-21T00:00:00"/>
    <s v="Premium"/>
    <n v="699"/>
    <n v="11.2"/>
    <n v="5"/>
    <n v="5"/>
    <n v="2"/>
    <n v="27"/>
    <s v="Yes"/>
    <s v="No"/>
    <s v="Yes"/>
    <s v="Yes"/>
    <s v="Yes"/>
    <s v="Yes"/>
    <m/>
    <s v="1+ Failures"/>
    <n v="1"/>
    <s v="10-20hrs"/>
    <s v="0-3months"/>
    <x v="0"/>
  </r>
  <r>
    <n v="2111"/>
    <d v="2024-03-22T00:00:00"/>
    <s v="Premium"/>
    <n v="699"/>
    <n v="16.100000000000001"/>
    <n v="1"/>
    <n v="3"/>
    <n v="24"/>
    <n v="30"/>
    <s v="Yes"/>
    <s v="No"/>
    <s v="Yes"/>
    <s v="No"/>
    <s v="Yes"/>
    <s v="No"/>
    <m/>
    <s v="1+ Failures"/>
    <n v="1"/>
    <s v="10-20hrs"/>
    <s v="12+ months"/>
    <x v="0"/>
  </r>
  <r>
    <n v="2112"/>
    <d v="2024-01-02T00:00:00"/>
    <s v="Premium"/>
    <n v="699"/>
    <n v="2.1"/>
    <n v="1"/>
    <n v="2"/>
    <n v="28"/>
    <n v="56"/>
    <s v="No"/>
    <s v="Yes"/>
    <s v="Yes"/>
    <s v="No"/>
    <s v="Yes"/>
    <s v="No"/>
    <m/>
    <s v="1+ Failures"/>
    <n v="0"/>
    <s v="0-5 hrs"/>
    <s v="12+ months"/>
    <x v="0"/>
  </r>
  <r>
    <n v="2113"/>
    <d v="2023-03-30T00:00:00"/>
    <s v="Standard"/>
    <n v="399"/>
    <n v="12.9"/>
    <n v="3"/>
    <n v="1"/>
    <n v="26"/>
    <n v="7"/>
    <s v="Yes"/>
    <s v="No"/>
    <s v="Yes"/>
    <s v="No"/>
    <s v="No"/>
    <s v="No"/>
    <m/>
    <s v="1+ Failures"/>
    <n v="1"/>
    <s v="10-20hrs"/>
    <s v="12+ months"/>
    <x v="1"/>
  </r>
  <r>
    <n v="2114"/>
    <d v="2023-09-27T00:00:00"/>
    <s v="Premium"/>
    <n v="699"/>
    <n v="16.8"/>
    <n v="7"/>
    <n v="5"/>
    <n v="12"/>
    <n v="34"/>
    <s v="Yes"/>
    <s v="No"/>
    <s v="Yes"/>
    <s v="Yes"/>
    <s v="Yes"/>
    <s v="No"/>
    <m/>
    <s v="1+ Failures"/>
    <n v="1"/>
    <s v="10-20hrs"/>
    <s v="6-12months"/>
    <x v="0"/>
  </r>
  <r>
    <n v="2115"/>
    <d v="2023-02-10T00:00:00"/>
    <s v="Standard"/>
    <n v="399"/>
    <n v="24.3"/>
    <n v="2"/>
    <n v="4"/>
    <n v="5"/>
    <n v="26"/>
    <s v="Yes"/>
    <s v="No"/>
    <s v="Yes"/>
    <s v="No"/>
    <s v="Yes"/>
    <s v="Yes"/>
    <m/>
    <s v="1+ Failures"/>
    <n v="1"/>
    <s v="20+ hrs"/>
    <s v="3-6months"/>
    <x v="1"/>
  </r>
  <r>
    <n v="2116"/>
    <d v="2024-01-16T00:00:00"/>
    <s v="Basic"/>
    <n v="199"/>
    <n v="4.0999999999999996"/>
    <n v="2"/>
    <n v="5"/>
    <n v="13"/>
    <n v="44"/>
    <s v="Yes"/>
    <s v="Yes"/>
    <s v="Yes"/>
    <s v="No"/>
    <s v="Yes"/>
    <s v="No"/>
    <m/>
    <s v="1+ Failures"/>
    <n v="1"/>
    <s v="0-5 hrs"/>
    <s v="12+ months"/>
    <x v="1"/>
  </r>
  <r>
    <n v="2117"/>
    <d v="2024-06-27T00:00:00"/>
    <s v="Basic"/>
    <n v="199"/>
    <n v="19.8"/>
    <n v="1"/>
    <n v="4"/>
    <n v="33"/>
    <n v="42"/>
    <s v="Yes"/>
    <s v="No"/>
    <s v="Yes"/>
    <s v="No"/>
    <s v="Yes"/>
    <s v="No"/>
    <m/>
    <s v="1+ Failures"/>
    <n v="1"/>
    <s v="10-20hrs"/>
    <s v="12+ months"/>
    <x v="1"/>
  </r>
  <r>
    <n v="2118"/>
    <d v="2024-05-06T00:00:00"/>
    <s v="Basic"/>
    <n v="199"/>
    <n v="22.1"/>
    <n v="2"/>
    <n v="2"/>
    <n v="20"/>
    <n v="58"/>
    <s v="Yes"/>
    <s v="No"/>
    <s v="Yes"/>
    <s v="No"/>
    <s v="Yes"/>
    <s v="No"/>
    <m/>
    <s v="1+ Failures"/>
    <n v="1"/>
    <s v="20+ hrs"/>
    <s v="12+ months"/>
    <x v="1"/>
  </r>
  <r>
    <n v="2119"/>
    <d v="2024-02-02T00:00:00"/>
    <s v="Basic"/>
    <n v="199"/>
    <n v="16.8"/>
    <n v="7"/>
    <n v="3"/>
    <n v="13"/>
    <n v="13"/>
    <s v="Yes"/>
    <s v="No"/>
    <s v="Yes"/>
    <s v="Yes"/>
    <s v="No"/>
    <s v="No"/>
    <m/>
    <s v="1+ Failures"/>
    <n v="1"/>
    <s v="10-20hrs"/>
    <s v="12+ months"/>
    <x v="1"/>
  </r>
  <r>
    <n v="2120"/>
    <d v="2024-06-06T00:00:00"/>
    <s v="Premium"/>
    <n v="699"/>
    <n v="21.5"/>
    <n v="1"/>
    <n v="1"/>
    <n v="35"/>
    <n v="42"/>
    <s v="Yes"/>
    <s v="No"/>
    <s v="Yes"/>
    <s v="No"/>
    <s v="Yes"/>
    <s v="No"/>
    <m/>
    <s v="1+ Failures"/>
    <n v="1"/>
    <s v="20+ hrs"/>
    <s v="12+ months"/>
    <x v="0"/>
  </r>
  <r>
    <n v="2121"/>
    <d v="2024-02-28T00:00:00"/>
    <s v="Basic"/>
    <n v="199"/>
    <n v="12.2"/>
    <n v="1"/>
    <n v="4"/>
    <n v="5"/>
    <n v="10"/>
    <s v="Yes"/>
    <s v="No"/>
    <s v="Yes"/>
    <s v="No"/>
    <s v="No"/>
    <s v="Yes"/>
    <m/>
    <s v="1+ Failures"/>
    <n v="1"/>
    <s v="10-20hrs"/>
    <s v="3-6months"/>
    <x v="1"/>
  </r>
  <r>
    <n v="2122"/>
    <d v="2023-02-13T00:00:00"/>
    <s v="Premium"/>
    <n v="699"/>
    <n v="23.5"/>
    <n v="4"/>
    <n v="3"/>
    <n v="24"/>
    <n v="3"/>
    <s v="No"/>
    <s v="No"/>
    <s v="Yes"/>
    <s v="No"/>
    <s v="No"/>
    <s v="No"/>
    <m/>
    <s v="1+ Failures"/>
    <n v="0"/>
    <s v="20+ hrs"/>
    <s v="12+ months"/>
    <x v="0"/>
  </r>
  <r>
    <n v="2123"/>
    <d v="2023-08-19T00:00:00"/>
    <s v="Standard"/>
    <n v="399"/>
    <n v="1.2"/>
    <n v="5"/>
    <n v="3"/>
    <n v="26"/>
    <n v="28"/>
    <s v="Yes"/>
    <s v="Yes"/>
    <s v="Yes"/>
    <s v="Yes"/>
    <s v="Yes"/>
    <s v="No"/>
    <m/>
    <s v="1+ Failures"/>
    <n v="1"/>
    <s v="0-5 hrs"/>
    <s v="12+ months"/>
    <x v="1"/>
  </r>
  <r>
    <n v="2124"/>
    <d v="2024-10-12T00:00:00"/>
    <s v="Premium"/>
    <n v="699"/>
    <n v="12.2"/>
    <n v="8"/>
    <n v="3"/>
    <n v="9"/>
    <n v="41"/>
    <s v="No"/>
    <s v="No"/>
    <s v="Yes"/>
    <s v="Yes"/>
    <s v="Yes"/>
    <s v="No"/>
    <m/>
    <s v="1+ Failures"/>
    <n v="0"/>
    <s v="10-20hrs"/>
    <s v="6-12months"/>
    <x v="0"/>
  </r>
  <r>
    <n v="2125"/>
    <d v="2024-09-06T00:00:00"/>
    <s v="Basic"/>
    <n v="199"/>
    <n v="15.2"/>
    <n v="4"/>
    <n v="3"/>
    <n v="16"/>
    <n v="49"/>
    <s v="Yes"/>
    <s v="No"/>
    <s v="Yes"/>
    <s v="No"/>
    <s v="Yes"/>
    <s v="No"/>
    <m/>
    <s v="1+ Failures"/>
    <n v="1"/>
    <s v="10-20hrs"/>
    <s v="12+ months"/>
    <x v="1"/>
  </r>
  <r>
    <n v="2126"/>
    <d v="2024-10-18T00:00:00"/>
    <s v="Basic"/>
    <n v="199"/>
    <n v="2.1"/>
    <n v="1"/>
    <n v="5"/>
    <n v="27"/>
    <n v="57"/>
    <s v="Yes"/>
    <s v="Yes"/>
    <s v="Yes"/>
    <s v="No"/>
    <s v="Yes"/>
    <s v="No"/>
    <m/>
    <s v="1+ Failures"/>
    <n v="1"/>
    <s v="0-5 hrs"/>
    <s v="12+ months"/>
    <x v="1"/>
  </r>
  <r>
    <n v="2127"/>
    <d v="2023-12-16T00:00:00"/>
    <s v="Basic"/>
    <n v="199"/>
    <n v="7.3"/>
    <n v="4"/>
    <n v="3"/>
    <n v="24"/>
    <n v="41"/>
    <s v="No"/>
    <s v="No"/>
    <s v="Yes"/>
    <s v="No"/>
    <s v="Yes"/>
    <s v="No"/>
    <m/>
    <s v="1+ Failures"/>
    <n v="0"/>
    <s v="5-10 hrs"/>
    <s v="12+ months"/>
    <x v="1"/>
  </r>
  <r>
    <n v="2128"/>
    <d v="2024-12-05T00:00:00"/>
    <s v="Standard"/>
    <n v="399"/>
    <n v="15.3"/>
    <n v="4"/>
    <n v="3"/>
    <n v="35"/>
    <n v="32"/>
    <s v="Yes"/>
    <s v="No"/>
    <s v="Yes"/>
    <s v="No"/>
    <s v="Yes"/>
    <s v="No"/>
    <m/>
    <s v="1+ Failures"/>
    <n v="1"/>
    <s v="10-20hrs"/>
    <s v="12+ months"/>
    <x v="1"/>
  </r>
  <r>
    <n v="2129"/>
    <d v="2024-05-16T00:00:00"/>
    <s v="Premium"/>
    <n v="699"/>
    <n v="23.1"/>
    <n v="2"/>
    <n v="3"/>
    <n v="36"/>
    <n v="21"/>
    <s v="Yes"/>
    <s v="No"/>
    <s v="Yes"/>
    <s v="No"/>
    <s v="Yes"/>
    <s v="No"/>
    <m/>
    <s v="1+ Failures"/>
    <n v="1"/>
    <s v="20+ hrs"/>
    <s v="12+ months"/>
    <x v="0"/>
  </r>
  <r>
    <n v="2130"/>
    <d v="2023-10-05T00:00:00"/>
    <s v="Standard"/>
    <n v="399"/>
    <n v="13.2"/>
    <n v="1"/>
    <n v="2"/>
    <n v="35"/>
    <n v="40"/>
    <s v="Yes"/>
    <s v="No"/>
    <s v="Yes"/>
    <s v="No"/>
    <s v="Yes"/>
    <s v="No"/>
    <m/>
    <s v="1+ Failures"/>
    <n v="1"/>
    <s v="10-20hrs"/>
    <s v="12+ months"/>
    <x v="1"/>
  </r>
  <r>
    <n v="2131"/>
    <d v="2023-11-10T00:00:00"/>
    <s v="Standard"/>
    <n v="399"/>
    <n v="6.1"/>
    <n v="5"/>
    <n v="1"/>
    <n v="33"/>
    <n v="36"/>
    <s v="Yes"/>
    <s v="No"/>
    <s v="Yes"/>
    <s v="Yes"/>
    <s v="Yes"/>
    <s v="No"/>
    <m/>
    <s v="1+ Failures"/>
    <n v="1"/>
    <s v="5-10 hrs"/>
    <s v="12+ months"/>
    <x v="1"/>
  </r>
  <r>
    <n v="2132"/>
    <d v="2024-11-16T00:00:00"/>
    <s v="Basic"/>
    <n v="199"/>
    <n v="13.2"/>
    <n v="6"/>
    <n v="2"/>
    <n v="22"/>
    <n v="16"/>
    <s v="No"/>
    <s v="No"/>
    <s v="Yes"/>
    <s v="Yes"/>
    <s v="Yes"/>
    <s v="No"/>
    <m/>
    <s v="1+ Failures"/>
    <n v="0"/>
    <s v="10-20hrs"/>
    <s v="12+ months"/>
    <x v="1"/>
  </r>
  <r>
    <n v="2133"/>
    <d v="2024-12-03T00:00:00"/>
    <s v="Premium"/>
    <n v="699"/>
    <n v="19.3"/>
    <n v="2"/>
    <n v="5"/>
    <n v="13"/>
    <n v="18"/>
    <s v="Yes"/>
    <s v="No"/>
    <s v="Yes"/>
    <s v="No"/>
    <s v="Yes"/>
    <s v="No"/>
    <m/>
    <s v="1+ Failures"/>
    <n v="1"/>
    <s v="10-20hrs"/>
    <s v="12+ months"/>
    <x v="0"/>
  </r>
  <r>
    <n v="2134"/>
    <d v="2023-05-01T00:00:00"/>
    <s v="Standard"/>
    <n v="399"/>
    <n v="14"/>
    <n v="3"/>
    <n v="3"/>
    <n v="35"/>
    <n v="37"/>
    <s v="Yes"/>
    <s v="No"/>
    <s v="Yes"/>
    <s v="No"/>
    <s v="Yes"/>
    <s v="No"/>
    <m/>
    <s v="1+ Failures"/>
    <n v="1"/>
    <s v="10-20hrs"/>
    <s v="12+ months"/>
    <x v="1"/>
  </r>
  <r>
    <n v="2135"/>
    <d v="2023-12-12T00:00:00"/>
    <s v="Premium"/>
    <n v="699"/>
    <n v="16.100000000000001"/>
    <n v="3"/>
    <n v="4"/>
    <n v="19"/>
    <n v="50"/>
    <s v="No"/>
    <s v="No"/>
    <s v="Yes"/>
    <s v="No"/>
    <s v="Yes"/>
    <s v="No"/>
    <m/>
    <s v="1+ Failures"/>
    <n v="0"/>
    <s v="10-20hrs"/>
    <s v="12+ months"/>
    <x v="0"/>
  </r>
  <r>
    <n v="2136"/>
    <d v="2024-08-04T00:00:00"/>
    <s v="Basic"/>
    <n v="199"/>
    <n v="9.6999999999999993"/>
    <n v="6"/>
    <n v="3"/>
    <n v="32"/>
    <n v="45"/>
    <s v="Yes"/>
    <s v="No"/>
    <s v="Yes"/>
    <s v="Yes"/>
    <s v="Yes"/>
    <s v="No"/>
    <m/>
    <s v="1+ Failures"/>
    <n v="1"/>
    <s v="5-10 hrs"/>
    <s v="12+ months"/>
    <x v="1"/>
  </r>
  <r>
    <n v="2137"/>
    <d v="2024-01-21T00:00:00"/>
    <s v="Standard"/>
    <n v="399"/>
    <n v="8.9"/>
    <n v="4"/>
    <n v="4"/>
    <n v="35"/>
    <n v="4"/>
    <s v="Yes"/>
    <s v="No"/>
    <s v="Yes"/>
    <s v="No"/>
    <s v="No"/>
    <s v="No"/>
    <m/>
    <s v="1+ Failures"/>
    <n v="1"/>
    <s v="5-10 hrs"/>
    <s v="12+ months"/>
    <x v="1"/>
  </r>
  <r>
    <n v="2138"/>
    <d v="2024-07-17T00:00:00"/>
    <s v="Premium"/>
    <n v="699"/>
    <n v="0.6"/>
    <n v="3"/>
    <n v="2"/>
    <n v="26"/>
    <n v="59"/>
    <s v="Yes"/>
    <s v="Yes"/>
    <s v="Yes"/>
    <s v="No"/>
    <s v="Yes"/>
    <s v="No"/>
    <m/>
    <s v="1+ Failures"/>
    <n v="1"/>
    <s v="0-5 hrs"/>
    <s v="12+ months"/>
    <x v="0"/>
  </r>
  <r>
    <n v="2139"/>
    <d v="2024-03-13T00:00:00"/>
    <s v="Premium"/>
    <n v="699"/>
    <n v="13"/>
    <n v="6"/>
    <n v="1"/>
    <n v="18"/>
    <n v="17"/>
    <s v="Yes"/>
    <s v="No"/>
    <s v="Yes"/>
    <s v="Yes"/>
    <s v="Yes"/>
    <s v="No"/>
    <m/>
    <s v="1+ Failures"/>
    <n v="1"/>
    <s v="10-20hrs"/>
    <s v="12+ months"/>
    <x v="0"/>
  </r>
  <r>
    <n v="2140"/>
    <d v="2023-05-24T00:00:00"/>
    <s v="Premium"/>
    <n v="699"/>
    <n v="15.1"/>
    <n v="7"/>
    <n v="3"/>
    <n v="32"/>
    <n v="24"/>
    <s v="Yes"/>
    <s v="No"/>
    <s v="Yes"/>
    <s v="Yes"/>
    <s v="Yes"/>
    <s v="No"/>
    <m/>
    <s v="1+ Failures"/>
    <n v="1"/>
    <s v="10-20hrs"/>
    <s v="12+ months"/>
    <x v="0"/>
  </r>
  <r>
    <n v="2141"/>
    <d v="2023-04-21T00:00:00"/>
    <s v="Basic"/>
    <n v="199"/>
    <n v="9.4"/>
    <n v="0"/>
    <n v="0"/>
    <n v="8"/>
    <n v="54"/>
    <s v="Yes"/>
    <s v="No"/>
    <s v="No"/>
    <s v="No"/>
    <s v="Yes"/>
    <s v="No"/>
    <m/>
    <s v="0 Failures"/>
    <n v="1"/>
    <s v="5-10 hrs"/>
    <s v="6-12months"/>
    <x v="1"/>
  </r>
  <r>
    <n v="2142"/>
    <d v="2023-02-10T00:00:00"/>
    <s v="Premium"/>
    <n v="699"/>
    <n v="7.1"/>
    <n v="1"/>
    <n v="5"/>
    <n v="35"/>
    <n v="43"/>
    <s v="Yes"/>
    <s v="No"/>
    <s v="Yes"/>
    <s v="No"/>
    <s v="Yes"/>
    <s v="No"/>
    <m/>
    <s v="1+ Failures"/>
    <n v="1"/>
    <s v="5-10 hrs"/>
    <s v="12+ months"/>
    <x v="0"/>
  </r>
  <r>
    <n v="2143"/>
    <d v="2024-03-16T00:00:00"/>
    <s v="Premium"/>
    <n v="699"/>
    <n v="0.7"/>
    <n v="5"/>
    <n v="4"/>
    <n v="4"/>
    <n v="46"/>
    <s v="Yes"/>
    <s v="Yes"/>
    <s v="Yes"/>
    <s v="Yes"/>
    <s v="Yes"/>
    <s v="Yes"/>
    <m/>
    <s v="1+ Failures"/>
    <n v="1"/>
    <s v="0-5 hrs"/>
    <s v="3-6months"/>
    <x v="0"/>
  </r>
  <r>
    <n v="2144"/>
    <d v="2023-06-05T00:00:00"/>
    <s v="Basic"/>
    <n v="199"/>
    <n v="5.9"/>
    <n v="4"/>
    <n v="4"/>
    <n v="15"/>
    <n v="22"/>
    <s v="No"/>
    <s v="No"/>
    <s v="Yes"/>
    <s v="No"/>
    <s v="Yes"/>
    <s v="No"/>
    <m/>
    <s v="1+ Failures"/>
    <n v="0"/>
    <s v="5-10 hrs"/>
    <s v="12+ months"/>
    <x v="1"/>
  </r>
  <r>
    <n v="2145"/>
    <d v="2024-01-28T00:00:00"/>
    <s v="Basic"/>
    <n v="199"/>
    <n v="14.8"/>
    <n v="3"/>
    <n v="1"/>
    <n v="36"/>
    <n v="51"/>
    <s v="No"/>
    <s v="No"/>
    <s v="Yes"/>
    <s v="No"/>
    <s v="Yes"/>
    <s v="No"/>
    <m/>
    <s v="1+ Failures"/>
    <n v="0"/>
    <s v="10-20hrs"/>
    <s v="12+ months"/>
    <x v="1"/>
  </r>
  <r>
    <n v="2146"/>
    <d v="2023-10-04T00:00:00"/>
    <s v="Basic"/>
    <n v="199"/>
    <n v="15.6"/>
    <n v="2"/>
    <n v="0"/>
    <n v="35"/>
    <n v="36"/>
    <s v="No"/>
    <s v="No"/>
    <s v="No"/>
    <s v="No"/>
    <s v="Yes"/>
    <s v="No"/>
    <m/>
    <s v="0 Failures"/>
    <n v="0"/>
    <s v="10-20hrs"/>
    <s v="12+ months"/>
    <x v="1"/>
  </r>
  <r>
    <n v="2147"/>
    <d v="2023-06-19T00:00:00"/>
    <s v="Standard"/>
    <n v="399"/>
    <n v="2.8"/>
    <n v="6"/>
    <n v="1"/>
    <n v="8"/>
    <n v="15"/>
    <s v="Yes"/>
    <s v="Yes"/>
    <s v="Yes"/>
    <s v="Yes"/>
    <s v="Yes"/>
    <s v="No"/>
    <m/>
    <s v="1+ Failures"/>
    <n v="1"/>
    <s v="0-5 hrs"/>
    <s v="6-12months"/>
    <x v="1"/>
  </r>
  <r>
    <n v="2148"/>
    <d v="2024-08-16T00:00:00"/>
    <s v="Basic"/>
    <n v="199"/>
    <n v="7.3"/>
    <n v="0"/>
    <n v="1"/>
    <n v="15"/>
    <n v="42"/>
    <s v="Yes"/>
    <s v="No"/>
    <s v="Yes"/>
    <s v="No"/>
    <s v="Yes"/>
    <s v="No"/>
    <m/>
    <s v="1+ Failures"/>
    <n v="1"/>
    <s v="5-10 hrs"/>
    <s v="12+ months"/>
    <x v="1"/>
  </r>
  <r>
    <n v="2149"/>
    <d v="2024-12-30T00:00:00"/>
    <s v="Premium"/>
    <n v="699"/>
    <n v="11.4"/>
    <n v="3"/>
    <n v="0"/>
    <n v="25"/>
    <n v="54"/>
    <s v="Yes"/>
    <s v="No"/>
    <s v="No"/>
    <s v="No"/>
    <s v="Yes"/>
    <s v="No"/>
    <m/>
    <s v="0 Failures"/>
    <n v="1"/>
    <s v="10-20hrs"/>
    <s v="12+ months"/>
    <x v="0"/>
  </r>
  <r>
    <n v="2150"/>
    <d v="2024-07-08T00:00:00"/>
    <s v="Standard"/>
    <n v="399"/>
    <n v="4.2"/>
    <n v="6"/>
    <n v="4"/>
    <n v="29"/>
    <n v="48"/>
    <s v="Yes"/>
    <s v="Yes"/>
    <s v="Yes"/>
    <s v="Yes"/>
    <s v="Yes"/>
    <s v="No"/>
    <m/>
    <s v="1+ Failures"/>
    <n v="1"/>
    <s v="0-5 hrs"/>
    <s v="12+ months"/>
    <x v="1"/>
  </r>
  <r>
    <n v="2151"/>
    <d v="2023-12-17T00:00:00"/>
    <s v="Standard"/>
    <n v="399"/>
    <n v="22.1"/>
    <n v="7"/>
    <n v="3"/>
    <n v="14"/>
    <n v="50"/>
    <s v="No"/>
    <s v="No"/>
    <s v="Yes"/>
    <s v="Yes"/>
    <s v="Yes"/>
    <s v="No"/>
    <m/>
    <s v="1+ Failures"/>
    <n v="0"/>
    <s v="20+ hrs"/>
    <s v="12+ months"/>
    <x v="1"/>
  </r>
  <r>
    <n v="2152"/>
    <d v="2023-05-28T00:00:00"/>
    <s v="Standard"/>
    <n v="399"/>
    <n v="12.7"/>
    <n v="6"/>
    <n v="3"/>
    <n v="2"/>
    <n v="38"/>
    <s v="Yes"/>
    <s v="No"/>
    <s v="Yes"/>
    <s v="Yes"/>
    <s v="Yes"/>
    <s v="Yes"/>
    <m/>
    <s v="1+ Failures"/>
    <n v="1"/>
    <s v="10-20hrs"/>
    <s v="0-3months"/>
    <x v="1"/>
  </r>
  <r>
    <n v="2153"/>
    <d v="2023-08-12T00:00:00"/>
    <s v="Premium"/>
    <n v="699"/>
    <n v="15.2"/>
    <n v="6"/>
    <n v="1"/>
    <n v="5"/>
    <n v="50"/>
    <s v="Yes"/>
    <s v="No"/>
    <s v="Yes"/>
    <s v="Yes"/>
    <s v="Yes"/>
    <s v="Yes"/>
    <m/>
    <s v="1+ Failures"/>
    <n v="1"/>
    <s v="10-20hrs"/>
    <s v="3-6months"/>
    <x v="0"/>
  </r>
  <r>
    <n v="2154"/>
    <d v="2024-01-24T00:00:00"/>
    <s v="Standard"/>
    <n v="399"/>
    <n v="10.4"/>
    <n v="3"/>
    <n v="5"/>
    <n v="23"/>
    <n v="18"/>
    <s v="No"/>
    <s v="No"/>
    <s v="Yes"/>
    <s v="No"/>
    <s v="Yes"/>
    <s v="No"/>
    <m/>
    <s v="1+ Failures"/>
    <n v="0"/>
    <s v="10-20hrs"/>
    <s v="12+ months"/>
    <x v="1"/>
  </r>
  <r>
    <n v="2155"/>
    <d v="2024-12-31T00:00:00"/>
    <s v="Premium"/>
    <n v="699"/>
    <n v="24"/>
    <n v="3"/>
    <n v="5"/>
    <n v="31"/>
    <n v="44"/>
    <s v="Yes"/>
    <s v="No"/>
    <s v="Yes"/>
    <s v="No"/>
    <s v="Yes"/>
    <s v="No"/>
    <m/>
    <s v="1+ Failures"/>
    <n v="1"/>
    <s v="20+ hrs"/>
    <s v="12+ months"/>
    <x v="0"/>
  </r>
  <r>
    <n v="2156"/>
    <d v="2024-04-01T00:00:00"/>
    <s v="Basic"/>
    <n v="199"/>
    <n v="14.5"/>
    <n v="5"/>
    <n v="3"/>
    <n v="25"/>
    <n v="1"/>
    <s v="Yes"/>
    <s v="No"/>
    <s v="Yes"/>
    <s v="Yes"/>
    <s v="No"/>
    <s v="No"/>
    <m/>
    <s v="1+ Failures"/>
    <n v="1"/>
    <s v="10-20hrs"/>
    <s v="12+ months"/>
    <x v="1"/>
  </r>
  <r>
    <n v="2157"/>
    <d v="2023-09-24T00:00:00"/>
    <s v="Standard"/>
    <n v="399"/>
    <n v="11.2"/>
    <n v="5"/>
    <n v="1"/>
    <n v="6"/>
    <n v="17"/>
    <s v="No"/>
    <s v="No"/>
    <s v="Yes"/>
    <s v="Yes"/>
    <s v="Yes"/>
    <s v="No"/>
    <m/>
    <s v="1+ Failures"/>
    <n v="0"/>
    <s v="10-20hrs"/>
    <s v="3-6months"/>
    <x v="1"/>
  </r>
  <r>
    <n v="2158"/>
    <d v="2023-02-07T00:00:00"/>
    <s v="Standard"/>
    <n v="399"/>
    <n v="4.5999999999999996"/>
    <n v="8"/>
    <n v="4"/>
    <n v="11"/>
    <n v="33"/>
    <s v="Yes"/>
    <s v="Yes"/>
    <s v="Yes"/>
    <s v="Yes"/>
    <s v="Yes"/>
    <s v="No"/>
    <m/>
    <s v="1+ Failures"/>
    <n v="1"/>
    <s v="0-5 hrs"/>
    <s v="6-12months"/>
    <x v="1"/>
  </r>
  <r>
    <n v="2159"/>
    <d v="2023-04-05T00:00:00"/>
    <s v="Standard"/>
    <n v="399"/>
    <n v="1.7"/>
    <n v="3"/>
    <n v="0"/>
    <n v="24"/>
    <n v="45"/>
    <s v="No"/>
    <s v="Yes"/>
    <s v="No"/>
    <s v="No"/>
    <s v="Yes"/>
    <s v="No"/>
    <m/>
    <s v="0 Failures"/>
    <n v="0"/>
    <s v="0-5 hrs"/>
    <s v="12+ months"/>
    <x v="1"/>
  </r>
  <r>
    <n v="2160"/>
    <d v="2023-06-02T00:00:00"/>
    <s v="Premium"/>
    <n v="699"/>
    <n v="1.7"/>
    <n v="1"/>
    <n v="4"/>
    <n v="36"/>
    <n v="59"/>
    <s v="Yes"/>
    <s v="Yes"/>
    <s v="Yes"/>
    <s v="No"/>
    <s v="Yes"/>
    <s v="No"/>
    <m/>
    <s v="1+ Failures"/>
    <n v="1"/>
    <s v="0-5 hrs"/>
    <s v="12+ months"/>
    <x v="0"/>
  </r>
  <r>
    <n v="2161"/>
    <d v="2023-06-20T00:00:00"/>
    <s v="Standard"/>
    <n v="399"/>
    <n v="21.5"/>
    <n v="4"/>
    <n v="1"/>
    <n v="10"/>
    <n v="14"/>
    <s v="No"/>
    <s v="No"/>
    <s v="Yes"/>
    <s v="No"/>
    <s v="No"/>
    <s v="No"/>
    <m/>
    <s v="1+ Failures"/>
    <n v="0"/>
    <s v="20+ hrs"/>
    <s v="6-12months"/>
    <x v="1"/>
  </r>
  <r>
    <n v="2162"/>
    <d v="2023-06-30T00:00:00"/>
    <s v="Premium"/>
    <n v="699"/>
    <n v="6.2"/>
    <n v="1"/>
    <n v="4"/>
    <n v="5"/>
    <n v="3"/>
    <s v="No"/>
    <s v="No"/>
    <s v="Yes"/>
    <s v="No"/>
    <s v="No"/>
    <s v="Yes"/>
    <m/>
    <s v="1+ Failures"/>
    <n v="0"/>
    <s v="5-10 hrs"/>
    <s v="3-6months"/>
    <x v="0"/>
  </r>
  <r>
    <n v="2163"/>
    <d v="2023-07-20T00:00:00"/>
    <s v="Standard"/>
    <n v="399"/>
    <n v="12"/>
    <n v="6"/>
    <n v="1"/>
    <n v="36"/>
    <n v="15"/>
    <s v="Yes"/>
    <s v="No"/>
    <s v="Yes"/>
    <s v="Yes"/>
    <s v="Yes"/>
    <s v="No"/>
    <m/>
    <s v="1+ Failures"/>
    <n v="1"/>
    <s v="10-20hrs"/>
    <s v="12+ months"/>
    <x v="1"/>
  </r>
  <r>
    <n v="2164"/>
    <d v="2024-06-30T00:00:00"/>
    <s v="Premium"/>
    <n v="699"/>
    <n v="2.2000000000000002"/>
    <n v="1"/>
    <n v="2"/>
    <n v="5"/>
    <n v="52"/>
    <s v="Yes"/>
    <s v="Yes"/>
    <s v="Yes"/>
    <s v="No"/>
    <s v="Yes"/>
    <s v="Yes"/>
    <m/>
    <s v="1+ Failures"/>
    <n v="1"/>
    <s v="0-5 hrs"/>
    <s v="3-6months"/>
    <x v="0"/>
  </r>
  <r>
    <n v="2165"/>
    <d v="2023-07-11T00:00:00"/>
    <s v="Basic"/>
    <n v="199"/>
    <n v="14.1"/>
    <n v="5"/>
    <n v="5"/>
    <n v="30"/>
    <n v="11"/>
    <s v="Yes"/>
    <s v="No"/>
    <s v="Yes"/>
    <s v="Yes"/>
    <s v="No"/>
    <s v="No"/>
    <m/>
    <s v="1+ Failures"/>
    <n v="1"/>
    <s v="10-20hrs"/>
    <s v="12+ months"/>
    <x v="1"/>
  </r>
  <r>
    <n v="2166"/>
    <d v="2024-05-27T00:00:00"/>
    <s v="Basic"/>
    <n v="199"/>
    <n v="8.5"/>
    <n v="2"/>
    <n v="2"/>
    <n v="1"/>
    <n v="32"/>
    <s v="No"/>
    <s v="No"/>
    <s v="Yes"/>
    <s v="No"/>
    <s v="Yes"/>
    <s v="Yes"/>
    <m/>
    <s v="1+ Failures"/>
    <n v="0"/>
    <s v="5-10 hrs"/>
    <s v="0-3months"/>
    <x v="1"/>
  </r>
  <r>
    <n v="2167"/>
    <d v="2023-05-16T00:00:00"/>
    <s v="Premium"/>
    <n v="699"/>
    <n v="10.1"/>
    <n v="2"/>
    <n v="0"/>
    <n v="4"/>
    <n v="30"/>
    <s v="Yes"/>
    <s v="No"/>
    <s v="No"/>
    <s v="No"/>
    <s v="Yes"/>
    <s v="Yes"/>
    <m/>
    <s v="0 Failures"/>
    <n v="1"/>
    <s v="10-20hrs"/>
    <s v="3-6months"/>
    <x v="0"/>
  </r>
  <r>
    <n v="2168"/>
    <d v="2024-12-28T00:00:00"/>
    <s v="Basic"/>
    <n v="199"/>
    <n v="14.6"/>
    <n v="4"/>
    <n v="3"/>
    <n v="24"/>
    <n v="15"/>
    <s v="Yes"/>
    <s v="No"/>
    <s v="Yes"/>
    <s v="No"/>
    <s v="Yes"/>
    <s v="No"/>
    <m/>
    <s v="1+ Failures"/>
    <n v="1"/>
    <s v="10-20hrs"/>
    <s v="12+ months"/>
    <x v="1"/>
  </r>
  <r>
    <n v="2169"/>
    <d v="2023-10-22T00:00:00"/>
    <s v="Basic"/>
    <n v="199"/>
    <n v="4.5"/>
    <n v="0"/>
    <n v="0"/>
    <n v="16"/>
    <n v="24"/>
    <s v="Yes"/>
    <s v="Yes"/>
    <s v="No"/>
    <s v="No"/>
    <s v="Yes"/>
    <s v="No"/>
    <m/>
    <s v="0 Failures"/>
    <n v="1"/>
    <s v="0-5 hrs"/>
    <s v="12+ months"/>
    <x v="1"/>
  </r>
  <r>
    <n v="2170"/>
    <d v="2024-06-21T00:00:00"/>
    <s v="Standard"/>
    <n v="399"/>
    <n v="20.100000000000001"/>
    <n v="6"/>
    <n v="4"/>
    <n v="34"/>
    <n v="34"/>
    <s v="Yes"/>
    <s v="No"/>
    <s v="Yes"/>
    <s v="Yes"/>
    <s v="Yes"/>
    <s v="No"/>
    <m/>
    <s v="1+ Failures"/>
    <n v="1"/>
    <s v="20+ hrs"/>
    <s v="12+ months"/>
    <x v="1"/>
  </r>
  <r>
    <n v="2171"/>
    <d v="2023-06-20T00:00:00"/>
    <s v="Standard"/>
    <n v="399"/>
    <n v="9.1999999999999993"/>
    <n v="6"/>
    <n v="2"/>
    <n v="34"/>
    <n v="33"/>
    <s v="No"/>
    <s v="No"/>
    <s v="Yes"/>
    <s v="Yes"/>
    <s v="Yes"/>
    <s v="No"/>
    <m/>
    <s v="1+ Failures"/>
    <n v="0"/>
    <s v="5-10 hrs"/>
    <s v="12+ months"/>
    <x v="1"/>
  </r>
  <r>
    <n v="2172"/>
    <d v="2024-01-12T00:00:00"/>
    <s v="Premium"/>
    <n v="699"/>
    <n v="3.6"/>
    <n v="0"/>
    <n v="1"/>
    <n v="32"/>
    <n v="4"/>
    <s v="No"/>
    <s v="Yes"/>
    <s v="Yes"/>
    <s v="No"/>
    <s v="No"/>
    <s v="No"/>
    <m/>
    <s v="1+ Failures"/>
    <n v="0"/>
    <s v="0-5 hrs"/>
    <s v="12+ months"/>
    <x v="0"/>
  </r>
  <r>
    <n v="2173"/>
    <d v="2023-01-25T00:00:00"/>
    <s v="Standard"/>
    <n v="399"/>
    <n v="15.3"/>
    <n v="6"/>
    <n v="3"/>
    <n v="8"/>
    <n v="24"/>
    <s v="Yes"/>
    <s v="No"/>
    <s v="Yes"/>
    <s v="Yes"/>
    <s v="Yes"/>
    <s v="No"/>
    <m/>
    <s v="1+ Failures"/>
    <n v="1"/>
    <s v="10-20hrs"/>
    <s v="6-12months"/>
    <x v="1"/>
  </r>
  <r>
    <n v="2174"/>
    <d v="2023-05-31T00:00:00"/>
    <s v="Standard"/>
    <n v="399"/>
    <n v="5.4"/>
    <n v="0"/>
    <n v="1"/>
    <n v="32"/>
    <n v="27"/>
    <s v="No"/>
    <s v="No"/>
    <s v="Yes"/>
    <s v="No"/>
    <s v="Yes"/>
    <s v="No"/>
    <m/>
    <s v="1+ Failures"/>
    <n v="0"/>
    <s v="5-10 hrs"/>
    <s v="12+ months"/>
    <x v="1"/>
  </r>
  <r>
    <n v="2175"/>
    <d v="2023-08-21T00:00:00"/>
    <s v="Standard"/>
    <n v="399"/>
    <n v="16.399999999999999"/>
    <n v="4"/>
    <n v="3"/>
    <n v="9"/>
    <n v="15"/>
    <s v="Yes"/>
    <s v="No"/>
    <s v="Yes"/>
    <s v="No"/>
    <s v="Yes"/>
    <s v="No"/>
    <m/>
    <s v="1+ Failures"/>
    <n v="1"/>
    <s v="10-20hrs"/>
    <s v="6-12months"/>
    <x v="1"/>
  </r>
  <r>
    <n v="2176"/>
    <d v="2023-07-29T00:00:00"/>
    <s v="Standard"/>
    <n v="399"/>
    <n v="12.4"/>
    <n v="7"/>
    <n v="5"/>
    <n v="17"/>
    <n v="29"/>
    <s v="Yes"/>
    <s v="No"/>
    <s v="Yes"/>
    <s v="Yes"/>
    <s v="Yes"/>
    <s v="No"/>
    <m/>
    <s v="1+ Failures"/>
    <n v="1"/>
    <s v="10-20hrs"/>
    <s v="12+ months"/>
    <x v="1"/>
  </r>
  <r>
    <n v="2177"/>
    <d v="2024-10-17T00:00:00"/>
    <s v="Standard"/>
    <n v="399"/>
    <n v="10.7"/>
    <n v="0"/>
    <n v="1"/>
    <n v="9"/>
    <n v="60"/>
    <s v="Yes"/>
    <s v="No"/>
    <s v="Yes"/>
    <s v="No"/>
    <s v="Yes"/>
    <s v="No"/>
    <m/>
    <s v="1+ Failures"/>
    <n v="1"/>
    <s v="10-20hrs"/>
    <s v="6-12months"/>
    <x v="1"/>
  </r>
  <r>
    <n v="2178"/>
    <d v="2024-10-31T00:00:00"/>
    <s v="Basic"/>
    <n v="199"/>
    <n v="9.6999999999999993"/>
    <n v="5"/>
    <n v="3"/>
    <n v="19"/>
    <n v="58"/>
    <s v="Yes"/>
    <s v="No"/>
    <s v="Yes"/>
    <s v="Yes"/>
    <s v="Yes"/>
    <s v="No"/>
    <m/>
    <s v="1+ Failures"/>
    <n v="1"/>
    <s v="5-10 hrs"/>
    <s v="12+ months"/>
    <x v="1"/>
  </r>
  <r>
    <n v="2179"/>
    <d v="2024-05-05T00:00:00"/>
    <s v="Standard"/>
    <n v="399"/>
    <n v="15.2"/>
    <n v="5"/>
    <n v="4"/>
    <n v="5"/>
    <n v="35"/>
    <s v="Yes"/>
    <s v="No"/>
    <s v="Yes"/>
    <s v="Yes"/>
    <s v="Yes"/>
    <s v="Yes"/>
    <m/>
    <s v="1+ Failures"/>
    <n v="1"/>
    <s v="10-20hrs"/>
    <s v="3-6months"/>
    <x v="1"/>
  </r>
  <r>
    <n v="2180"/>
    <d v="2023-04-14T00:00:00"/>
    <s v="Basic"/>
    <n v="199"/>
    <n v="8.6"/>
    <n v="4"/>
    <n v="4"/>
    <n v="23"/>
    <n v="10"/>
    <s v="Yes"/>
    <s v="No"/>
    <s v="Yes"/>
    <s v="No"/>
    <s v="No"/>
    <s v="No"/>
    <m/>
    <s v="1+ Failures"/>
    <n v="1"/>
    <s v="5-10 hrs"/>
    <s v="12+ months"/>
    <x v="1"/>
  </r>
  <r>
    <n v="2181"/>
    <d v="2024-01-16T00:00:00"/>
    <s v="Basic"/>
    <n v="199"/>
    <n v="7.1"/>
    <n v="0"/>
    <n v="4"/>
    <n v="36"/>
    <n v="13"/>
    <s v="No"/>
    <s v="No"/>
    <s v="Yes"/>
    <s v="No"/>
    <s v="No"/>
    <s v="No"/>
    <m/>
    <s v="1+ Failures"/>
    <n v="0"/>
    <s v="5-10 hrs"/>
    <s v="12+ months"/>
    <x v="1"/>
  </r>
  <r>
    <n v="2182"/>
    <d v="2024-01-12T00:00:00"/>
    <s v="Basic"/>
    <n v="199"/>
    <n v="10.4"/>
    <n v="7"/>
    <n v="2"/>
    <n v="29"/>
    <n v="39"/>
    <s v="Yes"/>
    <s v="No"/>
    <s v="Yes"/>
    <s v="Yes"/>
    <s v="Yes"/>
    <s v="No"/>
    <m/>
    <s v="1+ Failures"/>
    <n v="1"/>
    <s v="10-20hrs"/>
    <s v="12+ months"/>
    <x v="1"/>
  </r>
  <r>
    <n v="2183"/>
    <d v="2023-02-07T00:00:00"/>
    <s v="Basic"/>
    <n v="199"/>
    <n v="14.8"/>
    <n v="7"/>
    <n v="3"/>
    <n v="34"/>
    <n v="27"/>
    <s v="No"/>
    <s v="No"/>
    <s v="Yes"/>
    <s v="Yes"/>
    <s v="Yes"/>
    <s v="No"/>
    <m/>
    <s v="1+ Failures"/>
    <n v="0"/>
    <s v="10-20hrs"/>
    <s v="12+ months"/>
    <x v="1"/>
  </r>
  <r>
    <n v="2184"/>
    <d v="2024-01-22T00:00:00"/>
    <s v="Premium"/>
    <n v="699"/>
    <n v="18.399999999999999"/>
    <n v="8"/>
    <n v="0"/>
    <n v="36"/>
    <n v="9"/>
    <s v="No"/>
    <s v="No"/>
    <s v="No"/>
    <s v="Yes"/>
    <s v="No"/>
    <s v="No"/>
    <m/>
    <s v="0 Failures"/>
    <n v="0"/>
    <s v="10-20hrs"/>
    <s v="12+ months"/>
    <x v="0"/>
  </r>
  <r>
    <n v="2185"/>
    <d v="2023-07-21T00:00:00"/>
    <s v="Standard"/>
    <n v="399"/>
    <n v="18.399999999999999"/>
    <n v="4"/>
    <n v="1"/>
    <n v="29"/>
    <n v="9"/>
    <s v="No"/>
    <s v="No"/>
    <s v="Yes"/>
    <s v="No"/>
    <s v="No"/>
    <s v="No"/>
    <m/>
    <s v="1+ Failures"/>
    <n v="0"/>
    <s v="10-20hrs"/>
    <s v="12+ months"/>
    <x v="1"/>
  </r>
  <r>
    <n v="2186"/>
    <d v="2023-05-17T00:00:00"/>
    <s v="Basic"/>
    <n v="199"/>
    <n v="7.3"/>
    <n v="3"/>
    <n v="0"/>
    <n v="25"/>
    <n v="2"/>
    <s v="No"/>
    <s v="No"/>
    <s v="No"/>
    <s v="No"/>
    <s v="No"/>
    <s v="No"/>
    <m/>
    <s v="0 Failures"/>
    <n v="0"/>
    <s v="5-10 hrs"/>
    <s v="12+ months"/>
    <x v="1"/>
  </r>
  <r>
    <n v="2187"/>
    <d v="2023-09-19T00:00:00"/>
    <s v="Basic"/>
    <n v="199"/>
    <n v="14.4"/>
    <n v="6"/>
    <n v="1"/>
    <n v="27"/>
    <n v="27"/>
    <s v="No"/>
    <s v="No"/>
    <s v="Yes"/>
    <s v="Yes"/>
    <s v="Yes"/>
    <s v="No"/>
    <m/>
    <s v="1+ Failures"/>
    <n v="0"/>
    <s v="10-20hrs"/>
    <s v="12+ months"/>
    <x v="1"/>
  </r>
  <r>
    <n v="2188"/>
    <d v="2023-03-09T00:00:00"/>
    <s v="Basic"/>
    <n v="199"/>
    <n v="24.8"/>
    <n v="2"/>
    <n v="0"/>
    <n v="1"/>
    <n v="16"/>
    <s v="No"/>
    <s v="No"/>
    <s v="No"/>
    <s v="No"/>
    <s v="Yes"/>
    <s v="Yes"/>
    <m/>
    <s v="0 Failures"/>
    <n v="0"/>
    <s v="20+ hrs"/>
    <s v="0-3months"/>
    <x v="1"/>
  </r>
  <r>
    <n v="2189"/>
    <d v="2024-11-16T00:00:00"/>
    <s v="Basic"/>
    <n v="199"/>
    <n v="22.9"/>
    <n v="2"/>
    <n v="5"/>
    <n v="30"/>
    <n v="31"/>
    <s v="Yes"/>
    <s v="No"/>
    <s v="Yes"/>
    <s v="No"/>
    <s v="Yes"/>
    <s v="No"/>
    <m/>
    <s v="1+ Failures"/>
    <n v="1"/>
    <s v="20+ hrs"/>
    <s v="12+ months"/>
    <x v="1"/>
  </r>
  <r>
    <n v="2190"/>
    <d v="2024-07-15T00:00:00"/>
    <s v="Standard"/>
    <n v="399"/>
    <n v="15.6"/>
    <n v="5"/>
    <n v="3"/>
    <n v="22"/>
    <n v="16"/>
    <s v="No"/>
    <s v="No"/>
    <s v="Yes"/>
    <s v="Yes"/>
    <s v="Yes"/>
    <s v="No"/>
    <m/>
    <s v="1+ Failures"/>
    <n v="0"/>
    <s v="10-20hrs"/>
    <s v="12+ months"/>
    <x v="1"/>
  </r>
  <r>
    <n v="2191"/>
    <d v="2024-08-26T00:00:00"/>
    <s v="Premium"/>
    <n v="699"/>
    <n v="16"/>
    <n v="5"/>
    <n v="4"/>
    <n v="22"/>
    <n v="9"/>
    <s v="No"/>
    <s v="No"/>
    <s v="Yes"/>
    <s v="Yes"/>
    <s v="No"/>
    <s v="No"/>
    <m/>
    <s v="1+ Failures"/>
    <n v="0"/>
    <s v="10-20hrs"/>
    <s v="12+ months"/>
    <x v="0"/>
  </r>
  <r>
    <n v="2192"/>
    <d v="2024-05-09T00:00:00"/>
    <s v="Premium"/>
    <n v="699"/>
    <n v="20.3"/>
    <n v="3"/>
    <n v="1"/>
    <n v="18"/>
    <n v="52"/>
    <s v="Yes"/>
    <s v="No"/>
    <s v="Yes"/>
    <s v="No"/>
    <s v="Yes"/>
    <s v="No"/>
    <m/>
    <s v="1+ Failures"/>
    <n v="1"/>
    <s v="20+ hrs"/>
    <s v="12+ months"/>
    <x v="0"/>
  </r>
  <r>
    <n v="2193"/>
    <d v="2023-02-22T00:00:00"/>
    <s v="Standard"/>
    <n v="399"/>
    <n v="23.5"/>
    <n v="4"/>
    <n v="3"/>
    <n v="22"/>
    <n v="46"/>
    <s v="No"/>
    <s v="No"/>
    <s v="Yes"/>
    <s v="No"/>
    <s v="Yes"/>
    <s v="No"/>
    <m/>
    <s v="1+ Failures"/>
    <n v="0"/>
    <s v="20+ hrs"/>
    <s v="12+ months"/>
    <x v="1"/>
  </r>
  <r>
    <n v="2194"/>
    <d v="2023-08-17T00:00:00"/>
    <s v="Premium"/>
    <n v="699"/>
    <n v="20.100000000000001"/>
    <n v="4"/>
    <n v="0"/>
    <n v="20"/>
    <n v="52"/>
    <s v="Yes"/>
    <s v="No"/>
    <s v="No"/>
    <s v="No"/>
    <s v="Yes"/>
    <s v="No"/>
    <m/>
    <s v="0 Failures"/>
    <n v="1"/>
    <s v="20+ hrs"/>
    <s v="12+ months"/>
    <x v="0"/>
  </r>
  <r>
    <n v="2195"/>
    <d v="2024-01-07T00:00:00"/>
    <s v="Basic"/>
    <n v="199"/>
    <n v="11.9"/>
    <n v="2"/>
    <n v="0"/>
    <n v="16"/>
    <n v="44"/>
    <s v="No"/>
    <s v="No"/>
    <s v="No"/>
    <s v="No"/>
    <s v="Yes"/>
    <s v="No"/>
    <m/>
    <s v="0 Failures"/>
    <n v="0"/>
    <s v="10-20hrs"/>
    <s v="12+ months"/>
    <x v="1"/>
  </r>
  <r>
    <n v="2196"/>
    <d v="2024-09-30T00:00:00"/>
    <s v="Standard"/>
    <n v="399"/>
    <n v="10.8"/>
    <n v="5"/>
    <n v="2"/>
    <n v="26"/>
    <n v="5"/>
    <s v="Yes"/>
    <s v="No"/>
    <s v="Yes"/>
    <s v="Yes"/>
    <s v="No"/>
    <s v="No"/>
    <m/>
    <s v="1+ Failures"/>
    <n v="1"/>
    <s v="10-20hrs"/>
    <s v="12+ months"/>
    <x v="1"/>
  </r>
  <r>
    <n v="2197"/>
    <d v="2023-06-07T00:00:00"/>
    <s v="Standard"/>
    <n v="399"/>
    <n v="19.5"/>
    <n v="0"/>
    <n v="3"/>
    <n v="5"/>
    <n v="25"/>
    <s v="No"/>
    <s v="No"/>
    <s v="Yes"/>
    <s v="No"/>
    <s v="Yes"/>
    <s v="Yes"/>
    <m/>
    <s v="1+ Failures"/>
    <n v="0"/>
    <s v="10-20hrs"/>
    <s v="3-6months"/>
    <x v="1"/>
  </r>
  <r>
    <n v="2198"/>
    <d v="2024-05-13T00:00:00"/>
    <s v="Standard"/>
    <n v="399"/>
    <n v="24.5"/>
    <n v="5"/>
    <n v="2"/>
    <n v="31"/>
    <n v="7"/>
    <s v="Yes"/>
    <s v="No"/>
    <s v="Yes"/>
    <s v="Yes"/>
    <s v="No"/>
    <s v="No"/>
    <m/>
    <s v="1+ Failures"/>
    <n v="1"/>
    <s v="20+ hrs"/>
    <s v="12+ months"/>
    <x v="1"/>
  </r>
  <r>
    <n v="2199"/>
    <d v="2023-09-07T00:00:00"/>
    <s v="Standard"/>
    <n v="399"/>
    <n v="14.9"/>
    <n v="6"/>
    <n v="3"/>
    <n v="26"/>
    <n v="54"/>
    <s v="Yes"/>
    <s v="No"/>
    <s v="Yes"/>
    <s v="Yes"/>
    <s v="Yes"/>
    <s v="No"/>
    <m/>
    <s v="1+ Failures"/>
    <n v="1"/>
    <s v="10-20hrs"/>
    <s v="12+ months"/>
    <x v="1"/>
  </r>
  <r>
    <n v="2200"/>
    <d v="2023-04-14T00:00:00"/>
    <s v="Premium"/>
    <n v="699"/>
    <n v="8.6999999999999993"/>
    <n v="5"/>
    <n v="4"/>
    <n v="11"/>
    <n v="24"/>
    <s v="No"/>
    <s v="No"/>
    <s v="Yes"/>
    <s v="Yes"/>
    <s v="Yes"/>
    <s v="No"/>
    <m/>
    <s v="1+ Failures"/>
    <n v="0"/>
    <s v="5-10 hrs"/>
    <s v="6-12months"/>
    <x v="0"/>
  </r>
  <r>
    <n v="2201"/>
    <d v="2023-04-05T00:00:00"/>
    <s v="Basic"/>
    <n v="199"/>
    <n v="20"/>
    <n v="0"/>
    <n v="1"/>
    <n v="6"/>
    <n v="34"/>
    <s v="No"/>
    <s v="No"/>
    <s v="Yes"/>
    <s v="No"/>
    <s v="Yes"/>
    <s v="No"/>
    <m/>
    <s v="1+ Failures"/>
    <n v="0"/>
    <s v="10-20hrs"/>
    <s v="3-6months"/>
    <x v="1"/>
  </r>
  <r>
    <n v="2202"/>
    <d v="2023-10-26T00:00:00"/>
    <s v="Premium"/>
    <n v="699"/>
    <n v="24.8"/>
    <n v="0"/>
    <n v="3"/>
    <n v="10"/>
    <n v="11"/>
    <s v="Yes"/>
    <s v="No"/>
    <s v="Yes"/>
    <s v="No"/>
    <s v="No"/>
    <s v="No"/>
    <m/>
    <s v="1+ Failures"/>
    <n v="1"/>
    <s v="20+ hrs"/>
    <s v="6-12months"/>
    <x v="0"/>
  </r>
  <r>
    <n v="2203"/>
    <d v="2023-12-05T00:00:00"/>
    <s v="Standard"/>
    <n v="399"/>
    <n v="16.8"/>
    <n v="1"/>
    <n v="0"/>
    <n v="23"/>
    <n v="10"/>
    <s v="No"/>
    <s v="No"/>
    <s v="No"/>
    <s v="No"/>
    <s v="No"/>
    <s v="No"/>
    <m/>
    <s v="0 Failures"/>
    <n v="0"/>
    <s v="10-20hrs"/>
    <s v="12+ months"/>
    <x v="1"/>
  </r>
  <r>
    <n v="2204"/>
    <d v="2023-07-16T00:00:00"/>
    <s v="Basic"/>
    <n v="199"/>
    <n v="24.9"/>
    <n v="1"/>
    <n v="0"/>
    <n v="3"/>
    <n v="39"/>
    <s v="Yes"/>
    <s v="No"/>
    <s v="No"/>
    <s v="No"/>
    <s v="Yes"/>
    <s v="Yes"/>
    <m/>
    <s v="0 Failures"/>
    <n v="1"/>
    <s v="20+ hrs"/>
    <s v="0-3months"/>
    <x v="1"/>
  </r>
  <r>
    <n v="2205"/>
    <d v="2024-09-22T00:00:00"/>
    <s v="Basic"/>
    <n v="199"/>
    <n v="20.7"/>
    <n v="7"/>
    <n v="0"/>
    <n v="26"/>
    <n v="17"/>
    <s v="No"/>
    <s v="No"/>
    <s v="No"/>
    <s v="Yes"/>
    <s v="Yes"/>
    <s v="No"/>
    <m/>
    <s v="0 Failures"/>
    <n v="0"/>
    <s v="20+ hrs"/>
    <s v="12+ months"/>
    <x v="1"/>
  </r>
  <r>
    <n v="2206"/>
    <d v="2023-09-24T00:00:00"/>
    <s v="Premium"/>
    <n v="699"/>
    <n v="20.9"/>
    <n v="4"/>
    <n v="1"/>
    <n v="5"/>
    <n v="4"/>
    <s v="No"/>
    <s v="No"/>
    <s v="Yes"/>
    <s v="No"/>
    <s v="No"/>
    <s v="Yes"/>
    <m/>
    <s v="1+ Failures"/>
    <n v="0"/>
    <s v="20+ hrs"/>
    <s v="3-6months"/>
    <x v="0"/>
  </r>
  <r>
    <n v="2207"/>
    <d v="2023-12-13T00:00:00"/>
    <s v="Basic"/>
    <n v="199"/>
    <n v="2.9"/>
    <n v="3"/>
    <n v="5"/>
    <n v="33"/>
    <n v="18"/>
    <s v="Yes"/>
    <s v="Yes"/>
    <s v="Yes"/>
    <s v="No"/>
    <s v="Yes"/>
    <s v="No"/>
    <m/>
    <s v="1+ Failures"/>
    <n v="1"/>
    <s v="0-5 hrs"/>
    <s v="12+ months"/>
    <x v="1"/>
  </r>
  <r>
    <n v="2208"/>
    <d v="2023-10-28T00:00:00"/>
    <s v="Premium"/>
    <n v="699"/>
    <n v="17.5"/>
    <n v="7"/>
    <n v="2"/>
    <n v="11"/>
    <n v="60"/>
    <s v="Yes"/>
    <s v="No"/>
    <s v="Yes"/>
    <s v="Yes"/>
    <s v="Yes"/>
    <s v="No"/>
    <m/>
    <s v="1+ Failures"/>
    <n v="1"/>
    <s v="10-20hrs"/>
    <s v="6-12months"/>
    <x v="0"/>
  </r>
  <r>
    <n v="2209"/>
    <d v="2023-09-04T00:00:00"/>
    <s v="Premium"/>
    <n v="699"/>
    <n v="10.7"/>
    <n v="3"/>
    <n v="2"/>
    <n v="26"/>
    <n v="42"/>
    <s v="Yes"/>
    <s v="No"/>
    <s v="Yes"/>
    <s v="No"/>
    <s v="Yes"/>
    <s v="No"/>
    <m/>
    <s v="1+ Failures"/>
    <n v="1"/>
    <s v="10-20hrs"/>
    <s v="12+ months"/>
    <x v="0"/>
  </r>
  <r>
    <n v="2210"/>
    <d v="2023-05-01T00:00:00"/>
    <s v="Standard"/>
    <n v="399"/>
    <n v="17.7"/>
    <n v="0"/>
    <n v="0"/>
    <n v="10"/>
    <n v="3"/>
    <s v="No"/>
    <s v="No"/>
    <s v="No"/>
    <s v="No"/>
    <s v="No"/>
    <s v="No"/>
    <m/>
    <s v="0 Failures"/>
    <n v="0"/>
    <s v="10-20hrs"/>
    <s v="6-12months"/>
    <x v="1"/>
  </r>
  <r>
    <n v="2211"/>
    <d v="2023-12-07T00:00:00"/>
    <s v="Basic"/>
    <n v="199"/>
    <n v="25"/>
    <n v="2"/>
    <n v="1"/>
    <n v="7"/>
    <n v="46"/>
    <s v="Yes"/>
    <s v="No"/>
    <s v="Yes"/>
    <s v="No"/>
    <s v="Yes"/>
    <s v="No"/>
    <m/>
    <s v="1+ Failures"/>
    <n v="1"/>
    <s v="20+ hrs"/>
    <s v="6-12months"/>
    <x v="1"/>
  </r>
  <r>
    <n v="2212"/>
    <d v="2024-10-21T00:00:00"/>
    <s v="Premium"/>
    <n v="699"/>
    <n v="14.7"/>
    <n v="7"/>
    <n v="3"/>
    <n v="21"/>
    <n v="26"/>
    <s v="Yes"/>
    <s v="No"/>
    <s v="Yes"/>
    <s v="Yes"/>
    <s v="Yes"/>
    <s v="No"/>
    <m/>
    <s v="1+ Failures"/>
    <n v="1"/>
    <s v="10-20hrs"/>
    <s v="12+ months"/>
    <x v="0"/>
  </r>
  <r>
    <n v="2213"/>
    <d v="2024-11-02T00:00:00"/>
    <s v="Premium"/>
    <n v="699"/>
    <n v="18.399999999999999"/>
    <n v="4"/>
    <n v="5"/>
    <n v="36"/>
    <n v="13"/>
    <s v="No"/>
    <s v="No"/>
    <s v="Yes"/>
    <s v="No"/>
    <s v="No"/>
    <s v="No"/>
    <m/>
    <s v="1+ Failures"/>
    <n v="0"/>
    <s v="10-20hrs"/>
    <s v="12+ months"/>
    <x v="0"/>
  </r>
  <r>
    <n v="2214"/>
    <d v="2023-09-16T00:00:00"/>
    <s v="Basic"/>
    <n v="199"/>
    <n v="4.3"/>
    <n v="3"/>
    <n v="2"/>
    <n v="24"/>
    <n v="4"/>
    <s v="Yes"/>
    <s v="Yes"/>
    <s v="Yes"/>
    <s v="No"/>
    <s v="No"/>
    <s v="No"/>
    <m/>
    <s v="1+ Failures"/>
    <n v="1"/>
    <s v="0-5 hrs"/>
    <s v="12+ months"/>
    <x v="1"/>
  </r>
  <r>
    <n v="2215"/>
    <d v="2023-11-28T00:00:00"/>
    <s v="Standard"/>
    <n v="399"/>
    <n v="20.399999999999999"/>
    <n v="7"/>
    <n v="5"/>
    <n v="12"/>
    <n v="25"/>
    <s v="No"/>
    <s v="No"/>
    <s v="Yes"/>
    <s v="Yes"/>
    <s v="Yes"/>
    <s v="No"/>
    <m/>
    <s v="1+ Failures"/>
    <n v="0"/>
    <s v="20+ hrs"/>
    <s v="6-12months"/>
    <x v="1"/>
  </r>
  <r>
    <n v="2216"/>
    <d v="2024-08-03T00:00:00"/>
    <s v="Standard"/>
    <n v="399"/>
    <n v="20.5"/>
    <n v="6"/>
    <n v="5"/>
    <n v="9"/>
    <n v="20"/>
    <s v="No"/>
    <s v="No"/>
    <s v="Yes"/>
    <s v="Yes"/>
    <s v="Yes"/>
    <s v="No"/>
    <m/>
    <s v="1+ Failures"/>
    <n v="0"/>
    <s v="20+ hrs"/>
    <s v="6-12months"/>
    <x v="1"/>
  </r>
  <r>
    <n v="2217"/>
    <d v="2023-12-09T00:00:00"/>
    <s v="Premium"/>
    <n v="699"/>
    <n v="0.7"/>
    <n v="2"/>
    <n v="2"/>
    <n v="12"/>
    <n v="26"/>
    <s v="Yes"/>
    <s v="Yes"/>
    <s v="Yes"/>
    <s v="No"/>
    <s v="Yes"/>
    <s v="No"/>
    <m/>
    <s v="1+ Failures"/>
    <n v="1"/>
    <s v="0-5 hrs"/>
    <s v="6-12months"/>
    <x v="0"/>
  </r>
  <r>
    <n v="2218"/>
    <d v="2023-10-12T00:00:00"/>
    <s v="Basic"/>
    <n v="199"/>
    <n v="22.2"/>
    <n v="3"/>
    <n v="4"/>
    <n v="3"/>
    <n v="38"/>
    <s v="Yes"/>
    <s v="No"/>
    <s v="Yes"/>
    <s v="No"/>
    <s v="Yes"/>
    <s v="Yes"/>
    <m/>
    <s v="1+ Failures"/>
    <n v="1"/>
    <s v="20+ hrs"/>
    <s v="0-3months"/>
    <x v="1"/>
  </r>
  <r>
    <n v="2219"/>
    <d v="2024-09-21T00:00:00"/>
    <s v="Basic"/>
    <n v="199"/>
    <n v="10.7"/>
    <n v="0"/>
    <n v="5"/>
    <n v="12"/>
    <n v="23"/>
    <s v="No"/>
    <s v="No"/>
    <s v="Yes"/>
    <s v="No"/>
    <s v="Yes"/>
    <s v="No"/>
    <m/>
    <s v="1+ Failures"/>
    <n v="0"/>
    <s v="10-20hrs"/>
    <s v="6-12months"/>
    <x v="1"/>
  </r>
  <r>
    <n v="2220"/>
    <d v="2023-12-07T00:00:00"/>
    <s v="Standard"/>
    <n v="399"/>
    <n v="0.6"/>
    <n v="7"/>
    <n v="4"/>
    <n v="22"/>
    <n v="12"/>
    <s v="Yes"/>
    <s v="Yes"/>
    <s v="Yes"/>
    <s v="Yes"/>
    <s v="No"/>
    <s v="No"/>
    <m/>
    <s v="1+ Failures"/>
    <n v="1"/>
    <s v="0-5 hrs"/>
    <s v="12+ months"/>
    <x v="1"/>
  </r>
  <r>
    <n v="2221"/>
    <d v="2024-09-18T00:00:00"/>
    <s v="Premium"/>
    <n v="699"/>
    <n v="7.2"/>
    <n v="6"/>
    <n v="4"/>
    <n v="33"/>
    <n v="37"/>
    <s v="Yes"/>
    <s v="No"/>
    <s v="Yes"/>
    <s v="Yes"/>
    <s v="Yes"/>
    <s v="No"/>
    <m/>
    <s v="1+ Failures"/>
    <n v="1"/>
    <s v="5-10 hrs"/>
    <s v="12+ months"/>
    <x v="0"/>
  </r>
  <r>
    <n v="2222"/>
    <d v="2023-10-25T00:00:00"/>
    <s v="Basic"/>
    <n v="199"/>
    <n v="19.399999999999999"/>
    <n v="0"/>
    <n v="3"/>
    <n v="28"/>
    <n v="46"/>
    <s v="Yes"/>
    <s v="No"/>
    <s v="Yes"/>
    <s v="No"/>
    <s v="Yes"/>
    <s v="No"/>
    <m/>
    <s v="1+ Failures"/>
    <n v="1"/>
    <s v="10-20hrs"/>
    <s v="12+ months"/>
    <x v="1"/>
  </r>
  <r>
    <n v="2223"/>
    <d v="2023-03-06T00:00:00"/>
    <s v="Premium"/>
    <n v="699"/>
    <n v="1.6"/>
    <n v="5"/>
    <n v="0"/>
    <n v="30"/>
    <n v="26"/>
    <s v="Yes"/>
    <s v="Yes"/>
    <s v="No"/>
    <s v="Yes"/>
    <s v="Yes"/>
    <s v="No"/>
    <m/>
    <s v="0 Failures"/>
    <n v="1"/>
    <s v="0-5 hrs"/>
    <s v="12+ months"/>
    <x v="0"/>
  </r>
  <r>
    <n v="2224"/>
    <d v="2024-04-05T00:00:00"/>
    <s v="Standard"/>
    <n v="399"/>
    <n v="23.3"/>
    <n v="3"/>
    <n v="2"/>
    <n v="27"/>
    <n v="53"/>
    <s v="Yes"/>
    <s v="No"/>
    <s v="Yes"/>
    <s v="No"/>
    <s v="Yes"/>
    <s v="No"/>
    <m/>
    <s v="1+ Failures"/>
    <n v="1"/>
    <s v="20+ hrs"/>
    <s v="12+ months"/>
    <x v="1"/>
  </r>
  <r>
    <n v="2225"/>
    <d v="2023-09-18T00:00:00"/>
    <s v="Standard"/>
    <n v="399"/>
    <n v="22.3"/>
    <n v="0"/>
    <n v="1"/>
    <n v="20"/>
    <n v="42"/>
    <s v="No"/>
    <s v="No"/>
    <s v="Yes"/>
    <s v="No"/>
    <s v="Yes"/>
    <s v="No"/>
    <m/>
    <s v="1+ Failures"/>
    <n v="0"/>
    <s v="20+ hrs"/>
    <s v="12+ months"/>
    <x v="1"/>
  </r>
  <r>
    <n v="2226"/>
    <d v="2024-04-05T00:00:00"/>
    <s v="Standard"/>
    <n v="399"/>
    <n v="0.6"/>
    <n v="3"/>
    <n v="0"/>
    <n v="17"/>
    <n v="14"/>
    <s v="No"/>
    <s v="Yes"/>
    <s v="No"/>
    <s v="No"/>
    <s v="No"/>
    <s v="No"/>
    <m/>
    <s v="0 Failures"/>
    <n v="0"/>
    <s v="0-5 hrs"/>
    <s v="12+ months"/>
    <x v="1"/>
  </r>
  <r>
    <n v="2227"/>
    <d v="2024-07-02T00:00:00"/>
    <s v="Basic"/>
    <n v="199"/>
    <n v="0.6"/>
    <n v="0"/>
    <n v="0"/>
    <n v="26"/>
    <n v="51"/>
    <s v="No"/>
    <s v="Yes"/>
    <s v="No"/>
    <s v="No"/>
    <s v="Yes"/>
    <s v="No"/>
    <m/>
    <s v="0 Failures"/>
    <n v="0"/>
    <s v="0-5 hrs"/>
    <s v="12+ months"/>
    <x v="1"/>
  </r>
  <r>
    <n v="2228"/>
    <d v="2024-08-17T00:00:00"/>
    <s v="Premium"/>
    <n v="699"/>
    <n v="0.9"/>
    <n v="4"/>
    <n v="4"/>
    <n v="27"/>
    <n v="42"/>
    <s v="Yes"/>
    <s v="Yes"/>
    <s v="Yes"/>
    <s v="No"/>
    <s v="Yes"/>
    <s v="No"/>
    <m/>
    <s v="1+ Failures"/>
    <n v="1"/>
    <s v="0-5 hrs"/>
    <s v="12+ months"/>
    <x v="0"/>
  </r>
  <r>
    <n v="2229"/>
    <d v="2024-02-03T00:00:00"/>
    <s v="Basic"/>
    <n v="199"/>
    <n v="16.7"/>
    <n v="4"/>
    <n v="0"/>
    <n v="35"/>
    <n v="54"/>
    <s v="Yes"/>
    <s v="No"/>
    <s v="No"/>
    <s v="No"/>
    <s v="Yes"/>
    <s v="No"/>
    <m/>
    <s v="0 Failures"/>
    <n v="1"/>
    <s v="10-20hrs"/>
    <s v="12+ months"/>
    <x v="1"/>
  </r>
  <r>
    <n v="2230"/>
    <d v="2023-12-03T00:00:00"/>
    <s v="Premium"/>
    <n v="699"/>
    <n v="4.8"/>
    <n v="3"/>
    <n v="0"/>
    <n v="22"/>
    <n v="43"/>
    <s v="Yes"/>
    <s v="Yes"/>
    <s v="No"/>
    <s v="No"/>
    <s v="Yes"/>
    <s v="No"/>
    <m/>
    <s v="0 Failures"/>
    <n v="1"/>
    <s v="0-5 hrs"/>
    <s v="12+ months"/>
    <x v="0"/>
  </r>
  <r>
    <n v="2231"/>
    <d v="2023-09-22T00:00:00"/>
    <s v="Premium"/>
    <n v="699"/>
    <n v="23.7"/>
    <n v="0"/>
    <n v="0"/>
    <n v="16"/>
    <n v="8"/>
    <s v="No"/>
    <s v="No"/>
    <s v="No"/>
    <s v="No"/>
    <s v="No"/>
    <s v="No"/>
    <m/>
    <s v="0 Failures"/>
    <n v="0"/>
    <s v="20+ hrs"/>
    <s v="12+ months"/>
    <x v="0"/>
  </r>
  <r>
    <n v="2232"/>
    <d v="2023-06-17T00:00:00"/>
    <s v="Basic"/>
    <n v="199"/>
    <n v="17"/>
    <n v="6"/>
    <n v="1"/>
    <n v="19"/>
    <n v="57"/>
    <s v="Yes"/>
    <s v="No"/>
    <s v="Yes"/>
    <s v="Yes"/>
    <s v="Yes"/>
    <s v="No"/>
    <m/>
    <s v="1+ Failures"/>
    <n v="1"/>
    <s v="10-20hrs"/>
    <s v="12+ months"/>
    <x v="1"/>
  </r>
  <r>
    <n v="2233"/>
    <d v="2024-10-16T00:00:00"/>
    <s v="Standard"/>
    <n v="399"/>
    <n v="19.2"/>
    <n v="4"/>
    <n v="2"/>
    <n v="7"/>
    <n v="34"/>
    <s v="Yes"/>
    <s v="No"/>
    <s v="Yes"/>
    <s v="No"/>
    <s v="Yes"/>
    <s v="No"/>
    <m/>
    <s v="1+ Failures"/>
    <n v="1"/>
    <s v="10-20hrs"/>
    <s v="6-12months"/>
    <x v="1"/>
  </r>
  <r>
    <n v="2234"/>
    <d v="2023-10-04T00:00:00"/>
    <s v="Basic"/>
    <n v="199"/>
    <n v="24.6"/>
    <n v="1"/>
    <n v="0"/>
    <n v="5"/>
    <n v="15"/>
    <s v="Yes"/>
    <s v="No"/>
    <s v="No"/>
    <s v="No"/>
    <s v="Yes"/>
    <s v="Yes"/>
    <m/>
    <s v="0 Failures"/>
    <n v="1"/>
    <s v="20+ hrs"/>
    <s v="3-6months"/>
    <x v="1"/>
  </r>
  <r>
    <n v="2235"/>
    <d v="2024-07-01T00:00:00"/>
    <s v="Basic"/>
    <n v="199"/>
    <n v="19.2"/>
    <n v="5"/>
    <n v="0"/>
    <n v="8"/>
    <n v="32"/>
    <s v="No"/>
    <s v="No"/>
    <s v="No"/>
    <s v="Yes"/>
    <s v="Yes"/>
    <s v="No"/>
    <m/>
    <s v="0 Failures"/>
    <n v="0"/>
    <s v="10-20hrs"/>
    <s v="6-12months"/>
    <x v="1"/>
  </r>
  <r>
    <n v="2236"/>
    <d v="2023-12-28T00:00:00"/>
    <s v="Standard"/>
    <n v="399"/>
    <n v="3.5"/>
    <n v="4"/>
    <n v="0"/>
    <n v="33"/>
    <n v="22"/>
    <s v="No"/>
    <s v="Yes"/>
    <s v="No"/>
    <s v="No"/>
    <s v="Yes"/>
    <s v="No"/>
    <m/>
    <s v="0 Failures"/>
    <n v="0"/>
    <s v="0-5 hrs"/>
    <s v="12+ months"/>
    <x v="1"/>
  </r>
  <r>
    <n v="2237"/>
    <d v="2024-09-27T00:00:00"/>
    <s v="Basic"/>
    <n v="199"/>
    <n v="20.3"/>
    <n v="8"/>
    <n v="2"/>
    <n v="25"/>
    <n v="46"/>
    <s v="Yes"/>
    <s v="No"/>
    <s v="Yes"/>
    <s v="Yes"/>
    <s v="Yes"/>
    <s v="No"/>
    <m/>
    <s v="1+ Failures"/>
    <n v="1"/>
    <s v="20+ hrs"/>
    <s v="12+ months"/>
    <x v="1"/>
  </r>
  <r>
    <n v="2238"/>
    <d v="2024-07-01T00:00:00"/>
    <s v="Basic"/>
    <n v="199"/>
    <n v="4.5"/>
    <n v="5"/>
    <n v="1"/>
    <n v="5"/>
    <n v="33"/>
    <s v="No"/>
    <s v="Yes"/>
    <s v="Yes"/>
    <s v="Yes"/>
    <s v="Yes"/>
    <s v="Yes"/>
    <m/>
    <s v="1+ Failures"/>
    <n v="0"/>
    <s v="0-5 hrs"/>
    <s v="3-6months"/>
    <x v="1"/>
  </r>
  <r>
    <n v="2239"/>
    <d v="2024-03-18T00:00:00"/>
    <s v="Basic"/>
    <n v="199"/>
    <n v="24.8"/>
    <n v="5"/>
    <n v="0"/>
    <n v="31"/>
    <n v="21"/>
    <s v="No"/>
    <s v="No"/>
    <s v="No"/>
    <s v="Yes"/>
    <s v="Yes"/>
    <s v="No"/>
    <m/>
    <s v="0 Failures"/>
    <n v="0"/>
    <s v="20+ hrs"/>
    <s v="12+ months"/>
    <x v="1"/>
  </r>
  <r>
    <n v="2240"/>
    <d v="2024-10-14T00:00:00"/>
    <s v="Basic"/>
    <n v="199"/>
    <n v="19.5"/>
    <n v="6"/>
    <n v="1"/>
    <n v="33"/>
    <n v="10"/>
    <s v="Yes"/>
    <s v="No"/>
    <s v="Yes"/>
    <s v="Yes"/>
    <s v="No"/>
    <s v="No"/>
    <m/>
    <s v="1+ Failures"/>
    <n v="1"/>
    <s v="10-20hrs"/>
    <s v="12+ months"/>
    <x v="1"/>
  </r>
  <r>
    <n v="2241"/>
    <d v="2024-05-21T00:00:00"/>
    <s v="Standard"/>
    <n v="399"/>
    <n v="24.4"/>
    <n v="3"/>
    <n v="5"/>
    <n v="5"/>
    <n v="59"/>
    <s v="No"/>
    <s v="No"/>
    <s v="Yes"/>
    <s v="No"/>
    <s v="Yes"/>
    <s v="Yes"/>
    <m/>
    <s v="1+ Failures"/>
    <n v="0"/>
    <s v="20+ hrs"/>
    <s v="3-6months"/>
    <x v="1"/>
  </r>
  <r>
    <n v="2242"/>
    <d v="2024-04-08T00:00:00"/>
    <s v="Premium"/>
    <n v="699"/>
    <n v="10"/>
    <n v="5"/>
    <n v="1"/>
    <n v="30"/>
    <n v="57"/>
    <s v="Yes"/>
    <s v="No"/>
    <s v="Yes"/>
    <s v="Yes"/>
    <s v="Yes"/>
    <s v="No"/>
    <m/>
    <s v="1+ Failures"/>
    <n v="1"/>
    <s v="5-10 hrs"/>
    <s v="12+ months"/>
    <x v="0"/>
  </r>
  <r>
    <n v="2243"/>
    <d v="2023-12-13T00:00:00"/>
    <s v="Basic"/>
    <n v="199"/>
    <n v="14.5"/>
    <n v="0"/>
    <n v="5"/>
    <n v="1"/>
    <n v="59"/>
    <s v="Yes"/>
    <s v="No"/>
    <s v="Yes"/>
    <s v="No"/>
    <s v="Yes"/>
    <s v="Yes"/>
    <m/>
    <s v="1+ Failures"/>
    <n v="1"/>
    <s v="10-20hrs"/>
    <s v="0-3months"/>
    <x v="1"/>
  </r>
  <r>
    <n v="2244"/>
    <d v="2024-08-31T00:00:00"/>
    <s v="Standard"/>
    <n v="399"/>
    <n v="24.3"/>
    <n v="7"/>
    <n v="0"/>
    <n v="1"/>
    <n v="8"/>
    <s v="No"/>
    <s v="No"/>
    <s v="No"/>
    <s v="Yes"/>
    <s v="No"/>
    <s v="Yes"/>
    <m/>
    <s v="0 Failures"/>
    <n v="0"/>
    <s v="20+ hrs"/>
    <s v="0-3months"/>
    <x v="1"/>
  </r>
  <r>
    <n v="2245"/>
    <d v="2024-07-18T00:00:00"/>
    <s v="Premium"/>
    <n v="699"/>
    <n v="19.3"/>
    <n v="2"/>
    <n v="3"/>
    <n v="36"/>
    <n v="31"/>
    <s v="Yes"/>
    <s v="No"/>
    <s v="Yes"/>
    <s v="No"/>
    <s v="Yes"/>
    <s v="No"/>
    <m/>
    <s v="1+ Failures"/>
    <n v="1"/>
    <s v="10-20hrs"/>
    <s v="12+ months"/>
    <x v="0"/>
  </r>
  <r>
    <n v="2246"/>
    <d v="2024-07-03T00:00:00"/>
    <s v="Premium"/>
    <n v="699"/>
    <n v="3.4"/>
    <n v="0"/>
    <n v="5"/>
    <n v="22"/>
    <n v="20"/>
    <s v="Yes"/>
    <s v="Yes"/>
    <s v="Yes"/>
    <s v="No"/>
    <s v="Yes"/>
    <s v="No"/>
    <m/>
    <s v="1+ Failures"/>
    <n v="1"/>
    <s v="0-5 hrs"/>
    <s v="12+ months"/>
    <x v="0"/>
  </r>
  <r>
    <n v="2247"/>
    <d v="2023-05-21T00:00:00"/>
    <s v="Standard"/>
    <n v="399"/>
    <n v="1.5"/>
    <n v="1"/>
    <n v="0"/>
    <n v="19"/>
    <n v="60"/>
    <s v="Yes"/>
    <s v="Yes"/>
    <s v="No"/>
    <s v="No"/>
    <s v="Yes"/>
    <s v="No"/>
    <m/>
    <s v="0 Failures"/>
    <n v="1"/>
    <s v="0-5 hrs"/>
    <s v="12+ months"/>
    <x v="1"/>
  </r>
  <r>
    <n v="2248"/>
    <d v="2023-03-18T00:00:00"/>
    <s v="Premium"/>
    <n v="699"/>
    <n v="20.5"/>
    <n v="2"/>
    <n v="2"/>
    <n v="17"/>
    <n v="21"/>
    <s v="No"/>
    <s v="No"/>
    <s v="Yes"/>
    <s v="No"/>
    <s v="Yes"/>
    <s v="No"/>
    <m/>
    <s v="1+ Failures"/>
    <n v="0"/>
    <s v="20+ hrs"/>
    <s v="12+ months"/>
    <x v="0"/>
  </r>
  <r>
    <n v="2249"/>
    <d v="2023-01-27T00:00:00"/>
    <s v="Premium"/>
    <n v="699"/>
    <n v="2.2999999999999998"/>
    <n v="4"/>
    <n v="5"/>
    <n v="24"/>
    <n v="19"/>
    <s v="Yes"/>
    <s v="Yes"/>
    <s v="Yes"/>
    <s v="No"/>
    <s v="Yes"/>
    <s v="No"/>
    <m/>
    <s v="1+ Failures"/>
    <n v="1"/>
    <s v="0-5 hrs"/>
    <s v="12+ months"/>
    <x v="0"/>
  </r>
  <r>
    <n v="2250"/>
    <d v="2024-09-05T00:00:00"/>
    <s v="Standard"/>
    <n v="399"/>
    <n v="5"/>
    <n v="1"/>
    <n v="1"/>
    <n v="21"/>
    <n v="59"/>
    <s v="No"/>
    <s v="No"/>
    <s v="Yes"/>
    <s v="No"/>
    <s v="Yes"/>
    <s v="No"/>
    <m/>
    <s v="1+ Failures"/>
    <n v="0"/>
    <s v="0-5 hrs"/>
    <s v="12+ months"/>
    <x v="1"/>
  </r>
  <r>
    <n v="2251"/>
    <d v="2023-07-07T00:00:00"/>
    <s v="Basic"/>
    <n v="199"/>
    <n v="3.3"/>
    <n v="4"/>
    <n v="2"/>
    <n v="24"/>
    <n v="20"/>
    <s v="No"/>
    <s v="Yes"/>
    <s v="Yes"/>
    <s v="No"/>
    <s v="Yes"/>
    <s v="No"/>
    <m/>
    <s v="1+ Failures"/>
    <n v="0"/>
    <s v="0-5 hrs"/>
    <s v="12+ months"/>
    <x v="1"/>
  </r>
  <r>
    <n v="2252"/>
    <d v="2024-07-17T00:00:00"/>
    <s v="Premium"/>
    <n v="699"/>
    <n v="14.8"/>
    <n v="1"/>
    <n v="1"/>
    <n v="14"/>
    <n v="3"/>
    <s v="No"/>
    <s v="No"/>
    <s v="Yes"/>
    <s v="No"/>
    <s v="No"/>
    <s v="No"/>
    <m/>
    <s v="1+ Failures"/>
    <n v="0"/>
    <s v="10-20hrs"/>
    <s v="12+ months"/>
    <x v="0"/>
  </r>
  <r>
    <n v="2253"/>
    <d v="2023-11-01T00:00:00"/>
    <s v="Premium"/>
    <n v="699"/>
    <n v="20.399999999999999"/>
    <n v="8"/>
    <n v="4"/>
    <n v="6"/>
    <n v="55"/>
    <s v="Yes"/>
    <s v="No"/>
    <s v="Yes"/>
    <s v="Yes"/>
    <s v="Yes"/>
    <s v="No"/>
    <m/>
    <s v="1+ Failures"/>
    <n v="1"/>
    <s v="20+ hrs"/>
    <s v="3-6months"/>
    <x v="0"/>
  </r>
  <r>
    <n v="2254"/>
    <d v="2024-03-06T00:00:00"/>
    <s v="Premium"/>
    <n v="699"/>
    <n v="3"/>
    <n v="6"/>
    <n v="0"/>
    <n v="20"/>
    <n v="19"/>
    <s v="No"/>
    <s v="Yes"/>
    <s v="No"/>
    <s v="Yes"/>
    <s v="Yes"/>
    <s v="No"/>
    <m/>
    <s v="0 Failures"/>
    <n v="0"/>
    <s v="0-5 hrs"/>
    <s v="12+ months"/>
    <x v="0"/>
  </r>
  <r>
    <n v="2255"/>
    <d v="2024-08-25T00:00:00"/>
    <s v="Basic"/>
    <n v="199"/>
    <n v="7.1"/>
    <n v="0"/>
    <n v="1"/>
    <n v="22"/>
    <n v="4"/>
    <s v="Yes"/>
    <s v="No"/>
    <s v="Yes"/>
    <s v="No"/>
    <s v="No"/>
    <s v="No"/>
    <m/>
    <s v="1+ Failures"/>
    <n v="1"/>
    <s v="5-10 hrs"/>
    <s v="12+ months"/>
    <x v="1"/>
  </r>
  <r>
    <n v="2256"/>
    <d v="2024-07-08T00:00:00"/>
    <s v="Basic"/>
    <n v="199"/>
    <n v="22.3"/>
    <n v="0"/>
    <n v="3"/>
    <n v="7"/>
    <n v="51"/>
    <s v="Yes"/>
    <s v="No"/>
    <s v="Yes"/>
    <s v="No"/>
    <s v="Yes"/>
    <s v="No"/>
    <m/>
    <s v="1+ Failures"/>
    <n v="1"/>
    <s v="20+ hrs"/>
    <s v="6-12months"/>
    <x v="1"/>
  </r>
  <r>
    <n v="2257"/>
    <d v="2023-07-09T00:00:00"/>
    <s v="Basic"/>
    <n v="199"/>
    <n v="4.4000000000000004"/>
    <n v="8"/>
    <n v="1"/>
    <n v="17"/>
    <n v="5"/>
    <s v="Yes"/>
    <s v="Yes"/>
    <s v="Yes"/>
    <s v="Yes"/>
    <s v="No"/>
    <s v="No"/>
    <m/>
    <s v="1+ Failures"/>
    <n v="1"/>
    <s v="0-5 hrs"/>
    <s v="12+ months"/>
    <x v="1"/>
  </r>
  <r>
    <n v="2258"/>
    <d v="2023-05-10T00:00:00"/>
    <s v="Premium"/>
    <n v="699"/>
    <n v="16"/>
    <n v="0"/>
    <n v="3"/>
    <n v="7"/>
    <n v="13"/>
    <s v="No"/>
    <s v="No"/>
    <s v="Yes"/>
    <s v="No"/>
    <s v="No"/>
    <s v="No"/>
    <m/>
    <s v="1+ Failures"/>
    <n v="0"/>
    <s v="10-20hrs"/>
    <s v="6-12months"/>
    <x v="0"/>
  </r>
  <r>
    <n v="2259"/>
    <d v="2023-10-07T00:00:00"/>
    <s v="Basic"/>
    <n v="199"/>
    <n v="6.3"/>
    <n v="6"/>
    <n v="0"/>
    <n v="33"/>
    <n v="43"/>
    <s v="No"/>
    <s v="No"/>
    <s v="No"/>
    <s v="Yes"/>
    <s v="Yes"/>
    <s v="No"/>
    <m/>
    <s v="0 Failures"/>
    <n v="0"/>
    <s v="5-10 hrs"/>
    <s v="12+ months"/>
    <x v="1"/>
  </r>
  <r>
    <n v="2260"/>
    <d v="2024-11-13T00:00:00"/>
    <s v="Premium"/>
    <n v="699"/>
    <n v="12.6"/>
    <n v="3"/>
    <n v="0"/>
    <n v="13"/>
    <n v="27"/>
    <s v="Yes"/>
    <s v="No"/>
    <s v="No"/>
    <s v="No"/>
    <s v="Yes"/>
    <s v="No"/>
    <m/>
    <s v="0 Failures"/>
    <n v="1"/>
    <s v="10-20hrs"/>
    <s v="12+ months"/>
    <x v="0"/>
  </r>
  <r>
    <n v="2261"/>
    <d v="2024-08-27T00:00:00"/>
    <s v="Standard"/>
    <n v="399"/>
    <n v="20.7"/>
    <n v="4"/>
    <n v="2"/>
    <n v="13"/>
    <n v="8"/>
    <s v="Yes"/>
    <s v="No"/>
    <s v="Yes"/>
    <s v="No"/>
    <s v="No"/>
    <s v="No"/>
    <m/>
    <s v="1+ Failures"/>
    <n v="1"/>
    <s v="20+ hrs"/>
    <s v="12+ months"/>
    <x v="1"/>
  </r>
  <r>
    <n v="2262"/>
    <d v="2024-09-11T00:00:00"/>
    <s v="Standard"/>
    <n v="399"/>
    <n v="7.1"/>
    <n v="1"/>
    <n v="5"/>
    <n v="19"/>
    <n v="26"/>
    <s v="Yes"/>
    <s v="No"/>
    <s v="Yes"/>
    <s v="No"/>
    <s v="Yes"/>
    <s v="No"/>
    <m/>
    <s v="1+ Failures"/>
    <n v="1"/>
    <s v="5-10 hrs"/>
    <s v="12+ months"/>
    <x v="1"/>
  </r>
  <r>
    <n v="2263"/>
    <d v="2024-12-08T00:00:00"/>
    <s v="Standard"/>
    <n v="399"/>
    <n v="24.5"/>
    <n v="6"/>
    <n v="4"/>
    <n v="1"/>
    <n v="12"/>
    <s v="No"/>
    <s v="No"/>
    <s v="Yes"/>
    <s v="Yes"/>
    <s v="No"/>
    <s v="Yes"/>
    <m/>
    <s v="1+ Failures"/>
    <n v="0"/>
    <s v="20+ hrs"/>
    <s v="0-3months"/>
    <x v="1"/>
  </r>
  <r>
    <n v="2264"/>
    <d v="2023-02-11T00:00:00"/>
    <s v="Basic"/>
    <n v="199"/>
    <n v="20.5"/>
    <n v="1"/>
    <n v="5"/>
    <n v="12"/>
    <n v="15"/>
    <s v="Yes"/>
    <s v="No"/>
    <s v="Yes"/>
    <s v="No"/>
    <s v="Yes"/>
    <s v="No"/>
    <m/>
    <s v="1+ Failures"/>
    <n v="1"/>
    <s v="20+ hrs"/>
    <s v="6-12months"/>
    <x v="1"/>
  </r>
  <r>
    <n v="2265"/>
    <d v="2023-08-12T00:00:00"/>
    <s v="Basic"/>
    <n v="199"/>
    <n v="18.7"/>
    <n v="1"/>
    <n v="5"/>
    <n v="16"/>
    <n v="25"/>
    <s v="Yes"/>
    <s v="No"/>
    <s v="Yes"/>
    <s v="No"/>
    <s v="Yes"/>
    <s v="No"/>
    <m/>
    <s v="1+ Failures"/>
    <n v="1"/>
    <s v="10-20hrs"/>
    <s v="12+ months"/>
    <x v="1"/>
  </r>
  <r>
    <n v="2266"/>
    <d v="2023-01-15T00:00:00"/>
    <s v="Standard"/>
    <n v="399"/>
    <n v="14.6"/>
    <n v="3"/>
    <n v="5"/>
    <n v="8"/>
    <n v="7"/>
    <s v="No"/>
    <s v="No"/>
    <s v="Yes"/>
    <s v="No"/>
    <s v="No"/>
    <s v="No"/>
    <m/>
    <s v="1+ Failures"/>
    <n v="0"/>
    <s v="10-20hrs"/>
    <s v="6-12months"/>
    <x v="1"/>
  </r>
  <r>
    <n v="2267"/>
    <d v="2023-05-07T00:00:00"/>
    <s v="Standard"/>
    <n v="399"/>
    <n v="8.9"/>
    <n v="7"/>
    <n v="1"/>
    <n v="7"/>
    <n v="9"/>
    <s v="No"/>
    <s v="No"/>
    <s v="Yes"/>
    <s v="Yes"/>
    <s v="No"/>
    <s v="No"/>
    <m/>
    <s v="1+ Failures"/>
    <n v="0"/>
    <s v="5-10 hrs"/>
    <s v="6-12months"/>
    <x v="1"/>
  </r>
  <r>
    <n v="2268"/>
    <d v="2024-03-30T00:00:00"/>
    <s v="Standard"/>
    <n v="399"/>
    <n v="24.4"/>
    <n v="6"/>
    <n v="5"/>
    <n v="21"/>
    <n v="33"/>
    <s v="Yes"/>
    <s v="No"/>
    <s v="Yes"/>
    <s v="Yes"/>
    <s v="Yes"/>
    <s v="No"/>
    <m/>
    <s v="1+ Failures"/>
    <n v="1"/>
    <s v="20+ hrs"/>
    <s v="12+ months"/>
    <x v="1"/>
  </r>
  <r>
    <n v="2269"/>
    <d v="2024-11-12T00:00:00"/>
    <s v="Premium"/>
    <n v="699"/>
    <n v="21.5"/>
    <n v="2"/>
    <n v="1"/>
    <n v="13"/>
    <n v="24"/>
    <s v="No"/>
    <s v="No"/>
    <s v="Yes"/>
    <s v="No"/>
    <s v="Yes"/>
    <s v="No"/>
    <m/>
    <s v="1+ Failures"/>
    <n v="0"/>
    <s v="20+ hrs"/>
    <s v="12+ months"/>
    <x v="0"/>
  </r>
  <r>
    <n v="2270"/>
    <d v="2024-03-19T00:00:00"/>
    <s v="Premium"/>
    <n v="699"/>
    <n v="12.5"/>
    <n v="4"/>
    <n v="3"/>
    <n v="16"/>
    <n v="3"/>
    <s v="Yes"/>
    <s v="No"/>
    <s v="Yes"/>
    <s v="No"/>
    <s v="No"/>
    <s v="No"/>
    <m/>
    <s v="1+ Failures"/>
    <n v="1"/>
    <s v="10-20hrs"/>
    <s v="12+ months"/>
    <x v="0"/>
  </r>
  <r>
    <n v="2271"/>
    <d v="2023-07-28T00:00:00"/>
    <s v="Standard"/>
    <n v="399"/>
    <n v="2"/>
    <n v="0"/>
    <n v="5"/>
    <n v="11"/>
    <n v="29"/>
    <s v="Yes"/>
    <s v="Yes"/>
    <s v="Yes"/>
    <s v="No"/>
    <s v="Yes"/>
    <s v="No"/>
    <m/>
    <s v="1+ Failures"/>
    <n v="1"/>
    <s v="0-5 hrs"/>
    <s v="6-12months"/>
    <x v="1"/>
  </r>
  <r>
    <n v="2272"/>
    <d v="2023-01-15T00:00:00"/>
    <s v="Standard"/>
    <n v="399"/>
    <n v="22.1"/>
    <n v="2"/>
    <n v="2"/>
    <n v="8"/>
    <n v="17"/>
    <s v="Yes"/>
    <s v="No"/>
    <s v="Yes"/>
    <s v="No"/>
    <s v="Yes"/>
    <s v="No"/>
    <m/>
    <s v="1+ Failures"/>
    <n v="1"/>
    <s v="20+ hrs"/>
    <s v="6-12months"/>
    <x v="1"/>
  </r>
  <r>
    <n v="2273"/>
    <d v="2024-04-05T00:00:00"/>
    <s v="Standard"/>
    <n v="399"/>
    <n v="2.1"/>
    <n v="7"/>
    <n v="2"/>
    <n v="34"/>
    <n v="19"/>
    <s v="Yes"/>
    <s v="Yes"/>
    <s v="Yes"/>
    <s v="Yes"/>
    <s v="Yes"/>
    <s v="No"/>
    <m/>
    <s v="1+ Failures"/>
    <n v="1"/>
    <s v="0-5 hrs"/>
    <s v="12+ months"/>
    <x v="1"/>
  </r>
  <r>
    <n v="2274"/>
    <d v="2024-03-24T00:00:00"/>
    <s v="Basic"/>
    <n v="199"/>
    <n v="21.1"/>
    <n v="6"/>
    <n v="2"/>
    <n v="18"/>
    <n v="10"/>
    <s v="Yes"/>
    <s v="No"/>
    <s v="Yes"/>
    <s v="Yes"/>
    <s v="No"/>
    <s v="No"/>
    <m/>
    <s v="1+ Failures"/>
    <n v="1"/>
    <s v="20+ hrs"/>
    <s v="12+ months"/>
    <x v="1"/>
  </r>
  <r>
    <n v="2275"/>
    <d v="2024-07-18T00:00:00"/>
    <s v="Basic"/>
    <n v="199"/>
    <n v="19.600000000000001"/>
    <n v="7"/>
    <n v="3"/>
    <n v="2"/>
    <n v="14"/>
    <s v="No"/>
    <s v="No"/>
    <s v="Yes"/>
    <s v="Yes"/>
    <s v="No"/>
    <s v="Yes"/>
    <m/>
    <s v="1+ Failures"/>
    <n v="0"/>
    <s v="10-20hrs"/>
    <s v="0-3months"/>
    <x v="1"/>
  </r>
  <r>
    <n v="2276"/>
    <d v="2023-10-06T00:00:00"/>
    <s v="Premium"/>
    <n v="699"/>
    <n v="3.2"/>
    <n v="5"/>
    <n v="4"/>
    <n v="10"/>
    <n v="16"/>
    <s v="Yes"/>
    <s v="Yes"/>
    <s v="Yes"/>
    <s v="Yes"/>
    <s v="Yes"/>
    <s v="No"/>
    <m/>
    <s v="1+ Failures"/>
    <n v="1"/>
    <s v="0-5 hrs"/>
    <s v="6-12months"/>
    <x v="0"/>
  </r>
  <r>
    <n v="2277"/>
    <d v="2023-04-20T00:00:00"/>
    <s v="Premium"/>
    <n v="699"/>
    <n v="20.100000000000001"/>
    <n v="6"/>
    <n v="0"/>
    <n v="34"/>
    <n v="4"/>
    <s v="No"/>
    <s v="No"/>
    <s v="No"/>
    <s v="Yes"/>
    <s v="No"/>
    <s v="No"/>
    <m/>
    <s v="0 Failures"/>
    <n v="0"/>
    <s v="20+ hrs"/>
    <s v="12+ months"/>
    <x v="0"/>
  </r>
  <r>
    <n v="2278"/>
    <d v="2024-09-20T00:00:00"/>
    <s v="Basic"/>
    <n v="199"/>
    <n v="6.7"/>
    <n v="3"/>
    <n v="5"/>
    <n v="19"/>
    <n v="59"/>
    <s v="Yes"/>
    <s v="No"/>
    <s v="Yes"/>
    <s v="No"/>
    <s v="Yes"/>
    <s v="No"/>
    <m/>
    <s v="1+ Failures"/>
    <n v="1"/>
    <s v="5-10 hrs"/>
    <s v="12+ months"/>
    <x v="1"/>
  </r>
  <r>
    <n v="2279"/>
    <d v="2023-01-21T00:00:00"/>
    <s v="Premium"/>
    <n v="699"/>
    <n v="23.1"/>
    <n v="7"/>
    <n v="4"/>
    <n v="34"/>
    <n v="0"/>
    <s v="Yes"/>
    <s v="No"/>
    <s v="Yes"/>
    <s v="Yes"/>
    <s v="No"/>
    <s v="No"/>
    <m/>
    <s v="1+ Failures"/>
    <n v="1"/>
    <s v="20+ hrs"/>
    <s v="12+ months"/>
    <x v="0"/>
  </r>
  <r>
    <n v="2280"/>
    <d v="2023-04-22T00:00:00"/>
    <s v="Standard"/>
    <n v="399"/>
    <n v="10.8"/>
    <n v="5"/>
    <n v="0"/>
    <n v="36"/>
    <n v="30"/>
    <s v="Yes"/>
    <s v="No"/>
    <s v="No"/>
    <s v="Yes"/>
    <s v="Yes"/>
    <s v="No"/>
    <m/>
    <s v="0 Failures"/>
    <n v="1"/>
    <s v="10-20hrs"/>
    <s v="12+ months"/>
    <x v="1"/>
  </r>
  <r>
    <n v="2281"/>
    <d v="2024-08-23T00:00:00"/>
    <s v="Premium"/>
    <n v="699"/>
    <n v="18.2"/>
    <n v="6"/>
    <n v="2"/>
    <n v="20"/>
    <n v="44"/>
    <s v="No"/>
    <s v="No"/>
    <s v="Yes"/>
    <s v="Yes"/>
    <s v="Yes"/>
    <s v="No"/>
    <m/>
    <s v="1+ Failures"/>
    <n v="0"/>
    <s v="10-20hrs"/>
    <s v="12+ months"/>
    <x v="0"/>
  </r>
  <r>
    <n v="2282"/>
    <d v="2023-07-20T00:00:00"/>
    <s v="Basic"/>
    <n v="199"/>
    <n v="16.899999999999999"/>
    <n v="5"/>
    <n v="0"/>
    <n v="26"/>
    <n v="24"/>
    <s v="Yes"/>
    <s v="No"/>
    <s v="No"/>
    <s v="Yes"/>
    <s v="Yes"/>
    <s v="No"/>
    <m/>
    <s v="0 Failures"/>
    <n v="1"/>
    <s v="10-20hrs"/>
    <s v="12+ months"/>
    <x v="1"/>
  </r>
  <r>
    <n v="2283"/>
    <d v="2024-06-29T00:00:00"/>
    <s v="Basic"/>
    <n v="199"/>
    <n v="1.6"/>
    <n v="5"/>
    <n v="2"/>
    <n v="21"/>
    <n v="30"/>
    <s v="Yes"/>
    <s v="Yes"/>
    <s v="Yes"/>
    <s v="Yes"/>
    <s v="Yes"/>
    <s v="No"/>
    <m/>
    <s v="1+ Failures"/>
    <n v="1"/>
    <s v="0-5 hrs"/>
    <s v="12+ months"/>
    <x v="1"/>
  </r>
  <r>
    <n v="2284"/>
    <d v="2024-08-01T00:00:00"/>
    <s v="Standard"/>
    <n v="399"/>
    <n v="6.1"/>
    <n v="8"/>
    <n v="0"/>
    <n v="32"/>
    <n v="44"/>
    <s v="Yes"/>
    <s v="No"/>
    <s v="No"/>
    <s v="Yes"/>
    <s v="Yes"/>
    <s v="No"/>
    <m/>
    <s v="0 Failures"/>
    <n v="1"/>
    <s v="5-10 hrs"/>
    <s v="12+ months"/>
    <x v="1"/>
  </r>
  <r>
    <n v="2285"/>
    <d v="2023-03-16T00:00:00"/>
    <s v="Basic"/>
    <n v="199"/>
    <n v="10.6"/>
    <n v="0"/>
    <n v="1"/>
    <n v="15"/>
    <n v="29"/>
    <s v="No"/>
    <s v="No"/>
    <s v="Yes"/>
    <s v="No"/>
    <s v="Yes"/>
    <s v="No"/>
    <m/>
    <s v="1+ Failures"/>
    <n v="0"/>
    <s v="10-20hrs"/>
    <s v="12+ months"/>
    <x v="1"/>
  </r>
  <r>
    <n v="2286"/>
    <d v="2024-01-15T00:00:00"/>
    <s v="Basic"/>
    <n v="199"/>
    <n v="11.3"/>
    <n v="2"/>
    <n v="1"/>
    <n v="36"/>
    <n v="47"/>
    <s v="Yes"/>
    <s v="No"/>
    <s v="Yes"/>
    <s v="No"/>
    <s v="Yes"/>
    <s v="No"/>
    <m/>
    <s v="1+ Failures"/>
    <n v="1"/>
    <s v="10-20hrs"/>
    <s v="12+ months"/>
    <x v="1"/>
  </r>
  <r>
    <n v="2287"/>
    <d v="2024-04-05T00:00:00"/>
    <s v="Basic"/>
    <n v="199"/>
    <n v="6.8"/>
    <n v="6"/>
    <n v="0"/>
    <n v="3"/>
    <n v="17"/>
    <s v="No"/>
    <s v="No"/>
    <s v="No"/>
    <s v="Yes"/>
    <s v="Yes"/>
    <s v="Yes"/>
    <m/>
    <s v="0 Failures"/>
    <n v="0"/>
    <s v="5-10 hrs"/>
    <s v="0-3months"/>
    <x v="1"/>
  </r>
  <r>
    <n v="2288"/>
    <d v="2023-09-14T00:00:00"/>
    <s v="Basic"/>
    <n v="199"/>
    <n v="8.8000000000000007"/>
    <n v="3"/>
    <n v="4"/>
    <n v="6"/>
    <n v="7"/>
    <s v="Yes"/>
    <s v="No"/>
    <s v="Yes"/>
    <s v="No"/>
    <s v="No"/>
    <s v="No"/>
    <m/>
    <s v="1+ Failures"/>
    <n v="1"/>
    <s v="5-10 hrs"/>
    <s v="3-6months"/>
    <x v="1"/>
  </r>
  <r>
    <n v="2289"/>
    <d v="2024-07-08T00:00:00"/>
    <s v="Premium"/>
    <n v="699"/>
    <n v="18.8"/>
    <n v="3"/>
    <n v="0"/>
    <n v="35"/>
    <n v="30"/>
    <s v="No"/>
    <s v="No"/>
    <s v="No"/>
    <s v="No"/>
    <s v="Yes"/>
    <s v="No"/>
    <m/>
    <s v="0 Failures"/>
    <n v="0"/>
    <s v="10-20hrs"/>
    <s v="12+ months"/>
    <x v="0"/>
  </r>
  <r>
    <n v="2290"/>
    <d v="2023-12-05T00:00:00"/>
    <s v="Basic"/>
    <n v="199"/>
    <n v="23.2"/>
    <n v="7"/>
    <n v="1"/>
    <n v="1"/>
    <n v="50"/>
    <s v="Yes"/>
    <s v="No"/>
    <s v="Yes"/>
    <s v="Yes"/>
    <s v="Yes"/>
    <s v="Yes"/>
    <m/>
    <s v="1+ Failures"/>
    <n v="1"/>
    <s v="20+ hrs"/>
    <s v="0-3months"/>
    <x v="1"/>
  </r>
  <r>
    <n v="2291"/>
    <d v="2024-12-14T00:00:00"/>
    <s v="Basic"/>
    <n v="199"/>
    <n v="12.8"/>
    <n v="3"/>
    <n v="4"/>
    <n v="6"/>
    <n v="17"/>
    <s v="Yes"/>
    <s v="No"/>
    <s v="Yes"/>
    <s v="No"/>
    <s v="Yes"/>
    <s v="No"/>
    <m/>
    <s v="1+ Failures"/>
    <n v="1"/>
    <s v="10-20hrs"/>
    <s v="3-6months"/>
    <x v="1"/>
  </r>
  <r>
    <n v="2292"/>
    <d v="2023-04-10T00:00:00"/>
    <s v="Standard"/>
    <n v="399"/>
    <n v="19"/>
    <n v="8"/>
    <n v="5"/>
    <n v="23"/>
    <n v="10"/>
    <s v="Yes"/>
    <s v="No"/>
    <s v="Yes"/>
    <s v="Yes"/>
    <s v="No"/>
    <s v="No"/>
    <m/>
    <s v="1+ Failures"/>
    <n v="1"/>
    <s v="10-20hrs"/>
    <s v="12+ months"/>
    <x v="1"/>
  </r>
  <r>
    <n v="2293"/>
    <d v="2023-02-16T00:00:00"/>
    <s v="Premium"/>
    <n v="699"/>
    <n v="16.8"/>
    <n v="3"/>
    <n v="1"/>
    <n v="2"/>
    <n v="52"/>
    <s v="Yes"/>
    <s v="No"/>
    <s v="Yes"/>
    <s v="No"/>
    <s v="Yes"/>
    <s v="Yes"/>
    <m/>
    <s v="1+ Failures"/>
    <n v="1"/>
    <s v="10-20hrs"/>
    <s v="0-3months"/>
    <x v="0"/>
  </r>
  <r>
    <n v="2294"/>
    <d v="2023-03-04T00:00:00"/>
    <s v="Premium"/>
    <n v="699"/>
    <n v="5.3"/>
    <n v="3"/>
    <n v="1"/>
    <n v="12"/>
    <n v="8"/>
    <s v="No"/>
    <s v="No"/>
    <s v="Yes"/>
    <s v="No"/>
    <s v="No"/>
    <s v="No"/>
    <m/>
    <s v="1+ Failures"/>
    <n v="0"/>
    <s v="5-10 hrs"/>
    <s v="6-12months"/>
    <x v="0"/>
  </r>
  <r>
    <n v="2295"/>
    <d v="2023-07-29T00:00:00"/>
    <s v="Premium"/>
    <n v="699"/>
    <n v="6"/>
    <n v="2"/>
    <n v="0"/>
    <n v="29"/>
    <n v="7"/>
    <s v="No"/>
    <s v="No"/>
    <s v="No"/>
    <s v="No"/>
    <s v="No"/>
    <s v="No"/>
    <m/>
    <s v="0 Failures"/>
    <n v="0"/>
    <s v="5-10 hrs"/>
    <s v="12+ months"/>
    <x v="0"/>
  </r>
  <r>
    <n v="2296"/>
    <d v="2023-06-12T00:00:00"/>
    <s v="Standard"/>
    <n v="399"/>
    <n v="21"/>
    <n v="6"/>
    <n v="1"/>
    <n v="20"/>
    <n v="44"/>
    <s v="Yes"/>
    <s v="No"/>
    <s v="Yes"/>
    <s v="Yes"/>
    <s v="Yes"/>
    <s v="No"/>
    <m/>
    <s v="1+ Failures"/>
    <n v="1"/>
    <s v="20+ hrs"/>
    <s v="12+ months"/>
    <x v="1"/>
  </r>
  <r>
    <n v="2297"/>
    <d v="2024-03-06T00:00:00"/>
    <s v="Standard"/>
    <n v="399"/>
    <n v="0.7"/>
    <n v="5"/>
    <n v="0"/>
    <n v="25"/>
    <n v="34"/>
    <s v="Yes"/>
    <s v="Yes"/>
    <s v="No"/>
    <s v="Yes"/>
    <s v="Yes"/>
    <s v="No"/>
    <m/>
    <s v="0 Failures"/>
    <n v="1"/>
    <s v="0-5 hrs"/>
    <s v="12+ months"/>
    <x v="1"/>
  </r>
  <r>
    <n v="2298"/>
    <d v="2024-03-21T00:00:00"/>
    <s v="Basic"/>
    <n v="199"/>
    <n v="19.2"/>
    <n v="3"/>
    <n v="0"/>
    <n v="6"/>
    <n v="9"/>
    <s v="No"/>
    <s v="No"/>
    <s v="No"/>
    <s v="No"/>
    <s v="No"/>
    <s v="No"/>
    <m/>
    <s v="0 Failures"/>
    <n v="0"/>
    <s v="10-20hrs"/>
    <s v="3-6months"/>
    <x v="1"/>
  </r>
  <r>
    <n v="2299"/>
    <d v="2024-06-27T00:00:00"/>
    <s v="Basic"/>
    <n v="199"/>
    <n v="7"/>
    <n v="8"/>
    <n v="5"/>
    <n v="11"/>
    <n v="35"/>
    <s v="No"/>
    <s v="No"/>
    <s v="Yes"/>
    <s v="Yes"/>
    <s v="Yes"/>
    <s v="No"/>
    <m/>
    <s v="1+ Failures"/>
    <n v="0"/>
    <s v="5-10 hrs"/>
    <s v="6-12months"/>
    <x v="1"/>
  </r>
  <r>
    <n v="2300"/>
    <d v="2023-08-09T00:00:00"/>
    <s v="Premium"/>
    <n v="699"/>
    <n v="22.2"/>
    <n v="2"/>
    <n v="4"/>
    <n v="22"/>
    <n v="34"/>
    <s v="No"/>
    <s v="No"/>
    <s v="Yes"/>
    <s v="No"/>
    <s v="Yes"/>
    <s v="No"/>
    <m/>
    <s v="1+ Failures"/>
    <n v="0"/>
    <s v="20+ hrs"/>
    <s v="12+ months"/>
    <x v="0"/>
  </r>
  <r>
    <n v="2301"/>
    <d v="2023-08-08T00:00:00"/>
    <s v="Standard"/>
    <n v="399"/>
    <n v="4.7"/>
    <n v="7"/>
    <n v="2"/>
    <n v="28"/>
    <n v="20"/>
    <s v="Yes"/>
    <s v="Yes"/>
    <s v="Yes"/>
    <s v="Yes"/>
    <s v="Yes"/>
    <s v="No"/>
    <m/>
    <s v="1+ Failures"/>
    <n v="1"/>
    <s v="0-5 hrs"/>
    <s v="12+ months"/>
    <x v="1"/>
  </r>
  <r>
    <n v="2302"/>
    <d v="2023-04-04T00:00:00"/>
    <s v="Premium"/>
    <n v="699"/>
    <n v="5.3"/>
    <n v="4"/>
    <n v="3"/>
    <n v="2"/>
    <n v="49"/>
    <s v="Yes"/>
    <s v="No"/>
    <s v="Yes"/>
    <s v="No"/>
    <s v="Yes"/>
    <s v="Yes"/>
    <m/>
    <s v="1+ Failures"/>
    <n v="1"/>
    <s v="5-10 hrs"/>
    <s v="0-3months"/>
    <x v="0"/>
  </r>
  <r>
    <n v="2303"/>
    <d v="2024-06-30T00:00:00"/>
    <s v="Premium"/>
    <n v="699"/>
    <n v="20"/>
    <n v="2"/>
    <n v="0"/>
    <n v="8"/>
    <n v="14"/>
    <s v="No"/>
    <s v="No"/>
    <s v="No"/>
    <s v="No"/>
    <s v="No"/>
    <s v="No"/>
    <m/>
    <s v="0 Failures"/>
    <n v="0"/>
    <s v="10-20hrs"/>
    <s v="6-12months"/>
    <x v="0"/>
  </r>
  <r>
    <n v="2304"/>
    <d v="2023-08-26T00:00:00"/>
    <s v="Basic"/>
    <n v="199"/>
    <n v="12.2"/>
    <n v="2"/>
    <n v="0"/>
    <n v="36"/>
    <n v="33"/>
    <s v="Yes"/>
    <s v="No"/>
    <s v="No"/>
    <s v="No"/>
    <s v="Yes"/>
    <s v="No"/>
    <m/>
    <s v="0 Failures"/>
    <n v="1"/>
    <s v="10-20hrs"/>
    <s v="12+ months"/>
    <x v="1"/>
  </r>
  <r>
    <n v="2305"/>
    <d v="2023-09-05T00:00:00"/>
    <s v="Basic"/>
    <n v="199"/>
    <n v="22.7"/>
    <n v="8"/>
    <n v="4"/>
    <n v="16"/>
    <n v="34"/>
    <s v="No"/>
    <s v="No"/>
    <s v="Yes"/>
    <s v="Yes"/>
    <s v="Yes"/>
    <s v="No"/>
    <m/>
    <s v="1+ Failures"/>
    <n v="0"/>
    <s v="20+ hrs"/>
    <s v="12+ months"/>
    <x v="1"/>
  </r>
  <r>
    <n v="2306"/>
    <d v="2023-12-07T00:00:00"/>
    <s v="Premium"/>
    <n v="699"/>
    <n v="2.5"/>
    <n v="8"/>
    <n v="4"/>
    <n v="36"/>
    <n v="5"/>
    <s v="Yes"/>
    <s v="Yes"/>
    <s v="Yes"/>
    <s v="Yes"/>
    <s v="No"/>
    <s v="No"/>
    <m/>
    <s v="1+ Failures"/>
    <n v="1"/>
    <s v="0-5 hrs"/>
    <s v="12+ months"/>
    <x v="0"/>
  </r>
  <r>
    <n v="2307"/>
    <d v="2023-07-30T00:00:00"/>
    <s v="Premium"/>
    <n v="699"/>
    <n v="20.8"/>
    <n v="0"/>
    <n v="3"/>
    <n v="9"/>
    <n v="31"/>
    <s v="No"/>
    <s v="No"/>
    <s v="Yes"/>
    <s v="No"/>
    <s v="Yes"/>
    <s v="No"/>
    <m/>
    <s v="1+ Failures"/>
    <n v="0"/>
    <s v="20+ hrs"/>
    <s v="6-12months"/>
    <x v="0"/>
  </r>
  <r>
    <n v="2308"/>
    <d v="2023-03-15T00:00:00"/>
    <s v="Basic"/>
    <n v="199"/>
    <n v="17.600000000000001"/>
    <n v="1"/>
    <n v="4"/>
    <n v="15"/>
    <n v="9"/>
    <s v="No"/>
    <s v="No"/>
    <s v="Yes"/>
    <s v="No"/>
    <s v="No"/>
    <s v="No"/>
    <m/>
    <s v="1+ Failures"/>
    <n v="0"/>
    <s v="10-20hrs"/>
    <s v="12+ months"/>
    <x v="1"/>
  </r>
  <r>
    <n v="2309"/>
    <d v="2023-12-12T00:00:00"/>
    <s v="Standard"/>
    <n v="399"/>
    <n v="2.5"/>
    <n v="5"/>
    <n v="3"/>
    <n v="35"/>
    <n v="10"/>
    <s v="Yes"/>
    <s v="Yes"/>
    <s v="Yes"/>
    <s v="Yes"/>
    <s v="No"/>
    <s v="No"/>
    <m/>
    <s v="1+ Failures"/>
    <n v="1"/>
    <s v="0-5 hrs"/>
    <s v="12+ months"/>
    <x v="1"/>
  </r>
  <r>
    <n v="2310"/>
    <d v="2023-02-01T00:00:00"/>
    <s v="Basic"/>
    <n v="199"/>
    <n v="19.3"/>
    <n v="0"/>
    <n v="5"/>
    <n v="3"/>
    <n v="44"/>
    <s v="Yes"/>
    <s v="No"/>
    <s v="Yes"/>
    <s v="No"/>
    <s v="Yes"/>
    <s v="Yes"/>
    <m/>
    <s v="1+ Failures"/>
    <n v="1"/>
    <s v="10-20hrs"/>
    <s v="0-3months"/>
    <x v="1"/>
  </r>
  <r>
    <n v="2311"/>
    <d v="2023-04-11T00:00:00"/>
    <s v="Basic"/>
    <n v="199"/>
    <n v="4.5"/>
    <n v="1"/>
    <n v="0"/>
    <n v="21"/>
    <n v="44"/>
    <s v="Yes"/>
    <s v="Yes"/>
    <s v="No"/>
    <s v="No"/>
    <s v="Yes"/>
    <s v="No"/>
    <m/>
    <s v="0 Failures"/>
    <n v="1"/>
    <s v="0-5 hrs"/>
    <s v="12+ months"/>
    <x v="1"/>
  </r>
  <r>
    <n v="2312"/>
    <d v="2023-01-27T00:00:00"/>
    <s v="Standard"/>
    <n v="399"/>
    <n v="16.399999999999999"/>
    <n v="0"/>
    <n v="5"/>
    <n v="35"/>
    <n v="47"/>
    <s v="No"/>
    <s v="No"/>
    <s v="Yes"/>
    <s v="No"/>
    <s v="Yes"/>
    <s v="No"/>
    <m/>
    <s v="1+ Failures"/>
    <n v="0"/>
    <s v="10-20hrs"/>
    <s v="12+ months"/>
    <x v="1"/>
  </r>
  <r>
    <n v="2313"/>
    <d v="2024-05-31T00:00:00"/>
    <s v="Premium"/>
    <n v="699"/>
    <n v="24.7"/>
    <n v="5"/>
    <n v="3"/>
    <n v="10"/>
    <n v="43"/>
    <s v="Yes"/>
    <s v="No"/>
    <s v="Yes"/>
    <s v="Yes"/>
    <s v="Yes"/>
    <s v="No"/>
    <m/>
    <s v="1+ Failures"/>
    <n v="1"/>
    <s v="20+ hrs"/>
    <s v="6-12months"/>
    <x v="0"/>
  </r>
  <r>
    <n v="2314"/>
    <d v="2023-06-01T00:00:00"/>
    <s v="Premium"/>
    <n v="699"/>
    <n v="18.899999999999999"/>
    <n v="4"/>
    <n v="1"/>
    <n v="19"/>
    <n v="5"/>
    <s v="No"/>
    <s v="No"/>
    <s v="Yes"/>
    <s v="No"/>
    <s v="No"/>
    <s v="No"/>
    <m/>
    <s v="1+ Failures"/>
    <n v="0"/>
    <s v="10-20hrs"/>
    <s v="12+ months"/>
    <x v="0"/>
  </r>
  <r>
    <n v="2315"/>
    <d v="2023-06-04T00:00:00"/>
    <s v="Premium"/>
    <n v="699"/>
    <n v="12.2"/>
    <n v="7"/>
    <n v="4"/>
    <n v="35"/>
    <n v="58"/>
    <s v="No"/>
    <s v="No"/>
    <s v="Yes"/>
    <s v="Yes"/>
    <s v="Yes"/>
    <s v="No"/>
    <m/>
    <s v="1+ Failures"/>
    <n v="0"/>
    <s v="10-20hrs"/>
    <s v="12+ months"/>
    <x v="0"/>
  </r>
  <r>
    <n v="2316"/>
    <d v="2024-06-03T00:00:00"/>
    <s v="Basic"/>
    <n v="199"/>
    <n v="12.8"/>
    <n v="0"/>
    <n v="2"/>
    <n v="19"/>
    <n v="24"/>
    <s v="Yes"/>
    <s v="No"/>
    <s v="Yes"/>
    <s v="No"/>
    <s v="Yes"/>
    <s v="No"/>
    <m/>
    <s v="1+ Failures"/>
    <n v="1"/>
    <s v="10-20hrs"/>
    <s v="12+ months"/>
    <x v="1"/>
  </r>
  <r>
    <n v="2317"/>
    <d v="2023-09-09T00:00:00"/>
    <s v="Standard"/>
    <n v="399"/>
    <n v="1.1000000000000001"/>
    <n v="0"/>
    <n v="0"/>
    <n v="30"/>
    <n v="42"/>
    <s v="Yes"/>
    <s v="Yes"/>
    <s v="No"/>
    <s v="No"/>
    <s v="Yes"/>
    <s v="No"/>
    <m/>
    <s v="0 Failures"/>
    <n v="1"/>
    <s v="0-5 hrs"/>
    <s v="12+ months"/>
    <x v="1"/>
  </r>
  <r>
    <n v="2318"/>
    <d v="2024-06-26T00:00:00"/>
    <s v="Standard"/>
    <n v="399"/>
    <n v="16.100000000000001"/>
    <n v="1"/>
    <n v="2"/>
    <n v="23"/>
    <n v="46"/>
    <s v="Yes"/>
    <s v="No"/>
    <s v="Yes"/>
    <s v="No"/>
    <s v="Yes"/>
    <s v="No"/>
    <m/>
    <s v="1+ Failures"/>
    <n v="1"/>
    <s v="10-20hrs"/>
    <s v="12+ months"/>
    <x v="1"/>
  </r>
  <r>
    <n v="2319"/>
    <d v="2023-10-03T00:00:00"/>
    <s v="Basic"/>
    <n v="199"/>
    <n v="9.8000000000000007"/>
    <n v="1"/>
    <n v="1"/>
    <n v="26"/>
    <n v="26"/>
    <s v="Yes"/>
    <s v="No"/>
    <s v="Yes"/>
    <s v="No"/>
    <s v="Yes"/>
    <s v="No"/>
    <m/>
    <s v="1+ Failures"/>
    <n v="1"/>
    <s v="5-10 hrs"/>
    <s v="12+ months"/>
    <x v="1"/>
  </r>
  <r>
    <n v="2320"/>
    <d v="2023-06-24T00:00:00"/>
    <s v="Premium"/>
    <n v="699"/>
    <n v="24.8"/>
    <n v="5"/>
    <n v="5"/>
    <n v="15"/>
    <n v="3"/>
    <s v="Yes"/>
    <s v="No"/>
    <s v="Yes"/>
    <s v="Yes"/>
    <s v="No"/>
    <s v="No"/>
    <m/>
    <s v="1+ Failures"/>
    <n v="1"/>
    <s v="20+ hrs"/>
    <s v="12+ months"/>
    <x v="0"/>
  </r>
  <r>
    <n v="2321"/>
    <d v="2023-02-24T00:00:00"/>
    <s v="Premium"/>
    <n v="699"/>
    <n v="18.399999999999999"/>
    <n v="8"/>
    <n v="5"/>
    <n v="25"/>
    <n v="2"/>
    <s v="No"/>
    <s v="No"/>
    <s v="Yes"/>
    <s v="Yes"/>
    <s v="No"/>
    <s v="No"/>
    <m/>
    <s v="1+ Failures"/>
    <n v="0"/>
    <s v="10-20hrs"/>
    <s v="12+ months"/>
    <x v="0"/>
  </r>
  <r>
    <n v="2322"/>
    <d v="2023-01-18T00:00:00"/>
    <s v="Standard"/>
    <n v="399"/>
    <n v="6.4"/>
    <n v="8"/>
    <n v="3"/>
    <n v="14"/>
    <n v="39"/>
    <s v="Yes"/>
    <s v="No"/>
    <s v="Yes"/>
    <s v="Yes"/>
    <s v="Yes"/>
    <s v="No"/>
    <m/>
    <s v="1+ Failures"/>
    <n v="1"/>
    <s v="5-10 hrs"/>
    <s v="12+ months"/>
    <x v="1"/>
  </r>
  <r>
    <n v="2323"/>
    <d v="2023-05-06T00:00:00"/>
    <s v="Premium"/>
    <n v="699"/>
    <n v="5"/>
    <n v="1"/>
    <n v="0"/>
    <n v="34"/>
    <n v="17"/>
    <s v="No"/>
    <s v="No"/>
    <s v="No"/>
    <s v="No"/>
    <s v="Yes"/>
    <s v="No"/>
    <m/>
    <s v="0 Failures"/>
    <n v="0"/>
    <s v="0-5 hrs"/>
    <s v="12+ months"/>
    <x v="0"/>
  </r>
  <r>
    <n v="2324"/>
    <d v="2023-01-06T00:00:00"/>
    <s v="Standard"/>
    <n v="399"/>
    <n v="21"/>
    <n v="1"/>
    <n v="4"/>
    <n v="17"/>
    <n v="58"/>
    <s v="Yes"/>
    <s v="No"/>
    <s v="Yes"/>
    <s v="No"/>
    <s v="Yes"/>
    <s v="No"/>
    <m/>
    <s v="1+ Failures"/>
    <n v="1"/>
    <s v="20+ hrs"/>
    <s v="12+ months"/>
    <x v="1"/>
  </r>
  <r>
    <n v="2325"/>
    <d v="2023-09-12T00:00:00"/>
    <s v="Standard"/>
    <n v="399"/>
    <n v="24.1"/>
    <n v="2"/>
    <n v="4"/>
    <n v="17"/>
    <n v="60"/>
    <s v="Yes"/>
    <s v="No"/>
    <s v="Yes"/>
    <s v="No"/>
    <s v="Yes"/>
    <s v="No"/>
    <m/>
    <s v="1+ Failures"/>
    <n v="1"/>
    <s v="20+ hrs"/>
    <s v="12+ months"/>
    <x v="1"/>
  </r>
  <r>
    <n v="2326"/>
    <d v="2023-10-02T00:00:00"/>
    <s v="Premium"/>
    <n v="699"/>
    <n v="9.8000000000000007"/>
    <n v="3"/>
    <n v="4"/>
    <n v="13"/>
    <n v="41"/>
    <s v="Yes"/>
    <s v="No"/>
    <s v="Yes"/>
    <s v="No"/>
    <s v="Yes"/>
    <s v="No"/>
    <m/>
    <s v="1+ Failures"/>
    <n v="1"/>
    <s v="5-10 hrs"/>
    <s v="12+ months"/>
    <x v="0"/>
  </r>
  <r>
    <n v="2327"/>
    <d v="2023-10-30T00:00:00"/>
    <s v="Basic"/>
    <n v="199"/>
    <n v="17"/>
    <n v="2"/>
    <n v="5"/>
    <n v="10"/>
    <n v="25"/>
    <s v="No"/>
    <s v="No"/>
    <s v="Yes"/>
    <s v="No"/>
    <s v="Yes"/>
    <s v="No"/>
    <m/>
    <s v="1+ Failures"/>
    <n v="0"/>
    <s v="10-20hrs"/>
    <s v="6-12months"/>
    <x v="1"/>
  </r>
  <r>
    <n v="2328"/>
    <d v="2023-09-06T00:00:00"/>
    <s v="Premium"/>
    <n v="699"/>
    <n v="13.3"/>
    <n v="4"/>
    <n v="3"/>
    <n v="11"/>
    <n v="19"/>
    <s v="Yes"/>
    <s v="No"/>
    <s v="Yes"/>
    <s v="No"/>
    <s v="Yes"/>
    <s v="No"/>
    <m/>
    <s v="1+ Failures"/>
    <n v="1"/>
    <s v="10-20hrs"/>
    <s v="6-12months"/>
    <x v="0"/>
  </r>
  <r>
    <n v="2329"/>
    <d v="2023-09-15T00:00:00"/>
    <s v="Standard"/>
    <n v="399"/>
    <n v="9.5"/>
    <n v="8"/>
    <n v="3"/>
    <n v="9"/>
    <n v="13"/>
    <s v="Yes"/>
    <s v="No"/>
    <s v="Yes"/>
    <s v="Yes"/>
    <s v="No"/>
    <s v="No"/>
    <m/>
    <s v="1+ Failures"/>
    <n v="1"/>
    <s v="5-10 hrs"/>
    <s v="6-12months"/>
    <x v="1"/>
  </r>
  <r>
    <n v="2330"/>
    <d v="2024-02-04T00:00:00"/>
    <s v="Basic"/>
    <n v="199"/>
    <n v="21.9"/>
    <n v="6"/>
    <n v="2"/>
    <n v="30"/>
    <n v="60"/>
    <s v="No"/>
    <s v="No"/>
    <s v="Yes"/>
    <s v="Yes"/>
    <s v="Yes"/>
    <s v="No"/>
    <m/>
    <s v="1+ Failures"/>
    <n v="0"/>
    <s v="20+ hrs"/>
    <s v="12+ months"/>
    <x v="1"/>
  </r>
  <r>
    <n v="2331"/>
    <d v="2023-07-11T00:00:00"/>
    <s v="Basic"/>
    <n v="199"/>
    <n v="23.7"/>
    <n v="5"/>
    <n v="2"/>
    <n v="23"/>
    <n v="55"/>
    <s v="No"/>
    <s v="No"/>
    <s v="Yes"/>
    <s v="Yes"/>
    <s v="Yes"/>
    <s v="No"/>
    <m/>
    <s v="1+ Failures"/>
    <n v="0"/>
    <s v="20+ hrs"/>
    <s v="12+ months"/>
    <x v="1"/>
  </r>
  <r>
    <n v="2332"/>
    <d v="2023-10-28T00:00:00"/>
    <s v="Standard"/>
    <n v="399"/>
    <n v="18.2"/>
    <n v="5"/>
    <n v="2"/>
    <n v="15"/>
    <n v="34"/>
    <s v="Yes"/>
    <s v="No"/>
    <s v="Yes"/>
    <s v="Yes"/>
    <s v="Yes"/>
    <s v="No"/>
    <m/>
    <s v="1+ Failures"/>
    <n v="1"/>
    <s v="10-20hrs"/>
    <s v="12+ months"/>
    <x v="1"/>
  </r>
  <r>
    <n v="2333"/>
    <d v="2023-10-14T00:00:00"/>
    <s v="Basic"/>
    <n v="199"/>
    <n v="16.899999999999999"/>
    <n v="7"/>
    <n v="3"/>
    <n v="2"/>
    <n v="19"/>
    <s v="Yes"/>
    <s v="No"/>
    <s v="Yes"/>
    <s v="Yes"/>
    <s v="Yes"/>
    <s v="Yes"/>
    <m/>
    <s v="1+ Failures"/>
    <n v="1"/>
    <s v="10-20hrs"/>
    <s v="0-3months"/>
    <x v="1"/>
  </r>
  <r>
    <n v="2334"/>
    <d v="2023-08-20T00:00:00"/>
    <s v="Standard"/>
    <n v="399"/>
    <n v="14.6"/>
    <n v="8"/>
    <n v="4"/>
    <n v="33"/>
    <n v="58"/>
    <s v="No"/>
    <s v="No"/>
    <s v="Yes"/>
    <s v="Yes"/>
    <s v="Yes"/>
    <s v="No"/>
    <m/>
    <s v="1+ Failures"/>
    <n v="0"/>
    <s v="10-20hrs"/>
    <s v="12+ months"/>
    <x v="1"/>
  </r>
  <r>
    <n v="2335"/>
    <d v="2023-10-10T00:00:00"/>
    <s v="Premium"/>
    <n v="699"/>
    <n v="9.5"/>
    <n v="8"/>
    <n v="5"/>
    <n v="7"/>
    <n v="32"/>
    <s v="Yes"/>
    <s v="No"/>
    <s v="Yes"/>
    <s v="Yes"/>
    <s v="Yes"/>
    <s v="No"/>
    <m/>
    <s v="1+ Failures"/>
    <n v="1"/>
    <s v="5-10 hrs"/>
    <s v="6-12months"/>
    <x v="0"/>
  </r>
  <r>
    <n v="2336"/>
    <d v="2023-10-24T00:00:00"/>
    <s v="Standard"/>
    <n v="399"/>
    <n v="11.9"/>
    <n v="0"/>
    <n v="5"/>
    <n v="9"/>
    <n v="44"/>
    <s v="Yes"/>
    <s v="No"/>
    <s v="Yes"/>
    <s v="No"/>
    <s v="Yes"/>
    <s v="No"/>
    <m/>
    <s v="1+ Failures"/>
    <n v="1"/>
    <s v="10-20hrs"/>
    <s v="6-12months"/>
    <x v="1"/>
  </r>
  <r>
    <n v="2337"/>
    <d v="2023-08-02T00:00:00"/>
    <s v="Premium"/>
    <n v="699"/>
    <n v="24.8"/>
    <n v="4"/>
    <n v="1"/>
    <n v="4"/>
    <n v="13"/>
    <s v="No"/>
    <s v="No"/>
    <s v="Yes"/>
    <s v="No"/>
    <s v="No"/>
    <s v="Yes"/>
    <m/>
    <s v="1+ Failures"/>
    <n v="0"/>
    <s v="20+ hrs"/>
    <s v="3-6months"/>
    <x v="0"/>
  </r>
  <r>
    <n v="2338"/>
    <d v="2023-05-06T00:00:00"/>
    <s v="Standard"/>
    <n v="399"/>
    <n v="20.8"/>
    <n v="4"/>
    <n v="4"/>
    <n v="13"/>
    <n v="20"/>
    <s v="No"/>
    <s v="No"/>
    <s v="Yes"/>
    <s v="No"/>
    <s v="Yes"/>
    <s v="No"/>
    <m/>
    <s v="1+ Failures"/>
    <n v="0"/>
    <s v="20+ hrs"/>
    <s v="12+ months"/>
    <x v="1"/>
  </r>
  <r>
    <n v="2339"/>
    <d v="2024-04-10T00:00:00"/>
    <s v="Standard"/>
    <n v="399"/>
    <n v="20.3"/>
    <n v="1"/>
    <n v="0"/>
    <n v="15"/>
    <n v="6"/>
    <s v="No"/>
    <s v="No"/>
    <s v="No"/>
    <s v="No"/>
    <s v="No"/>
    <s v="No"/>
    <m/>
    <s v="0 Failures"/>
    <n v="0"/>
    <s v="20+ hrs"/>
    <s v="12+ months"/>
    <x v="1"/>
  </r>
  <r>
    <n v="2340"/>
    <d v="2023-07-23T00:00:00"/>
    <s v="Premium"/>
    <n v="699"/>
    <n v="18.2"/>
    <n v="1"/>
    <n v="4"/>
    <n v="30"/>
    <n v="3"/>
    <s v="No"/>
    <s v="No"/>
    <s v="Yes"/>
    <s v="No"/>
    <s v="No"/>
    <s v="No"/>
    <m/>
    <s v="1+ Failures"/>
    <n v="0"/>
    <s v="10-20hrs"/>
    <s v="12+ months"/>
    <x v="0"/>
  </r>
  <r>
    <n v="2341"/>
    <d v="2024-10-21T00:00:00"/>
    <s v="Basic"/>
    <n v="199"/>
    <n v="16"/>
    <n v="3"/>
    <n v="3"/>
    <n v="6"/>
    <n v="13"/>
    <s v="Yes"/>
    <s v="No"/>
    <s v="Yes"/>
    <s v="No"/>
    <s v="No"/>
    <s v="No"/>
    <m/>
    <s v="1+ Failures"/>
    <n v="1"/>
    <s v="10-20hrs"/>
    <s v="3-6months"/>
    <x v="1"/>
  </r>
  <r>
    <n v="2342"/>
    <d v="2023-03-27T00:00:00"/>
    <s v="Standard"/>
    <n v="399"/>
    <n v="1.5"/>
    <n v="6"/>
    <n v="0"/>
    <n v="15"/>
    <n v="46"/>
    <s v="Yes"/>
    <s v="Yes"/>
    <s v="No"/>
    <s v="Yes"/>
    <s v="Yes"/>
    <s v="No"/>
    <m/>
    <s v="0 Failures"/>
    <n v="1"/>
    <s v="0-5 hrs"/>
    <s v="12+ months"/>
    <x v="1"/>
  </r>
  <r>
    <n v="2343"/>
    <d v="2024-05-27T00:00:00"/>
    <s v="Premium"/>
    <n v="699"/>
    <n v="12.7"/>
    <n v="5"/>
    <n v="3"/>
    <n v="33"/>
    <n v="6"/>
    <s v="Yes"/>
    <s v="No"/>
    <s v="Yes"/>
    <s v="Yes"/>
    <s v="No"/>
    <s v="No"/>
    <m/>
    <s v="1+ Failures"/>
    <n v="1"/>
    <s v="10-20hrs"/>
    <s v="12+ months"/>
    <x v="0"/>
  </r>
  <r>
    <n v="2344"/>
    <d v="2023-08-02T00:00:00"/>
    <s v="Standard"/>
    <n v="399"/>
    <n v="18.100000000000001"/>
    <n v="8"/>
    <n v="0"/>
    <n v="36"/>
    <n v="0"/>
    <s v="No"/>
    <s v="No"/>
    <s v="No"/>
    <s v="Yes"/>
    <s v="No"/>
    <s v="No"/>
    <m/>
    <s v="0 Failures"/>
    <n v="0"/>
    <s v="10-20hrs"/>
    <s v="12+ months"/>
    <x v="1"/>
  </r>
  <r>
    <n v="2345"/>
    <d v="2024-09-03T00:00:00"/>
    <s v="Basic"/>
    <n v="199"/>
    <n v="14.9"/>
    <n v="5"/>
    <n v="3"/>
    <n v="2"/>
    <n v="7"/>
    <s v="No"/>
    <s v="No"/>
    <s v="Yes"/>
    <s v="Yes"/>
    <s v="No"/>
    <s v="Yes"/>
    <m/>
    <s v="1+ Failures"/>
    <n v="0"/>
    <s v="10-20hrs"/>
    <s v="0-3months"/>
    <x v="1"/>
  </r>
  <r>
    <n v="2346"/>
    <d v="2024-05-24T00:00:00"/>
    <s v="Premium"/>
    <n v="699"/>
    <n v="6.5"/>
    <n v="6"/>
    <n v="2"/>
    <n v="1"/>
    <n v="30"/>
    <s v="Yes"/>
    <s v="No"/>
    <s v="Yes"/>
    <s v="Yes"/>
    <s v="Yes"/>
    <s v="Yes"/>
    <m/>
    <s v="1+ Failures"/>
    <n v="1"/>
    <s v="5-10 hrs"/>
    <s v="0-3months"/>
    <x v="0"/>
  </r>
  <r>
    <n v="2347"/>
    <d v="2023-01-04T00:00:00"/>
    <s v="Standard"/>
    <n v="399"/>
    <n v="20.7"/>
    <n v="1"/>
    <n v="5"/>
    <n v="19"/>
    <n v="58"/>
    <s v="Yes"/>
    <s v="No"/>
    <s v="Yes"/>
    <s v="No"/>
    <s v="Yes"/>
    <s v="No"/>
    <m/>
    <s v="1+ Failures"/>
    <n v="1"/>
    <s v="20+ hrs"/>
    <s v="12+ months"/>
    <x v="1"/>
  </r>
  <r>
    <n v="2348"/>
    <d v="2023-11-15T00:00:00"/>
    <s v="Premium"/>
    <n v="699"/>
    <n v="10.1"/>
    <n v="5"/>
    <n v="1"/>
    <n v="14"/>
    <n v="56"/>
    <s v="Yes"/>
    <s v="No"/>
    <s v="Yes"/>
    <s v="Yes"/>
    <s v="Yes"/>
    <s v="No"/>
    <m/>
    <s v="1+ Failures"/>
    <n v="1"/>
    <s v="10-20hrs"/>
    <s v="12+ months"/>
    <x v="0"/>
  </r>
  <r>
    <n v="2349"/>
    <d v="2023-04-22T00:00:00"/>
    <s v="Premium"/>
    <n v="699"/>
    <n v="20.3"/>
    <n v="8"/>
    <n v="5"/>
    <n v="5"/>
    <n v="49"/>
    <s v="Yes"/>
    <s v="No"/>
    <s v="Yes"/>
    <s v="Yes"/>
    <s v="Yes"/>
    <s v="Yes"/>
    <m/>
    <s v="1+ Failures"/>
    <n v="1"/>
    <s v="20+ hrs"/>
    <s v="3-6months"/>
    <x v="0"/>
  </r>
  <r>
    <n v="2350"/>
    <d v="2023-01-28T00:00:00"/>
    <s v="Premium"/>
    <n v="699"/>
    <n v="6"/>
    <n v="6"/>
    <n v="4"/>
    <n v="19"/>
    <n v="30"/>
    <s v="Yes"/>
    <s v="No"/>
    <s v="Yes"/>
    <s v="Yes"/>
    <s v="Yes"/>
    <s v="No"/>
    <m/>
    <s v="1+ Failures"/>
    <n v="1"/>
    <s v="5-10 hrs"/>
    <s v="12+ months"/>
    <x v="0"/>
  </r>
  <r>
    <n v="2351"/>
    <d v="2023-06-11T00:00:00"/>
    <s v="Premium"/>
    <n v="699"/>
    <n v="19"/>
    <n v="6"/>
    <n v="1"/>
    <n v="9"/>
    <n v="10"/>
    <s v="No"/>
    <s v="No"/>
    <s v="Yes"/>
    <s v="Yes"/>
    <s v="No"/>
    <s v="No"/>
    <m/>
    <s v="1+ Failures"/>
    <n v="0"/>
    <s v="10-20hrs"/>
    <s v="6-12months"/>
    <x v="0"/>
  </r>
  <r>
    <n v="2352"/>
    <d v="2024-03-04T00:00:00"/>
    <s v="Basic"/>
    <n v="199"/>
    <n v="4.0999999999999996"/>
    <n v="3"/>
    <n v="3"/>
    <n v="33"/>
    <n v="17"/>
    <s v="Yes"/>
    <s v="Yes"/>
    <s v="Yes"/>
    <s v="No"/>
    <s v="Yes"/>
    <s v="No"/>
    <m/>
    <s v="1+ Failures"/>
    <n v="1"/>
    <s v="0-5 hrs"/>
    <s v="12+ months"/>
    <x v="1"/>
  </r>
  <r>
    <n v="2353"/>
    <d v="2023-10-29T00:00:00"/>
    <s v="Basic"/>
    <n v="199"/>
    <n v="6.8"/>
    <n v="0"/>
    <n v="5"/>
    <n v="6"/>
    <n v="47"/>
    <s v="No"/>
    <s v="No"/>
    <s v="Yes"/>
    <s v="No"/>
    <s v="Yes"/>
    <s v="No"/>
    <m/>
    <s v="1+ Failures"/>
    <n v="0"/>
    <s v="5-10 hrs"/>
    <s v="3-6months"/>
    <x v="1"/>
  </r>
  <r>
    <n v="2354"/>
    <d v="2023-12-12T00:00:00"/>
    <s v="Basic"/>
    <n v="199"/>
    <n v="13.6"/>
    <n v="0"/>
    <n v="2"/>
    <n v="34"/>
    <n v="40"/>
    <s v="Yes"/>
    <s v="No"/>
    <s v="Yes"/>
    <s v="No"/>
    <s v="Yes"/>
    <s v="No"/>
    <m/>
    <s v="1+ Failures"/>
    <n v="1"/>
    <s v="10-20hrs"/>
    <s v="12+ months"/>
    <x v="1"/>
  </r>
  <r>
    <n v="2355"/>
    <d v="2024-06-15T00:00:00"/>
    <s v="Basic"/>
    <n v="199"/>
    <n v="23.4"/>
    <n v="6"/>
    <n v="3"/>
    <n v="32"/>
    <n v="50"/>
    <s v="Yes"/>
    <s v="No"/>
    <s v="Yes"/>
    <s v="Yes"/>
    <s v="Yes"/>
    <s v="No"/>
    <m/>
    <s v="1+ Failures"/>
    <n v="1"/>
    <s v="20+ hrs"/>
    <s v="12+ months"/>
    <x v="1"/>
  </r>
  <r>
    <n v="2356"/>
    <d v="2023-02-13T00:00:00"/>
    <s v="Premium"/>
    <n v="699"/>
    <n v="3.4"/>
    <n v="2"/>
    <n v="3"/>
    <n v="7"/>
    <n v="49"/>
    <s v="Yes"/>
    <s v="Yes"/>
    <s v="Yes"/>
    <s v="No"/>
    <s v="Yes"/>
    <s v="No"/>
    <m/>
    <s v="1+ Failures"/>
    <n v="1"/>
    <s v="0-5 hrs"/>
    <s v="6-12months"/>
    <x v="0"/>
  </r>
  <r>
    <n v="2357"/>
    <d v="2024-09-14T00:00:00"/>
    <s v="Basic"/>
    <n v="199"/>
    <n v="13.2"/>
    <n v="3"/>
    <n v="2"/>
    <n v="4"/>
    <n v="24"/>
    <s v="Yes"/>
    <s v="No"/>
    <s v="Yes"/>
    <s v="No"/>
    <s v="Yes"/>
    <s v="Yes"/>
    <m/>
    <s v="1+ Failures"/>
    <n v="1"/>
    <s v="10-20hrs"/>
    <s v="3-6months"/>
    <x v="1"/>
  </r>
  <r>
    <n v="2358"/>
    <d v="2023-08-06T00:00:00"/>
    <s v="Basic"/>
    <n v="199"/>
    <n v="10"/>
    <n v="7"/>
    <n v="0"/>
    <n v="2"/>
    <n v="20"/>
    <s v="No"/>
    <s v="No"/>
    <s v="No"/>
    <s v="Yes"/>
    <s v="Yes"/>
    <s v="Yes"/>
    <m/>
    <s v="0 Failures"/>
    <n v="0"/>
    <s v="5-10 hrs"/>
    <s v="0-3months"/>
    <x v="1"/>
  </r>
  <r>
    <n v="2359"/>
    <d v="2024-03-16T00:00:00"/>
    <s v="Basic"/>
    <n v="199"/>
    <n v="19.3"/>
    <n v="4"/>
    <n v="2"/>
    <n v="12"/>
    <n v="22"/>
    <s v="Yes"/>
    <s v="No"/>
    <s v="Yes"/>
    <s v="No"/>
    <s v="Yes"/>
    <s v="No"/>
    <m/>
    <s v="1+ Failures"/>
    <n v="1"/>
    <s v="10-20hrs"/>
    <s v="6-12months"/>
    <x v="1"/>
  </r>
  <r>
    <n v="2360"/>
    <d v="2024-03-10T00:00:00"/>
    <s v="Premium"/>
    <n v="699"/>
    <n v="5"/>
    <n v="1"/>
    <n v="3"/>
    <n v="36"/>
    <n v="40"/>
    <s v="No"/>
    <s v="No"/>
    <s v="Yes"/>
    <s v="No"/>
    <s v="Yes"/>
    <s v="No"/>
    <m/>
    <s v="1+ Failures"/>
    <n v="0"/>
    <s v="0-5 hrs"/>
    <s v="12+ months"/>
    <x v="0"/>
  </r>
  <r>
    <n v="2361"/>
    <d v="2023-02-11T00:00:00"/>
    <s v="Premium"/>
    <n v="699"/>
    <n v="15.7"/>
    <n v="8"/>
    <n v="2"/>
    <n v="10"/>
    <n v="18"/>
    <s v="No"/>
    <s v="No"/>
    <s v="Yes"/>
    <s v="Yes"/>
    <s v="Yes"/>
    <s v="No"/>
    <m/>
    <s v="1+ Failures"/>
    <n v="0"/>
    <s v="10-20hrs"/>
    <s v="6-12months"/>
    <x v="0"/>
  </r>
  <r>
    <n v="2362"/>
    <d v="2024-04-03T00:00:00"/>
    <s v="Basic"/>
    <n v="199"/>
    <n v="7.9"/>
    <n v="8"/>
    <n v="0"/>
    <n v="16"/>
    <n v="50"/>
    <s v="No"/>
    <s v="No"/>
    <s v="No"/>
    <s v="Yes"/>
    <s v="Yes"/>
    <s v="No"/>
    <m/>
    <s v="0 Failures"/>
    <n v="0"/>
    <s v="5-10 hrs"/>
    <s v="12+ months"/>
    <x v="1"/>
  </r>
  <r>
    <n v="2363"/>
    <d v="2024-06-25T00:00:00"/>
    <s v="Basic"/>
    <n v="199"/>
    <n v="7.8"/>
    <n v="7"/>
    <n v="5"/>
    <n v="22"/>
    <n v="58"/>
    <s v="Yes"/>
    <s v="No"/>
    <s v="Yes"/>
    <s v="Yes"/>
    <s v="Yes"/>
    <s v="No"/>
    <m/>
    <s v="1+ Failures"/>
    <n v="1"/>
    <s v="5-10 hrs"/>
    <s v="12+ months"/>
    <x v="1"/>
  </r>
  <r>
    <n v="2364"/>
    <d v="2023-05-08T00:00:00"/>
    <s v="Basic"/>
    <n v="199"/>
    <n v="1.6"/>
    <n v="3"/>
    <n v="5"/>
    <n v="27"/>
    <n v="23"/>
    <s v="Yes"/>
    <s v="Yes"/>
    <s v="Yes"/>
    <s v="No"/>
    <s v="Yes"/>
    <s v="No"/>
    <m/>
    <s v="1+ Failures"/>
    <n v="1"/>
    <s v="0-5 hrs"/>
    <s v="12+ months"/>
    <x v="1"/>
  </r>
  <r>
    <n v="2365"/>
    <d v="2023-02-18T00:00:00"/>
    <s v="Basic"/>
    <n v="199"/>
    <n v="16.8"/>
    <n v="7"/>
    <n v="5"/>
    <n v="7"/>
    <n v="44"/>
    <s v="Yes"/>
    <s v="No"/>
    <s v="Yes"/>
    <s v="Yes"/>
    <s v="Yes"/>
    <s v="No"/>
    <m/>
    <s v="1+ Failures"/>
    <n v="1"/>
    <s v="10-20hrs"/>
    <s v="6-12months"/>
    <x v="1"/>
  </r>
  <r>
    <n v="2366"/>
    <d v="2023-01-17T00:00:00"/>
    <s v="Premium"/>
    <n v="699"/>
    <n v="24.8"/>
    <n v="1"/>
    <n v="2"/>
    <n v="24"/>
    <n v="18"/>
    <s v="No"/>
    <s v="No"/>
    <s v="Yes"/>
    <s v="No"/>
    <s v="Yes"/>
    <s v="No"/>
    <m/>
    <s v="1+ Failures"/>
    <n v="0"/>
    <s v="20+ hrs"/>
    <s v="12+ months"/>
    <x v="0"/>
  </r>
  <r>
    <n v="2367"/>
    <d v="2024-08-09T00:00:00"/>
    <s v="Premium"/>
    <n v="699"/>
    <n v="24.8"/>
    <n v="2"/>
    <n v="3"/>
    <n v="29"/>
    <n v="48"/>
    <s v="Yes"/>
    <s v="No"/>
    <s v="Yes"/>
    <s v="No"/>
    <s v="Yes"/>
    <s v="No"/>
    <m/>
    <s v="1+ Failures"/>
    <n v="1"/>
    <s v="20+ hrs"/>
    <s v="12+ months"/>
    <x v="0"/>
  </r>
  <r>
    <n v="2368"/>
    <d v="2024-10-19T00:00:00"/>
    <s v="Premium"/>
    <n v="699"/>
    <n v="19.3"/>
    <n v="6"/>
    <n v="5"/>
    <n v="27"/>
    <n v="18"/>
    <s v="No"/>
    <s v="No"/>
    <s v="Yes"/>
    <s v="Yes"/>
    <s v="Yes"/>
    <s v="No"/>
    <m/>
    <s v="1+ Failures"/>
    <n v="0"/>
    <s v="10-20hrs"/>
    <s v="12+ months"/>
    <x v="0"/>
  </r>
  <r>
    <n v="2369"/>
    <d v="2024-01-10T00:00:00"/>
    <s v="Premium"/>
    <n v="699"/>
    <n v="2.7"/>
    <n v="8"/>
    <n v="2"/>
    <n v="30"/>
    <n v="9"/>
    <s v="Yes"/>
    <s v="Yes"/>
    <s v="Yes"/>
    <s v="Yes"/>
    <s v="No"/>
    <s v="No"/>
    <m/>
    <s v="1+ Failures"/>
    <n v="1"/>
    <s v="0-5 hrs"/>
    <s v="12+ months"/>
    <x v="0"/>
  </r>
  <r>
    <n v="2370"/>
    <d v="2023-10-29T00:00:00"/>
    <s v="Premium"/>
    <n v="699"/>
    <n v="16.100000000000001"/>
    <n v="3"/>
    <n v="1"/>
    <n v="25"/>
    <n v="21"/>
    <s v="No"/>
    <s v="No"/>
    <s v="Yes"/>
    <s v="No"/>
    <s v="Yes"/>
    <s v="No"/>
    <m/>
    <s v="1+ Failures"/>
    <n v="0"/>
    <s v="10-20hrs"/>
    <s v="12+ months"/>
    <x v="0"/>
  </r>
  <r>
    <n v="2371"/>
    <d v="2023-07-09T00:00:00"/>
    <s v="Basic"/>
    <n v="199"/>
    <n v="22.2"/>
    <n v="3"/>
    <n v="1"/>
    <n v="33"/>
    <n v="56"/>
    <s v="Yes"/>
    <s v="No"/>
    <s v="Yes"/>
    <s v="No"/>
    <s v="Yes"/>
    <s v="No"/>
    <m/>
    <s v="1+ Failures"/>
    <n v="1"/>
    <s v="20+ hrs"/>
    <s v="12+ months"/>
    <x v="1"/>
  </r>
  <r>
    <n v="2372"/>
    <d v="2023-02-26T00:00:00"/>
    <s v="Basic"/>
    <n v="199"/>
    <n v="19.600000000000001"/>
    <n v="6"/>
    <n v="3"/>
    <n v="19"/>
    <n v="36"/>
    <s v="Yes"/>
    <s v="No"/>
    <s v="Yes"/>
    <s v="Yes"/>
    <s v="Yes"/>
    <s v="No"/>
    <m/>
    <s v="1+ Failures"/>
    <n v="1"/>
    <s v="10-20hrs"/>
    <s v="12+ months"/>
    <x v="1"/>
  </r>
  <r>
    <n v="2373"/>
    <d v="2024-04-13T00:00:00"/>
    <s v="Standard"/>
    <n v="399"/>
    <n v="24.8"/>
    <n v="7"/>
    <n v="1"/>
    <n v="2"/>
    <n v="25"/>
    <s v="No"/>
    <s v="No"/>
    <s v="Yes"/>
    <s v="Yes"/>
    <s v="Yes"/>
    <s v="Yes"/>
    <m/>
    <s v="1+ Failures"/>
    <n v="0"/>
    <s v="20+ hrs"/>
    <s v="0-3months"/>
    <x v="1"/>
  </r>
  <r>
    <n v="2374"/>
    <d v="2023-08-22T00:00:00"/>
    <s v="Standard"/>
    <n v="399"/>
    <n v="16.2"/>
    <n v="2"/>
    <n v="5"/>
    <n v="2"/>
    <n v="13"/>
    <s v="Yes"/>
    <s v="No"/>
    <s v="Yes"/>
    <s v="No"/>
    <s v="No"/>
    <s v="Yes"/>
    <m/>
    <s v="1+ Failures"/>
    <n v="1"/>
    <s v="10-20hrs"/>
    <s v="0-3months"/>
    <x v="1"/>
  </r>
  <r>
    <n v="2375"/>
    <d v="2024-06-16T00:00:00"/>
    <s v="Premium"/>
    <n v="699"/>
    <n v="8.5"/>
    <n v="5"/>
    <n v="5"/>
    <n v="15"/>
    <n v="15"/>
    <s v="No"/>
    <s v="No"/>
    <s v="Yes"/>
    <s v="Yes"/>
    <s v="Yes"/>
    <s v="No"/>
    <m/>
    <s v="1+ Failures"/>
    <n v="0"/>
    <s v="5-10 hrs"/>
    <s v="12+ months"/>
    <x v="0"/>
  </r>
  <r>
    <n v="2376"/>
    <d v="2024-02-22T00:00:00"/>
    <s v="Basic"/>
    <n v="199"/>
    <n v="19"/>
    <n v="4"/>
    <n v="0"/>
    <n v="36"/>
    <n v="57"/>
    <s v="Yes"/>
    <s v="No"/>
    <s v="No"/>
    <s v="No"/>
    <s v="Yes"/>
    <s v="No"/>
    <m/>
    <s v="0 Failures"/>
    <n v="1"/>
    <s v="10-20hrs"/>
    <s v="12+ months"/>
    <x v="1"/>
  </r>
  <r>
    <n v="2377"/>
    <d v="2023-05-31T00:00:00"/>
    <s v="Premium"/>
    <n v="699"/>
    <n v="24.5"/>
    <n v="6"/>
    <n v="2"/>
    <n v="8"/>
    <n v="1"/>
    <s v="No"/>
    <s v="No"/>
    <s v="Yes"/>
    <s v="Yes"/>
    <s v="No"/>
    <s v="No"/>
    <m/>
    <s v="1+ Failures"/>
    <n v="0"/>
    <s v="20+ hrs"/>
    <s v="6-12months"/>
    <x v="0"/>
  </r>
  <r>
    <n v="2378"/>
    <d v="2024-07-17T00:00:00"/>
    <s v="Standard"/>
    <n v="399"/>
    <n v="13.8"/>
    <n v="2"/>
    <n v="3"/>
    <n v="23"/>
    <n v="42"/>
    <s v="Yes"/>
    <s v="No"/>
    <s v="Yes"/>
    <s v="No"/>
    <s v="Yes"/>
    <s v="No"/>
    <m/>
    <s v="1+ Failures"/>
    <n v="1"/>
    <s v="10-20hrs"/>
    <s v="12+ months"/>
    <x v="1"/>
  </r>
  <r>
    <n v="2379"/>
    <d v="2024-03-12T00:00:00"/>
    <s v="Standard"/>
    <n v="399"/>
    <n v="8.9"/>
    <n v="1"/>
    <n v="1"/>
    <n v="25"/>
    <n v="0"/>
    <s v="No"/>
    <s v="No"/>
    <s v="Yes"/>
    <s v="No"/>
    <s v="No"/>
    <s v="No"/>
    <m/>
    <s v="1+ Failures"/>
    <n v="0"/>
    <s v="5-10 hrs"/>
    <s v="12+ months"/>
    <x v="1"/>
  </r>
  <r>
    <n v="2380"/>
    <d v="2023-05-04T00:00:00"/>
    <s v="Basic"/>
    <n v="199"/>
    <n v="19.3"/>
    <n v="8"/>
    <n v="2"/>
    <n v="10"/>
    <n v="36"/>
    <s v="Yes"/>
    <s v="No"/>
    <s v="Yes"/>
    <s v="Yes"/>
    <s v="Yes"/>
    <s v="No"/>
    <m/>
    <s v="1+ Failures"/>
    <n v="1"/>
    <s v="10-20hrs"/>
    <s v="6-12months"/>
    <x v="1"/>
  </r>
  <r>
    <n v="2381"/>
    <d v="2023-11-15T00:00:00"/>
    <s v="Standard"/>
    <n v="399"/>
    <n v="19.5"/>
    <n v="6"/>
    <n v="4"/>
    <n v="13"/>
    <n v="9"/>
    <s v="Yes"/>
    <s v="No"/>
    <s v="Yes"/>
    <s v="Yes"/>
    <s v="No"/>
    <s v="No"/>
    <m/>
    <s v="1+ Failures"/>
    <n v="1"/>
    <s v="10-20hrs"/>
    <s v="12+ months"/>
    <x v="1"/>
  </r>
  <r>
    <n v="2382"/>
    <d v="2024-05-04T00:00:00"/>
    <s v="Premium"/>
    <n v="699"/>
    <n v="15.8"/>
    <n v="0"/>
    <n v="0"/>
    <n v="18"/>
    <n v="53"/>
    <s v="No"/>
    <s v="No"/>
    <s v="No"/>
    <s v="No"/>
    <s v="Yes"/>
    <s v="No"/>
    <m/>
    <s v="0 Failures"/>
    <n v="0"/>
    <s v="10-20hrs"/>
    <s v="12+ months"/>
    <x v="0"/>
  </r>
  <r>
    <n v="2383"/>
    <d v="2024-02-03T00:00:00"/>
    <s v="Basic"/>
    <n v="199"/>
    <n v="0.7"/>
    <n v="8"/>
    <n v="3"/>
    <n v="1"/>
    <n v="38"/>
    <s v="Yes"/>
    <s v="Yes"/>
    <s v="Yes"/>
    <s v="Yes"/>
    <s v="Yes"/>
    <s v="Yes"/>
    <m/>
    <s v="1+ Failures"/>
    <n v="1"/>
    <s v="0-5 hrs"/>
    <s v="0-3months"/>
    <x v="1"/>
  </r>
  <r>
    <n v="2384"/>
    <d v="2024-11-15T00:00:00"/>
    <s v="Basic"/>
    <n v="199"/>
    <n v="3.4"/>
    <n v="6"/>
    <n v="4"/>
    <n v="4"/>
    <n v="12"/>
    <s v="Yes"/>
    <s v="Yes"/>
    <s v="Yes"/>
    <s v="Yes"/>
    <s v="No"/>
    <s v="Yes"/>
    <m/>
    <s v="1+ Failures"/>
    <n v="1"/>
    <s v="0-5 hrs"/>
    <s v="3-6months"/>
    <x v="1"/>
  </r>
  <r>
    <n v="2385"/>
    <d v="2024-06-24T00:00:00"/>
    <s v="Basic"/>
    <n v="199"/>
    <n v="20.7"/>
    <n v="0"/>
    <n v="0"/>
    <n v="22"/>
    <n v="60"/>
    <s v="Yes"/>
    <s v="No"/>
    <s v="No"/>
    <s v="No"/>
    <s v="Yes"/>
    <s v="No"/>
    <m/>
    <s v="0 Failures"/>
    <n v="1"/>
    <s v="20+ hrs"/>
    <s v="12+ months"/>
    <x v="1"/>
  </r>
  <r>
    <n v="2386"/>
    <d v="2024-02-22T00:00:00"/>
    <s v="Basic"/>
    <n v="199"/>
    <n v="2.5"/>
    <n v="1"/>
    <n v="5"/>
    <n v="18"/>
    <n v="20"/>
    <s v="Yes"/>
    <s v="Yes"/>
    <s v="Yes"/>
    <s v="No"/>
    <s v="Yes"/>
    <s v="No"/>
    <m/>
    <s v="1+ Failures"/>
    <n v="1"/>
    <s v="0-5 hrs"/>
    <s v="12+ months"/>
    <x v="1"/>
  </r>
  <r>
    <n v="2387"/>
    <d v="2023-02-21T00:00:00"/>
    <s v="Basic"/>
    <n v="199"/>
    <n v="5.3"/>
    <n v="7"/>
    <n v="5"/>
    <n v="34"/>
    <n v="26"/>
    <s v="Yes"/>
    <s v="No"/>
    <s v="Yes"/>
    <s v="Yes"/>
    <s v="Yes"/>
    <s v="No"/>
    <m/>
    <s v="1+ Failures"/>
    <n v="1"/>
    <s v="5-10 hrs"/>
    <s v="12+ months"/>
    <x v="1"/>
  </r>
  <r>
    <n v="2388"/>
    <d v="2024-03-27T00:00:00"/>
    <s v="Premium"/>
    <n v="699"/>
    <n v="5.9"/>
    <n v="4"/>
    <n v="2"/>
    <n v="24"/>
    <n v="1"/>
    <s v="No"/>
    <s v="No"/>
    <s v="Yes"/>
    <s v="No"/>
    <s v="No"/>
    <s v="No"/>
    <m/>
    <s v="1+ Failures"/>
    <n v="0"/>
    <s v="5-10 hrs"/>
    <s v="12+ months"/>
    <x v="0"/>
  </r>
  <r>
    <n v="2389"/>
    <d v="2023-05-24T00:00:00"/>
    <s v="Standard"/>
    <n v="399"/>
    <n v="10.1"/>
    <n v="0"/>
    <n v="5"/>
    <n v="19"/>
    <n v="60"/>
    <s v="Yes"/>
    <s v="No"/>
    <s v="Yes"/>
    <s v="No"/>
    <s v="Yes"/>
    <s v="No"/>
    <m/>
    <s v="1+ Failures"/>
    <n v="1"/>
    <s v="10-20hrs"/>
    <s v="12+ months"/>
    <x v="1"/>
  </r>
  <r>
    <n v="2390"/>
    <d v="2023-12-19T00:00:00"/>
    <s v="Premium"/>
    <n v="699"/>
    <n v="19.2"/>
    <n v="6"/>
    <n v="5"/>
    <n v="26"/>
    <n v="8"/>
    <s v="No"/>
    <s v="No"/>
    <s v="Yes"/>
    <s v="Yes"/>
    <s v="No"/>
    <s v="No"/>
    <m/>
    <s v="1+ Failures"/>
    <n v="0"/>
    <s v="10-20hrs"/>
    <s v="12+ months"/>
    <x v="0"/>
  </r>
  <r>
    <n v="2391"/>
    <d v="2024-01-29T00:00:00"/>
    <s v="Basic"/>
    <n v="199"/>
    <n v="20.100000000000001"/>
    <n v="7"/>
    <n v="5"/>
    <n v="36"/>
    <n v="40"/>
    <s v="No"/>
    <s v="No"/>
    <s v="Yes"/>
    <s v="Yes"/>
    <s v="Yes"/>
    <s v="No"/>
    <m/>
    <s v="1+ Failures"/>
    <n v="0"/>
    <s v="20+ hrs"/>
    <s v="12+ months"/>
    <x v="1"/>
  </r>
  <r>
    <n v="2392"/>
    <d v="2024-06-20T00:00:00"/>
    <s v="Basic"/>
    <n v="199"/>
    <n v="14.4"/>
    <n v="1"/>
    <n v="2"/>
    <n v="11"/>
    <n v="1"/>
    <s v="No"/>
    <s v="No"/>
    <s v="Yes"/>
    <s v="No"/>
    <s v="No"/>
    <s v="No"/>
    <m/>
    <s v="1+ Failures"/>
    <n v="0"/>
    <s v="10-20hrs"/>
    <s v="6-12months"/>
    <x v="1"/>
  </r>
  <r>
    <n v="2393"/>
    <d v="2023-04-02T00:00:00"/>
    <s v="Premium"/>
    <n v="699"/>
    <n v="6.9"/>
    <n v="3"/>
    <n v="1"/>
    <n v="35"/>
    <n v="12"/>
    <s v="No"/>
    <s v="No"/>
    <s v="Yes"/>
    <s v="No"/>
    <s v="No"/>
    <s v="No"/>
    <m/>
    <s v="1+ Failures"/>
    <n v="0"/>
    <s v="5-10 hrs"/>
    <s v="12+ months"/>
    <x v="0"/>
  </r>
  <r>
    <n v="2394"/>
    <d v="2024-02-15T00:00:00"/>
    <s v="Basic"/>
    <n v="199"/>
    <n v="9.3000000000000007"/>
    <n v="2"/>
    <n v="1"/>
    <n v="21"/>
    <n v="22"/>
    <s v="No"/>
    <s v="No"/>
    <s v="Yes"/>
    <s v="No"/>
    <s v="Yes"/>
    <s v="No"/>
    <m/>
    <s v="1+ Failures"/>
    <n v="0"/>
    <s v="5-10 hrs"/>
    <s v="12+ months"/>
    <x v="1"/>
  </r>
  <r>
    <n v="2395"/>
    <d v="2023-06-18T00:00:00"/>
    <s v="Basic"/>
    <n v="199"/>
    <n v="13.8"/>
    <n v="1"/>
    <n v="3"/>
    <n v="30"/>
    <n v="0"/>
    <s v="Yes"/>
    <s v="No"/>
    <s v="Yes"/>
    <s v="No"/>
    <s v="No"/>
    <s v="No"/>
    <m/>
    <s v="1+ Failures"/>
    <n v="1"/>
    <s v="10-20hrs"/>
    <s v="12+ months"/>
    <x v="1"/>
  </r>
  <r>
    <n v="2396"/>
    <d v="2024-03-08T00:00:00"/>
    <s v="Premium"/>
    <n v="699"/>
    <n v="2.4"/>
    <n v="2"/>
    <n v="0"/>
    <n v="7"/>
    <n v="24"/>
    <s v="Yes"/>
    <s v="Yes"/>
    <s v="No"/>
    <s v="No"/>
    <s v="Yes"/>
    <s v="No"/>
    <m/>
    <s v="0 Failures"/>
    <n v="1"/>
    <s v="0-5 hrs"/>
    <s v="6-12months"/>
    <x v="0"/>
  </r>
  <r>
    <n v="2397"/>
    <d v="2024-08-10T00:00:00"/>
    <s v="Basic"/>
    <n v="199"/>
    <n v="24.5"/>
    <n v="5"/>
    <n v="1"/>
    <n v="33"/>
    <n v="29"/>
    <s v="Yes"/>
    <s v="No"/>
    <s v="Yes"/>
    <s v="Yes"/>
    <s v="Yes"/>
    <s v="No"/>
    <m/>
    <s v="1+ Failures"/>
    <n v="1"/>
    <s v="20+ hrs"/>
    <s v="12+ months"/>
    <x v="1"/>
  </r>
  <r>
    <n v="2398"/>
    <d v="2024-07-12T00:00:00"/>
    <s v="Standard"/>
    <n v="399"/>
    <n v="3.5"/>
    <n v="3"/>
    <n v="3"/>
    <n v="25"/>
    <n v="4"/>
    <s v="No"/>
    <s v="Yes"/>
    <s v="Yes"/>
    <s v="No"/>
    <s v="No"/>
    <s v="No"/>
    <m/>
    <s v="1+ Failures"/>
    <n v="0"/>
    <s v="0-5 hrs"/>
    <s v="12+ months"/>
    <x v="1"/>
  </r>
  <r>
    <n v="2399"/>
    <d v="2023-11-27T00:00:00"/>
    <s v="Standard"/>
    <n v="399"/>
    <n v="7"/>
    <n v="0"/>
    <n v="5"/>
    <n v="20"/>
    <n v="10"/>
    <s v="No"/>
    <s v="No"/>
    <s v="Yes"/>
    <s v="No"/>
    <s v="No"/>
    <s v="No"/>
    <m/>
    <s v="1+ Failures"/>
    <n v="0"/>
    <s v="5-10 hrs"/>
    <s v="12+ months"/>
    <x v="1"/>
  </r>
  <r>
    <n v="2400"/>
    <d v="2023-04-07T00:00:00"/>
    <s v="Basic"/>
    <n v="199"/>
    <n v="21.7"/>
    <n v="4"/>
    <n v="4"/>
    <n v="10"/>
    <n v="2"/>
    <s v="No"/>
    <s v="No"/>
    <s v="Yes"/>
    <s v="No"/>
    <s v="No"/>
    <s v="No"/>
    <m/>
    <s v="1+ Failures"/>
    <n v="0"/>
    <s v="20+ hrs"/>
    <s v="6-12months"/>
    <x v="1"/>
  </r>
  <r>
    <n v="2401"/>
    <d v="2023-09-14T00:00:00"/>
    <s v="Standard"/>
    <n v="399"/>
    <n v="7.5"/>
    <n v="0"/>
    <n v="1"/>
    <n v="18"/>
    <n v="28"/>
    <s v="Yes"/>
    <s v="No"/>
    <s v="Yes"/>
    <s v="No"/>
    <s v="Yes"/>
    <s v="No"/>
    <m/>
    <s v="1+ Failures"/>
    <n v="1"/>
    <s v="5-10 hrs"/>
    <s v="12+ months"/>
    <x v="1"/>
  </r>
  <r>
    <n v="2402"/>
    <d v="2024-05-26T00:00:00"/>
    <s v="Basic"/>
    <n v="199"/>
    <n v="12"/>
    <n v="1"/>
    <n v="1"/>
    <n v="26"/>
    <n v="57"/>
    <s v="No"/>
    <s v="No"/>
    <s v="Yes"/>
    <s v="No"/>
    <s v="Yes"/>
    <s v="No"/>
    <m/>
    <s v="1+ Failures"/>
    <n v="0"/>
    <s v="10-20hrs"/>
    <s v="12+ months"/>
    <x v="1"/>
  </r>
  <r>
    <n v="2403"/>
    <d v="2024-10-16T00:00:00"/>
    <s v="Premium"/>
    <n v="699"/>
    <n v="4.7"/>
    <n v="2"/>
    <n v="0"/>
    <n v="33"/>
    <n v="0"/>
    <s v="No"/>
    <s v="Yes"/>
    <s v="No"/>
    <s v="No"/>
    <s v="No"/>
    <s v="No"/>
    <m/>
    <s v="0 Failures"/>
    <n v="0"/>
    <s v="0-5 hrs"/>
    <s v="12+ months"/>
    <x v="0"/>
  </r>
  <r>
    <n v="2404"/>
    <d v="2023-09-25T00:00:00"/>
    <s v="Basic"/>
    <n v="199"/>
    <n v="22.4"/>
    <n v="8"/>
    <n v="1"/>
    <n v="32"/>
    <n v="6"/>
    <s v="No"/>
    <s v="No"/>
    <s v="Yes"/>
    <s v="Yes"/>
    <s v="No"/>
    <s v="No"/>
    <m/>
    <s v="1+ Failures"/>
    <n v="0"/>
    <s v="20+ hrs"/>
    <s v="12+ months"/>
    <x v="1"/>
  </r>
  <r>
    <n v="2405"/>
    <d v="2024-12-04T00:00:00"/>
    <s v="Premium"/>
    <n v="699"/>
    <n v="4.7"/>
    <n v="8"/>
    <n v="2"/>
    <n v="27"/>
    <n v="47"/>
    <s v="Yes"/>
    <s v="Yes"/>
    <s v="Yes"/>
    <s v="Yes"/>
    <s v="Yes"/>
    <s v="No"/>
    <m/>
    <s v="1+ Failures"/>
    <n v="1"/>
    <s v="0-5 hrs"/>
    <s v="12+ months"/>
    <x v="0"/>
  </r>
  <r>
    <n v="2406"/>
    <d v="2023-09-06T00:00:00"/>
    <s v="Premium"/>
    <n v="699"/>
    <n v="6.2"/>
    <n v="6"/>
    <n v="1"/>
    <n v="29"/>
    <n v="55"/>
    <s v="No"/>
    <s v="No"/>
    <s v="Yes"/>
    <s v="Yes"/>
    <s v="Yes"/>
    <s v="No"/>
    <m/>
    <s v="1+ Failures"/>
    <n v="0"/>
    <s v="5-10 hrs"/>
    <s v="12+ months"/>
    <x v="0"/>
  </r>
  <r>
    <n v="2407"/>
    <d v="2024-08-09T00:00:00"/>
    <s v="Basic"/>
    <n v="199"/>
    <n v="4.8"/>
    <n v="5"/>
    <n v="3"/>
    <n v="33"/>
    <n v="1"/>
    <s v="Yes"/>
    <s v="Yes"/>
    <s v="Yes"/>
    <s v="Yes"/>
    <s v="No"/>
    <s v="No"/>
    <m/>
    <s v="1+ Failures"/>
    <n v="1"/>
    <s v="0-5 hrs"/>
    <s v="12+ months"/>
    <x v="1"/>
  </r>
  <r>
    <n v="2408"/>
    <d v="2024-11-28T00:00:00"/>
    <s v="Standard"/>
    <n v="399"/>
    <n v="12.6"/>
    <n v="8"/>
    <n v="5"/>
    <n v="2"/>
    <n v="40"/>
    <s v="Yes"/>
    <s v="No"/>
    <s v="Yes"/>
    <s v="Yes"/>
    <s v="Yes"/>
    <s v="Yes"/>
    <m/>
    <s v="1+ Failures"/>
    <n v="1"/>
    <s v="10-20hrs"/>
    <s v="0-3months"/>
    <x v="1"/>
  </r>
  <r>
    <n v="2409"/>
    <d v="2023-08-30T00:00:00"/>
    <s v="Basic"/>
    <n v="199"/>
    <n v="12.2"/>
    <n v="0"/>
    <n v="3"/>
    <n v="30"/>
    <n v="55"/>
    <s v="No"/>
    <s v="No"/>
    <s v="Yes"/>
    <s v="No"/>
    <s v="Yes"/>
    <s v="No"/>
    <m/>
    <s v="1+ Failures"/>
    <n v="0"/>
    <s v="10-20hrs"/>
    <s v="12+ months"/>
    <x v="1"/>
  </r>
  <r>
    <n v="2410"/>
    <d v="2024-01-21T00:00:00"/>
    <s v="Standard"/>
    <n v="399"/>
    <n v="19.600000000000001"/>
    <n v="2"/>
    <n v="0"/>
    <n v="34"/>
    <n v="23"/>
    <s v="No"/>
    <s v="No"/>
    <s v="No"/>
    <s v="No"/>
    <s v="Yes"/>
    <s v="No"/>
    <m/>
    <s v="0 Failures"/>
    <n v="0"/>
    <s v="10-20hrs"/>
    <s v="12+ months"/>
    <x v="1"/>
  </r>
  <r>
    <n v="2411"/>
    <d v="2023-12-02T00:00:00"/>
    <s v="Premium"/>
    <n v="699"/>
    <n v="2.6"/>
    <n v="2"/>
    <n v="1"/>
    <n v="10"/>
    <n v="14"/>
    <s v="No"/>
    <s v="Yes"/>
    <s v="Yes"/>
    <s v="No"/>
    <s v="No"/>
    <s v="No"/>
    <m/>
    <s v="1+ Failures"/>
    <n v="0"/>
    <s v="0-5 hrs"/>
    <s v="6-12months"/>
    <x v="0"/>
  </r>
  <r>
    <n v="2412"/>
    <d v="2023-01-16T00:00:00"/>
    <s v="Premium"/>
    <n v="699"/>
    <n v="2.6"/>
    <n v="6"/>
    <n v="5"/>
    <n v="11"/>
    <n v="55"/>
    <s v="Yes"/>
    <s v="Yes"/>
    <s v="Yes"/>
    <s v="Yes"/>
    <s v="Yes"/>
    <s v="No"/>
    <m/>
    <s v="1+ Failures"/>
    <n v="1"/>
    <s v="0-5 hrs"/>
    <s v="6-12months"/>
    <x v="0"/>
  </r>
  <r>
    <n v="2413"/>
    <d v="2023-06-03T00:00:00"/>
    <s v="Standard"/>
    <n v="399"/>
    <n v="24.7"/>
    <n v="1"/>
    <n v="5"/>
    <n v="35"/>
    <n v="16"/>
    <s v="No"/>
    <s v="No"/>
    <s v="Yes"/>
    <s v="No"/>
    <s v="Yes"/>
    <s v="No"/>
    <m/>
    <s v="1+ Failures"/>
    <n v="0"/>
    <s v="20+ hrs"/>
    <s v="12+ months"/>
    <x v="1"/>
  </r>
  <r>
    <n v="2414"/>
    <d v="2024-08-04T00:00:00"/>
    <s v="Premium"/>
    <n v="699"/>
    <n v="13.3"/>
    <n v="2"/>
    <n v="0"/>
    <n v="5"/>
    <n v="36"/>
    <s v="Yes"/>
    <s v="No"/>
    <s v="No"/>
    <s v="No"/>
    <s v="Yes"/>
    <s v="Yes"/>
    <m/>
    <s v="0 Failures"/>
    <n v="1"/>
    <s v="10-20hrs"/>
    <s v="3-6months"/>
    <x v="0"/>
  </r>
  <r>
    <n v="2415"/>
    <d v="2024-11-29T00:00:00"/>
    <s v="Standard"/>
    <n v="399"/>
    <n v="19"/>
    <n v="0"/>
    <n v="4"/>
    <n v="30"/>
    <n v="37"/>
    <s v="Yes"/>
    <s v="No"/>
    <s v="Yes"/>
    <s v="No"/>
    <s v="Yes"/>
    <s v="No"/>
    <m/>
    <s v="1+ Failures"/>
    <n v="1"/>
    <s v="10-20hrs"/>
    <s v="12+ months"/>
    <x v="1"/>
  </r>
  <r>
    <n v="2416"/>
    <d v="2023-01-17T00:00:00"/>
    <s v="Standard"/>
    <n v="399"/>
    <n v="11"/>
    <n v="8"/>
    <n v="2"/>
    <n v="16"/>
    <n v="50"/>
    <s v="Yes"/>
    <s v="No"/>
    <s v="Yes"/>
    <s v="Yes"/>
    <s v="Yes"/>
    <s v="No"/>
    <m/>
    <s v="1+ Failures"/>
    <n v="1"/>
    <s v="10-20hrs"/>
    <s v="12+ months"/>
    <x v="1"/>
  </r>
  <r>
    <n v="2417"/>
    <d v="2024-09-11T00:00:00"/>
    <s v="Basic"/>
    <n v="199"/>
    <n v="22.4"/>
    <n v="0"/>
    <n v="2"/>
    <n v="9"/>
    <n v="51"/>
    <s v="Yes"/>
    <s v="No"/>
    <s v="Yes"/>
    <s v="No"/>
    <s v="Yes"/>
    <s v="No"/>
    <m/>
    <s v="1+ Failures"/>
    <n v="1"/>
    <s v="20+ hrs"/>
    <s v="6-12months"/>
    <x v="1"/>
  </r>
  <r>
    <n v="2418"/>
    <d v="2024-12-09T00:00:00"/>
    <s v="Premium"/>
    <n v="699"/>
    <n v="16.7"/>
    <n v="8"/>
    <n v="3"/>
    <n v="15"/>
    <n v="46"/>
    <s v="Yes"/>
    <s v="No"/>
    <s v="Yes"/>
    <s v="Yes"/>
    <s v="Yes"/>
    <s v="No"/>
    <m/>
    <s v="1+ Failures"/>
    <n v="1"/>
    <s v="10-20hrs"/>
    <s v="12+ months"/>
    <x v="0"/>
  </r>
  <r>
    <n v="2419"/>
    <d v="2024-09-16T00:00:00"/>
    <s v="Standard"/>
    <n v="399"/>
    <n v="24.2"/>
    <n v="2"/>
    <n v="2"/>
    <n v="33"/>
    <n v="56"/>
    <s v="No"/>
    <s v="No"/>
    <s v="Yes"/>
    <s v="No"/>
    <s v="Yes"/>
    <s v="No"/>
    <m/>
    <s v="1+ Failures"/>
    <n v="0"/>
    <s v="20+ hrs"/>
    <s v="12+ months"/>
    <x v="1"/>
  </r>
  <r>
    <n v="2420"/>
    <d v="2024-07-12T00:00:00"/>
    <s v="Premium"/>
    <n v="699"/>
    <n v="15.9"/>
    <n v="1"/>
    <n v="2"/>
    <n v="36"/>
    <n v="22"/>
    <s v="Yes"/>
    <s v="No"/>
    <s v="Yes"/>
    <s v="No"/>
    <s v="Yes"/>
    <s v="No"/>
    <m/>
    <s v="1+ Failures"/>
    <n v="1"/>
    <s v="10-20hrs"/>
    <s v="12+ months"/>
    <x v="0"/>
  </r>
  <r>
    <n v="2421"/>
    <d v="2024-01-01T00:00:00"/>
    <s v="Premium"/>
    <n v="699"/>
    <n v="24.1"/>
    <n v="0"/>
    <n v="5"/>
    <n v="30"/>
    <n v="41"/>
    <s v="Yes"/>
    <s v="No"/>
    <s v="Yes"/>
    <s v="No"/>
    <s v="Yes"/>
    <s v="No"/>
    <m/>
    <s v="1+ Failures"/>
    <n v="1"/>
    <s v="20+ hrs"/>
    <s v="12+ months"/>
    <x v="0"/>
  </r>
  <r>
    <n v="2422"/>
    <d v="2024-07-06T00:00:00"/>
    <s v="Basic"/>
    <n v="199"/>
    <n v="22.4"/>
    <n v="6"/>
    <n v="3"/>
    <n v="16"/>
    <n v="24"/>
    <s v="Yes"/>
    <s v="No"/>
    <s v="Yes"/>
    <s v="Yes"/>
    <s v="Yes"/>
    <s v="No"/>
    <m/>
    <s v="1+ Failures"/>
    <n v="1"/>
    <s v="20+ hrs"/>
    <s v="12+ months"/>
    <x v="1"/>
  </r>
  <r>
    <n v="2423"/>
    <d v="2024-09-20T00:00:00"/>
    <s v="Premium"/>
    <n v="699"/>
    <n v="1.1000000000000001"/>
    <n v="7"/>
    <n v="2"/>
    <n v="12"/>
    <n v="24"/>
    <s v="Yes"/>
    <s v="Yes"/>
    <s v="Yes"/>
    <s v="Yes"/>
    <s v="Yes"/>
    <s v="No"/>
    <m/>
    <s v="1+ Failures"/>
    <n v="1"/>
    <s v="0-5 hrs"/>
    <s v="6-12months"/>
    <x v="0"/>
  </r>
  <r>
    <n v="2424"/>
    <d v="2024-09-30T00:00:00"/>
    <s v="Basic"/>
    <n v="199"/>
    <n v="12.6"/>
    <n v="8"/>
    <n v="3"/>
    <n v="30"/>
    <n v="24"/>
    <s v="Yes"/>
    <s v="No"/>
    <s v="Yes"/>
    <s v="Yes"/>
    <s v="Yes"/>
    <s v="No"/>
    <m/>
    <s v="1+ Failures"/>
    <n v="1"/>
    <s v="10-20hrs"/>
    <s v="12+ months"/>
    <x v="1"/>
  </r>
  <r>
    <n v="2425"/>
    <d v="2023-07-20T00:00:00"/>
    <s v="Premium"/>
    <n v="699"/>
    <n v="12.9"/>
    <n v="2"/>
    <n v="1"/>
    <n v="28"/>
    <n v="20"/>
    <s v="No"/>
    <s v="No"/>
    <s v="Yes"/>
    <s v="No"/>
    <s v="Yes"/>
    <s v="No"/>
    <m/>
    <s v="1+ Failures"/>
    <n v="0"/>
    <s v="10-20hrs"/>
    <s v="12+ months"/>
    <x v="0"/>
  </r>
  <r>
    <n v="2426"/>
    <d v="2024-02-13T00:00:00"/>
    <s v="Standard"/>
    <n v="399"/>
    <n v="19.899999999999999"/>
    <n v="8"/>
    <n v="2"/>
    <n v="3"/>
    <n v="43"/>
    <s v="Yes"/>
    <s v="No"/>
    <s v="Yes"/>
    <s v="Yes"/>
    <s v="Yes"/>
    <s v="Yes"/>
    <m/>
    <s v="1+ Failures"/>
    <n v="1"/>
    <s v="10-20hrs"/>
    <s v="0-3months"/>
    <x v="1"/>
  </r>
  <r>
    <n v="2427"/>
    <d v="2023-01-31T00:00:00"/>
    <s v="Premium"/>
    <n v="699"/>
    <n v="17.2"/>
    <n v="3"/>
    <n v="2"/>
    <n v="12"/>
    <n v="3"/>
    <s v="No"/>
    <s v="No"/>
    <s v="Yes"/>
    <s v="No"/>
    <s v="No"/>
    <s v="No"/>
    <m/>
    <s v="1+ Failures"/>
    <n v="0"/>
    <s v="10-20hrs"/>
    <s v="6-12months"/>
    <x v="0"/>
  </r>
  <r>
    <n v="2428"/>
    <d v="2024-12-03T00:00:00"/>
    <s v="Premium"/>
    <n v="699"/>
    <n v="19"/>
    <n v="6"/>
    <n v="3"/>
    <n v="24"/>
    <n v="46"/>
    <s v="Yes"/>
    <s v="No"/>
    <s v="Yes"/>
    <s v="Yes"/>
    <s v="Yes"/>
    <s v="No"/>
    <m/>
    <s v="1+ Failures"/>
    <n v="1"/>
    <s v="10-20hrs"/>
    <s v="12+ months"/>
    <x v="0"/>
  </r>
  <r>
    <n v="2429"/>
    <d v="2023-06-30T00:00:00"/>
    <s v="Standard"/>
    <n v="399"/>
    <n v="1.3"/>
    <n v="1"/>
    <n v="1"/>
    <n v="3"/>
    <n v="17"/>
    <s v="No"/>
    <s v="Yes"/>
    <s v="Yes"/>
    <s v="No"/>
    <s v="Yes"/>
    <s v="Yes"/>
    <m/>
    <s v="1+ Failures"/>
    <n v="0"/>
    <s v="0-5 hrs"/>
    <s v="0-3months"/>
    <x v="1"/>
  </r>
  <r>
    <n v="2430"/>
    <d v="2024-02-07T00:00:00"/>
    <s v="Premium"/>
    <n v="699"/>
    <n v="21.4"/>
    <n v="4"/>
    <n v="2"/>
    <n v="22"/>
    <n v="11"/>
    <s v="No"/>
    <s v="No"/>
    <s v="Yes"/>
    <s v="No"/>
    <s v="No"/>
    <s v="No"/>
    <m/>
    <s v="1+ Failures"/>
    <n v="0"/>
    <s v="20+ hrs"/>
    <s v="12+ months"/>
    <x v="0"/>
  </r>
  <r>
    <n v="2431"/>
    <d v="2023-09-10T00:00:00"/>
    <s v="Standard"/>
    <n v="399"/>
    <n v="5.3"/>
    <n v="5"/>
    <n v="4"/>
    <n v="26"/>
    <n v="18"/>
    <s v="Yes"/>
    <s v="No"/>
    <s v="Yes"/>
    <s v="Yes"/>
    <s v="Yes"/>
    <s v="No"/>
    <m/>
    <s v="1+ Failures"/>
    <n v="1"/>
    <s v="5-10 hrs"/>
    <s v="12+ months"/>
    <x v="1"/>
  </r>
  <r>
    <n v="2432"/>
    <d v="2023-07-19T00:00:00"/>
    <s v="Premium"/>
    <n v="699"/>
    <n v="17.2"/>
    <n v="4"/>
    <n v="3"/>
    <n v="9"/>
    <n v="53"/>
    <s v="No"/>
    <s v="No"/>
    <s v="Yes"/>
    <s v="No"/>
    <s v="Yes"/>
    <s v="No"/>
    <m/>
    <s v="1+ Failures"/>
    <n v="0"/>
    <s v="10-20hrs"/>
    <s v="6-12months"/>
    <x v="0"/>
  </r>
  <r>
    <n v="2433"/>
    <d v="2023-12-02T00:00:00"/>
    <s v="Premium"/>
    <n v="699"/>
    <n v="8.8000000000000007"/>
    <n v="2"/>
    <n v="2"/>
    <n v="7"/>
    <n v="5"/>
    <s v="No"/>
    <s v="No"/>
    <s v="Yes"/>
    <s v="No"/>
    <s v="No"/>
    <s v="No"/>
    <m/>
    <s v="1+ Failures"/>
    <n v="0"/>
    <s v="5-10 hrs"/>
    <s v="6-12months"/>
    <x v="0"/>
  </r>
  <r>
    <n v="2434"/>
    <d v="2024-02-03T00:00:00"/>
    <s v="Basic"/>
    <n v="199"/>
    <n v="19.2"/>
    <n v="7"/>
    <n v="1"/>
    <n v="35"/>
    <n v="58"/>
    <s v="No"/>
    <s v="No"/>
    <s v="Yes"/>
    <s v="Yes"/>
    <s v="Yes"/>
    <s v="No"/>
    <m/>
    <s v="1+ Failures"/>
    <n v="0"/>
    <s v="10-20hrs"/>
    <s v="12+ months"/>
    <x v="1"/>
  </r>
  <r>
    <n v="2435"/>
    <d v="2024-09-14T00:00:00"/>
    <s v="Basic"/>
    <n v="199"/>
    <n v="10.4"/>
    <n v="3"/>
    <n v="5"/>
    <n v="11"/>
    <n v="14"/>
    <s v="Yes"/>
    <s v="No"/>
    <s v="Yes"/>
    <s v="No"/>
    <s v="No"/>
    <s v="No"/>
    <m/>
    <s v="1+ Failures"/>
    <n v="1"/>
    <s v="10-20hrs"/>
    <s v="6-12months"/>
    <x v="1"/>
  </r>
  <r>
    <n v="2436"/>
    <d v="2024-01-14T00:00:00"/>
    <s v="Premium"/>
    <n v="699"/>
    <n v="3"/>
    <n v="8"/>
    <n v="0"/>
    <n v="24"/>
    <n v="35"/>
    <s v="Yes"/>
    <s v="Yes"/>
    <s v="No"/>
    <s v="Yes"/>
    <s v="Yes"/>
    <s v="No"/>
    <m/>
    <s v="0 Failures"/>
    <n v="1"/>
    <s v="0-5 hrs"/>
    <s v="12+ months"/>
    <x v="0"/>
  </r>
  <r>
    <n v="2437"/>
    <d v="2024-07-26T00:00:00"/>
    <s v="Standard"/>
    <n v="399"/>
    <n v="23.8"/>
    <n v="7"/>
    <n v="4"/>
    <n v="2"/>
    <n v="16"/>
    <s v="No"/>
    <s v="No"/>
    <s v="Yes"/>
    <s v="Yes"/>
    <s v="Yes"/>
    <s v="Yes"/>
    <m/>
    <s v="1+ Failures"/>
    <n v="0"/>
    <s v="20+ hrs"/>
    <s v="0-3months"/>
    <x v="1"/>
  </r>
  <r>
    <n v="2438"/>
    <d v="2023-08-18T00:00:00"/>
    <s v="Standard"/>
    <n v="399"/>
    <n v="15.4"/>
    <n v="7"/>
    <n v="5"/>
    <n v="2"/>
    <n v="18"/>
    <s v="No"/>
    <s v="No"/>
    <s v="Yes"/>
    <s v="Yes"/>
    <s v="Yes"/>
    <s v="Yes"/>
    <m/>
    <s v="1+ Failures"/>
    <n v="0"/>
    <s v="10-20hrs"/>
    <s v="0-3months"/>
    <x v="1"/>
  </r>
  <r>
    <n v="2439"/>
    <d v="2024-08-13T00:00:00"/>
    <s v="Basic"/>
    <n v="199"/>
    <n v="8"/>
    <n v="1"/>
    <n v="5"/>
    <n v="13"/>
    <n v="57"/>
    <s v="Yes"/>
    <s v="No"/>
    <s v="Yes"/>
    <s v="No"/>
    <s v="Yes"/>
    <s v="No"/>
    <m/>
    <s v="1+ Failures"/>
    <n v="1"/>
    <s v="5-10 hrs"/>
    <s v="12+ months"/>
    <x v="1"/>
  </r>
  <r>
    <n v="2440"/>
    <d v="2024-12-22T00:00:00"/>
    <s v="Basic"/>
    <n v="199"/>
    <n v="22.9"/>
    <n v="7"/>
    <n v="1"/>
    <n v="8"/>
    <n v="3"/>
    <s v="Yes"/>
    <s v="No"/>
    <s v="Yes"/>
    <s v="Yes"/>
    <s v="No"/>
    <s v="No"/>
    <m/>
    <s v="1+ Failures"/>
    <n v="1"/>
    <s v="20+ hrs"/>
    <s v="6-12months"/>
    <x v="1"/>
  </r>
  <r>
    <n v="2441"/>
    <d v="2024-02-08T00:00:00"/>
    <s v="Standard"/>
    <n v="399"/>
    <n v="7.1"/>
    <n v="0"/>
    <n v="0"/>
    <n v="16"/>
    <n v="53"/>
    <s v="No"/>
    <s v="No"/>
    <s v="No"/>
    <s v="No"/>
    <s v="Yes"/>
    <s v="No"/>
    <m/>
    <s v="0 Failures"/>
    <n v="0"/>
    <s v="5-10 hrs"/>
    <s v="12+ months"/>
    <x v="1"/>
  </r>
  <r>
    <n v="2442"/>
    <d v="2023-07-27T00:00:00"/>
    <s v="Standard"/>
    <n v="399"/>
    <n v="8.5"/>
    <n v="7"/>
    <n v="0"/>
    <n v="6"/>
    <n v="20"/>
    <s v="No"/>
    <s v="No"/>
    <s v="No"/>
    <s v="Yes"/>
    <s v="Yes"/>
    <s v="No"/>
    <m/>
    <s v="0 Failures"/>
    <n v="0"/>
    <s v="5-10 hrs"/>
    <s v="3-6months"/>
    <x v="1"/>
  </r>
  <r>
    <n v="2443"/>
    <d v="2024-03-05T00:00:00"/>
    <s v="Basic"/>
    <n v="199"/>
    <n v="18.399999999999999"/>
    <n v="5"/>
    <n v="4"/>
    <n v="14"/>
    <n v="56"/>
    <s v="Yes"/>
    <s v="No"/>
    <s v="Yes"/>
    <s v="Yes"/>
    <s v="Yes"/>
    <s v="No"/>
    <m/>
    <s v="1+ Failures"/>
    <n v="1"/>
    <s v="10-20hrs"/>
    <s v="12+ months"/>
    <x v="1"/>
  </r>
  <r>
    <n v="2444"/>
    <d v="2023-01-17T00:00:00"/>
    <s v="Standard"/>
    <n v="399"/>
    <n v="2.9"/>
    <n v="6"/>
    <n v="3"/>
    <n v="34"/>
    <n v="54"/>
    <s v="Yes"/>
    <s v="Yes"/>
    <s v="Yes"/>
    <s v="Yes"/>
    <s v="Yes"/>
    <s v="No"/>
    <m/>
    <s v="1+ Failures"/>
    <n v="1"/>
    <s v="0-5 hrs"/>
    <s v="12+ months"/>
    <x v="1"/>
  </r>
  <r>
    <n v="2445"/>
    <d v="2023-04-22T00:00:00"/>
    <s v="Premium"/>
    <n v="699"/>
    <n v="23.8"/>
    <n v="2"/>
    <n v="5"/>
    <n v="18"/>
    <n v="55"/>
    <s v="No"/>
    <s v="No"/>
    <s v="Yes"/>
    <s v="No"/>
    <s v="Yes"/>
    <s v="No"/>
    <m/>
    <s v="1+ Failures"/>
    <n v="0"/>
    <s v="20+ hrs"/>
    <s v="12+ months"/>
    <x v="0"/>
  </r>
  <r>
    <n v="2446"/>
    <d v="2024-06-25T00:00:00"/>
    <s v="Standard"/>
    <n v="399"/>
    <n v="1.4"/>
    <n v="5"/>
    <n v="1"/>
    <n v="6"/>
    <n v="29"/>
    <s v="Yes"/>
    <s v="Yes"/>
    <s v="Yes"/>
    <s v="Yes"/>
    <s v="Yes"/>
    <s v="No"/>
    <m/>
    <s v="1+ Failures"/>
    <n v="1"/>
    <s v="0-5 hrs"/>
    <s v="3-6months"/>
    <x v="1"/>
  </r>
  <r>
    <n v="2447"/>
    <d v="2024-05-04T00:00:00"/>
    <s v="Basic"/>
    <n v="199"/>
    <n v="12.1"/>
    <n v="0"/>
    <n v="4"/>
    <n v="34"/>
    <n v="46"/>
    <s v="No"/>
    <s v="No"/>
    <s v="Yes"/>
    <s v="No"/>
    <s v="Yes"/>
    <s v="No"/>
    <m/>
    <s v="1+ Failures"/>
    <n v="0"/>
    <s v="10-20hrs"/>
    <s v="12+ months"/>
    <x v="1"/>
  </r>
  <r>
    <n v="2448"/>
    <d v="2023-12-23T00:00:00"/>
    <s v="Basic"/>
    <n v="199"/>
    <n v="9.3000000000000007"/>
    <n v="3"/>
    <n v="4"/>
    <n v="18"/>
    <n v="33"/>
    <s v="Yes"/>
    <s v="No"/>
    <s v="Yes"/>
    <s v="No"/>
    <s v="Yes"/>
    <s v="No"/>
    <m/>
    <s v="1+ Failures"/>
    <n v="1"/>
    <s v="5-10 hrs"/>
    <s v="12+ months"/>
    <x v="1"/>
  </r>
  <r>
    <n v="2449"/>
    <d v="2024-03-14T00:00:00"/>
    <s v="Standard"/>
    <n v="399"/>
    <n v="22.3"/>
    <n v="5"/>
    <n v="4"/>
    <n v="11"/>
    <n v="51"/>
    <s v="No"/>
    <s v="No"/>
    <s v="Yes"/>
    <s v="Yes"/>
    <s v="Yes"/>
    <s v="No"/>
    <m/>
    <s v="1+ Failures"/>
    <n v="0"/>
    <s v="20+ hrs"/>
    <s v="6-12months"/>
    <x v="1"/>
  </r>
  <r>
    <n v="2450"/>
    <d v="2024-07-05T00:00:00"/>
    <s v="Standard"/>
    <n v="399"/>
    <n v="23.9"/>
    <n v="8"/>
    <n v="3"/>
    <n v="4"/>
    <n v="50"/>
    <s v="No"/>
    <s v="No"/>
    <s v="Yes"/>
    <s v="Yes"/>
    <s v="Yes"/>
    <s v="Yes"/>
    <m/>
    <s v="1+ Failures"/>
    <n v="0"/>
    <s v="20+ hrs"/>
    <s v="3-6months"/>
    <x v="1"/>
  </r>
  <r>
    <n v="2451"/>
    <d v="2024-06-06T00:00:00"/>
    <s v="Standard"/>
    <n v="399"/>
    <n v="7.8"/>
    <n v="2"/>
    <n v="1"/>
    <n v="18"/>
    <n v="31"/>
    <s v="No"/>
    <s v="No"/>
    <s v="Yes"/>
    <s v="No"/>
    <s v="Yes"/>
    <s v="No"/>
    <m/>
    <s v="1+ Failures"/>
    <n v="0"/>
    <s v="5-10 hrs"/>
    <s v="12+ months"/>
    <x v="1"/>
  </r>
  <r>
    <n v="2452"/>
    <d v="2024-01-08T00:00:00"/>
    <s v="Standard"/>
    <n v="399"/>
    <n v="13.8"/>
    <n v="5"/>
    <n v="5"/>
    <n v="18"/>
    <n v="37"/>
    <s v="Yes"/>
    <s v="No"/>
    <s v="Yes"/>
    <s v="Yes"/>
    <s v="Yes"/>
    <s v="No"/>
    <m/>
    <s v="1+ Failures"/>
    <n v="1"/>
    <s v="10-20hrs"/>
    <s v="12+ months"/>
    <x v="1"/>
  </r>
  <r>
    <n v="2453"/>
    <d v="2023-03-26T00:00:00"/>
    <s v="Standard"/>
    <n v="399"/>
    <n v="4.9000000000000004"/>
    <n v="2"/>
    <n v="2"/>
    <n v="19"/>
    <n v="39"/>
    <s v="No"/>
    <s v="Yes"/>
    <s v="Yes"/>
    <s v="No"/>
    <s v="Yes"/>
    <s v="No"/>
    <m/>
    <s v="1+ Failures"/>
    <n v="0"/>
    <s v="0-5 hrs"/>
    <s v="12+ months"/>
    <x v="1"/>
  </r>
  <r>
    <n v="2454"/>
    <d v="2023-02-10T00:00:00"/>
    <s v="Premium"/>
    <n v="699"/>
    <n v="24.6"/>
    <n v="0"/>
    <n v="1"/>
    <n v="28"/>
    <n v="59"/>
    <s v="No"/>
    <s v="No"/>
    <s v="Yes"/>
    <s v="No"/>
    <s v="Yes"/>
    <s v="No"/>
    <m/>
    <s v="1+ Failures"/>
    <n v="0"/>
    <s v="20+ hrs"/>
    <s v="12+ months"/>
    <x v="0"/>
  </r>
  <r>
    <n v="2455"/>
    <d v="2023-08-26T00:00:00"/>
    <s v="Basic"/>
    <n v="199"/>
    <n v="20.100000000000001"/>
    <n v="5"/>
    <n v="5"/>
    <n v="10"/>
    <n v="14"/>
    <s v="No"/>
    <s v="No"/>
    <s v="Yes"/>
    <s v="Yes"/>
    <s v="No"/>
    <s v="No"/>
    <m/>
    <s v="1+ Failures"/>
    <n v="0"/>
    <s v="20+ hrs"/>
    <s v="6-12months"/>
    <x v="1"/>
  </r>
  <r>
    <n v="2456"/>
    <d v="2023-08-02T00:00:00"/>
    <s v="Basic"/>
    <n v="199"/>
    <n v="3.7"/>
    <n v="1"/>
    <n v="2"/>
    <n v="16"/>
    <n v="55"/>
    <s v="Yes"/>
    <s v="Yes"/>
    <s v="Yes"/>
    <s v="No"/>
    <s v="Yes"/>
    <s v="No"/>
    <m/>
    <s v="1+ Failures"/>
    <n v="1"/>
    <s v="0-5 hrs"/>
    <s v="12+ months"/>
    <x v="1"/>
  </r>
  <r>
    <n v="2457"/>
    <d v="2024-03-11T00:00:00"/>
    <s v="Basic"/>
    <n v="199"/>
    <n v="8.8000000000000007"/>
    <n v="0"/>
    <n v="4"/>
    <n v="21"/>
    <n v="13"/>
    <s v="No"/>
    <s v="No"/>
    <s v="Yes"/>
    <s v="No"/>
    <s v="No"/>
    <s v="No"/>
    <m/>
    <s v="1+ Failures"/>
    <n v="0"/>
    <s v="5-10 hrs"/>
    <s v="12+ months"/>
    <x v="1"/>
  </r>
  <r>
    <n v="2458"/>
    <d v="2024-06-21T00:00:00"/>
    <s v="Premium"/>
    <n v="699"/>
    <n v="17.2"/>
    <n v="4"/>
    <n v="2"/>
    <n v="12"/>
    <n v="18"/>
    <s v="No"/>
    <s v="No"/>
    <s v="Yes"/>
    <s v="No"/>
    <s v="Yes"/>
    <s v="No"/>
    <m/>
    <s v="1+ Failures"/>
    <n v="0"/>
    <s v="10-20hrs"/>
    <s v="6-12months"/>
    <x v="0"/>
  </r>
  <r>
    <n v="2459"/>
    <d v="2024-12-07T00:00:00"/>
    <s v="Premium"/>
    <n v="699"/>
    <n v="10"/>
    <n v="7"/>
    <n v="1"/>
    <n v="25"/>
    <n v="31"/>
    <s v="No"/>
    <s v="No"/>
    <s v="Yes"/>
    <s v="Yes"/>
    <s v="Yes"/>
    <s v="No"/>
    <m/>
    <s v="1+ Failures"/>
    <n v="0"/>
    <s v="5-10 hrs"/>
    <s v="12+ months"/>
    <x v="0"/>
  </r>
  <r>
    <n v="2460"/>
    <d v="2024-02-28T00:00:00"/>
    <s v="Basic"/>
    <n v="199"/>
    <n v="11.5"/>
    <n v="7"/>
    <n v="5"/>
    <n v="28"/>
    <n v="60"/>
    <s v="Yes"/>
    <s v="No"/>
    <s v="Yes"/>
    <s v="Yes"/>
    <s v="Yes"/>
    <s v="No"/>
    <m/>
    <s v="1+ Failures"/>
    <n v="1"/>
    <s v="10-20hrs"/>
    <s v="12+ months"/>
    <x v="1"/>
  </r>
  <r>
    <n v="2461"/>
    <d v="2024-01-13T00:00:00"/>
    <s v="Basic"/>
    <n v="199"/>
    <n v="3.7"/>
    <n v="8"/>
    <n v="5"/>
    <n v="1"/>
    <n v="45"/>
    <s v="Yes"/>
    <s v="Yes"/>
    <s v="Yes"/>
    <s v="Yes"/>
    <s v="Yes"/>
    <s v="Yes"/>
    <m/>
    <s v="1+ Failures"/>
    <n v="1"/>
    <s v="0-5 hrs"/>
    <s v="0-3months"/>
    <x v="1"/>
  </r>
  <r>
    <n v="2462"/>
    <d v="2023-06-27T00:00:00"/>
    <s v="Standard"/>
    <n v="399"/>
    <n v="23.8"/>
    <n v="1"/>
    <n v="4"/>
    <n v="14"/>
    <n v="13"/>
    <s v="No"/>
    <s v="No"/>
    <s v="Yes"/>
    <s v="No"/>
    <s v="No"/>
    <s v="No"/>
    <m/>
    <s v="1+ Failures"/>
    <n v="0"/>
    <s v="20+ hrs"/>
    <s v="12+ months"/>
    <x v="1"/>
  </r>
  <r>
    <n v="2463"/>
    <d v="2023-03-06T00:00:00"/>
    <s v="Premium"/>
    <n v="699"/>
    <n v="20.3"/>
    <n v="1"/>
    <n v="5"/>
    <n v="35"/>
    <n v="8"/>
    <s v="Yes"/>
    <s v="No"/>
    <s v="Yes"/>
    <s v="No"/>
    <s v="No"/>
    <s v="No"/>
    <m/>
    <s v="1+ Failures"/>
    <n v="1"/>
    <s v="20+ hrs"/>
    <s v="12+ months"/>
    <x v="0"/>
  </r>
  <r>
    <n v="2464"/>
    <d v="2023-03-02T00:00:00"/>
    <s v="Basic"/>
    <n v="199"/>
    <n v="15.4"/>
    <n v="0"/>
    <n v="5"/>
    <n v="13"/>
    <n v="19"/>
    <s v="No"/>
    <s v="No"/>
    <s v="Yes"/>
    <s v="No"/>
    <s v="Yes"/>
    <s v="No"/>
    <m/>
    <s v="1+ Failures"/>
    <n v="0"/>
    <s v="10-20hrs"/>
    <s v="12+ months"/>
    <x v="1"/>
  </r>
  <r>
    <n v="2465"/>
    <d v="2023-06-13T00:00:00"/>
    <s v="Standard"/>
    <n v="399"/>
    <n v="22.2"/>
    <n v="8"/>
    <n v="1"/>
    <n v="1"/>
    <n v="26"/>
    <s v="Yes"/>
    <s v="No"/>
    <s v="Yes"/>
    <s v="Yes"/>
    <s v="Yes"/>
    <s v="Yes"/>
    <m/>
    <s v="1+ Failures"/>
    <n v="1"/>
    <s v="20+ hrs"/>
    <s v="0-3months"/>
    <x v="1"/>
  </r>
  <r>
    <n v="2466"/>
    <d v="2024-02-18T00:00:00"/>
    <s v="Basic"/>
    <n v="199"/>
    <n v="11.8"/>
    <n v="0"/>
    <n v="4"/>
    <n v="36"/>
    <n v="10"/>
    <s v="No"/>
    <s v="No"/>
    <s v="Yes"/>
    <s v="No"/>
    <s v="No"/>
    <s v="No"/>
    <m/>
    <s v="1+ Failures"/>
    <n v="0"/>
    <s v="10-20hrs"/>
    <s v="12+ months"/>
    <x v="1"/>
  </r>
  <r>
    <n v="2467"/>
    <d v="2024-04-20T00:00:00"/>
    <s v="Premium"/>
    <n v="699"/>
    <n v="16.8"/>
    <n v="2"/>
    <n v="1"/>
    <n v="6"/>
    <n v="57"/>
    <s v="No"/>
    <s v="No"/>
    <s v="Yes"/>
    <s v="No"/>
    <s v="Yes"/>
    <s v="No"/>
    <m/>
    <s v="1+ Failures"/>
    <n v="0"/>
    <s v="10-20hrs"/>
    <s v="3-6months"/>
    <x v="0"/>
  </r>
  <r>
    <n v="2468"/>
    <d v="2023-05-19T00:00:00"/>
    <s v="Standard"/>
    <n v="399"/>
    <n v="18.8"/>
    <n v="5"/>
    <n v="4"/>
    <n v="17"/>
    <n v="40"/>
    <s v="Yes"/>
    <s v="No"/>
    <s v="Yes"/>
    <s v="Yes"/>
    <s v="Yes"/>
    <s v="No"/>
    <m/>
    <s v="1+ Failures"/>
    <n v="1"/>
    <s v="10-20hrs"/>
    <s v="12+ months"/>
    <x v="1"/>
  </r>
  <r>
    <n v="2469"/>
    <d v="2024-06-07T00:00:00"/>
    <s v="Standard"/>
    <n v="399"/>
    <n v="21.6"/>
    <n v="0"/>
    <n v="2"/>
    <n v="10"/>
    <n v="9"/>
    <s v="No"/>
    <s v="No"/>
    <s v="Yes"/>
    <s v="No"/>
    <s v="No"/>
    <s v="No"/>
    <m/>
    <s v="1+ Failures"/>
    <n v="0"/>
    <s v="20+ hrs"/>
    <s v="6-12months"/>
    <x v="1"/>
  </r>
  <r>
    <n v="2470"/>
    <d v="2023-02-24T00:00:00"/>
    <s v="Premium"/>
    <n v="699"/>
    <n v="9.9"/>
    <n v="8"/>
    <n v="1"/>
    <n v="30"/>
    <n v="46"/>
    <s v="Yes"/>
    <s v="No"/>
    <s v="Yes"/>
    <s v="Yes"/>
    <s v="Yes"/>
    <s v="No"/>
    <m/>
    <s v="1+ Failures"/>
    <n v="1"/>
    <s v="5-10 hrs"/>
    <s v="12+ months"/>
    <x v="0"/>
  </r>
  <r>
    <n v="2471"/>
    <d v="2024-04-13T00:00:00"/>
    <s v="Premium"/>
    <n v="699"/>
    <n v="18.100000000000001"/>
    <n v="1"/>
    <n v="5"/>
    <n v="12"/>
    <n v="30"/>
    <s v="Yes"/>
    <s v="No"/>
    <s v="Yes"/>
    <s v="No"/>
    <s v="Yes"/>
    <s v="No"/>
    <m/>
    <s v="1+ Failures"/>
    <n v="1"/>
    <s v="10-20hrs"/>
    <s v="6-12months"/>
    <x v="0"/>
  </r>
  <r>
    <n v="2472"/>
    <d v="2023-07-10T00:00:00"/>
    <s v="Premium"/>
    <n v="699"/>
    <n v="5.4"/>
    <n v="3"/>
    <n v="4"/>
    <n v="14"/>
    <n v="41"/>
    <s v="Yes"/>
    <s v="No"/>
    <s v="Yes"/>
    <s v="No"/>
    <s v="Yes"/>
    <s v="No"/>
    <m/>
    <s v="1+ Failures"/>
    <n v="1"/>
    <s v="5-10 hrs"/>
    <s v="12+ months"/>
    <x v="0"/>
  </r>
  <r>
    <n v="2473"/>
    <d v="2023-08-08T00:00:00"/>
    <s v="Basic"/>
    <n v="199"/>
    <n v="5"/>
    <n v="2"/>
    <n v="4"/>
    <n v="21"/>
    <n v="36"/>
    <s v="No"/>
    <s v="No"/>
    <s v="Yes"/>
    <s v="No"/>
    <s v="Yes"/>
    <s v="No"/>
    <m/>
    <s v="1+ Failures"/>
    <n v="0"/>
    <s v="0-5 hrs"/>
    <s v="12+ months"/>
    <x v="1"/>
  </r>
  <r>
    <n v="2474"/>
    <d v="2024-11-04T00:00:00"/>
    <s v="Premium"/>
    <n v="699"/>
    <n v="22.1"/>
    <n v="1"/>
    <n v="5"/>
    <n v="27"/>
    <n v="27"/>
    <s v="No"/>
    <s v="No"/>
    <s v="Yes"/>
    <s v="No"/>
    <s v="Yes"/>
    <s v="No"/>
    <m/>
    <s v="1+ Failures"/>
    <n v="0"/>
    <s v="20+ hrs"/>
    <s v="12+ months"/>
    <x v="0"/>
  </r>
  <r>
    <n v="2475"/>
    <d v="2023-06-20T00:00:00"/>
    <s v="Premium"/>
    <n v="699"/>
    <n v="16.2"/>
    <n v="3"/>
    <n v="4"/>
    <n v="5"/>
    <n v="35"/>
    <s v="Yes"/>
    <s v="No"/>
    <s v="Yes"/>
    <s v="No"/>
    <s v="Yes"/>
    <s v="Yes"/>
    <m/>
    <s v="1+ Failures"/>
    <n v="1"/>
    <s v="10-20hrs"/>
    <s v="3-6months"/>
    <x v="0"/>
  </r>
  <r>
    <n v="2476"/>
    <d v="2023-07-28T00:00:00"/>
    <s v="Standard"/>
    <n v="399"/>
    <n v="17.7"/>
    <n v="3"/>
    <n v="4"/>
    <n v="24"/>
    <n v="54"/>
    <s v="No"/>
    <s v="No"/>
    <s v="Yes"/>
    <s v="No"/>
    <s v="Yes"/>
    <s v="No"/>
    <m/>
    <s v="1+ Failures"/>
    <n v="0"/>
    <s v="10-20hrs"/>
    <s v="12+ months"/>
    <x v="1"/>
  </r>
  <r>
    <n v="2477"/>
    <d v="2024-10-22T00:00:00"/>
    <s v="Standard"/>
    <n v="399"/>
    <n v="23.5"/>
    <n v="4"/>
    <n v="3"/>
    <n v="36"/>
    <n v="7"/>
    <s v="Yes"/>
    <s v="No"/>
    <s v="Yes"/>
    <s v="No"/>
    <s v="No"/>
    <s v="No"/>
    <m/>
    <s v="1+ Failures"/>
    <n v="1"/>
    <s v="20+ hrs"/>
    <s v="12+ months"/>
    <x v="1"/>
  </r>
  <r>
    <n v="2478"/>
    <d v="2024-08-07T00:00:00"/>
    <s v="Standard"/>
    <n v="399"/>
    <n v="5.9"/>
    <n v="6"/>
    <n v="2"/>
    <n v="32"/>
    <n v="15"/>
    <s v="No"/>
    <s v="No"/>
    <s v="Yes"/>
    <s v="Yes"/>
    <s v="Yes"/>
    <s v="No"/>
    <m/>
    <s v="1+ Failures"/>
    <n v="0"/>
    <s v="5-10 hrs"/>
    <s v="12+ months"/>
    <x v="1"/>
  </r>
  <r>
    <n v="2479"/>
    <d v="2023-07-04T00:00:00"/>
    <s v="Standard"/>
    <n v="399"/>
    <n v="21.7"/>
    <n v="7"/>
    <n v="4"/>
    <n v="17"/>
    <n v="45"/>
    <s v="Yes"/>
    <s v="No"/>
    <s v="Yes"/>
    <s v="Yes"/>
    <s v="Yes"/>
    <s v="No"/>
    <m/>
    <s v="1+ Failures"/>
    <n v="1"/>
    <s v="20+ hrs"/>
    <s v="12+ months"/>
    <x v="1"/>
  </r>
  <r>
    <n v="2480"/>
    <d v="2023-12-06T00:00:00"/>
    <s v="Standard"/>
    <n v="399"/>
    <n v="0.6"/>
    <n v="2"/>
    <n v="3"/>
    <n v="29"/>
    <n v="4"/>
    <s v="Yes"/>
    <s v="Yes"/>
    <s v="Yes"/>
    <s v="No"/>
    <s v="No"/>
    <s v="No"/>
    <m/>
    <s v="1+ Failures"/>
    <n v="1"/>
    <s v="0-5 hrs"/>
    <s v="12+ months"/>
    <x v="1"/>
  </r>
  <r>
    <n v="2481"/>
    <d v="2024-12-25T00:00:00"/>
    <s v="Basic"/>
    <n v="199"/>
    <n v="19.100000000000001"/>
    <n v="7"/>
    <n v="5"/>
    <n v="30"/>
    <n v="7"/>
    <s v="Yes"/>
    <s v="No"/>
    <s v="Yes"/>
    <s v="Yes"/>
    <s v="No"/>
    <s v="No"/>
    <m/>
    <s v="1+ Failures"/>
    <n v="1"/>
    <s v="10-20hrs"/>
    <s v="12+ months"/>
    <x v="1"/>
  </r>
  <r>
    <n v="2482"/>
    <d v="2023-01-29T00:00:00"/>
    <s v="Standard"/>
    <n v="399"/>
    <n v="14.7"/>
    <n v="8"/>
    <n v="4"/>
    <n v="9"/>
    <n v="15"/>
    <s v="Yes"/>
    <s v="No"/>
    <s v="Yes"/>
    <s v="Yes"/>
    <s v="Yes"/>
    <s v="No"/>
    <m/>
    <s v="1+ Failures"/>
    <n v="1"/>
    <s v="10-20hrs"/>
    <s v="6-12months"/>
    <x v="1"/>
  </r>
  <r>
    <n v="2483"/>
    <d v="2023-02-25T00:00:00"/>
    <s v="Premium"/>
    <n v="699"/>
    <n v="3.8"/>
    <n v="5"/>
    <n v="3"/>
    <n v="7"/>
    <n v="46"/>
    <s v="Yes"/>
    <s v="Yes"/>
    <s v="Yes"/>
    <s v="Yes"/>
    <s v="Yes"/>
    <s v="No"/>
    <m/>
    <s v="1+ Failures"/>
    <n v="1"/>
    <s v="0-5 hrs"/>
    <s v="6-12months"/>
    <x v="0"/>
  </r>
  <r>
    <n v="2484"/>
    <d v="2024-09-13T00:00:00"/>
    <s v="Premium"/>
    <n v="699"/>
    <n v="4.7"/>
    <n v="0"/>
    <n v="2"/>
    <n v="13"/>
    <n v="48"/>
    <s v="Yes"/>
    <s v="Yes"/>
    <s v="Yes"/>
    <s v="No"/>
    <s v="Yes"/>
    <s v="No"/>
    <m/>
    <s v="1+ Failures"/>
    <n v="1"/>
    <s v="0-5 hrs"/>
    <s v="12+ months"/>
    <x v="0"/>
  </r>
  <r>
    <n v="2485"/>
    <d v="2023-08-04T00:00:00"/>
    <s v="Premium"/>
    <n v="699"/>
    <n v="13.2"/>
    <n v="8"/>
    <n v="4"/>
    <n v="30"/>
    <n v="28"/>
    <s v="Yes"/>
    <s v="No"/>
    <s v="Yes"/>
    <s v="Yes"/>
    <s v="Yes"/>
    <s v="No"/>
    <m/>
    <s v="1+ Failures"/>
    <n v="1"/>
    <s v="10-20hrs"/>
    <s v="12+ months"/>
    <x v="0"/>
  </r>
  <r>
    <n v="2486"/>
    <d v="2024-02-08T00:00:00"/>
    <s v="Premium"/>
    <n v="699"/>
    <n v="16.899999999999999"/>
    <n v="5"/>
    <n v="1"/>
    <n v="24"/>
    <n v="15"/>
    <s v="No"/>
    <s v="No"/>
    <s v="Yes"/>
    <s v="Yes"/>
    <s v="Yes"/>
    <s v="No"/>
    <m/>
    <s v="1+ Failures"/>
    <n v="0"/>
    <s v="10-20hrs"/>
    <s v="12+ months"/>
    <x v="0"/>
  </r>
  <r>
    <n v="2487"/>
    <d v="2024-10-22T00:00:00"/>
    <s v="Basic"/>
    <n v="199"/>
    <n v="5.4"/>
    <n v="4"/>
    <n v="2"/>
    <n v="3"/>
    <n v="15"/>
    <s v="No"/>
    <s v="No"/>
    <s v="Yes"/>
    <s v="No"/>
    <s v="Yes"/>
    <s v="Yes"/>
    <m/>
    <s v="1+ Failures"/>
    <n v="0"/>
    <s v="5-10 hrs"/>
    <s v="0-3months"/>
    <x v="1"/>
  </r>
  <r>
    <n v="2488"/>
    <d v="2023-08-04T00:00:00"/>
    <s v="Basic"/>
    <n v="199"/>
    <n v="3.2"/>
    <n v="1"/>
    <n v="2"/>
    <n v="21"/>
    <n v="53"/>
    <s v="No"/>
    <s v="Yes"/>
    <s v="Yes"/>
    <s v="No"/>
    <s v="Yes"/>
    <s v="No"/>
    <m/>
    <s v="1+ Failures"/>
    <n v="0"/>
    <s v="0-5 hrs"/>
    <s v="12+ months"/>
    <x v="1"/>
  </r>
  <r>
    <n v="2489"/>
    <d v="2024-08-23T00:00:00"/>
    <s v="Premium"/>
    <n v="699"/>
    <n v="1.1000000000000001"/>
    <n v="2"/>
    <n v="5"/>
    <n v="6"/>
    <n v="36"/>
    <s v="Yes"/>
    <s v="Yes"/>
    <s v="Yes"/>
    <s v="No"/>
    <s v="Yes"/>
    <s v="No"/>
    <m/>
    <s v="1+ Failures"/>
    <n v="1"/>
    <s v="0-5 hrs"/>
    <s v="3-6months"/>
    <x v="0"/>
  </r>
  <r>
    <n v="2490"/>
    <d v="2024-10-31T00:00:00"/>
    <s v="Premium"/>
    <n v="699"/>
    <n v="16.8"/>
    <n v="1"/>
    <n v="2"/>
    <n v="23"/>
    <n v="12"/>
    <s v="No"/>
    <s v="No"/>
    <s v="Yes"/>
    <s v="No"/>
    <s v="No"/>
    <s v="No"/>
    <m/>
    <s v="1+ Failures"/>
    <n v="0"/>
    <s v="10-20hrs"/>
    <s v="12+ months"/>
    <x v="0"/>
  </r>
  <r>
    <n v="2491"/>
    <d v="2024-04-26T00:00:00"/>
    <s v="Premium"/>
    <n v="699"/>
    <n v="5.2"/>
    <n v="3"/>
    <n v="0"/>
    <n v="33"/>
    <n v="36"/>
    <s v="No"/>
    <s v="No"/>
    <s v="No"/>
    <s v="No"/>
    <s v="Yes"/>
    <s v="No"/>
    <m/>
    <s v="0 Failures"/>
    <n v="0"/>
    <s v="5-10 hrs"/>
    <s v="12+ months"/>
    <x v="0"/>
  </r>
  <r>
    <n v="2492"/>
    <d v="2023-05-29T00:00:00"/>
    <s v="Basic"/>
    <n v="199"/>
    <n v="17.3"/>
    <n v="7"/>
    <n v="0"/>
    <n v="14"/>
    <n v="38"/>
    <s v="No"/>
    <s v="No"/>
    <s v="No"/>
    <s v="Yes"/>
    <s v="Yes"/>
    <s v="No"/>
    <m/>
    <s v="0 Failures"/>
    <n v="0"/>
    <s v="10-20hrs"/>
    <s v="12+ months"/>
    <x v="1"/>
  </r>
  <r>
    <n v="2493"/>
    <d v="2024-12-04T00:00:00"/>
    <s v="Standard"/>
    <n v="399"/>
    <n v="16"/>
    <n v="2"/>
    <n v="0"/>
    <n v="4"/>
    <n v="13"/>
    <s v="No"/>
    <s v="No"/>
    <s v="No"/>
    <s v="No"/>
    <s v="No"/>
    <s v="Yes"/>
    <m/>
    <s v="0 Failures"/>
    <n v="0"/>
    <s v="10-20hrs"/>
    <s v="3-6months"/>
    <x v="1"/>
  </r>
  <r>
    <n v="2494"/>
    <d v="2024-11-20T00:00:00"/>
    <s v="Premium"/>
    <n v="699"/>
    <n v="10.5"/>
    <n v="2"/>
    <n v="0"/>
    <n v="30"/>
    <n v="7"/>
    <s v="No"/>
    <s v="No"/>
    <s v="No"/>
    <s v="No"/>
    <s v="No"/>
    <s v="No"/>
    <m/>
    <s v="0 Failures"/>
    <n v="0"/>
    <s v="10-20hrs"/>
    <s v="12+ months"/>
    <x v="0"/>
  </r>
  <r>
    <n v="2495"/>
    <d v="2023-02-12T00:00:00"/>
    <s v="Basic"/>
    <n v="199"/>
    <n v="3.3"/>
    <n v="6"/>
    <n v="0"/>
    <n v="8"/>
    <n v="8"/>
    <s v="No"/>
    <s v="Yes"/>
    <s v="No"/>
    <s v="Yes"/>
    <s v="No"/>
    <s v="No"/>
    <m/>
    <s v="0 Failures"/>
    <n v="0"/>
    <s v="0-5 hrs"/>
    <s v="6-12months"/>
    <x v="1"/>
  </r>
  <r>
    <n v="2496"/>
    <d v="2024-03-24T00:00:00"/>
    <s v="Basic"/>
    <n v="199"/>
    <n v="11.4"/>
    <n v="5"/>
    <n v="5"/>
    <n v="3"/>
    <n v="47"/>
    <s v="No"/>
    <s v="No"/>
    <s v="Yes"/>
    <s v="Yes"/>
    <s v="Yes"/>
    <s v="Yes"/>
    <m/>
    <s v="1+ Failures"/>
    <n v="0"/>
    <s v="10-20hrs"/>
    <s v="0-3months"/>
    <x v="1"/>
  </r>
  <r>
    <n v="2497"/>
    <d v="2024-03-17T00:00:00"/>
    <s v="Basic"/>
    <n v="199"/>
    <n v="23.2"/>
    <n v="3"/>
    <n v="0"/>
    <n v="13"/>
    <n v="18"/>
    <s v="No"/>
    <s v="No"/>
    <s v="No"/>
    <s v="No"/>
    <s v="Yes"/>
    <s v="No"/>
    <m/>
    <s v="0 Failures"/>
    <n v="0"/>
    <s v="20+ hrs"/>
    <s v="12+ months"/>
    <x v="1"/>
  </r>
  <r>
    <n v="2498"/>
    <d v="2024-11-12T00:00:00"/>
    <s v="Standard"/>
    <n v="399"/>
    <n v="5.6"/>
    <n v="0"/>
    <n v="5"/>
    <n v="22"/>
    <n v="11"/>
    <s v="No"/>
    <s v="No"/>
    <s v="Yes"/>
    <s v="No"/>
    <s v="No"/>
    <s v="No"/>
    <m/>
    <s v="1+ Failures"/>
    <n v="0"/>
    <s v="5-10 hrs"/>
    <s v="12+ months"/>
    <x v="1"/>
  </r>
  <r>
    <n v="2499"/>
    <d v="2023-01-24T00:00:00"/>
    <s v="Standard"/>
    <n v="399"/>
    <n v="3"/>
    <n v="4"/>
    <n v="1"/>
    <n v="34"/>
    <n v="6"/>
    <s v="Yes"/>
    <s v="Yes"/>
    <s v="Yes"/>
    <s v="No"/>
    <s v="No"/>
    <s v="No"/>
    <m/>
    <s v="1+ Failures"/>
    <n v="1"/>
    <s v="0-5 hrs"/>
    <s v="12+ months"/>
    <x v="1"/>
  </r>
  <r>
    <n v="2500"/>
    <d v="2024-11-11T00:00:00"/>
    <s v="Premium"/>
    <n v="699"/>
    <n v="15.8"/>
    <n v="2"/>
    <n v="2"/>
    <n v="26"/>
    <n v="55"/>
    <s v="Yes"/>
    <s v="No"/>
    <s v="Yes"/>
    <s v="No"/>
    <s v="Yes"/>
    <s v="No"/>
    <m/>
    <s v="1+ Failures"/>
    <n v="1"/>
    <s v="10-20hrs"/>
    <s v="12+ months"/>
    <x v="0"/>
  </r>
  <r>
    <n v="2501"/>
    <d v="2024-08-28T00:00:00"/>
    <s v="Standard"/>
    <n v="399"/>
    <n v="4.2"/>
    <n v="4"/>
    <n v="3"/>
    <n v="9"/>
    <n v="8"/>
    <s v="Yes"/>
    <s v="Yes"/>
    <s v="Yes"/>
    <s v="No"/>
    <s v="No"/>
    <s v="No"/>
    <m/>
    <s v="1+ Failures"/>
    <n v="1"/>
    <s v="0-5 hrs"/>
    <s v="6-12months"/>
    <x v="1"/>
  </r>
  <r>
    <n v="2502"/>
    <d v="2023-03-09T00:00:00"/>
    <s v="Basic"/>
    <n v="199"/>
    <n v="24.9"/>
    <n v="5"/>
    <n v="5"/>
    <n v="24"/>
    <n v="24"/>
    <s v="No"/>
    <s v="No"/>
    <s v="Yes"/>
    <s v="Yes"/>
    <s v="Yes"/>
    <s v="No"/>
    <m/>
    <s v="1+ Failures"/>
    <n v="0"/>
    <s v="20+ hrs"/>
    <s v="12+ months"/>
    <x v="1"/>
  </r>
  <r>
    <n v="2503"/>
    <d v="2023-12-20T00:00:00"/>
    <s v="Premium"/>
    <n v="699"/>
    <n v="20.2"/>
    <n v="3"/>
    <n v="5"/>
    <n v="1"/>
    <n v="42"/>
    <s v="Yes"/>
    <s v="No"/>
    <s v="Yes"/>
    <s v="No"/>
    <s v="Yes"/>
    <s v="Yes"/>
    <m/>
    <s v="1+ Failures"/>
    <n v="1"/>
    <s v="20+ hrs"/>
    <s v="0-3months"/>
    <x v="0"/>
  </r>
  <r>
    <n v="2504"/>
    <d v="2023-10-10T00:00:00"/>
    <s v="Basic"/>
    <n v="199"/>
    <n v="20.7"/>
    <n v="1"/>
    <n v="1"/>
    <n v="32"/>
    <n v="29"/>
    <s v="Yes"/>
    <s v="No"/>
    <s v="Yes"/>
    <s v="No"/>
    <s v="Yes"/>
    <s v="No"/>
    <m/>
    <s v="1+ Failures"/>
    <n v="1"/>
    <s v="20+ hrs"/>
    <s v="12+ months"/>
    <x v="1"/>
  </r>
  <r>
    <n v="2505"/>
    <d v="2023-11-11T00:00:00"/>
    <s v="Basic"/>
    <n v="199"/>
    <n v="23.4"/>
    <n v="8"/>
    <n v="2"/>
    <n v="28"/>
    <n v="34"/>
    <s v="Yes"/>
    <s v="No"/>
    <s v="Yes"/>
    <s v="Yes"/>
    <s v="Yes"/>
    <s v="No"/>
    <m/>
    <s v="1+ Failures"/>
    <n v="1"/>
    <s v="20+ hrs"/>
    <s v="12+ months"/>
    <x v="1"/>
  </r>
  <r>
    <n v="2506"/>
    <d v="2023-06-09T00:00:00"/>
    <s v="Basic"/>
    <n v="199"/>
    <n v="21.2"/>
    <n v="4"/>
    <n v="0"/>
    <n v="14"/>
    <n v="56"/>
    <s v="No"/>
    <s v="No"/>
    <s v="No"/>
    <s v="No"/>
    <s v="Yes"/>
    <s v="No"/>
    <m/>
    <s v="0 Failures"/>
    <n v="0"/>
    <s v="20+ hrs"/>
    <s v="12+ months"/>
    <x v="1"/>
  </r>
  <r>
    <n v="2507"/>
    <d v="2023-06-15T00:00:00"/>
    <s v="Basic"/>
    <n v="199"/>
    <n v="24.8"/>
    <n v="0"/>
    <n v="3"/>
    <n v="10"/>
    <n v="7"/>
    <s v="No"/>
    <s v="No"/>
    <s v="Yes"/>
    <s v="No"/>
    <s v="No"/>
    <s v="No"/>
    <m/>
    <s v="1+ Failures"/>
    <n v="0"/>
    <s v="20+ hrs"/>
    <s v="6-12months"/>
    <x v="1"/>
  </r>
  <r>
    <n v="2508"/>
    <d v="2023-03-04T00:00:00"/>
    <s v="Standard"/>
    <n v="399"/>
    <n v="14.2"/>
    <n v="4"/>
    <n v="0"/>
    <n v="15"/>
    <n v="10"/>
    <s v="No"/>
    <s v="No"/>
    <s v="No"/>
    <s v="No"/>
    <s v="No"/>
    <s v="No"/>
    <m/>
    <s v="0 Failures"/>
    <n v="0"/>
    <s v="10-20hrs"/>
    <s v="12+ months"/>
    <x v="1"/>
  </r>
  <r>
    <n v="2509"/>
    <d v="2023-10-16T00:00:00"/>
    <s v="Standard"/>
    <n v="399"/>
    <n v="11.1"/>
    <n v="0"/>
    <n v="3"/>
    <n v="6"/>
    <n v="14"/>
    <s v="Yes"/>
    <s v="No"/>
    <s v="Yes"/>
    <s v="No"/>
    <s v="No"/>
    <s v="No"/>
    <m/>
    <s v="1+ Failures"/>
    <n v="1"/>
    <s v="10-20hrs"/>
    <s v="3-6months"/>
    <x v="1"/>
  </r>
  <r>
    <n v="2510"/>
    <d v="2024-10-08T00:00:00"/>
    <s v="Premium"/>
    <n v="699"/>
    <n v="8.9"/>
    <n v="4"/>
    <n v="1"/>
    <n v="7"/>
    <n v="52"/>
    <s v="No"/>
    <s v="No"/>
    <s v="Yes"/>
    <s v="No"/>
    <s v="Yes"/>
    <s v="No"/>
    <m/>
    <s v="1+ Failures"/>
    <n v="0"/>
    <s v="5-10 hrs"/>
    <s v="6-12months"/>
    <x v="0"/>
  </r>
  <r>
    <n v="2511"/>
    <d v="2023-01-18T00:00:00"/>
    <s v="Premium"/>
    <n v="699"/>
    <n v="5.9"/>
    <n v="4"/>
    <n v="0"/>
    <n v="1"/>
    <n v="15"/>
    <s v="Yes"/>
    <s v="No"/>
    <s v="No"/>
    <s v="No"/>
    <s v="Yes"/>
    <s v="Yes"/>
    <m/>
    <s v="0 Failures"/>
    <n v="1"/>
    <s v="5-10 hrs"/>
    <s v="0-3months"/>
    <x v="0"/>
  </r>
  <r>
    <n v="2512"/>
    <d v="2024-10-17T00:00:00"/>
    <s v="Premium"/>
    <n v="699"/>
    <n v="22.7"/>
    <n v="6"/>
    <n v="3"/>
    <n v="24"/>
    <n v="36"/>
    <s v="No"/>
    <s v="No"/>
    <s v="Yes"/>
    <s v="Yes"/>
    <s v="Yes"/>
    <s v="No"/>
    <m/>
    <s v="1+ Failures"/>
    <n v="0"/>
    <s v="20+ hrs"/>
    <s v="12+ months"/>
    <x v="0"/>
  </r>
  <r>
    <n v="2513"/>
    <d v="2024-08-27T00:00:00"/>
    <s v="Standard"/>
    <n v="399"/>
    <n v="10.9"/>
    <n v="4"/>
    <n v="4"/>
    <n v="24"/>
    <n v="4"/>
    <s v="Yes"/>
    <s v="No"/>
    <s v="Yes"/>
    <s v="No"/>
    <s v="No"/>
    <s v="No"/>
    <m/>
    <s v="1+ Failures"/>
    <n v="1"/>
    <s v="10-20hrs"/>
    <s v="12+ months"/>
    <x v="1"/>
  </r>
  <r>
    <n v="2514"/>
    <d v="2024-05-06T00:00:00"/>
    <s v="Premium"/>
    <n v="699"/>
    <n v="9.6"/>
    <n v="6"/>
    <n v="1"/>
    <n v="23"/>
    <n v="60"/>
    <s v="Yes"/>
    <s v="No"/>
    <s v="Yes"/>
    <s v="Yes"/>
    <s v="Yes"/>
    <s v="No"/>
    <m/>
    <s v="1+ Failures"/>
    <n v="1"/>
    <s v="5-10 hrs"/>
    <s v="12+ months"/>
    <x v="0"/>
  </r>
  <r>
    <n v="2515"/>
    <d v="2023-02-15T00:00:00"/>
    <s v="Basic"/>
    <n v="199"/>
    <n v="21"/>
    <n v="4"/>
    <n v="3"/>
    <n v="9"/>
    <n v="27"/>
    <s v="Yes"/>
    <s v="No"/>
    <s v="Yes"/>
    <s v="No"/>
    <s v="Yes"/>
    <s v="No"/>
    <m/>
    <s v="1+ Failures"/>
    <n v="1"/>
    <s v="20+ hrs"/>
    <s v="6-12months"/>
    <x v="1"/>
  </r>
  <r>
    <n v="2516"/>
    <d v="2024-02-27T00:00:00"/>
    <s v="Premium"/>
    <n v="699"/>
    <n v="19.3"/>
    <n v="8"/>
    <n v="0"/>
    <n v="4"/>
    <n v="2"/>
    <s v="Yes"/>
    <s v="No"/>
    <s v="No"/>
    <s v="Yes"/>
    <s v="No"/>
    <s v="Yes"/>
    <m/>
    <s v="0 Failures"/>
    <n v="1"/>
    <s v="10-20hrs"/>
    <s v="3-6months"/>
    <x v="0"/>
  </r>
  <r>
    <n v="2517"/>
    <d v="2024-05-15T00:00:00"/>
    <s v="Premium"/>
    <n v="699"/>
    <n v="3"/>
    <n v="6"/>
    <n v="2"/>
    <n v="15"/>
    <n v="48"/>
    <s v="Yes"/>
    <s v="Yes"/>
    <s v="Yes"/>
    <s v="Yes"/>
    <s v="Yes"/>
    <s v="No"/>
    <m/>
    <s v="1+ Failures"/>
    <n v="1"/>
    <s v="0-5 hrs"/>
    <s v="12+ months"/>
    <x v="0"/>
  </r>
  <r>
    <n v="2518"/>
    <d v="2024-11-17T00:00:00"/>
    <s v="Basic"/>
    <n v="199"/>
    <n v="13.1"/>
    <n v="8"/>
    <n v="0"/>
    <n v="28"/>
    <n v="33"/>
    <s v="Yes"/>
    <s v="No"/>
    <s v="No"/>
    <s v="Yes"/>
    <s v="Yes"/>
    <s v="No"/>
    <m/>
    <s v="0 Failures"/>
    <n v="1"/>
    <s v="10-20hrs"/>
    <s v="12+ months"/>
    <x v="1"/>
  </r>
  <r>
    <n v="2519"/>
    <d v="2024-12-22T00:00:00"/>
    <s v="Standard"/>
    <n v="399"/>
    <n v="3.1"/>
    <n v="0"/>
    <n v="5"/>
    <n v="29"/>
    <n v="6"/>
    <s v="No"/>
    <s v="Yes"/>
    <s v="Yes"/>
    <s v="No"/>
    <s v="No"/>
    <s v="No"/>
    <m/>
    <s v="1+ Failures"/>
    <n v="0"/>
    <s v="0-5 hrs"/>
    <s v="12+ months"/>
    <x v="1"/>
  </r>
  <r>
    <n v="2520"/>
    <d v="2023-09-10T00:00:00"/>
    <s v="Basic"/>
    <n v="199"/>
    <n v="2.6"/>
    <n v="8"/>
    <n v="0"/>
    <n v="30"/>
    <n v="26"/>
    <s v="Yes"/>
    <s v="Yes"/>
    <s v="No"/>
    <s v="Yes"/>
    <s v="Yes"/>
    <s v="No"/>
    <m/>
    <s v="0 Failures"/>
    <n v="1"/>
    <s v="0-5 hrs"/>
    <s v="12+ months"/>
    <x v="1"/>
  </r>
  <r>
    <n v="2521"/>
    <d v="2023-10-22T00:00:00"/>
    <s v="Basic"/>
    <n v="199"/>
    <n v="18"/>
    <n v="5"/>
    <n v="0"/>
    <n v="30"/>
    <n v="3"/>
    <s v="No"/>
    <s v="No"/>
    <s v="No"/>
    <s v="Yes"/>
    <s v="No"/>
    <s v="No"/>
    <m/>
    <s v="0 Failures"/>
    <n v="0"/>
    <s v="10-20hrs"/>
    <s v="12+ months"/>
    <x v="1"/>
  </r>
  <r>
    <n v="2522"/>
    <d v="2023-06-29T00:00:00"/>
    <s v="Standard"/>
    <n v="399"/>
    <n v="23.9"/>
    <n v="7"/>
    <n v="2"/>
    <n v="34"/>
    <n v="12"/>
    <s v="No"/>
    <s v="No"/>
    <s v="Yes"/>
    <s v="Yes"/>
    <s v="No"/>
    <s v="No"/>
    <m/>
    <s v="1+ Failures"/>
    <n v="0"/>
    <s v="20+ hrs"/>
    <s v="12+ months"/>
    <x v="1"/>
  </r>
  <r>
    <n v="2523"/>
    <d v="2024-06-24T00:00:00"/>
    <s v="Basic"/>
    <n v="199"/>
    <n v="1.1000000000000001"/>
    <n v="6"/>
    <n v="1"/>
    <n v="13"/>
    <n v="22"/>
    <s v="Yes"/>
    <s v="Yes"/>
    <s v="Yes"/>
    <s v="Yes"/>
    <s v="Yes"/>
    <s v="No"/>
    <m/>
    <s v="1+ Failures"/>
    <n v="1"/>
    <s v="0-5 hrs"/>
    <s v="12+ months"/>
    <x v="1"/>
  </r>
  <r>
    <n v="2524"/>
    <d v="2023-07-29T00:00:00"/>
    <s v="Premium"/>
    <n v="699"/>
    <n v="11.4"/>
    <n v="6"/>
    <n v="4"/>
    <n v="23"/>
    <n v="16"/>
    <s v="Yes"/>
    <s v="No"/>
    <s v="Yes"/>
    <s v="Yes"/>
    <s v="Yes"/>
    <s v="No"/>
    <m/>
    <s v="1+ Failures"/>
    <n v="1"/>
    <s v="10-20hrs"/>
    <s v="12+ months"/>
    <x v="0"/>
  </r>
  <r>
    <n v="2525"/>
    <d v="2023-07-25T00:00:00"/>
    <s v="Basic"/>
    <n v="199"/>
    <n v="0.6"/>
    <n v="3"/>
    <n v="5"/>
    <n v="36"/>
    <n v="51"/>
    <s v="No"/>
    <s v="Yes"/>
    <s v="Yes"/>
    <s v="No"/>
    <s v="Yes"/>
    <s v="No"/>
    <m/>
    <s v="1+ Failures"/>
    <n v="0"/>
    <s v="0-5 hrs"/>
    <s v="12+ months"/>
    <x v="1"/>
  </r>
  <r>
    <n v="2526"/>
    <d v="2024-02-08T00:00:00"/>
    <s v="Premium"/>
    <n v="699"/>
    <n v="4.3"/>
    <n v="7"/>
    <n v="2"/>
    <n v="26"/>
    <n v="53"/>
    <s v="Yes"/>
    <s v="Yes"/>
    <s v="Yes"/>
    <s v="Yes"/>
    <s v="Yes"/>
    <s v="No"/>
    <m/>
    <s v="1+ Failures"/>
    <n v="1"/>
    <s v="0-5 hrs"/>
    <s v="12+ months"/>
    <x v="0"/>
  </r>
  <r>
    <n v="2527"/>
    <d v="2024-12-17T00:00:00"/>
    <s v="Standard"/>
    <n v="399"/>
    <n v="2.4"/>
    <n v="1"/>
    <n v="4"/>
    <n v="10"/>
    <n v="15"/>
    <s v="No"/>
    <s v="Yes"/>
    <s v="Yes"/>
    <s v="No"/>
    <s v="Yes"/>
    <s v="No"/>
    <m/>
    <s v="1+ Failures"/>
    <n v="0"/>
    <s v="0-5 hrs"/>
    <s v="6-12months"/>
    <x v="1"/>
  </r>
  <r>
    <n v="2528"/>
    <d v="2023-11-15T00:00:00"/>
    <s v="Standard"/>
    <n v="399"/>
    <n v="1.3"/>
    <n v="4"/>
    <n v="3"/>
    <n v="2"/>
    <n v="26"/>
    <s v="Yes"/>
    <s v="Yes"/>
    <s v="Yes"/>
    <s v="No"/>
    <s v="Yes"/>
    <s v="Yes"/>
    <m/>
    <s v="1+ Failures"/>
    <n v="1"/>
    <s v="0-5 hrs"/>
    <s v="0-3months"/>
    <x v="1"/>
  </r>
  <r>
    <n v="2529"/>
    <d v="2024-11-13T00:00:00"/>
    <s v="Standard"/>
    <n v="399"/>
    <n v="19"/>
    <n v="1"/>
    <n v="0"/>
    <n v="2"/>
    <n v="28"/>
    <s v="No"/>
    <s v="No"/>
    <s v="No"/>
    <s v="No"/>
    <s v="Yes"/>
    <s v="Yes"/>
    <m/>
    <s v="0 Failures"/>
    <n v="0"/>
    <s v="10-20hrs"/>
    <s v="0-3months"/>
    <x v="1"/>
  </r>
  <r>
    <n v="2530"/>
    <d v="2024-08-22T00:00:00"/>
    <s v="Standard"/>
    <n v="399"/>
    <n v="22.9"/>
    <n v="0"/>
    <n v="0"/>
    <n v="8"/>
    <n v="47"/>
    <s v="No"/>
    <s v="No"/>
    <s v="No"/>
    <s v="No"/>
    <s v="Yes"/>
    <s v="No"/>
    <m/>
    <s v="0 Failures"/>
    <n v="0"/>
    <s v="20+ hrs"/>
    <s v="6-12months"/>
    <x v="1"/>
  </r>
  <r>
    <n v="2531"/>
    <d v="2024-12-17T00:00:00"/>
    <s v="Basic"/>
    <n v="199"/>
    <n v="19.3"/>
    <n v="8"/>
    <n v="0"/>
    <n v="35"/>
    <n v="52"/>
    <s v="No"/>
    <s v="No"/>
    <s v="No"/>
    <s v="Yes"/>
    <s v="Yes"/>
    <s v="No"/>
    <m/>
    <s v="0 Failures"/>
    <n v="0"/>
    <s v="10-20hrs"/>
    <s v="12+ months"/>
    <x v="1"/>
  </r>
  <r>
    <n v="2532"/>
    <d v="2023-03-09T00:00:00"/>
    <s v="Premium"/>
    <n v="699"/>
    <n v="14.6"/>
    <n v="5"/>
    <n v="1"/>
    <n v="18"/>
    <n v="42"/>
    <s v="No"/>
    <s v="No"/>
    <s v="Yes"/>
    <s v="Yes"/>
    <s v="Yes"/>
    <s v="No"/>
    <m/>
    <s v="1+ Failures"/>
    <n v="0"/>
    <s v="10-20hrs"/>
    <s v="12+ months"/>
    <x v="0"/>
  </r>
  <r>
    <n v="2533"/>
    <d v="2024-10-24T00:00:00"/>
    <s v="Standard"/>
    <n v="399"/>
    <n v="1.5"/>
    <n v="8"/>
    <n v="0"/>
    <n v="12"/>
    <n v="51"/>
    <s v="Yes"/>
    <s v="Yes"/>
    <s v="No"/>
    <s v="Yes"/>
    <s v="Yes"/>
    <s v="No"/>
    <m/>
    <s v="0 Failures"/>
    <n v="1"/>
    <s v="0-5 hrs"/>
    <s v="6-12months"/>
    <x v="1"/>
  </r>
  <r>
    <n v="2534"/>
    <d v="2024-10-16T00:00:00"/>
    <s v="Premium"/>
    <n v="699"/>
    <n v="23.3"/>
    <n v="6"/>
    <n v="4"/>
    <n v="32"/>
    <n v="33"/>
    <s v="No"/>
    <s v="No"/>
    <s v="Yes"/>
    <s v="Yes"/>
    <s v="Yes"/>
    <s v="No"/>
    <m/>
    <s v="1+ Failures"/>
    <n v="0"/>
    <s v="20+ hrs"/>
    <s v="12+ months"/>
    <x v="0"/>
  </r>
  <r>
    <n v="2535"/>
    <d v="2024-01-27T00:00:00"/>
    <s v="Basic"/>
    <n v="199"/>
    <n v="5.4"/>
    <n v="7"/>
    <n v="5"/>
    <n v="5"/>
    <n v="7"/>
    <s v="No"/>
    <s v="No"/>
    <s v="Yes"/>
    <s v="Yes"/>
    <s v="No"/>
    <s v="Yes"/>
    <m/>
    <s v="1+ Failures"/>
    <n v="0"/>
    <s v="5-10 hrs"/>
    <s v="3-6months"/>
    <x v="1"/>
  </r>
  <r>
    <n v="2536"/>
    <d v="2023-04-12T00:00:00"/>
    <s v="Premium"/>
    <n v="699"/>
    <n v="18.899999999999999"/>
    <n v="1"/>
    <n v="3"/>
    <n v="36"/>
    <n v="58"/>
    <s v="Yes"/>
    <s v="No"/>
    <s v="Yes"/>
    <s v="No"/>
    <s v="Yes"/>
    <s v="No"/>
    <m/>
    <s v="1+ Failures"/>
    <n v="1"/>
    <s v="10-20hrs"/>
    <s v="12+ months"/>
    <x v="0"/>
  </r>
  <r>
    <n v="2537"/>
    <d v="2023-09-12T00:00:00"/>
    <s v="Basic"/>
    <n v="199"/>
    <n v="12.4"/>
    <n v="0"/>
    <n v="3"/>
    <n v="14"/>
    <n v="30"/>
    <s v="Yes"/>
    <s v="No"/>
    <s v="Yes"/>
    <s v="No"/>
    <s v="Yes"/>
    <s v="No"/>
    <m/>
    <s v="1+ Failures"/>
    <n v="1"/>
    <s v="10-20hrs"/>
    <s v="12+ months"/>
    <x v="1"/>
  </r>
  <r>
    <n v="2538"/>
    <d v="2024-06-11T00:00:00"/>
    <s v="Basic"/>
    <n v="199"/>
    <n v="19.2"/>
    <n v="6"/>
    <n v="1"/>
    <n v="12"/>
    <n v="13"/>
    <s v="No"/>
    <s v="No"/>
    <s v="Yes"/>
    <s v="Yes"/>
    <s v="No"/>
    <s v="No"/>
    <m/>
    <s v="1+ Failures"/>
    <n v="0"/>
    <s v="10-20hrs"/>
    <s v="6-12months"/>
    <x v="1"/>
  </r>
  <r>
    <n v="2539"/>
    <d v="2023-03-10T00:00:00"/>
    <s v="Premium"/>
    <n v="699"/>
    <n v="14.8"/>
    <n v="1"/>
    <n v="4"/>
    <n v="19"/>
    <n v="28"/>
    <s v="No"/>
    <s v="No"/>
    <s v="Yes"/>
    <s v="No"/>
    <s v="Yes"/>
    <s v="No"/>
    <m/>
    <s v="1+ Failures"/>
    <n v="0"/>
    <s v="10-20hrs"/>
    <s v="12+ months"/>
    <x v="0"/>
  </r>
  <r>
    <n v="2540"/>
    <d v="2024-04-23T00:00:00"/>
    <s v="Premium"/>
    <n v="699"/>
    <n v="4.5"/>
    <n v="6"/>
    <n v="5"/>
    <n v="17"/>
    <n v="8"/>
    <s v="Yes"/>
    <s v="Yes"/>
    <s v="Yes"/>
    <s v="Yes"/>
    <s v="No"/>
    <s v="No"/>
    <m/>
    <s v="1+ Failures"/>
    <n v="1"/>
    <s v="0-5 hrs"/>
    <s v="12+ months"/>
    <x v="0"/>
  </r>
  <r>
    <n v="2541"/>
    <d v="2023-02-26T00:00:00"/>
    <s v="Basic"/>
    <n v="199"/>
    <n v="11.8"/>
    <n v="8"/>
    <n v="1"/>
    <n v="33"/>
    <n v="6"/>
    <s v="Yes"/>
    <s v="No"/>
    <s v="Yes"/>
    <s v="Yes"/>
    <s v="No"/>
    <s v="No"/>
    <m/>
    <s v="1+ Failures"/>
    <n v="1"/>
    <s v="10-20hrs"/>
    <s v="12+ months"/>
    <x v="1"/>
  </r>
  <r>
    <n v="2542"/>
    <d v="2024-07-12T00:00:00"/>
    <s v="Basic"/>
    <n v="199"/>
    <n v="16"/>
    <n v="4"/>
    <n v="0"/>
    <n v="2"/>
    <n v="54"/>
    <s v="No"/>
    <s v="No"/>
    <s v="No"/>
    <s v="No"/>
    <s v="Yes"/>
    <s v="Yes"/>
    <m/>
    <s v="0 Failures"/>
    <n v="0"/>
    <s v="10-20hrs"/>
    <s v="0-3months"/>
    <x v="1"/>
  </r>
  <r>
    <n v="2543"/>
    <d v="2024-08-21T00:00:00"/>
    <s v="Basic"/>
    <n v="199"/>
    <n v="9.5"/>
    <n v="8"/>
    <n v="4"/>
    <n v="16"/>
    <n v="32"/>
    <s v="No"/>
    <s v="No"/>
    <s v="Yes"/>
    <s v="Yes"/>
    <s v="Yes"/>
    <s v="No"/>
    <m/>
    <s v="1+ Failures"/>
    <n v="0"/>
    <s v="5-10 hrs"/>
    <s v="12+ months"/>
    <x v="1"/>
  </r>
  <r>
    <n v="2544"/>
    <d v="2024-07-04T00:00:00"/>
    <s v="Standard"/>
    <n v="399"/>
    <n v="22.5"/>
    <n v="1"/>
    <n v="3"/>
    <n v="10"/>
    <n v="1"/>
    <s v="No"/>
    <s v="No"/>
    <s v="Yes"/>
    <s v="No"/>
    <s v="No"/>
    <s v="No"/>
    <m/>
    <s v="1+ Failures"/>
    <n v="0"/>
    <s v="20+ hrs"/>
    <s v="6-12months"/>
    <x v="1"/>
  </r>
  <r>
    <n v="2545"/>
    <d v="2023-03-14T00:00:00"/>
    <s v="Premium"/>
    <n v="699"/>
    <n v="23.2"/>
    <n v="8"/>
    <n v="0"/>
    <n v="19"/>
    <n v="52"/>
    <s v="No"/>
    <s v="No"/>
    <s v="No"/>
    <s v="Yes"/>
    <s v="Yes"/>
    <s v="No"/>
    <m/>
    <s v="0 Failures"/>
    <n v="0"/>
    <s v="20+ hrs"/>
    <s v="12+ months"/>
    <x v="0"/>
  </r>
  <r>
    <n v="2546"/>
    <d v="2023-05-04T00:00:00"/>
    <s v="Premium"/>
    <n v="699"/>
    <n v="22.4"/>
    <n v="4"/>
    <n v="4"/>
    <n v="26"/>
    <n v="8"/>
    <s v="Yes"/>
    <s v="No"/>
    <s v="Yes"/>
    <s v="No"/>
    <s v="No"/>
    <s v="No"/>
    <m/>
    <s v="1+ Failures"/>
    <n v="1"/>
    <s v="20+ hrs"/>
    <s v="12+ months"/>
    <x v="0"/>
  </r>
  <r>
    <n v="2547"/>
    <d v="2024-01-18T00:00:00"/>
    <s v="Standard"/>
    <n v="399"/>
    <n v="13.3"/>
    <n v="3"/>
    <n v="4"/>
    <n v="23"/>
    <n v="28"/>
    <s v="No"/>
    <s v="No"/>
    <s v="Yes"/>
    <s v="No"/>
    <s v="Yes"/>
    <s v="No"/>
    <m/>
    <s v="1+ Failures"/>
    <n v="0"/>
    <s v="10-20hrs"/>
    <s v="12+ months"/>
    <x v="1"/>
  </r>
  <r>
    <n v="2548"/>
    <d v="2024-03-04T00:00:00"/>
    <s v="Standard"/>
    <n v="399"/>
    <n v="13.7"/>
    <n v="0"/>
    <n v="0"/>
    <n v="1"/>
    <n v="16"/>
    <s v="No"/>
    <s v="No"/>
    <s v="No"/>
    <s v="No"/>
    <s v="Yes"/>
    <s v="Yes"/>
    <m/>
    <s v="0 Failures"/>
    <n v="0"/>
    <s v="10-20hrs"/>
    <s v="0-3months"/>
    <x v="1"/>
  </r>
  <r>
    <n v="2549"/>
    <d v="2024-07-30T00:00:00"/>
    <s v="Standard"/>
    <n v="399"/>
    <n v="12.1"/>
    <n v="1"/>
    <n v="1"/>
    <n v="21"/>
    <n v="53"/>
    <s v="Yes"/>
    <s v="No"/>
    <s v="Yes"/>
    <s v="No"/>
    <s v="Yes"/>
    <s v="No"/>
    <m/>
    <s v="1+ Failures"/>
    <n v="1"/>
    <s v="10-20hrs"/>
    <s v="12+ months"/>
    <x v="1"/>
  </r>
  <r>
    <n v="2550"/>
    <d v="2023-06-11T00:00:00"/>
    <s v="Basic"/>
    <n v="199"/>
    <n v="15.1"/>
    <n v="1"/>
    <n v="5"/>
    <n v="20"/>
    <n v="42"/>
    <s v="Yes"/>
    <s v="No"/>
    <s v="Yes"/>
    <s v="No"/>
    <s v="Yes"/>
    <s v="No"/>
    <m/>
    <s v="1+ Failures"/>
    <n v="1"/>
    <s v="10-20hrs"/>
    <s v="12+ months"/>
    <x v="1"/>
  </r>
  <r>
    <n v="2551"/>
    <d v="2024-07-27T00:00:00"/>
    <s v="Premium"/>
    <n v="699"/>
    <n v="17"/>
    <n v="4"/>
    <n v="1"/>
    <n v="32"/>
    <n v="38"/>
    <s v="No"/>
    <s v="No"/>
    <s v="Yes"/>
    <s v="No"/>
    <s v="Yes"/>
    <s v="No"/>
    <m/>
    <s v="1+ Failures"/>
    <n v="0"/>
    <s v="10-20hrs"/>
    <s v="12+ months"/>
    <x v="0"/>
  </r>
  <r>
    <n v="2552"/>
    <d v="2024-05-03T00:00:00"/>
    <s v="Premium"/>
    <n v="699"/>
    <n v="11.9"/>
    <n v="6"/>
    <n v="4"/>
    <n v="10"/>
    <n v="60"/>
    <s v="No"/>
    <s v="No"/>
    <s v="Yes"/>
    <s v="Yes"/>
    <s v="Yes"/>
    <s v="No"/>
    <m/>
    <s v="1+ Failures"/>
    <n v="0"/>
    <s v="10-20hrs"/>
    <s v="6-12months"/>
    <x v="0"/>
  </r>
  <r>
    <n v="2553"/>
    <d v="2023-04-01T00:00:00"/>
    <s v="Premium"/>
    <n v="699"/>
    <n v="7"/>
    <n v="5"/>
    <n v="1"/>
    <n v="4"/>
    <n v="45"/>
    <s v="Yes"/>
    <s v="No"/>
    <s v="Yes"/>
    <s v="Yes"/>
    <s v="Yes"/>
    <s v="Yes"/>
    <m/>
    <s v="1+ Failures"/>
    <n v="1"/>
    <s v="5-10 hrs"/>
    <s v="3-6months"/>
    <x v="0"/>
  </r>
  <r>
    <n v="2554"/>
    <d v="2024-10-19T00:00:00"/>
    <s v="Premium"/>
    <n v="699"/>
    <n v="3.3"/>
    <n v="6"/>
    <n v="0"/>
    <n v="28"/>
    <n v="31"/>
    <s v="No"/>
    <s v="Yes"/>
    <s v="No"/>
    <s v="Yes"/>
    <s v="Yes"/>
    <s v="No"/>
    <m/>
    <s v="0 Failures"/>
    <n v="0"/>
    <s v="0-5 hrs"/>
    <s v="12+ months"/>
    <x v="0"/>
  </r>
  <r>
    <n v="2555"/>
    <d v="2024-01-22T00:00:00"/>
    <s v="Basic"/>
    <n v="199"/>
    <n v="12.4"/>
    <n v="8"/>
    <n v="4"/>
    <n v="12"/>
    <n v="14"/>
    <s v="Yes"/>
    <s v="No"/>
    <s v="Yes"/>
    <s v="Yes"/>
    <s v="No"/>
    <s v="No"/>
    <m/>
    <s v="1+ Failures"/>
    <n v="1"/>
    <s v="10-20hrs"/>
    <s v="6-12months"/>
    <x v="1"/>
  </r>
  <r>
    <n v="2556"/>
    <d v="2024-11-05T00:00:00"/>
    <s v="Standard"/>
    <n v="399"/>
    <n v="19.600000000000001"/>
    <n v="7"/>
    <n v="4"/>
    <n v="7"/>
    <n v="51"/>
    <s v="No"/>
    <s v="No"/>
    <s v="Yes"/>
    <s v="Yes"/>
    <s v="Yes"/>
    <s v="No"/>
    <m/>
    <s v="1+ Failures"/>
    <n v="0"/>
    <s v="10-20hrs"/>
    <s v="6-12months"/>
    <x v="1"/>
  </r>
  <r>
    <n v="2557"/>
    <d v="2024-10-17T00:00:00"/>
    <s v="Premium"/>
    <n v="699"/>
    <n v="5"/>
    <n v="0"/>
    <n v="4"/>
    <n v="26"/>
    <n v="59"/>
    <s v="Yes"/>
    <s v="No"/>
    <s v="Yes"/>
    <s v="No"/>
    <s v="Yes"/>
    <s v="No"/>
    <m/>
    <s v="1+ Failures"/>
    <n v="1"/>
    <s v="0-5 hrs"/>
    <s v="12+ months"/>
    <x v="0"/>
  </r>
  <r>
    <n v="2558"/>
    <d v="2024-03-15T00:00:00"/>
    <s v="Standard"/>
    <n v="399"/>
    <n v="9.9"/>
    <n v="3"/>
    <n v="5"/>
    <n v="25"/>
    <n v="16"/>
    <s v="No"/>
    <s v="No"/>
    <s v="Yes"/>
    <s v="No"/>
    <s v="Yes"/>
    <s v="No"/>
    <m/>
    <s v="1+ Failures"/>
    <n v="0"/>
    <s v="5-10 hrs"/>
    <s v="12+ months"/>
    <x v="1"/>
  </r>
  <r>
    <n v="2559"/>
    <d v="2023-06-06T00:00:00"/>
    <s v="Basic"/>
    <n v="199"/>
    <n v="11.6"/>
    <n v="4"/>
    <n v="1"/>
    <n v="18"/>
    <n v="4"/>
    <s v="No"/>
    <s v="No"/>
    <s v="Yes"/>
    <s v="No"/>
    <s v="No"/>
    <s v="No"/>
    <m/>
    <s v="1+ Failures"/>
    <n v="0"/>
    <s v="10-20hrs"/>
    <s v="12+ months"/>
    <x v="1"/>
  </r>
  <r>
    <n v="2560"/>
    <d v="2023-09-06T00:00:00"/>
    <s v="Premium"/>
    <n v="699"/>
    <n v="3"/>
    <n v="2"/>
    <n v="1"/>
    <n v="22"/>
    <n v="59"/>
    <s v="Yes"/>
    <s v="Yes"/>
    <s v="Yes"/>
    <s v="No"/>
    <s v="Yes"/>
    <s v="No"/>
    <m/>
    <s v="1+ Failures"/>
    <n v="1"/>
    <s v="0-5 hrs"/>
    <s v="12+ months"/>
    <x v="0"/>
  </r>
  <r>
    <n v="2561"/>
    <d v="2024-08-10T00:00:00"/>
    <s v="Premium"/>
    <n v="699"/>
    <n v="7.2"/>
    <n v="8"/>
    <n v="1"/>
    <n v="27"/>
    <n v="0"/>
    <s v="No"/>
    <s v="No"/>
    <s v="Yes"/>
    <s v="Yes"/>
    <s v="No"/>
    <s v="No"/>
    <m/>
    <s v="1+ Failures"/>
    <n v="0"/>
    <s v="5-10 hrs"/>
    <s v="12+ months"/>
    <x v="0"/>
  </r>
  <r>
    <n v="2562"/>
    <d v="2023-02-12T00:00:00"/>
    <s v="Basic"/>
    <n v="199"/>
    <n v="13.6"/>
    <n v="8"/>
    <n v="5"/>
    <n v="18"/>
    <n v="32"/>
    <s v="Yes"/>
    <s v="No"/>
    <s v="Yes"/>
    <s v="Yes"/>
    <s v="Yes"/>
    <s v="No"/>
    <m/>
    <s v="1+ Failures"/>
    <n v="1"/>
    <s v="10-20hrs"/>
    <s v="12+ months"/>
    <x v="1"/>
  </r>
  <r>
    <n v="2563"/>
    <d v="2024-06-23T00:00:00"/>
    <s v="Standard"/>
    <n v="399"/>
    <n v="24.6"/>
    <n v="6"/>
    <n v="3"/>
    <n v="9"/>
    <n v="9"/>
    <s v="No"/>
    <s v="No"/>
    <s v="Yes"/>
    <s v="Yes"/>
    <s v="No"/>
    <s v="No"/>
    <m/>
    <s v="1+ Failures"/>
    <n v="0"/>
    <s v="20+ hrs"/>
    <s v="6-12months"/>
    <x v="1"/>
  </r>
  <r>
    <n v="2564"/>
    <d v="2023-04-26T00:00:00"/>
    <s v="Standard"/>
    <n v="399"/>
    <n v="10.9"/>
    <n v="1"/>
    <n v="0"/>
    <n v="5"/>
    <n v="19"/>
    <s v="Yes"/>
    <s v="No"/>
    <s v="No"/>
    <s v="No"/>
    <s v="Yes"/>
    <s v="Yes"/>
    <m/>
    <s v="0 Failures"/>
    <n v="1"/>
    <s v="10-20hrs"/>
    <s v="3-6months"/>
    <x v="1"/>
  </r>
  <r>
    <n v="2565"/>
    <d v="2023-08-27T00:00:00"/>
    <s v="Premium"/>
    <n v="699"/>
    <n v="9.3000000000000007"/>
    <n v="2"/>
    <n v="1"/>
    <n v="16"/>
    <n v="45"/>
    <s v="No"/>
    <s v="No"/>
    <s v="Yes"/>
    <s v="No"/>
    <s v="Yes"/>
    <s v="No"/>
    <m/>
    <s v="1+ Failures"/>
    <n v="0"/>
    <s v="5-10 hrs"/>
    <s v="12+ months"/>
    <x v="0"/>
  </r>
  <r>
    <n v="2566"/>
    <d v="2023-02-14T00:00:00"/>
    <s v="Basic"/>
    <n v="199"/>
    <n v="18.100000000000001"/>
    <n v="0"/>
    <n v="2"/>
    <n v="31"/>
    <n v="11"/>
    <s v="No"/>
    <s v="No"/>
    <s v="Yes"/>
    <s v="No"/>
    <s v="No"/>
    <s v="No"/>
    <m/>
    <s v="1+ Failures"/>
    <n v="0"/>
    <s v="10-20hrs"/>
    <s v="12+ months"/>
    <x v="1"/>
  </r>
  <r>
    <n v="2567"/>
    <d v="2024-12-18T00:00:00"/>
    <s v="Standard"/>
    <n v="399"/>
    <n v="14.1"/>
    <n v="1"/>
    <n v="3"/>
    <n v="21"/>
    <n v="21"/>
    <s v="No"/>
    <s v="No"/>
    <s v="Yes"/>
    <s v="No"/>
    <s v="Yes"/>
    <s v="No"/>
    <m/>
    <s v="1+ Failures"/>
    <n v="0"/>
    <s v="10-20hrs"/>
    <s v="12+ months"/>
    <x v="1"/>
  </r>
  <r>
    <n v="2568"/>
    <d v="2023-05-08T00:00:00"/>
    <s v="Basic"/>
    <n v="199"/>
    <n v="9.3000000000000007"/>
    <n v="4"/>
    <n v="2"/>
    <n v="11"/>
    <n v="31"/>
    <s v="Yes"/>
    <s v="No"/>
    <s v="Yes"/>
    <s v="No"/>
    <s v="Yes"/>
    <s v="No"/>
    <m/>
    <s v="1+ Failures"/>
    <n v="1"/>
    <s v="5-10 hrs"/>
    <s v="6-12months"/>
    <x v="1"/>
  </r>
  <r>
    <n v="2569"/>
    <d v="2023-01-29T00:00:00"/>
    <s v="Premium"/>
    <n v="699"/>
    <n v="11"/>
    <n v="0"/>
    <n v="1"/>
    <n v="7"/>
    <n v="44"/>
    <s v="Yes"/>
    <s v="No"/>
    <s v="Yes"/>
    <s v="No"/>
    <s v="Yes"/>
    <s v="No"/>
    <m/>
    <s v="1+ Failures"/>
    <n v="1"/>
    <s v="10-20hrs"/>
    <s v="6-12months"/>
    <x v="0"/>
  </r>
  <r>
    <n v="2570"/>
    <d v="2023-03-08T00:00:00"/>
    <s v="Premium"/>
    <n v="699"/>
    <n v="10.4"/>
    <n v="1"/>
    <n v="3"/>
    <n v="27"/>
    <n v="48"/>
    <s v="No"/>
    <s v="No"/>
    <s v="Yes"/>
    <s v="No"/>
    <s v="Yes"/>
    <s v="No"/>
    <m/>
    <s v="1+ Failures"/>
    <n v="0"/>
    <s v="10-20hrs"/>
    <s v="12+ months"/>
    <x v="0"/>
  </r>
  <r>
    <n v="2571"/>
    <d v="2023-02-12T00:00:00"/>
    <s v="Premium"/>
    <n v="699"/>
    <n v="17.7"/>
    <n v="8"/>
    <n v="4"/>
    <n v="9"/>
    <n v="48"/>
    <s v="Yes"/>
    <s v="No"/>
    <s v="Yes"/>
    <s v="Yes"/>
    <s v="Yes"/>
    <s v="No"/>
    <m/>
    <s v="1+ Failures"/>
    <n v="1"/>
    <s v="10-20hrs"/>
    <s v="6-12months"/>
    <x v="0"/>
  </r>
  <r>
    <n v="2572"/>
    <d v="2023-05-29T00:00:00"/>
    <s v="Premium"/>
    <n v="699"/>
    <n v="23.9"/>
    <n v="0"/>
    <n v="3"/>
    <n v="35"/>
    <n v="29"/>
    <s v="No"/>
    <s v="No"/>
    <s v="Yes"/>
    <s v="No"/>
    <s v="Yes"/>
    <s v="No"/>
    <m/>
    <s v="1+ Failures"/>
    <n v="0"/>
    <s v="20+ hrs"/>
    <s v="12+ months"/>
    <x v="0"/>
  </r>
  <r>
    <n v="2573"/>
    <d v="2023-04-18T00:00:00"/>
    <s v="Basic"/>
    <n v="199"/>
    <n v="2.5"/>
    <n v="4"/>
    <n v="3"/>
    <n v="18"/>
    <n v="33"/>
    <s v="Yes"/>
    <s v="Yes"/>
    <s v="Yes"/>
    <s v="No"/>
    <s v="Yes"/>
    <s v="No"/>
    <m/>
    <s v="1+ Failures"/>
    <n v="1"/>
    <s v="0-5 hrs"/>
    <s v="12+ months"/>
    <x v="1"/>
  </r>
  <r>
    <n v="2574"/>
    <d v="2024-07-13T00:00:00"/>
    <s v="Basic"/>
    <n v="199"/>
    <n v="15.8"/>
    <n v="6"/>
    <n v="5"/>
    <n v="21"/>
    <n v="24"/>
    <s v="No"/>
    <s v="No"/>
    <s v="Yes"/>
    <s v="Yes"/>
    <s v="Yes"/>
    <s v="No"/>
    <m/>
    <s v="1+ Failures"/>
    <n v="0"/>
    <s v="10-20hrs"/>
    <s v="12+ months"/>
    <x v="1"/>
  </r>
  <r>
    <n v="2575"/>
    <d v="2024-09-25T00:00:00"/>
    <s v="Standard"/>
    <n v="399"/>
    <n v="15.6"/>
    <n v="3"/>
    <n v="5"/>
    <n v="35"/>
    <n v="37"/>
    <s v="Yes"/>
    <s v="No"/>
    <s v="Yes"/>
    <s v="No"/>
    <s v="Yes"/>
    <s v="No"/>
    <m/>
    <s v="1+ Failures"/>
    <n v="1"/>
    <s v="10-20hrs"/>
    <s v="12+ months"/>
    <x v="1"/>
  </r>
  <r>
    <n v="2576"/>
    <d v="2023-04-03T00:00:00"/>
    <s v="Premium"/>
    <n v="699"/>
    <n v="8.1"/>
    <n v="8"/>
    <n v="3"/>
    <n v="29"/>
    <n v="36"/>
    <s v="Yes"/>
    <s v="No"/>
    <s v="Yes"/>
    <s v="Yes"/>
    <s v="Yes"/>
    <s v="No"/>
    <m/>
    <s v="1+ Failures"/>
    <n v="1"/>
    <s v="5-10 hrs"/>
    <s v="12+ months"/>
    <x v="0"/>
  </r>
  <r>
    <n v="2577"/>
    <d v="2024-09-20T00:00:00"/>
    <s v="Standard"/>
    <n v="399"/>
    <n v="14.9"/>
    <n v="5"/>
    <n v="5"/>
    <n v="22"/>
    <n v="3"/>
    <s v="Yes"/>
    <s v="No"/>
    <s v="Yes"/>
    <s v="Yes"/>
    <s v="No"/>
    <s v="No"/>
    <m/>
    <s v="1+ Failures"/>
    <n v="1"/>
    <s v="10-20hrs"/>
    <s v="12+ months"/>
    <x v="1"/>
  </r>
  <r>
    <n v="2578"/>
    <d v="2024-01-26T00:00:00"/>
    <s v="Basic"/>
    <n v="199"/>
    <n v="1.9"/>
    <n v="7"/>
    <n v="2"/>
    <n v="12"/>
    <n v="15"/>
    <s v="Yes"/>
    <s v="Yes"/>
    <s v="Yes"/>
    <s v="Yes"/>
    <s v="Yes"/>
    <s v="No"/>
    <m/>
    <s v="1+ Failures"/>
    <n v="1"/>
    <s v="0-5 hrs"/>
    <s v="6-12months"/>
    <x v="1"/>
  </r>
  <r>
    <n v="2579"/>
    <d v="2023-03-05T00:00:00"/>
    <s v="Premium"/>
    <n v="699"/>
    <n v="9.1"/>
    <n v="1"/>
    <n v="3"/>
    <n v="3"/>
    <n v="5"/>
    <s v="No"/>
    <s v="No"/>
    <s v="Yes"/>
    <s v="No"/>
    <s v="No"/>
    <s v="Yes"/>
    <m/>
    <s v="1+ Failures"/>
    <n v="0"/>
    <s v="5-10 hrs"/>
    <s v="0-3months"/>
    <x v="0"/>
  </r>
  <r>
    <n v="2580"/>
    <d v="2023-09-12T00:00:00"/>
    <s v="Basic"/>
    <n v="199"/>
    <n v="18.899999999999999"/>
    <n v="8"/>
    <n v="3"/>
    <n v="35"/>
    <n v="13"/>
    <s v="Yes"/>
    <s v="No"/>
    <s v="Yes"/>
    <s v="Yes"/>
    <s v="No"/>
    <s v="No"/>
    <m/>
    <s v="1+ Failures"/>
    <n v="1"/>
    <s v="10-20hrs"/>
    <s v="12+ months"/>
    <x v="1"/>
  </r>
  <r>
    <n v="2581"/>
    <d v="2024-01-24T00:00:00"/>
    <s v="Standard"/>
    <n v="399"/>
    <n v="3"/>
    <n v="4"/>
    <n v="2"/>
    <n v="9"/>
    <n v="23"/>
    <s v="Yes"/>
    <s v="Yes"/>
    <s v="Yes"/>
    <s v="No"/>
    <s v="Yes"/>
    <s v="No"/>
    <m/>
    <s v="1+ Failures"/>
    <n v="1"/>
    <s v="0-5 hrs"/>
    <s v="6-12months"/>
    <x v="1"/>
  </r>
  <r>
    <n v="2582"/>
    <d v="2024-08-17T00:00:00"/>
    <s v="Standard"/>
    <n v="399"/>
    <n v="1.7"/>
    <n v="4"/>
    <n v="1"/>
    <n v="1"/>
    <n v="19"/>
    <s v="No"/>
    <s v="Yes"/>
    <s v="Yes"/>
    <s v="No"/>
    <s v="Yes"/>
    <s v="Yes"/>
    <m/>
    <s v="1+ Failures"/>
    <n v="0"/>
    <s v="0-5 hrs"/>
    <s v="0-3months"/>
    <x v="1"/>
  </r>
  <r>
    <n v="2583"/>
    <d v="2024-07-24T00:00:00"/>
    <s v="Standard"/>
    <n v="399"/>
    <n v="1.7"/>
    <n v="6"/>
    <n v="3"/>
    <n v="12"/>
    <n v="43"/>
    <s v="Yes"/>
    <s v="Yes"/>
    <s v="Yes"/>
    <s v="Yes"/>
    <s v="Yes"/>
    <s v="No"/>
    <m/>
    <s v="1+ Failures"/>
    <n v="1"/>
    <s v="0-5 hrs"/>
    <s v="6-12months"/>
    <x v="1"/>
  </r>
  <r>
    <n v="2584"/>
    <d v="2023-09-26T00:00:00"/>
    <s v="Premium"/>
    <n v="699"/>
    <n v="11.1"/>
    <n v="6"/>
    <n v="0"/>
    <n v="28"/>
    <n v="20"/>
    <s v="No"/>
    <s v="No"/>
    <s v="No"/>
    <s v="Yes"/>
    <s v="Yes"/>
    <s v="No"/>
    <m/>
    <s v="0 Failures"/>
    <n v="0"/>
    <s v="10-20hrs"/>
    <s v="12+ months"/>
    <x v="0"/>
  </r>
  <r>
    <n v="2585"/>
    <d v="2024-05-16T00:00:00"/>
    <s v="Basic"/>
    <n v="199"/>
    <n v="20.6"/>
    <n v="4"/>
    <n v="2"/>
    <n v="1"/>
    <n v="27"/>
    <s v="No"/>
    <s v="No"/>
    <s v="Yes"/>
    <s v="No"/>
    <s v="Yes"/>
    <s v="Yes"/>
    <m/>
    <s v="1+ Failures"/>
    <n v="0"/>
    <s v="20+ hrs"/>
    <s v="0-3months"/>
    <x v="1"/>
  </r>
  <r>
    <n v="2586"/>
    <d v="2023-11-12T00:00:00"/>
    <s v="Standard"/>
    <n v="399"/>
    <n v="13.7"/>
    <n v="0"/>
    <n v="4"/>
    <n v="22"/>
    <n v="28"/>
    <s v="No"/>
    <s v="No"/>
    <s v="Yes"/>
    <s v="No"/>
    <s v="Yes"/>
    <s v="No"/>
    <m/>
    <s v="1+ Failures"/>
    <n v="0"/>
    <s v="10-20hrs"/>
    <s v="12+ months"/>
    <x v="1"/>
  </r>
  <r>
    <n v="2587"/>
    <d v="2023-09-06T00:00:00"/>
    <s v="Standard"/>
    <n v="399"/>
    <n v="5.2"/>
    <n v="8"/>
    <n v="4"/>
    <n v="15"/>
    <n v="1"/>
    <s v="Yes"/>
    <s v="No"/>
    <s v="Yes"/>
    <s v="Yes"/>
    <s v="No"/>
    <s v="No"/>
    <m/>
    <s v="1+ Failures"/>
    <n v="1"/>
    <s v="5-10 hrs"/>
    <s v="12+ months"/>
    <x v="1"/>
  </r>
  <r>
    <n v="2588"/>
    <d v="2024-03-04T00:00:00"/>
    <s v="Standard"/>
    <n v="399"/>
    <n v="20.100000000000001"/>
    <n v="6"/>
    <n v="1"/>
    <n v="17"/>
    <n v="54"/>
    <s v="No"/>
    <s v="No"/>
    <s v="Yes"/>
    <s v="Yes"/>
    <s v="Yes"/>
    <s v="No"/>
    <m/>
    <s v="1+ Failures"/>
    <n v="0"/>
    <s v="20+ hrs"/>
    <s v="12+ months"/>
    <x v="1"/>
  </r>
  <r>
    <n v="2589"/>
    <d v="2023-12-22T00:00:00"/>
    <s v="Standard"/>
    <n v="399"/>
    <n v="1.8"/>
    <n v="6"/>
    <n v="5"/>
    <n v="19"/>
    <n v="21"/>
    <s v="Yes"/>
    <s v="Yes"/>
    <s v="Yes"/>
    <s v="Yes"/>
    <s v="Yes"/>
    <s v="No"/>
    <m/>
    <s v="1+ Failures"/>
    <n v="1"/>
    <s v="0-5 hrs"/>
    <s v="12+ months"/>
    <x v="1"/>
  </r>
  <r>
    <n v="2590"/>
    <d v="2023-06-29T00:00:00"/>
    <s v="Basic"/>
    <n v="199"/>
    <n v="0.7"/>
    <n v="6"/>
    <n v="1"/>
    <n v="4"/>
    <n v="54"/>
    <s v="Yes"/>
    <s v="Yes"/>
    <s v="Yes"/>
    <s v="Yes"/>
    <s v="Yes"/>
    <s v="Yes"/>
    <m/>
    <s v="1+ Failures"/>
    <n v="1"/>
    <s v="0-5 hrs"/>
    <s v="3-6months"/>
    <x v="1"/>
  </r>
  <r>
    <n v="2591"/>
    <d v="2024-11-03T00:00:00"/>
    <s v="Basic"/>
    <n v="199"/>
    <n v="4.9000000000000004"/>
    <n v="7"/>
    <n v="3"/>
    <n v="19"/>
    <n v="56"/>
    <s v="Yes"/>
    <s v="Yes"/>
    <s v="Yes"/>
    <s v="Yes"/>
    <s v="Yes"/>
    <s v="No"/>
    <m/>
    <s v="1+ Failures"/>
    <n v="1"/>
    <s v="0-5 hrs"/>
    <s v="12+ months"/>
    <x v="1"/>
  </r>
  <r>
    <n v="2592"/>
    <d v="2023-04-17T00:00:00"/>
    <s v="Standard"/>
    <n v="399"/>
    <n v="10.3"/>
    <n v="5"/>
    <n v="4"/>
    <n v="20"/>
    <n v="4"/>
    <s v="Yes"/>
    <s v="No"/>
    <s v="Yes"/>
    <s v="Yes"/>
    <s v="No"/>
    <s v="No"/>
    <m/>
    <s v="1+ Failures"/>
    <n v="1"/>
    <s v="10-20hrs"/>
    <s v="12+ months"/>
    <x v="1"/>
  </r>
  <r>
    <n v="2593"/>
    <d v="2024-05-30T00:00:00"/>
    <s v="Basic"/>
    <n v="199"/>
    <n v="7.4"/>
    <n v="1"/>
    <n v="0"/>
    <n v="12"/>
    <n v="23"/>
    <s v="No"/>
    <s v="No"/>
    <s v="No"/>
    <s v="No"/>
    <s v="Yes"/>
    <s v="No"/>
    <m/>
    <s v="0 Failures"/>
    <n v="0"/>
    <s v="5-10 hrs"/>
    <s v="6-12months"/>
    <x v="1"/>
  </r>
  <r>
    <n v="2594"/>
    <d v="2024-07-03T00:00:00"/>
    <s v="Standard"/>
    <n v="399"/>
    <n v="20"/>
    <n v="6"/>
    <n v="0"/>
    <n v="35"/>
    <n v="0"/>
    <s v="No"/>
    <s v="No"/>
    <s v="No"/>
    <s v="Yes"/>
    <s v="No"/>
    <s v="No"/>
    <m/>
    <s v="0 Failures"/>
    <n v="0"/>
    <s v="10-20hrs"/>
    <s v="12+ months"/>
    <x v="1"/>
  </r>
  <r>
    <n v="2595"/>
    <d v="2024-07-26T00:00:00"/>
    <s v="Basic"/>
    <n v="199"/>
    <n v="12.1"/>
    <n v="8"/>
    <n v="3"/>
    <n v="7"/>
    <n v="30"/>
    <s v="Yes"/>
    <s v="No"/>
    <s v="Yes"/>
    <s v="Yes"/>
    <s v="Yes"/>
    <s v="No"/>
    <m/>
    <s v="1+ Failures"/>
    <n v="1"/>
    <s v="10-20hrs"/>
    <s v="6-12months"/>
    <x v="1"/>
  </r>
  <r>
    <n v="2596"/>
    <d v="2024-01-02T00:00:00"/>
    <s v="Basic"/>
    <n v="199"/>
    <n v="21.9"/>
    <n v="2"/>
    <n v="4"/>
    <n v="13"/>
    <n v="38"/>
    <s v="No"/>
    <s v="No"/>
    <s v="Yes"/>
    <s v="No"/>
    <s v="Yes"/>
    <s v="No"/>
    <m/>
    <s v="1+ Failures"/>
    <n v="0"/>
    <s v="20+ hrs"/>
    <s v="12+ months"/>
    <x v="1"/>
  </r>
  <r>
    <n v="2597"/>
    <d v="2024-02-23T00:00:00"/>
    <s v="Standard"/>
    <n v="399"/>
    <n v="23.3"/>
    <n v="4"/>
    <n v="3"/>
    <n v="1"/>
    <n v="8"/>
    <s v="No"/>
    <s v="No"/>
    <s v="Yes"/>
    <s v="No"/>
    <s v="No"/>
    <s v="Yes"/>
    <m/>
    <s v="1+ Failures"/>
    <n v="0"/>
    <s v="20+ hrs"/>
    <s v="0-3months"/>
    <x v="1"/>
  </r>
  <r>
    <n v="2598"/>
    <d v="2023-06-18T00:00:00"/>
    <s v="Standard"/>
    <n v="399"/>
    <n v="16.100000000000001"/>
    <n v="6"/>
    <n v="0"/>
    <n v="11"/>
    <n v="9"/>
    <s v="No"/>
    <s v="No"/>
    <s v="No"/>
    <s v="Yes"/>
    <s v="No"/>
    <s v="No"/>
    <m/>
    <s v="0 Failures"/>
    <n v="0"/>
    <s v="10-20hrs"/>
    <s v="6-12months"/>
    <x v="1"/>
  </r>
  <r>
    <n v="2599"/>
    <d v="2023-12-17T00:00:00"/>
    <s v="Basic"/>
    <n v="199"/>
    <n v="13.5"/>
    <n v="3"/>
    <n v="5"/>
    <n v="14"/>
    <n v="48"/>
    <s v="No"/>
    <s v="No"/>
    <s v="Yes"/>
    <s v="No"/>
    <s v="Yes"/>
    <s v="No"/>
    <m/>
    <s v="1+ Failures"/>
    <n v="0"/>
    <s v="10-20hrs"/>
    <s v="12+ months"/>
    <x v="1"/>
  </r>
  <r>
    <n v="2600"/>
    <d v="2023-12-25T00:00:00"/>
    <s v="Basic"/>
    <n v="199"/>
    <n v="9"/>
    <n v="6"/>
    <n v="4"/>
    <n v="28"/>
    <n v="3"/>
    <s v="Yes"/>
    <s v="No"/>
    <s v="Yes"/>
    <s v="Yes"/>
    <s v="No"/>
    <s v="No"/>
    <m/>
    <s v="1+ Failures"/>
    <n v="1"/>
    <s v="5-10 hrs"/>
    <s v="12+ months"/>
    <x v="1"/>
  </r>
  <r>
    <n v="2601"/>
    <d v="2023-05-07T00:00:00"/>
    <s v="Premium"/>
    <n v="699"/>
    <n v="9.5"/>
    <n v="4"/>
    <n v="4"/>
    <n v="11"/>
    <n v="11"/>
    <s v="Yes"/>
    <s v="No"/>
    <s v="Yes"/>
    <s v="No"/>
    <s v="No"/>
    <s v="No"/>
    <m/>
    <s v="1+ Failures"/>
    <n v="1"/>
    <s v="5-10 hrs"/>
    <s v="6-12months"/>
    <x v="0"/>
  </r>
  <r>
    <n v="2602"/>
    <d v="2024-01-06T00:00:00"/>
    <s v="Premium"/>
    <n v="699"/>
    <n v="17.5"/>
    <n v="3"/>
    <n v="4"/>
    <n v="36"/>
    <n v="20"/>
    <s v="No"/>
    <s v="No"/>
    <s v="Yes"/>
    <s v="No"/>
    <s v="Yes"/>
    <s v="No"/>
    <m/>
    <s v="1+ Failures"/>
    <n v="0"/>
    <s v="10-20hrs"/>
    <s v="12+ months"/>
    <x v="0"/>
  </r>
  <r>
    <n v="2603"/>
    <d v="2023-10-20T00:00:00"/>
    <s v="Standard"/>
    <n v="399"/>
    <n v="1.3"/>
    <n v="6"/>
    <n v="2"/>
    <n v="4"/>
    <n v="19"/>
    <s v="Yes"/>
    <s v="Yes"/>
    <s v="Yes"/>
    <s v="Yes"/>
    <s v="Yes"/>
    <s v="Yes"/>
    <m/>
    <s v="1+ Failures"/>
    <n v="1"/>
    <s v="0-5 hrs"/>
    <s v="3-6months"/>
    <x v="1"/>
  </r>
  <r>
    <n v="2604"/>
    <d v="2023-04-25T00:00:00"/>
    <s v="Premium"/>
    <n v="699"/>
    <n v="8.8000000000000007"/>
    <n v="2"/>
    <n v="1"/>
    <n v="30"/>
    <n v="54"/>
    <s v="No"/>
    <s v="No"/>
    <s v="Yes"/>
    <s v="No"/>
    <s v="Yes"/>
    <s v="No"/>
    <m/>
    <s v="1+ Failures"/>
    <n v="0"/>
    <s v="5-10 hrs"/>
    <s v="12+ months"/>
    <x v="0"/>
  </r>
  <r>
    <n v="2605"/>
    <d v="2024-05-18T00:00:00"/>
    <s v="Basic"/>
    <n v="199"/>
    <n v="4.3"/>
    <n v="7"/>
    <n v="2"/>
    <n v="13"/>
    <n v="49"/>
    <s v="Yes"/>
    <s v="Yes"/>
    <s v="Yes"/>
    <s v="Yes"/>
    <s v="Yes"/>
    <s v="No"/>
    <m/>
    <s v="1+ Failures"/>
    <n v="1"/>
    <s v="0-5 hrs"/>
    <s v="12+ months"/>
    <x v="1"/>
  </r>
  <r>
    <n v="2606"/>
    <d v="2024-10-22T00:00:00"/>
    <s v="Premium"/>
    <n v="699"/>
    <n v="11.5"/>
    <n v="6"/>
    <n v="1"/>
    <n v="6"/>
    <n v="15"/>
    <s v="No"/>
    <s v="No"/>
    <s v="Yes"/>
    <s v="Yes"/>
    <s v="Yes"/>
    <s v="No"/>
    <m/>
    <s v="1+ Failures"/>
    <n v="0"/>
    <s v="10-20hrs"/>
    <s v="3-6months"/>
    <x v="0"/>
  </r>
  <r>
    <n v="2607"/>
    <d v="2024-07-05T00:00:00"/>
    <s v="Premium"/>
    <n v="699"/>
    <n v="12.5"/>
    <n v="0"/>
    <n v="1"/>
    <n v="11"/>
    <n v="55"/>
    <s v="No"/>
    <s v="No"/>
    <s v="Yes"/>
    <s v="No"/>
    <s v="Yes"/>
    <s v="No"/>
    <m/>
    <s v="1+ Failures"/>
    <n v="0"/>
    <s v="10-20hrs"/>
    <s v="6-12months"/>
    <x v="0"/>
  </r>
  <r>
    <n v="2608"/>
    <d v="2024-07-09T00:00:00"/>
    <s v="Standard"/>
    <n v="399"/>
    <n v="20.6"/>
    <n v="7"/>
    <n v="2"/>
    <n v="11"/>
    <n v="45"/>
    <s v="Yes"/>
    <s v="No"/>
    <s v="Yes"/>
    <s v="Yes"/>
    <s v="Yes"/>
    <s v="No"/>
    <m/>
    <s v="1+ Failures"/>
    <n v="1"/>
    <s v="20+ hrs"/>
    <s v="6-12months"/>
    <x v="1"/>
  </r>
  <r>
    <n v="2609"/>
    <d v="2023-12-03T00:00:00"/>
    <s v="Basic"/>
    <n v="199"/>
    <n v="15.4"/>
    <n v="6"/>
    <n v="1"/>
    <n v="5"/>
    <n v="52"/>
    <s v="Yes"/>
    <s v="No"/>
    <s v="Yes"/>
    <s v="Yes"/>
    <s v="Yes"/>
    <s v="Yes"/>
    <m/>
    <s v="1+ Failures"/>
    <n v="1"/>
    <s v="10-20hrs"/>
    <s v="3-6months"/>
    <x v="1"/>
  </r>
  <r>
    <n v="2610"/>
    <d v="2023-05-29T00:00:00"/>
    <s v="Premium"/>
    <n v="699"/>
    <n v="1.3"/>
    <n v="3"/>
    <n v="2"/>
    <n v="13"/>
    <n v="46"/>
    <s v="Yes"/>
    <s v="Yes"/>
    <s v="Yes"/>
    <s v="No"/>
    <s v="Yes"/>
    <s v="No"/>
    <m/>
    <s v="1+ Failures"/>
    <n v="1"/>
    <s v="0-5 hrs"/>
    <s v="12+ months"/>
    <x v="0"/>
  </r>
  <r>
    <n v="2611"/>
    <d v="2024-12-17T00:00:00"/>
    <s v="Standard"/>
    <n v="399"/>
    <n v="8.6"/>
    <n v="3"/>
    <n v="2"/>
    <n v="15"/>
    <n v="0"/>
    <s v="Yes"/>
    <s v="No"/>
    <s v="Yes"/>
    <s v="No"/>
    <s v="No"/>
    <s v="No"/>
    <m/>
    <s v="1+ Failures"/>
    <n v="1"/>
    <s v="5-10 hrs"/>
    <s v="12+ months"/>
    <x v="1"/>
  </r>
  <r>
    <n v="2612"/>
    <d v="2024-06-10T00:00:00"/>
    <s v="Premium"/>
    <n v="699"/>
    <n v="13.1"/>
    <n v="6"/>
    <n v="3"/>
    <n v="7"/>
    <n v="30"/>
    <s v="Yes"/>
    <s v="No"/>
    <s v="Yes"/>
    <s v="Yes"/>
    <s v="Yes"/>
    <s v="No"/>
    <m/>
    <s v="1+ Failures"/>
    <n v="1"/>
    <s v="10-20hrs"/>
    <s v="6-12months"/>
    <x v="0"/>
  </r>
  <r>
    <n v="2613"/>
    <d v="2024-11-17T00:00:00"/>
    <s v="Basic"/>
    <n v="199"/>
    <n v="9"/>
    <n v="2"/>
    <n v="2"/>
    <n v="28"/>
    <n v="16"/>
    <s v="Yes"/>
    <s v="No"/>
    <s v="Yes"/>
    <s v="No"/>
    <s v="Yes"/>
    <s v="No"/>
    <m/>
    <s v="1+ Failures"/>
    <n v="1"/>
    <s v="5-10 hrs"/>
    <s v="12+ months"/>
    <x v="1"/>
  </r>
  <r>
    <n v="2614"/>
    <d v="2024-01-06T00:00:00"/>
    <s v="Standard"/>
    <n v="399"/>
    <n v="6.9"/>
    <n v="0"/>
    <n v="4"/>
    <n v="17"/>
    <n v="13"/>
    <s v="No"/>
    <s v="No"/>
    <s v="Yes"/>
    <s v="No"/>
    <s v="No"/>
    <s v="No"/>
    <m/>
    <s v="1+ Failures"/>
    <n v="0"/>
    <s v="5-10 hrs"/>
    <s v="12+ months"/>
    <x v="1"/>
  </r>
  <r>
    <n v="2615"/>
    <d v="2023-04-20T00:00:00"/>
    <s v="Premium"/>
    <n v="699"/>
    <n v="12.1"/>
    <n v="3"/>
    <n v="3"/>
    <n v="5"/>
    <n v="45"/>
    <s v="No"/>
    <s v="No"/>
    <s v="Yes"/>
    <s v="No"/>
    <s v="Yes"/>
    <s v="Yes"/>
    <m/>
    <s v="1+ Failures"/>
    <n v="0"/>
    <s v="10-20hrs"/>
    <s v="3-6months"/>
    <x v="0"/>
  </r>
  <r>
    <n v="2616"/>
    <d v="2024-05-29T00:00:00"/>
    <s v="Basic"/>
    <n v="199"/>
    <n v="6.4"/>
    <n v="1"/>
    <n v="1"/>
    <n v="21"/>
    <n v="34"/>
    <s v="No"/>
    <s v="No"/>
    <s v="Yes"/>
    <s v="No"/>
    <s v="Yes"/>
    <s v="No"/>
    <m/>
    <s v="1+ Failures"/>
    <n v="0"/>
    <s v="5-10 hrs"/>
    <s v="12+ months"/>
    <x v="1"/>
  </r>
  <r>
    <n v="2617"/>
    <d v="2024-08-23T00:00:00"/>
    <s v="Premium"/>
    <n v="699"/>
    <n v="21.9"/>
    <n v="6"/>
    <n v="4"/>
    <n v="17"/>
    <n v="36"/>
    <s v="Yes"/>
    <s v="No"/>
    <s v="Yes"/>
    <s v="Yes"/>
    <s v="Yes"/>
    <s v="No"/>
    <m/>
    <s v="1+ Failures"/>
    <n v="1"/>
    <s v="20+ hrs"/>
    <s v="12+ months"/>
    <x v="0"/>
  </r>
  <r>
    <n v="2618"/>
    <d v="2024-12-20T00:00:00"/>
    <s v="Premium"/>
    <n v="699"/>
    <n v="19.5"/>
    <n v="0"/>
    <n v="2"/>
    <n v="33"/>
    <n v="20"/>
    <s v="No"/>
    <s v="No"/>
    <s v="Yes"/>
    <s v="No"/>
    <s v="Yes"/>
    <s v="No"/>
    <m/>
    <s v="1+ Failures"/>
    <n v="0"/>
    <s v="10-20hrs"/>
    <s v="12+ months"/>
    <x v="0"/>
  </r>
  <r>
    <n v="2619"/>
    <d v="2023-08-27T00:00:00"/>
    <s v="Basic"/>
    <n v="199"/>
    <n v="3.1"/>
    <n v="7"/>
    <n v="5"/>
    <n v="31"/>
    <n v="8"/>
    <s v="Yes"/>
    <s v="Yes"/>
    <s v="Yes"/>
    <s v="Yes"/>
    <s v="No"/>
    <s v="No"/>
    <m/>
    <s v="1+ Failures"/>
    <n v="1"/>
    <s v="0-5 hrs"/>
    <s v="12+ months"/>
    <x v="1"/>
  </r>
  <r>
    <n v="2620"/>
    <d v="2023-06-29T00:00:00"/>
    <s v="Basic"/>
    <n v="199"/>
    <n v="21.6"/>
    <n v="8"/>
    <n v="5"/>
    <n v="6"/>
    <n v="24"/>
    <s v="Yes"/>
    <s v="No"/>
    <s v="Yes"/>
    <s v="Yes"/>
    <s v="Yes"/>
    <s v="No"/>
    <m/>
    <s v="1+ Failures"/>
    <n v="1"/>
    <s v="20+ hrs"/>
    <s v="3-6months"/>
    <x v="1"/>
  </r>
  <r>
    <n v="2621"/>
    <d v="2023-06-16T00:00:00"/>
    <s v="Standard"/>
    <n v="399"/>
    <n v="22.7"/>
    <n v="8"/>
    <n v="5"/>
    <n v="9"/>
    <n v="14"/>
    <s v="No"/>
    <s v="No"/>
    <s v="Yes"/>
    <s v="Yes"/>
    <s v="No"/>
    <s v="No"/>
    <m/>
    <s v="1+ Failures"/>
    <n v="0"/>
    <s v="20+ hrs"/>
    <s v="6-12months"/>
    <x v="1"/>
  </r>
  <r>
    <n v="2622"/>
    <d v="2024-11-06T00:00:00"/>
    <s v="Premium"/>
    <n v="699"/>
    <n v="6.3"/>
    <n v="1"/>
    <n v="1"/>
    <n v="16"/>
    <n v="7"/>
    <s v="No"/>
    <s v="No"/>
    <s v="Yes"/>
    <s v="No"/>
    <s v="No"/>
    <s v="No"/>
    <m/>
    <s v="1+ Failures"/>
    <n v="0"/>
    <s v="5-10 hrs"/>
    <s v="12+ months"/>
    <x v="0"/>
  </r>
  <r>
    <n v="2623"/>
    <d v="2024-06-13T00:00:00"/>
    <s v="Premium"/>
    <n v="699"/>
    <n v="1.2"/>
    <n v="2"/>
    <n v="4"/>
    <n v="32"/>
    <n v="13"/>
    <s v="No"/>
    <s v="Yes"/>
    <s v="Yes"/>
    <s v="No"/>
    <s v="No"/>
    <s v="No"/>
    <m/>
    <s v="1+ Failures"/>
    <n v="0"/>
    <s v="0-5 hrs"/>
    <s v="12+ months"/>
    <x v="0"/>
  </r>
  <r>
    <n v="2624"/>
    <d v="2023-02-15T00:00:00"/>
    <s v="Premium"/>
    <n v="699"/>
    <n v="17.899999999999999"/>
    <n v="8"/>
    <n v="1"/>
    <n v="4"/>
    <n v="10"/>
    <s v="Yes"/>
    <s v="No"/>
    <s v="Yes"/>
    <s v="Yes"/>
    <s v="No"/>
    <s v="Yes"/>
    <m/>
    <s v="1+ Failures"/>
    <n v="1"/>
    <s v="10-20hrs"/>
    <s v="3-6months"/>
    <x v="0"/>
  </r>
  <r>
    <n v="2625"/>
    <d v="2024-06-18T00:00:00"/>
    <s v="Basic"/>
    <n v="199"/>
    <n v="5"/>
    <n v="2"/>
    <n v="0"/>
    <n v="1"/>
    <n v="1"/>
    <s v="Yes"/>
    <s v="No"/>
    <s v="No"/>
    <s v="No"/>
    <s v="No"/>
    <s v="Yes"/>
    <m/>
    <s v="0 Failures"/>
    <n v="1"/>
    <s v="0-5 hrs"/>
    <s v="0-3months"/>
    <x v="1"/>
  </r>
  <r>
    <n v="2626"/>
    <d v="2024-10-08T00:00:00"/>
    <s v="Standard"/>
    <n v="399"/>
    <n v="11.1"/>
    <n v="1"/>
    <n v="0"/>
    <n v="30"/>
    <n v="58"/>
    <s v="Yes"/>
    <s v="No"/>
    <s v="No"/>
    <s v="No"/>
    <s v="Yes"/>
    <s v="No"/>
    <m/>
    <s v="0 Failures"/>
    <n v="1"/>
    <s v="10-20hrs"/>
    <s v="12+ months"/>
    <x v="1"/>
  </r>
  <r>
    <n v="2627"/>
    <d v="2024-07-14T00:00:00"/>
    <s v="Premium"/>
    <n v="699"/>
    <n v="23"/>
    <n v="7"/>
    <n v="5"/>
    <n v="36"/>
    <n v="24"/>
    <s v="Yes"/>
    <s v="No"/>
    <s v="Yes"/>
    <s v="Yes"/>
    <s v="Yes"/>
    <s v="No"/>
    <m/>
    <s v="1+ Failures"/>
    <n v="1"/>
    <s v="20+ hrs"/>
    <s v="12+ months"/>
    <x v="0"/>
  </r>
  <r>
    <n v="2628"/>
    <d v="2023-08-29T00:00:00"/>
    <s v="Basic"/>
    <n v="199"/>
    <n v="5.0999999999999996"/>
    <n v="6"/>
    <n v="0"/>
    <n v="19"/>
    <n v="18"/>
    <s v="Yes"/>
    <s v="No"/>
    <s v="No"/>
    <s v="Yes"/>
    <s v="Yes"/>
    <s v="No"/>
    <m/>
    <s v="0 Failures"/>
    <n v="1"/>
    <s v="5-10 hrs"/>
    <s v="12+ months"/>
    <x v="1"/>
  </r>
  <r>
    <n v="2629"/>
    <d v="2024-06-06T00:00:00"/>
    <s v="Premium"/>
    <n v="699"/>
    <n v="23.2"/>
    <n v="3"/>
    <n v="5"/>
    <n v="19"/>
    <n v="60"/>
    <s v="Yes"/>
    <s v="No"/>
    <s v="Yes"/>
    <s v="No"/>
    <s v="Yes"/>
    <s v="No"/>
    <m/>
    <s v="1+ Failures"/>
    <n v="1"/>
    <s v="20+ hrs"/>
    <s v="12+ months"/>
    <x v="0"/>
  </r>
  <r>
    <n v="2630"/>
    <d v="2023-11-13T00:00:00"/>
    <s v="Basic"/>
    <n v="199"/>
    <n v="7.3"/>
    <n v="8"/>
    <n v="5"/>
    <n v="31"/>
    <n v="8"/>
    <s v="Yes"/>
    <s v="No"/>
    <s v="Yes"/>
    <s v="Yes"/>
    <s v="No"/>
    <s v="No"/>
    <m/>
    <s v="1+ Failures"/>
    <n v="1"/>
    <s v="5-10 hrs"/>
    <s v="12+ months"/>
    <x v="1"/>
  </r>
  <r>
    <n v="2631"/>
    <d v="2023-01-18T00:00:00"/>
    <s v="Standard"/>
    <n v="399"/>
    <n v="20.9"/>
    <n v="1"/>
    <n v="0"/>
    <n v="21"/>
    <n v="0"/>
    <s v="No"/>
    <s v="No"/>
    <s v="No"/>
    <s v="No"/>
    <s v="No"/>
    <s v="No"/>
    <m/>
    <s v="0 Failures"/>
    <n v="0"/>
    <s v="20+ hrs"/>
    <s v="12+ months"/>
    <x v="1"/>
  </r>
  <r>
    <n v="2632"/>
    <d v="2023-12-04T00:00:00"/>
    <s v="Standard"/>
    <n v="399"/>
    <n v="22.9"/>
    <n v="0"/>
    <n v="2"/>
    <n v="26"/>
    <n v="52"/>
    <s v="No"/>
    <s v="No"/>
    <s v="Yes"/>
    <s v="No"/>
    <s v="Yes"/>
    <s v="No"/>
    <m/>
    <s v="1+ Failures"/>
    <n v="0"/>
    <s v="20+ hrs"/>
    <s v="12+ months"/>
    <x v="1"/>
  </r>
  <r>
    <n v="2633"/>
    <d v="2023-02-17T00:00:00"/>
    <s v="Premium"/>
    <n v="699"/>
    <n v="11.2"/>
    <n v="1"/>
    <n v="2"/>
    <n v="25"/>
    <n v="1"/>
    <s v="No"/>
    <s v="No"/>
    <s v="Yes"/>
    <s v="No"/>
    <s v="No"/>
    <s v="No"/>
    <m/>
    <s v="1+ Failures"/>
    <n v="0"/>
    <s v="10-20hrs"/>
    <s v="12+ months"/>
    <x v="0"/>
  </r>
  <r>
    <n v="2634"/>
    <d v="2023-01-14T00:00:00"/>
    <s v="Standard"/>
    <n v="399"/>
    <n v="24.3"/>
    <n v="6"/>
    <n v="3"/>
    <n v="28"/>
    <n v="17"/>
    <s v="Yes"/>
    <s v="No"/>
    <s v="Yes"/>
    <s v="Yes"/>
    <s v="Yes"/>
    <s v="No"/>
    <m/>
    <s v="1+ Failures"/>
    <n v="1"/>
    <s v="20+ hrs"/>
    <s v="12+ months"/>
    <x v="1"/>
  </r>
  <r>
    <n v="2635"/>
    <d v="2023-08-19T00:00:00"/>
    <s v="Premium"/>
    <n v="699"/>
    <n v="22.9"/>
    <n v="4"/>
    <n v="0"/>
    <n v="26"/>
    <n v="45"/>
    <s v="Yes"/>
    <s v="No"/>
    <s v="No"/>
    <s v="No"/>
    <s v="Yes"/>
    <s v="No"/>
    <m/>
    <s v="0 Failures"/>
    <n v="1"/>
    <s v="20+ hrs"/>
    <s v="12+ months"/>
    <x v="0"/>
  </r>
  <r>
    <n v="2636"/>
    <d v="2024-08-28T00:00:00"/>
    <s v="Standard"/>
    <n v="399"/>
    <n v="20.3"/>
    <n v="8"/>
    <n v="2"/>
    <n v="1"/>
    <n v="6"/>
    <s v="Yes"/>
    <s v="No"/>
    <s v="Yes"/>
    <s v="Yes"/>
    <s v="No"/>
    <s v="Yes"/>
    <m/>
    <s v="1+ Failures"/>
    <n v="1"/>
    <s v="20+ hrs"/>
    <s v="0-3months"/>
    <x v="1"/>
  </r>
  <r>
    <n v="2637"/>
    <d v="2023-07-19T00:00:00"/>
    <s v="Standard"/>
    <n v="399"/>
    <n v="1.5"/>
    <n v="0"/>
    <n v="2"/>
    <n v="31"/>
    <n v="49"/>
    <s v="Yes"/>
    <s v="Yes"/>
    <s v="Yes"/>
    <s v="No"/>
    <s v="Yes"/>
    <s v="No"/>
    <m/>
    <s v="1+ Failures"/>
    <n v="1"/>
    <s v="0-5 hrs"/>
    <s v="12+ months"/>
    <x v="1"/>
  </r>
  <r>
    <n v="2638"/>
    <d v="2024-08-04T00:00:00"/>
    <s v="Standard"/>
    <n v="399"/>
    <n v="13.9"/>
    <n v="4"/>
    <n v="4"/>
    <n v="27"/>
    <n v="9"/>
    <s v="Yes"/>
    <s v="No"/>
    <s v="Yes"/>
    <s v="No"/>
    <s v="No"/>
    <s v="No"/>
    <m/>
    <s v="1+ Failures"/>
    <n v="1"/>
    <s v="10-20hrs"/>
    <s v="12+ months"/>
    <x v="1"/>
  </r>
  <r>
    <n v="2639"/>
    <d v="2024-03-19T00:00:00"/>
    <s v="Premium"/>
    <n v="699"/>
    <n v="4.4000000000000004"/>
    <n v="7"/>
    <n v="0"/>
    <n v="26"/>
    <n v="33"/>
    <s v="Yes"/>
    <s v="Yes"/>
    <s v="No"/>
    <s v="Yes"/>
    <s v="Yes"/>
    <s v="No"/>
    <m/>
    <s v="0 Failures"/>
    <n v="1"/>
    <s v="0-5 hrs"/>
    <s v="12+ months"/>
    <x v="0"/>
  </r>
  <r>
    <n v="2640"/>
    <d v="2024-11-07T00:00:00"/>
    <s v="Premium"/>
    <n v="699"/>
    <n v="13.2"/>
    <n v="1"/>
    <n v="3"/>
    <n v="36"/>
    <n v="33"/>
    <s v="No"/>
    <s v="No"/>
    <s v="Yes"/>
    <s v="No"/>
    <s v="Yes"/>
    <s v="No"/>
    <m/>
    <s v="1+ Failures"/>
    <n v="0"/>
    <s v="10-20hrs"/>
    <s v="12+ months"/>
    <x v="0"/>
  </r>
  <r>
    <n v="2641"/>
    <d v="2024-08-28T00:00:00"/>
    <s v="Premium"/>
    <n v="699"/>
    <n v="19.600000000000001"/>
    <n v="1"/>
    <n v="2"/>
    <n v="32"/>
    <n v="1"/>
    <s v="No"/>
    <s v="No"/>
    <s v="Yes"/>
    <s v="No"/>
    <s v="No"/>
    <s v="No"/>
    <m/>
    <s v="1+ Failures"/>
    <n v="0"/>
    <s v="10-20hrs"/>
    <s v="12+ months"/>
    <x v="0"/>
  </r>
  <r>
    <n v="2642"/>
    <d v="2023-01-24T00:00:00"/>
    <s v="Standard"/>
    <n v="399"/>
    <n v="9.4"/>
    <n v="1"/>
    <n v="4"/>
    <n v="12"/>
    <n v="29"/>
    <s v="No"/>
    <s v="No"/>
    <s v="Yes"/>
    <s v="No"/>
    <s v="Yes"/>
    <s v="No"/>
    <m/>
    <s v="1+ Failures"/>
    <n v="0"/>
    <s v="5-10 hrs"/>
    <s v="6-12months"/>
    <x v="1"/>
  </r>
  <r>
    <n v="2643"/>
    <d v="2024-01-03T00:00:00"/>
    <s v="Premium"/>
    <n v="699"/>
    <n v="3.6"/>
    <n v="1"/>
    <n v="1"/>
    <n v="16"/>
    <n v="27"/>
    <s v="No"/>
    <s v="Yes"/>
    <s v="Yes"/>
    <s v="No"/>
    <s v="Yes"/>
    <s v="No"/>
    <m/>
    <s v="1+ Failures"/>
    <n v="0"/>
    <s v="0-5 hrs"/>
    <s v="12+ months"/>
    <x v="0"/>
  </r>
  <r>
    <n v="2644"/>
    <d v="2023-03-22T00:00:00"/>
    <s v="Standard"/>
    <n v="399"/>
    <n v="14.6"/>
    <n v="2"/>
    <n v="3"/>
    <n v="34"/>
    <n v="0"/>
    <s v="Yes"/>
    <s v="No"/>
    <s v="Yes"/>
    <s v="No"/>
    <s v="No"/>
    <s v="No"/>
    <m/>
    <s v="1+ Failures"/>
    <n v="1"/>
    <s v="10-20hrs"/>
    <s v="12+ months"/>
    <x v="1"/>
  </r>
  <r>
    <n v="2645"/>
    <d v="2024-04-17T00:00:00"/>
    <s v="Premium"/>
    <n v="699"/>
    <n v="19.100000000000001"/>
    <n v="5"/>
    <n v="1"/>
    <n v="1"/>
    <n v="60"/>
    <s v="Yes"/>
    <s v="No"/>
    <s v="Yes"/>
    <s v="Yes"/>
    <s v="Yes"/>
    <s v="Yes"/>
    <m/>
    <s v="1+ Failures"/>
    <n v="1"/>
    <s v="10-20hrs"/>
    <s v="0-3months"/>
    <x v="0"/>
  </r>
  <r>
    <n v="2646"/>
    <d v="2024-12-24T00:00:00"/>
    <s v="Standard"/>
    <n v="399"/>
    <n v="13"/>
    <n v="1"/>
    <n v="3"/>
    <n v="22"/>
    <n v="31"/>
    <s v="Yes"/>
    <s v="No"/>
    <s v="Yes"/>
    <s v="No"/>
    <s v="Yes"/>
    <s v="No"/>
    <m/>
    <s v="1+ Failures"/>
    <n v="1"/>
    <s v="10-20hrs"/>
    <s v="12+ months"/>
    <x v="1"/>
  </r>
  <r>
    <n v="2647"/>
    <d v="2023-04-09T00:00:00"/>
    <s v="Basic"/>
    <n v="199"/>
    <n v="12.5"/>
    <n v="6"/>
    <n v="4"/>
    <n v="9"/>
    <n v="11"/>
    <s v="No"/>
    <s v="No"/>
    <s v="Yes"/>
    <s v="Yes"/>
    <s v="No"/>
    <s v="No"/>
    <m/>
    <s v="1+ Failures"/>
    <n v="0"/>
    <s v="10-20hrs"/>
    <s v="6-12months"/>
    <x v="1"/>
  </r>
  <r>
    <n v="2648"/>
    <d v="2023-05-22T00:00:00"/>
    <s v="Premium"/>
    <n v="699"/>
    <n v="4"/>
    <n v="1"/>
    <n v="4"/>
    <n v="36"/>
    <n v="45"/>
    <s v="Yes"/>
    <s v="Yes"/>
    <s v="Yes"/>
    <s v="No"/>
    <s v="Yes"/>
    <s v="No"/>
    <m/>
    <s v="1+ Failures"/>
    <n v="1"/>
    <s v="0-5 hrs"/>
    <s v="12+ months"/>
    <x v="0"/>
  </r>
  <r>
    <n v="2649"/>
    <d v="2024-06-08T00:00:00"/>
    <s v="Standard"/>
    <n v="399"/>
    <n v="4.8"/>
    <n v="2"/>
    <n v="4"/>
    <n v="18"/>
    <n v="60"/>
    <s v="Yes"/>
    <s v="Yes"/>
    <s v="Yes"/>
    <s v="No"/>
    <s v="Yes"/>
    <s v="No"/>
    <m/>
    <s v="1+ Failures"/>
    <n v="1"/>
    <s v="0-5 hrs"/>
    <s v="12+ months"/>
    <x v="1"/>
  </r>
  <r>
    <n v="2650"/>
    <d v="2023-05-16T00:00:00"/>
    <s v="Premium"/>
    <n v="699"/>
    <n v="11.5"/>
    <n v="4"/>
    <n v="5"/>
    <n v="5"/>
    <n v="46"/>
    <s v="Yes"/>
    <s v="No"/>
    <s v="Yes"/>
    <s v="No"/>
    <s v="Yes"/>
    <s v="Yes"/>
    <m/>
    <s v="1+ Failures"/>
    <n v="1"/>
    <s v="10-20hrs"/>
    <s v="3-6months"/>
    <x v="0"/>
  </r>
  <r>
    <n v="2651"/>
    <d v="2023-02-16T00:00:00"/>
    <s v="Basic"/>
    <n v="199"/>
    <n v="9"/>
    <n v="4"/>
    <n v="2"/>
    <n v="36"/>
    <n v="31"/>
    <s v="No"/>
    <s v="No"/>
    <s v="Yes"/>
    <s v="No"/>
    <s v="Yes"/>
    <s v="No"/>
    <m/>
    <s v="1+ Failures"/>
    <n v="0"/>
    <s v="5-10 hrs"/>
    <s v="12+ months"/>
    <x v="1"/>
  </r>
  <r>
    <n v="2652"/>
    <d v="2023-05-10T00:00:00"/>
    <s v="Standard"/>
    <n v="399"/>
    <n v="19.600000000000001"/>
    <n v="2"/>
    <n v="0"/>
    <n v="28"/>
    <n v="54"/>
    <s v="No"/>
    <s v="No"/>
    <s v="No"/>
    <s v="No"/>
    <s v="Yes"/>
    <s v="No"/>
    <m/>
    <s v="0 Failures"/>
    <n v="0"/>
    <s v="10-20hrs"/>
    <s v="12+ months"/>
    <x v="1"/>
  </r>
  <r>
    <n v="2653"/>
    <d v="2024-02-13T00:00:00"/>
    <s v="Standard"/>
    <n v="399"/>
    <n v="20.8"/>
    <n v="0"/>
    <n v="5"/>
    <n v="32"/>
    <n v="3"/>
    <s v="Yes"/>
    <s v="No"/>
    <s v="Yes"/>
    <s v="No"/>
    <s v="No"/>
    <s v="No"/>
    <m/>
    <s v="1+ Failures"/>
    <n v="1"/>
    <s v="20+ hrs"/>
    <s v="12+ months"/>
    <x v="1"/>
  </r>
  <r>
    <n v="2654"/>
    <d v="2023-05-20T00:00:00"/>
    <s v="Basic"/>
    <n v="199"/>
    <n v="10.5"/>
    <n v="0"/>
    <n v="3"/>
    <n v="22"/>
    <n v="10"/>
    <s v="Yes"/>
    <s v="No"/>
    <s v="Yes"/>
    <s v="No"/>
    <s v="No"/>
    <s v="No"/>
    <m/>
    <s v="1+ Failures"/>
    <n v="1"/>
    <s v="10-20hrs"/>
    <s v="12+ months"/>
    <x v="1"/>
  </r>
  <r>
    <n v="2655"/>
    <d v="2023-12-02T00:00:00"/>
    <s v="Standard"/>
    <n v="399"/>
    <n v="24.8"/>
    <n v="8"/>
    <n v="1"/>
    <n v="31"/>
    <n v="58"/>
    <s v="No"/>
    <s v="No"/>
    <s v="Yes"/>
    <s v="Yes"/>
    <s v="Yes"/>
    <s v="No"/>
    <m/>
    <s v="1+ Failures"/>
    <n v="0"/>
    <s v="20+ hrs"/>
    <s v="12+ months"/>
    <x v="1"/>
  </r>
  <r>
    <n v="2656"/>
    <d v="2024-06-13T00:00:00"/>
    <s v="Premium"/>
    <n v="699"/>
    <n v="0.6"/>
    <n v="1"/>
    <n v="3"/>
    <n v="18"/>
    <n v="33"/>
    <s v="Yes"/>
    <s v="Yes"/>
    <s v="Yes"/>
    <s v="No"/>
    <s v="Yes"/>
    <s v="No"/>
    <m/>
    <s v="1+ Failures"/>
    <n v="1"/>
    <s v="0-5 hrs"/>
    <s v="12+ months"/>
    <x v="0"/>
  </r>
  <r>
    <n v="2657"/>
    <d v="2024-03-05T00:00:00"/>
    <s v="Basic"/>
    <n v="199"/>
    <n v="17.399999999999999"/>
    <n v="7"/>
    <n v="1"/>
    <n v="11"/>
    <n v="5"/>
    <s v="Yes"/>
    <s v="No"/>
    <s v="Yes"/>
    <s v="Yes"/>
    <s v="No"/>
    <s v="No"/>
    <m/>
    <s v="1+ Failures"/>
    <n v="1"/>
    <s v="10-20hrs"/>
    <s v="6-12months"/>
    <x v="1"/>
  </r>
  <r>
    <n v="2658"/>
    <d v="2023-03-02T00:00:00"/>
    <s v="Basic"/>
    <n v="199"/>
    <n v="23.6"/>
    <n v="8"/>
    <n v="2"/>
    <n v="25"/>
    <n v="0"/>
    <s v="Yes"/>
    <s v="No"/>
    <s v="Yes"/>
    <s v="Yes"/>
    <s v="No"/>
    <s v="No"/>
    <m/>
    <s v="1+ Failures"/>
    <n v="1"/>
    <s v="20+ hrs"/>
    <s v="12+ months"/>
    <x v="1"/>
  </r>
  <r>
    <n v="2659"/>
    <d v="2023-01-02T00:00:00"/>
    <s v="Standard"/>
    <n v="399"/>
    <n v="16.2"/>
    <n v="0"/>
    <n v="0"/>
    <n v="36"/>
    <n v="7"/>
    <s v="No"/>
    <s v="No"/>
    <s v="No"/>
    <s v="No"/>
    <s v="No"/>
    <s v="No"/>
    <m/>
    <s v="0 Failures"/>
    <n v="0"/>
    <s v="10-20hrs"/>
    <s v="12+ months"/>
    <x v="1"/>
  </r>
  <r>
    <n v="2660"/>
    <d v="2024-03-13T00:00:00"/>
    <s v="Premium"/>
    <n v="699"/>
    <n v="21.2"/>
    <n v="1"/>
    <n v="5"/>
    <n v="12"/>
    <n v="5"/>
    <s v="Yes"/>
    <s v="No"/>
    <s v="Yes"/>
    <s v="No"/>
    <s v="No"/>
    <s v="No"/>
    <m/>
    <s v="1+ Failures"/>
    <n v="1"/>
    <s v="20+ hrs"/>
    <s v="6-12months"/>
    <x v="0"/>
  </r>
  <r>
    <n v="2661"/>
    <d v="2023-05-20T00:00:00"/>
    <s v="Basic"/>
    <n v="199"/>
    <n v="18.7"/>
    <n v="3"/>
    <n v="3"/>
    <n v="3"/>
    <n v="3"/>
    <s v="No"/>
    <s v="No"/>
    <s v="Yes"/>
    <s v="No"/>
    <s v="No"/>
    <s v="Yes"/>
    <m/>
    <s v="1+ Failures"/>
    <n v="0"/>
    <s v="10-20hrs"/>
    <s v="0-3months"/>
    <x v="1"/>
  </r>
  <r>
    <n v="2662"/>
    <d v="2023-01-16T00:00:00"/>
    <s v="Basic"/>
    <n v="199"/>
    <n v="1.3"/>
    <n v="1"/>
    <n v="3"/>
    <n v="3"/>
    <n v="37"/>
    <s v="Yes"/>
    <s v="Yes"/>
    <s v="Yes"/>
    <s v="No"/>
    <s v="Yes"/>
    <s v="Yes"/>
    <m/>
    <s v="1+ Failures"/>
    <n v="1"/>
    <s v="0-5 hrs"/>
    <s v="0-3months"/>
    <x v="1"/>
  </r>
  <r>
    <n v="2663"/>
    <d v="2024-07-29T00:00:00"/>
    <s v="Basic"/>
    <n v="199"/>
    <n v="6.8"/>
    <n v="1"/>
    <n v="4"/>
    <n v="31"/>
    <n v="36"/>
    <s v="No"/>
    <s v="No"/>
    <s v="Yes"/>
    <s v="No"/>
    <s v="Yes"/>
    <s v="No"/>
    <m/>
    <s v="1+ Failures"/>
    <n v="0"/>
    <s v="5-10 hrs"/>
    <s v="12+ months"/>
    <x v="1"/>
  </r>
  <r>
    <n v="2664"/>
    <d v="2024-06-18T00:00:00"/>
    <s v="Premium"/>
    <n v="699"/>
    <n v="17.600000000000001"/>
    <n v="3"/>
    <n v="5"/>
    <n v="21"/>
    <n v="9"/>
    <s v="No"/>
    <s v="No"/>
    <s v="Yes"/>
    <s v="No"/>
    <s v="No"/>
    <s v="No"/>
    <m/>
    <s v="1+ Failures"/>
    <n v="0"/>
    <s v="10-20hrs"/>
    <s v="12+ months"/>
    <x v="0"/>
  </r>
  <r>
    <n v="2665"/>
    <d v="2023-09-21T00:00:00"/>
    <s v="Standard"/>
    <n v="399"/>
    <n v="15"/>
    <n v="3"/>
    <n v="3"/>
    <n v="27"/>
    <n v="22"/>
    <s v="Yes"/>
    <s v="No"/>
    <s v="Yes"/>
    <s v="No"/>
    <s v="Yes"/>
    <s v="No"/>
    <m/>
    <s v="1+ Failures"/>
    <n v="1"/>
    <s v="10-20hrs"/>
    <s v="12+ months"/>
    <x v="1"/>
  </r>
  <r>
    <n v="2666"/>
    <d v="2024-06-11T00:00:00"/>
    <s v="Standard"/>
    <n v="399"/>
    <n v="19.3"/>
    <n v="6"/>
    <n v="5"/>
    <n v="31"/>
    <n v="5"/>
    <s v="No"/>
    <s v="No"/>
    <s v="Yes"/>
    <s v="Yes"/>
    <s v="No"/>
    <s v="No"/>
    <m/>
    <s v="1+ Failures"/>
    <n v="0"/>
    <s v="10-20hrs"/>
    <s v="12+ months"/>
    <x v="1"/>
  </r>
  <r>
    <n v="2667"/>
    <d v="2023-03-14T00:00:00"/>
    <s v="Basic"/>
    <n v="199"/>
    <n v="5.5"/>
    <n v="4"/>
    <n v="4"/>
    <n v="31"/>
    <n v="5"/>
    <s v="Yes"/>
    <s v="No"/>
    <s v="Yes"/>
    <s v="No"/>
    <s v="No"/>
    <s v="No"/>
    <m/>
    <s v="1+ Failures"/>
    <n v="1"/>
    <s v="5-10 hrs"/>
    <s v="12+ months"/>
    <x v="1"/>
  </r>
  <r>
    <n v="2668"/>
    <d v="2024-09-17T00:00:00"/>
    <s v="Basic"/>
    <n v="199"/>
    <n v="8.6"/>
    <n v="2"/>
    <n v="2"/>
    <n v="17"/>
    <n v="49"/>
    <s v="Yes"/>
    <s v="No"/>
    <s v="Yes"/>
    <s v="No"/>
    <s v="Yes"/>
    <s v="No"/>
    <m/>
    <s v="1+ Failures"/>
    <n v="1"/>
    <s v="5-10 hrs"/>
    <s v="12+ months"/>
    <x v="1"/>
  </r>
  <r>
    <n v="2669"/>
    <d v="2024-01-04T00:00:00"/>
    <s v="Standard"/>
    <n v="399"/>
    <n v="17.3"/>
    <n v="1"/>
    <n v="3"/>
    <n v="15"/>
    <n v="57"/>
    <s v="Yes"/>
    <s v="No"/>
    <s v="Yes"/>
    <s v="No"/>
    <s v="Yes"/>
    <s v="No"/>
    <m/>
    <s v="1+ Failures"/>
    <n v="1"/>
    <s v="10-20hrs"/>
    <s v="12+ months"/>
    <x v="1"/>
  </r>
  <r>
    <n v="2670"/>
    <d v="2024-03-06T00:00:00"/>
    <s v="Standard"/>
    <n v="399"/>
    <n v="13.3"/>
    <n v="3"/>
    <n v="2"/>
    <n v="17"/>
    <n v="55"/>
    <s v="No"/>
    <s v="No"/>
    <s v="Yes"/>
    <s v="No"/>
    <s v="Yes"/>
    <s v="No"/>
    <m/>
    <s v="1+ Failures"/>
    <n v="0"/>
    <s v="10-20hrs"/>
    <s v="12+ months"/>
    <x v="1"/>
  </r>
  <r>
    <n v="2671"/>
    <d v="2024-03-15T00:00:00"/>
    <s v="Premium"/>
    <n v="699"/>
    <n v="10.4"/>
    <n v="4"/>
    <n v="4"/>
    <n v="4"/>
    <n v="27"/>
    <s v="Yes"/>
    <s v="No"/>
    <s v="Yes"/>
    <s v="No"/>
    <s v="Yes"/>
    <s v="Yes"/>
    <m/>
    <s v="1+ Failures"/>
    <n v="1"/>
    <s v="10-20hrs"/>
    <s v="3-6months"/>
    <x v="0"/>
  </r>
  <r>
    <n v="2672"/>
    <d v="2024-07-08T00:00:00"/>
    <s v="Standard"/>
    <n v="399"/>
    <n v="14.9"/>
    <n v="3"/>
    <n v="5"/>
    <n v="13"/>
    <n v="16"/>
    <s v="No"/>
    <s v="No"/>
    <s v="Yes"/>
    <s v="No"/>
    <s v="Yes"/>
    <s v="No"/>
    <m/>
    <s v="1+ Failures"/>
    <n v="0"/>
    <s v="10-20hrs"/>
    <s v="12+ months"/>
    <x v="1"/>
  </r>
  <r>
    <n v="2673"/>
    <d v="2024-10-07T00:00:00"/>
    <s v="Premium"/>
    <n v="699"/>
    <n v="13.9"/>
    <n v="2"/>
    <n v="2"/>
    <n v="13"/>
    <n v="51"/>
    <s v="Yes"/>
    <s v="No"/>
    <s v="Yes"/>
    <s v="No"/>
    <s v="Yes"/>
    <s v="No"/>
    <m/>
    <s v="1+ Failures"/>
    <n v="1"/>
    <s v="10-20hrs"/>
    <s v="12+ months"/>
    <x v="0"/>
  </r>
  <r>
    <n v="2674"/>
    <d v="2024-04-01T00:00:00"/>
    <s v="Standard"/>
    <n v="399"/>
    <n v="22.9"/>
    <n v="8"/>
    <n v="0"/>
    <n v="26"/>
    <n v="21"/>
    <s v="Yes"/>
    <s v="No"/>
    <s v="No"/>
    <s v="Yes"/>
    <s v="Yes"/>
    <s v="No"/>
    <m/>
    <s v="0 Failures"/>
    <n v="1"/>
    <s v="20+ hrs"/>
    <s v="12+ months"/>
    <x v="1"/>
  </r>
  <r>
    <n v="2675"/>
    <d v="2023-12-27T00:00:00"/>
    <s v="Standard"/>
    <n v="399"/>
    <n v="17.8"/>
    <n v="6"/>
    <n v="2"/>
    <n v="18"/>
    <n v="28"/>
    <s v="Yes"/>
    <s v="No"/>
    <s v="Yes"/>
    <s v="Yes"/>
    <s v="Yes"/>
    <s v="No"/>
    <m/>
    <s v="1+ Failures"/>
    <n v="1"/>
    <s v="10-20hrs"/>
    <s v="12+ months"/>
    <x v="1"/>
  </r>
  <r>
    <n v="2676"/>
    <d v="2023-01-10T00:00:00"/>
    <s v="Basic"/>
    <n v="199"/>
    <n v="24"/>
    <n v="2"/>
    <n v="1"/>
    <n v="24"/>
    <n v="36"/>
    <s v="Yes"/>
    <s v="No"/>
    <s v="Yes"/>
    <s v="No"/>
    <s v="Yes"/>
    <s v="No"/>
    <m/>
    <s v="1+ Failures"/>
    <n v="1"/>
    <s v="20+ hrs"/>
    <s v="12+ months"/>
    <x v="1"/>
  </r>
  <r>
    <n v="2677"/>
    <d v="2024-10-06T00:00:00"/>
    <s v="Premium"/>
    <n v="699"/>
    <n v="13.8"/>
    <n v="5"/>
    <n v="2"/>
    <n v="3"/>
    <n v="6"/>
    <s v="Yes"/>
    <s v="No"/>
    <s v="Yes"/>
    <s v="Yes"/>
    <s v="No"/>
    <s v="Yes"/>
    <m/>
    <s v="1+ Failures"/>
    <n v="1"/>
    <s v="10-20hrs"/>
    <s v="0-3months"/>
    <x v="0"/>
  </r>
  <r>
    <n v="2678"/>
    <d v="2023-04-13T00:00:00"/>
    <s v="Premium"/>
    <n v="699"/>
    <n v="18.399999999999999"/>
    <n v="1"/>
    <n v="1"/>
    <n v="20"/>
    <n v="6"/>
    <s v="No"/>
    <s v="No"/>
    <s v="Yes"/>
    <s v="No"/>
    <s v="No"/>
    <s v="No"/>
    <m/>
    <s v="1+ Failures"/>
    <n v="0"/>
    <s v="10-20hrs"/>
    <s v="12+ months"/>
    <x v="0"/>
  </r>
  <r>
    <n v="2679"/>
    <d v="2023-12-03T00:00:00"/>
    <s v="Standard"/>
    <n v="399"/>
    <n v="23.6"/>
    <n v="1"/>
    <n v="4"/>
    <n v="33"/>
    <n v="43"/>
    <s v="Yes"/>
    <s v="No"/>
    <s v="Yes"/>
    <s v="No"/>
    <s v="Yes"/>
    <s v="No"/>
    <m/>
    <s v="1+ Failures"/>
    <n v="1"/>
    <s v="20+ hrs"/>
    <s v="12+ months"/>
    <x v="1"/>
  </r>
  <r>
    <n v="2680"/>
    <d v="2024-10-11T00:00:00"/>
    <s v="Standard"/>
    <n v="399"/>
    <n v="17.2"/>
    <n v="0"/>
    <n v="5"/>
    <n v="29"/>
    <n v="44"/>
    <s v="Yes"/>
    <s v="No"/>
    <s v="Yes"/>
    <s v="No"/>
    <s v="Yes"/>
    <s v="No"/>
    <m/>
    <s v="1+ Failures"/>
    <n v="1"/>
    <s v="10-20hrs"/>
    <s v="12+ months"/>
    <x v="1"/>
  </r>
  <r>
    <n v="2681"/>
    <d v="2023-10-02T00:00:00"/>
    <s v="Basic"/>
    <n v="199"/>
    <n v="18.100000000000001"/>
    <n v="5"/>
    <n v="1"/>
    <n v="26"/>
    <n v="20"/>
    <s v="No"/>
    <s v="No"/>
    <s v="Yes"/>
    <s v="Yes"/>
    <s v="Yes"/>
    <s v="No"/>
    <m/>
    <s v="1+ Failures"/>
    <n v="0"/>
    <s v="10-20hrs"/>
    <s v="12+ months"/>
    <x v="1"/>
  </r>
  <r>
    <n v="2682"/>
    <d v="2024-03-24T00:00:00"/>
    <s v="Premium"/>
    <n v="699"/>
    <n v="17.2"/>
    <n v="0"/>
    <n v="0"/>
    <n v="6"/>
    <n v="42"/>
    <s v="Yes"/>
    <s v="No"/>
    <s v="No"/>
    <s v="No"/>
    <s v="Yes"/>
    <s v="No"/>
    <m/>
    <s v="0 Failures"/>
    <n v="1"/>
    <s v="10-20hrs"/>
    <s v="3-6months"/>
    <x v="0"/>
  </r>
  <r>
    <n v="2683"/>
    <d v="2024-12-17T00:00:00"/>
    <s v="Standard"/>
    <n v="399"/>
    <n v="21.9"/>
    <n v="0"/>
    <n v="0"/>
    <n v="23"/>
    <n v="10"/>
    <s v="No"/>
    <s v="No"/>
    <s v="No"/>
    <s v="No"/>
    <s v="No"/>
    <s v="No"/>
    <m/>
    <s v="0 Failures"/>
    <n v="0"/>
    <s v="20+ hrs"/>
    <s v="12+ months"/>
    <x v="1"/>
  </r>
  <r>
    <n v="2684"/>
    <d v="2023-07-07T00:00:00"/>
    <s v="Basic"/>
    <n v="199"/>
    <n v="8.3000000000000007"/>
    <n v="5"/>
    <n v="1"/>
    <n v="6"/>
    <n v="55"/>
    <s v="No"/>
    <s v="No"/>
    <s v="Yes"/>
    <s v="Yes"/>
    <s v="Yes"/>
    <s v="No"/>
    <m/>
    <s v="1+ Failures"/>
    <n v="0"/>
    <s v="5-10 hrs"/>
    <s v="3-6months"/>
    <x v="1"/>
  </r>
  <r>
    <n v="2685"/>
    <d v="2024-05-19T00:00:00"/>
    <s v="Standard"/>
    <n v="399"/>
    <n v="11.3"/>
    <n v="5"/>
    <n v="0"/>
    <n v="17"/>
    <n v="28"/>
    <s v="Yes"/>
    <s v="No"/>
    <s v="No"/>
    <s v="Yes"/>
    <s v="Yes"/>
    <s v="No"/>
    <m/>
    <s v="0 Failures"/>
    <n v="1"/>
    <s v="10-20hrs"/>
    <s v="12+ months"/>
    <x v="1"/>
  </r>
  <r>
    <n v="2686"/>
    <d v="2023-12-29T00:00:00"/>
    <s v="Basic"/>
    <n v="199"/>
    <n v="17.8"/>
    <n v="2"/>
    <n v="3"/>
    <n v="29"/>
    <n v="38"/>
    <s v="Yes"/>
    <s v="No"/>
    <s v="Yes"/>
    <s v="No"/>
    <s v="Yes"/>
    <s v="No"/>
    <m/>
    <s v="1+ Failures"/>
    <n v="1"/>
    <s v="10-20hrs"/>
    <s v="12+ months"/>
    <x v="1"/>
  </r>
  <r>
    <n v="2687"/>
    <d v="2023-02-19T00:00:00"/>
    <s v="Premium"/>
    <n v="699"/>
    <n v="16.3"/>
    <n v="3"/>
    <n v="5"/>
    <n v="24"/>
    <n v="48"/>
    <s v="No"/>
    <s v="No"/>
    <s v="Yes"/>
    <s v="No"/>
    <s v="Yes"/>
    <s v="No"/>
    <m/>
    <s v="1+ Failures"/>
    <n v="0"/>
    <s v="10-20hrs"/>
    <s v="12+ months"/>
    <x v="0"/>
  </r>
  <r>
    <n v="2688"/>
    <d v="2023-07-28T00:00:00"/>
    <s v="Basic"/>
    <n v="199"/>
    <n v="7.6"/>
    <n v="3"/>
    <n v="2"/>
    <n v="26"/>
    <n v="49"/>
    <s v="No"/>
    <s v="No"/>
    <s v="Yes"/>
    <s v="No"/>
    <s v="Yes"/>
    <s v="No"/>
    <m/>
    <s v="1+ Failures"/>
    <n v="0"/>
    <s v="5-10 hrs"/>
    <s v="12+ months"/>
    <x v="1"/>
  </r>
  <r>
    <n v="2689"/>
    <d v="2023-08-08T00:00:00"/>
    <s v="Premium"/>
    <n v="699"/>
    <n v="0.6"/>
    <n v="5"/>
    <n v="1"/>
    <n v="8"/>
    <n v="60"/>
    <s v="Yes"/>
    <s v="Yes"/>
    <s v="Yes"/>
    <s v="Yes"/>
    <s v="Yes"/>
    <s v="No"/>
    <m/>
    <s v="1+ Failures"/>
    <n v="1"/>
    <s v="0-5 hrs"/>
    <s v="6-12months"/>
    <x v="0"/>
  </r>
  <r>
    <n v="2690"/>
    <d v="2024-10-03T00:00:00"/>
    <s v="Standard"/>
    <n v="399"/>
    <n v="12.9"/>
    <n v="4"/>
    <n v="0"/>
    <n v="3"/>
    <n v="4"/>
    <s v="No"/>
    <s v="No"/>
    <s v="No"/>
    <s v="No"/>
    <s v="No"/>
    <s v="Yes"/>
    <m/>
    <s v="0 Failures"/>
    <n v="0"/>
    <s v="10-20hrs"/>
    <s v="0-3months"/>
    <x v="1"/>
  </r>
  <r>
    <n v="2691"/>
    <d v="2024-07-12T00:00:00"/>
    <s v="Premium"/>
    <n v="699"/>
    <n v="23.9"/>
    <n v="5"/>
    <n v="4"/>
    <n v="7"/>
    <n v="39"/>
    <s v="No"/>
    <s v="No"/>
    <s v="Yes"/>
    <s v="Yes"/>
    <s v="Yes"/>
    <s v="No"/>
    <m/>
    <s v="1+ Failures"/>
    <n v="0"/>
    <s v="20+ hrs"/>
    <s v="6-12months"/>
    <x v="0"/>
  </r>
  <r>
    <n v="2692"/>
    <d v="2023-05-31T00:00:00"/>
    <s v="Standard"/>
    <n v="399"/>
    <n v="19.100000000000001"/>
    <n v="3"/>
    <n v="2"/>
    <n v="23"/>
    <n v="43"/>
    <s v="Yes"/>
    <s v="No"/>
    <s v="Yes"/>
    <s v="No"/>
    <s v="Yes"/>
    <s v="No"/>
    <m/>
    <s v="1+ Failures"/>
    <n v="1"/>
    <s v="10-20hrs"/>
    <s v="12+ months"/>
    <x v="1"/>
  </r>
  <r>
    <n v="2693"/>
    <d v="2024-08-06T00:00:00"/>
    <s v="Basic"/>
    <n v="199"/>
    <n v="10"/>
    <n v="0"/>
    <n v="0"/>
    <n v="24"/>
    <n v="26"/>
    <s v="No"/>
    <s v="No"/>
    <s v="No"/>
    <s v="No"/>
    <s v="Yes"/>
    <s v="No"/>
    <m/>
    <s v="0 Failures"/>
    <n v="0"/>
    <s v="5-10 hrs"/>
    <s v="12+ months"/>
    <x v="1"/>
  </r>
  <r>
    <n v="2694"/>
    <d v="2024-07-14T00:00:00"/>
    <s v="Premium"/>
    <n v="699"/>
    <n v="16.3"/>
    <n v="6"/>
    <n v="4"/>
    <n v="1"/>
    <n v="27"/>
    <s v="No"/>
    <s v="No"/>
    <s v="Yes"/>
    <s v="Yes"/>
    <s v="Yes"/>
    <s v="Yes"/>
    <m/>
    <s v="1+ Failures"/>
    <n v="0"/>
    <s v="10-20hrs"/>
    <s v="0-3months"/>
    <x v="0"/>
  </r>
  <r>
    <n v="2695"/>
    <d v="2024-12-13T00:00:00"/>
    <s v="Basic"/>
    <n v="199"/>
    <n v="13.9"/>
    <n v="7"/>
    <n v="3"/>
    <n v="5"/>
    <n v="16"/>
    <s v="Yes"/>
    <s v="No"/>
    <s v="Yes"/>
    <s v="Yes"/>
    <s v="Yes"/>
    <s v="Yes"/>
    <m/>
    <s v="1+ Failures"/>
    <n v="1"/>
    <s v="10-20hrs"/>
    <s v="3-6months"/>
    <x v="1"/>
  </r>
  <r>
    <n v="2696"/>
    <d v="2024-11-09T00:00:00"/>
    <s v="Basic"/>
    <n v="199"/>
    <n v="12.8"/>
    <n v="2"/>
    <n v="5"/>
    <n v="31"/>
    <n v="56"/>
    <s v="No"/>
    <s v="No"/>
    <s v="Yes"/>
    <s v="No"/>
    <s v="Yes"/>
    <s v="No"/>
    <m/>
    <s v="1+ Failures"/>
    <n v="0"/>
    <s v="10-20hrs"/>
    <s v="12+ months"/>
    <x v="1"/>
  </r>
  <r>
    <n v="2697"/>
    <d v="2024-05-17T00:00:00"/>
    <s v="Basic"/>
    <n v="199"/>
    <n v="8"/>
    <n v="5"/>
    <n v="1"/>
    <n v="19"/>
    <n v="1"/>
    <s v="Yes"/>
    <s v="No"/>
    <s v="Yes"/>
    <s v="Yes"/>
    <s v="No"/>
    <s v="No"/>
    <m/>
    <s v="1+ Failures"/>
    <n v="1"/>
    <s v="5-10 hrs"/>
    <s v="12+ months"/>
    <x v="1"/>
  </r>
  <r>
    <n v="2698"/>
    <d v="2023-06-14T00:00:00"/>
    <s v="Standard"/>
    <n v="399"/>
    <n v="19.100000000000001"/>
    <n v="2"/>
    <n v="2"/>
    <n v="25"/>
    <n v="20"/>
    <s v="Yes"/>
    <s v="No"/>
    <s v="Yes"/>
    <s v="No"/>
    <s v="Yes"/>
    <s v="No"/>
    <m/>
    <s v="1+ Failures"/>
    <n v="1"/>
    <s v="10-20hrs"/>
    <s v="12+ months"/>
    <x v="1"/>
  </r>
  <r>
    <n v="2699"/>
    <d v="2023-11-17T00:00:00"/>
    <s v="Premium"/>
    <n v="699"/>
    <n v="20.8"/>
    <n v="1"/>
    <n v="3"/>
    <n v="23"/>
    <n v="13"/>
    <s v="No"/>
    <s v="No"/>
    <s v="Yes"/>
    <s v="No"/>
    <s v="No"/>
    <s v="No"/>
    <m/>
    <s v="1+ Failures"/>
    <n v="0"/>
    <s v="20+ hrs"/>
    <s v="12+ months"/>
    <x v="0"/>
  </r>
  <r>
    <n v="2700"/>
    <d v="2023-09-18T00:00:00"/>
    <s v="Standard"/>
    <n v="399"/>
    <n v="22.5"/>
    <n v="2"/>
    <n v="2"/>
    <n v="9"/>
    <n v="6"/>
    <s v="No"/>
    <s v="No"/>
    <s v="Yes"/>
    <s v="No"/>
    <s v="No"/>
    <s v="No"/>
    <m/>
    <s v="1+ Failures"/>
    <n v="0"/>
    <s v="20+ hrs"/>
    <s v="6-12months"/>
    <x v="1"/>
  </r>
  <r>
    <n v="2701"/>
    <d v="2023-12-05T00:00:00"/>
    <s v="Basic"/>
    <n v="199"/>
    <n v="15.9"/>
    <n v="2"/>
    <n v="1"/>
    <n v="4"/>
    <n v="50"/>
    <s v="Yes"/>
    <s v="No"/>
    <s v="Yes"/>
    <s v="No"/>
    <s v="Yes"/>
    <s v="Yes"/>
    <m/>
    <s v="1+ Failures"/>
    <n v="1"/>
    <s v="10-20hrs"/>
    <s v="3-6months"/>
    <x v="1"/>
  </r>
  <r>
    <n v="2702"/>
    <d v="2024-03-07T00:00:00"/>
    <s v="Basic"/>
    <n v="199"/>
    <n v="0.9"/>
    <n v="0"/>
    <n v="4"/>
    <n v="5"/>
    <n v="2"/>
    <s v="No"/>
    <s v="Yes"/>
    <s v="Yes"/>
    <s v="No"/>
    <s v="No"/>
    <s v="Yes"/>
    <m/>
    <s v="1+ Failures"/>
    <n v="0"/>
    <s v="0-5 hrs"/>
    <s v="3-6months"/>
    <x v="1"/>
  </r>
  <r>
    <n v="2703"/>
    <d v="2024-07-23T00:00:00"/>
    <s v="Premium"/>
    <n v="699"/>
    <n v="9.1999999999999993"/>
    <n v="0"/>
    <n v="5"/>
    <n v="3"/>
    <n v="48"/>
    <s v="No"/>
    <s v="No"/>
    <s v="Yes"/>
    <s v="No"/>
    <s v="Yes"/>
    <s v="Yes"/>
    <m/>
    <s v="1+ Failures"/>
    <n v="0"/>
    <s v="5-10 hrs"/>
    <s v="0-3months"/>
    <x v="0"/>
  </r>
  <r>
    <n v="2704"/>
    <d v="2023-04-01T00:00:00"/>
    <s v="Standard"/>
    <n v="399"/>
    <n v="6.7"/>
    <n v="0"/>
    <n v="1"/>
    <n v="33"/>
    <n v="56"/>
    <s v="No"/>
    <s v="No"/>
    <s v="Yes"/>
    <s v="No"/>
    <s v="Yes"/>
    <s v="No"/>
    <m/>
    <s v="1+ Failures"/>
    <n v="0"/>
    <s v="5-10 hrs"/>
    <s v="12+ months"/>
    <x v="1"/>
  </r>
  <r>
    <n v="2705"/>
    <d v="2024-11-25T00:00:00"/>
    <s v="Standard"/>
    <n v="399"/>
    <n v="11.4"/>
    <n v="2"/>
    <n v="4"/>
    <n v="26"/>
    <n v="59"/>
    <s v="Yes"/>
    <s v="No"/>
    <s v="Yes"/>
    <s v="No"/>
    <s v="Yes"/>
    <s v="No"/>
    <m/>
    <s v="1+ Failures"/>
    <n v="1"/>
    <s v="10-20hrs"/>
    <s v="12+ months"/>
    <x v="1"/>
  </r>
  <r>
    <n v="2706"/>
    <d v="2024-08-02T00:00:00"/>
    <s v="Standard"/>
    <n v="399"/>
    <n v="8.6999999999999993"/>
    <n v="8"/>
    <n v="4"/>
    <n v="30"/>
    <n v="28"/>
    <s v="Yes"/>
    <s v="No"/>
    <s v="Yes"/>
    <s v="Yes"/>
    <s v="Yes"/>
    <s v="No"/>
    <m/>
    <s v="1+ Failures"/>
    <n v="1"/>
    <s v="5-10 hrs"/>
    <s v="12+ months"/>
    <x v="1"/>
  </r>
  <r>
    <n v="2707"/>
    <d v="2023-08-25T00:00:00"/>
    <s v="Basic"/>
    <n v="199"/>
    <n v="4.7"/>
    <n v="6"/>
    <n v="2"/>
    <n v="6"/>
    <n v="10"/>
    <s v="Yes"/>
    <s v="Yes"/>
    <s v="Yes"/>
    <s v="Yes"/>
    <s v="No"/>
    <s v="No"/>
    <m/>
    <s v="1+ Failures"/>
    <n v="1"/>
    <s v="0-5 hrs"/>
    <s v="3-6months"/>
    <x v="1"/>
  </r>
  <r>
    <n v="2708"/>
    <d v="2024-04-13T00:00:00"/>
    <s v="Basic"/>
    <n v="199"/>
    <n v="16.899999999999999"/>
    <n v="2"/>
    <n v="0"/>
    <n v="27"/>
    <n v="56"/>
    <s v="No"/>
    <s v="No"/>
    <s v="No"/>
    <s v="No"/>
    <s v="Yes"/>
    <s v="No"/>
    <m/>
    <s v="0 Failures"/>
    <n v="0"/>
    <s v="10-20hrs"/>
    <s v="12+ months"/>
    <x v="1"/>
  </r>
  <r>
    <n v="2709"/>
    <d v="2023-01-26T00:00:00"/>
    <s v="Standard"/>
    <n v="399"/>
    <n v="13.3"/>
    <n v="1"/>
    <n v="2"/>
    <n v="23"/>
    <n v="29"/>
    <s v="No"/>
    <s v="No"/>
    <s v="Yes"/>
    <s v="No"/>
    <s v="Yes"/>
    <s v="No"/>
    <m/>
    <s v="1+ Failures"/>
    <n v="0"/>
    <s v="10-20hrs"/>
    <s v="12+ months"/>
    <x v="1"/>
  </r>
  <r>
    <n v="2710"/>
    <d v="2023-06-15T00:00:00"/>
    <s v="Premium"/>
    <n v="699"/>
    <n v="0.5"/>
    <n v="7"/>
    <n v="0"/>
    <n v="9"/>
    <n v="5"/>
    <s v="No"/>
    <s v="Yes"/>
    <s v="No"/>
    <s v="Yes"/>
    <s v="No"/>
    <s v="No"/>
    <m/>
    <s v="0 Failures"/>
    <n v="0"/>
    <s v="0-5 hrs"/>
    <s v="6-12months"/>
    <x v="0"/>
  </r>
  <r>
    <n v="2711"/>
    <d v="2023-04-12T00:00:00"/>
    <s v="Basic"/>
    <n v="199"/>
    <n v="0.6"/>
    <n v="3"/>
    <n v="3"/>
    <n v="36"/>
    <n v="44"/>
    <s v="No"/>
    <s v="Yes"/>
    <s v="Yes"/>
    <s v="No"/>
    <s v="Yes"/>
    <s v="No"/>
    <m/>
    <s v="1+ Failures"/>
    <n v="0"/>
    <s v="0-5 hrs"/>
    <s v="12+ months"/>
    <x v="1"/>
  </r>
  <r>
    <n v="2712"/>
    <d v="2024-05-15T00:00:00"/>
    <s v="Premium"/>
    <n v="699"/>
    <n v="2.2000000000000002"/>
    <n v="8"/>
    <n v="0"/>
    <n v="11"/>
    <n v="33"/>
    <s v="Yes"/>
    <s v="Yes"/>
    <s v="No"/>
    <s v="Yes"/>
    <s v="Yes"/>
    <s v="No"/>
    <m/>
    <s v="0 Failures"/>
    <n v="1"/>
    <s v="0-5 hrs"/>
    <s v="6-12months"/>
    <x v="0"/>
  </r>
  <r>
    <n v="2713"/>
    <d v="2024-05-30T00:00:00"/>
    <s v="Premium"/>
    <n v="699"/>
    <n v="17.3"/>
    <n v="1"/>
    <n v="3"/>
    <n v="1"/>
    <n v="6"/>
    <s v="No"/>
    <s v="No"/>
    <s v="Yes"/>
    <s v="No"/>
    <s v="No"/>
    <s v="Yes"/>
    <m/>
    <s v="1+ Failures"/>
    <n v="0"/>
    <s v="10-20hrs"/>
    <s v="0-3months"/>
    <x v="0"/>
  </r>
  <r>
    <n v="2714"/>
    <d v="2024-08-25T00:00:00"/>
    <s v="Standard"/>
    <n v="399"/>
    <n v="13.6"/>
    <n v="5"/>
    <n v="4"/>
    <n v="14"/>
    <n v="35"/>
    <s v="Yes"/>
    <s v="No"/>
    <s v="Yes"/>
    <s v="Yes"/>
    <s v="Yes"/>
    <s v="No"/>
    <m/>
    <s v="1+ Failures"/>
    <n v="1"/>
    <s v="10-20hrs"/>
    <s v="12+ months"/>
    <x v="1"/>
  </r>
  <r>
    <n v="2715"/>
    <d v="2024-01-26T00:00:00"/>
    <s v="Standard"/>
    <n v="399"/>
    <n v="17.399999999999999"/>
    <n v="7"/>
    <n v="1"/>
    <n v="30"/>
    <n v="45"/>
    <s v="No"/>
    <s v="No"/>
    <s v="Yes"/>
    <s v="Yes"/>
    <s v="Yes"/>
    <s v="No"/>
    <m/>
    <s v="1+ Failures"/>
    <n v="0"/>
    <s v="10-20hrs"/>
    <s v="12+ months"/>
    <x v="1"/>
  </r>
  <r>
    <n v="2716"/>
    <d v="2024-07-01T00:00:00"/>
    <s v="Premium"/>
    <n v="699"/>
    <n v="1.6"/>
    <n v="0"/>
    <n v="2"/>
    <n v="34"/>
    <n v="58"/>
    <s v="Yes"/>
    <s v="Yes"/>
    <s v="Yes"/>
    <s v="No"/>
    <s v="Yes"/>
    <s v="No"/>
    <m/>
    <s v="1+ Failures"/>
    <n v="1"/>
    <s v="0-5 hrs"/>
    <s v="12+ months"/>
    <x v="0"/>
  </r>
  <r>
    <n v="2717"/>
    <d v="2024-08-18T00:00:00"/>
    <s v="Premium"/>
    <n v="699"/>
    <n v="2.1"/>
    <n v="6"/>
    <n v="4"/>
    <n v="14"/>
    <n v="60"/>
    <s v="Yes"/>
    <s v="Yes"/>
    <s v="Yes"/>
    <s v="Yes"/>
    <s v="Yes"/>
    <s v="No"/>
    <m/>
    <s v="1+ Failures"/>
    <n v="1"/>
    <s v="0-5 hrs"/>
    <s v="12+ months"/>
    <x v="0"/>
  </r>
  <r>
    <n v="2718"/>
    <d v="2023-02-24T00:00:00"/>
    <s v="Standard"/>
    <n v="399"/>
    <n v="20.2"/>
    <n v="4"/>
    <n v="2"/>
    <n v="12"/>
    <n v="56"/>
    <s v="Yes"/>
    <s v="No"/>
    <s v="Yes"/>
    <s v="No"/>
    <s v="Yes"/>
    <s v="No"/>
    <m/>
    <s v="1+ Failures"/>
    <n v="1"/>
    <s v="20+ hrs"/>
    <s v="6-12months"/>
    <x v="1"/>
  </r>
  <r>
    <n v="2719"/>
    <d v="2023-06-16T00:00:00"/>
    <s v="Premium"/>
    <n v="699"/>
    <n v="24.9"/>
    <n v="2"/>
    <n v="1"/>
    <n v="7"/>
    <n v="46"/>
    <s v="No"/>
    <s v="No"/>
    <s v="Yes"/>
    <s v="No"/>
    <s v="Yes"/>
    <s v="No"/>
    <m/>
    <s v="1+ Failures"/>
    <n v="0"/>
    <s v="20+ hrs"/>
    <s v="6-12months"/>
    <x v="0"/>
  </r>
  <r>
    <n v="2720"/>
    <d v="2024-10-02T00:00:00"/>
    <s v="Basic"/>
    <n v="199"/>
    <n v="4.9000000000000004"/>
    <n v="3"/>
    <n v="4"/>
    <n v="4"/>
    <n v="18"/>
    <s v="Yes"/>
    <s v="Yes"/>
    <s v="Yes"/>
    <s v="No"/>
    <s v="Yes"/>
    <s v="Yes"/>
    <m/>
    <s v="1+ Failures"/>
    <n v="1"/>
    <s v="0-5 hrs"/>
    <s v="3-6months"/>
    <x v="1"/>
  </r>
  <r>
    <n v="2721"/>
    <d v="2023-10-13T00:00:00"/>
    <s v="Basic"/>
    <n v="199"/>
    <n v="16.7"/>
    <n v="2"/>
    <n v="0"/>
    <n v="9"/>
    <n v="16"/>
    <s v="Yes"/>
    <s v="No"/>
    <s v="No"/>
    <s v="No"/>
    <s v="Yes"/>
    <s v="No"/>
    <m/>
    <s v="0 Failures"/>
    <n v="1"/>
    <s v="10-20hrs"/>
    <s v="6-12months"/>
    <x v="1"/>
  </r>
  <r>
    <n v="2722"/>
    <d v="2023-04-23T00:00:00"/>
    <s v="Standard"/>
    <n v="399"/>
    <n v="16.5"/>
    <n v="2"/>
    <n v="5"/>
    <n v="18"/>
    <n v="55"/>
    <s v="Yes"/>
    <s v="No"/>
    <s v="Yes"/>
    <s v="No"/>
    <s v="Yes"/>
    <s v="No"/>
    <m/>
    <s v="1+ Failures"/>
    <n v="1"/>
    <s v="10-20hrs"/>
    <s v="12+ months"/>
    <x v="1"/>
  </r>
  <r>
    <n v="2723"/>
    <d v="2024-12-18T00:00:00"/>
    <s v="Basic"/>
    <n v="199"/>
    <n v="24.4"/>
    <n v="5"/>
    <n v="4"/>
    <n v="27"/>
    <n v="38"/>
    <s v="Yes"/>
    <s v="No"/>
    <s v="Yes"/>
    <s v="Yes"/>
    <s v="Yes"/>
    <s v="No"/>
    <m/>
    <s v="1+ Failures"/>
    <n v="1"/>
    <s v="20+ hrs"/>
    <s v="12+ months"/>
    <x v="1"/>
  </r>
  <r>
    <n v="2724"/>
    <d v="2023-02-21T00:00:00"/>
    <s v="Basic"/>
    <n v="199"/>
    <n v="18.5"/>
    <n v="0"/>
    <n v="1"/>
    <n v="9"/>
    <n v="2"/>
    <s v="No"/>
    <s v="No"/>
    <s v="Yes"/>
    <s v="No"/>
    <s v="No"/>
    <s v="No"/>
    <m/>
    <s v="1+ Failures"/>
    <n v="0"/>
    <s v="10-20hrs"/>
    <s v="6-12months"/>
    <x v="1"/>
  </r>
  <r>
    <n v="2725"/>
    <d v="2024-01-03T00:00:00"/>
    <s v="Standard"/>
    <n v="399"/>
    <n v="5.9"/>
    <n v="2"/>
    <n v="1"/>
    <n v="10"/>
    <n v="45"/>
    <s v="No"/>
    <s v="No"/>
    <s v="Yes"/>
    <s v="No"/>
    <s v="Yes"/>
    <s v="No"/>
    <m/>
    <s v="1+ Failures"/>
    <n v="0"/>
    <s v="5-10 hrs"/>
    <s v="6-12months"/>
    <x v="1"/>
  </r>
  <r>
    <n v="2726"/>
    <d v="2023-05-14T00:00:00"/>
    <s v="Basic"/>
    <n v="199"/>
    <n v="6.5"/>
    <n v="3"/>
    <n v="0"/>
    <n v="7"/>
    <n v="57"/>
    <s v="No"/>
    <s v="No"/>
    <s v="No"/>
    <s v="No"/>
    <s v="Yes"/>
    <s v="No"/>
    <m/>
    <s v="0 Failures"/>
    <n v="0"/>
    <s v="5-10 hrs"/>
    <s v="6-12months"/>
    <x v="1"/>
  </r>
  <r>
    <n v="2727"/>
    <d v="2023-01-03T00:00:00"/>
    <s v="Premium"/>
    <n v="699"/>
    <n v="10.7"/>
    <n v="0"/>
    <n v="3"/>
    <n v="6"/>
    <n v="16"/>
    <s v="No"/>
    <s v="No"/>
    <s v="Yes"/>
    <s v="No"/>
    <s v="Yes"/>
    <s v="No"/>
    <m/>
    <s v="1+ Failures"/>
    <n v="0"/>
    <s v="10-20hrs"/>
    <s v="3-6months"/>
    <x v="0"/>
  </r>
  <r>
    <n v="2728"/>
    <d v="2024-02-12T00:00:00"/>
    <s v="Premium"/>
    <n v="699"/>
    <n v="8.9"/>
    <n v="3"/>
    <n v="3"/>
    <n v="4"/>
    <n v="29"/>
    <s v="Yes"/>
    <s v="No"/>
    <s v="Yes"/>
    <s v="No"/>
    <s v="Yes"/>
    <s v="Yes"/>
    <m/>
    <s v="1+ Failures"/>
    <n v="1"/>
    <s v="5-10 hrs"/>
    <s v="3-6months"/>
    <x v="0"/>
  </r>
  <r>
    <n v="2729"/>
    <d v="2023-01-24T00:00:00"/>
    <s v="Premium"/>
    <n v="699"/>
    <n v="15.5"/>
    <n v="3"/>
    <n v="1"/>
    <n v="7"/>
    <n v="49"/>
    <s v="Yes"/>
    <s v="No"/>
    <s v="Yes"/>
    <s v="No"/>
    <s v="Yes"/>
    <s v="No"/>
    <m/>
    <s v="1+ Failures"/>
    <n v="1"/>
    <s v="10-20hrs"/>
    <s v="6-12months"/>
    <x v="0"/>
  </r>
  <r>
    <n v="2730"/>
    <d v="2024-12-03T00:00:00"/>
    <s v="Premium"/>
    <n v="699"/>
    <n v="24.8"/>
    <n v="1"/>
    <n v="3"/>
    <n v="11"/>
    <n v="43"/>
    <s v="No"/>
    <s v="No"/>
    <s v="Yes"/>
    <s v="No"/>
    <s v="Yes"/>
    <s v="No"/>
    <m/>
    <s v="1+ Failures"/>
    <n v="0"/>
    <s v="20+ hrs"/>
    <s v="6-12months"/>
    <x v="0"/>
  </r>
  <r>
    <n v="2731"/>
    <d v="2023-06-12T00:00:00"/>
    <s v="Premium"/>
    <n v="699"/>
    <n v="12"/>
    <n v="6"/>
    <n v="4"/>
    <n v="5"/>
    <n v="2"/>
    <s v="No"/>
    <s v="No"/>
    <s v="Yes"/>
    <s v="Yes"/>
    <s v="No"/>
    <s v="Yes"/>
    <m/>
    <s v="1+ Failures"/>
    <n v="0"/>
    <s v="10-20hrs"/>
    <s v="3-6months"/>
    <x v="0"/>
  </r>
  <r>
    <n v="2732"/>
    <d v="2024-07-08T00:00:00"/>
    <s v="Premium"/>
    <n v="699"/>
    <n v="5.8"/>
    <n v="0"/>
    <n v="2"/>
    <n v="34"/>
    <n v="15"/>
    <s v="No"/>
    <s v="No"/>
    <s v="Yes"/>
    <s v="No"/>
    <s v="Yes"/>
    <s v="No"/>
    <m/>
    <s v="1+ Failures"/>
    <n v="0"/>
    <s v="5-10 hrs"/>
    <s v="12+ months"/>
    <x v="0"/>
  </r>
  <r>
    <n v="2733"/>
    <d v="2023-07-27T00:00:00"/>
    <s v="Standard"/>
    <n v="399"/>
    <n v="15.7"/>
    <n v="6"/>
    <n v="1"/>
    <n v="5"/>
    <n v="9"/>
    <s v="No"/>
    <s v="No"/>
    <s v="Yes"/>
    <s v="Yes"/>
    <s v="No"/>
    <s v="Yes"/>
    <m/>
    <s v="1+ Failures"/>
    <n v="0"/>
    <s v="10-20hrs"/>
    <s v="3-6months"/>
    <x v="1"/>
  </r>
  <r>
    <n v="2734"/>
    <d v="2024-01-13T00:00:00"/>
    <s v="Basic"/>
    <n v="199"/>
    <n v="12.4"/>
    <n v="8"/>
    <n v="0"/>
    <n v="27"/>
    <n v="23"/>
    <s v="Yes"/>
    <s v="No"/>
    <s v="No"/>
    <s v="Yes"/>
    <s v="Yes"/>
    <s v="No"/>
    <m/>
    <s v="0 Failures"/>
    <n v="1"/>
    <s v="10-20hrs"/>
    <s v="12+ months"/>
    <x v="1"/>
  </r>
  <r>
    <n v="2735"/>
    <d v="2023-06-06T00:00:00"/>
    <s v="Standard"/>
    <n v="399"/>
    <n v="11.8"/>
    <n v="0"/>
    <n v="3"/>
    <n v="26"/>
    <n v="14"/>
    <s v="No"/>
    <s v="No"/>
    <s v="Yes"/>
    <s v="No"/>
    <s v="No"/>
    <s v="No"/>
    <m/>
    <s v="1+ Failures"/>
    <n v="0"/>
    <s v="10-20hrs"/>
    <s v="12+ months"/>
    <x v="1"/>
  </r>
  <r>
    <n v="2736"/>
    <d v="2023-10-21T00:00:00"/>
    <s v="Basic"/>
    <n v="199"/>
    <n v="20.2"/>
    <n v="5"/>
    <n v="2"/>
    <n v="33"/>
    <n v="3"/>
    <s v="Yes"/>
    <s v="No"/>
    <s v="Yes"/>
    <s v="Yes"/>
    <s v="No"/>
    <s v="No"/>
    <m/>
    <s v="1+ Failures"/>
    <n v="1"/>
    <s v="20+ hrs"/>
    <s v="12+ months"/>
    <x v="1"/>
  </r>
  <r>
    <n v="2737"/>
    <d v="2024-12-02T00:00:00"/>
    <s v="Standard"/>
    <n v="399"/>
    <n v="16.600000000000001"/>
    <n v="7"/>
    <n v="3"/>
    <n v="20"/>
    <n v="25"/>
    <s v="No"/>
    <s v="No"/>
    <s v="Yes"/>
    <s v="Yes"/>
    <s v="Yes"/>
    <s v="No"/>
    <m/>
    <s v="1+ Failures"/>
    <n v="0"/>
    <s v="10-20hrs"/>
    <s v="12+ months"/>
    <x v="1"/>
  </r>
  <r>
    <n v="2738"/>
    <d v="2024-09-11T00:00:00"/>
    <s v="Standard"/>
    <n v="399"/>
    <n v="18.100000000000001"/>
    <n v="6"/>
    <n v="2"/>
    <n v="13"/>
    <n v="0"/>
    <s v="Yes"/>
    <s v="No"/>
    <s v="Yes"/>
    <s v="Yes"/>
    <s v="No"/>
    <s v="No"/>
    <m/>
    <s v="1+ Failures"/>
    <n v="1"/>
    <s v="10-20hrs"/>
    <s v="12+ months"/>
    <x v="1"/>
  </r>
  <r>
    <n v="2739"/>
    <d v="2023-05-01T00:00:00"/>
    <s v="Standard"/>
    <n v="399"/>
    <n v="11.6"/>
    <n v="2"/>
    <n v="1"/>
    <n v="11"/>
    <n v="24"/>
    <s v="Yes"/>
    <s v="No"/>
    <s v="Yes"/>
    <s v="No"/>
    <s v="Yes"/>
    <s v="No"/>
    <m/>
    <s v="1+ Failures"/>
    <n v="1"/>
    <s v="10-20hrs"/>
    <s v="6-12months"/>
    <x v="1"/>
  </r>
  <r>
    <n v="2740"/>
    <d v="2023-05-21T00:00:00"/>
    <s v="Basic"/>
    <n v="199"/>
    <n v="24.2"/>
    <n v="4"/>
    <n v="1"/>
    <n v="19"/>
    <n v="50"/>
    <s v="Yes"/>
    <s v="No"/>
    <s v="Yes"/>
    <s v="No"/>
    <s v="Yes"/>
    <s v="No"/>
    <m/>
    <s v="1+ Failures"/>
    <n v="1"/>
    <s v="20+ hrs"/>
    <s v="12+ months"/>
    <x v="1"/>
  </r>
  <r>
    <n v="2741"/>
    <d v="2023-06-04T00:00:00"/>
    <s v="Premium"/>
    <n v="699"/>
    <n v="23.6"/>
    <n v="8"/>
    <n v="5"/>
    <n v="22"/>
    <n v="20"/>
    <s v="Yes"/>
    <s v="No"/>
    <s v="Yes"/>
    <s v="Yes"/>
    <s v="Yes"/>
    <s v="No"/>
    <m/>
    <s v="1+ Failures"/>
    <n v="1"/>
    <s v="20+ hrs"/>
    <s v="12+ months"/>
    <x v="0"/>
  </r>
  <r>
    <n v="2742"/>
    <d v="2024-08-31T00:00:00"/>
    <s v="Basic"/>
    <n v="199"/>
    <n v="21.3"/>
    <n v="0"/>
    <n v="4"/>
    <n v="33"/>
    <n v="47"/>
    <s v="Yes"/>
    <s v="No"/>
    <s v="Yes"/>
    <s v="No"/>
    <s v="Yes"/>
    <s v="No"/>
    <m/>
    <s v="1+ Failures"/>
    <n v="1"/>
    <s v="20+ hrs"/>
    <s v="12+ months"/>
    <x v="1"/>
  </r>
  <r>
    <n v="2743"/>
    <d v="2023-11-15T00:00:00"/>
    <s v="Premium"/>
    <n v="699"/>
    <n v="18.600000000000001"/>
    <n v="6"/>
    <n v="1"/>
    <n v="7"/>
    <n v="40"/>
    <s v="Yes"/>
    <s v="No"/>
    <s v="Yes"/>
    <s v="Yes"/>
    <s v="Yes"/>
    <s v="No"/>
    <m/>
    <s v="1+ Failures"/>
    <n v="1"/>
    <s v="10-20hrs"/>
    <s v="6-12months"/>
    <x v="0"/>
  </r>
  <r>
    <n v="2744"/>
    <d v="2023-12-13T00:00:00"/>
    <s v="Premium"/>
    <n v="699"/>
    <n v="16.600000000000001"/>
    <n v="6"/>
    <n v="2"/>
    <n v="6"/>
    <n v="14"/>
    <s v="Yes"/>
    <s v="No"/>
    <s v="Yes"/>
    <s v="Yes"/>
    <s v="No"/>
    <s v="No"/>
    <m/>
    <s v="1+ Failures"/>
    <n v="1"/>
    <s v="10-20hrs"/>
    <s v="3-6months"/>
    <x v="0"/>
  </r>
  <r>
    <n v="2745"/>
    <d v="2024-11-13T00:00:00"/>
    <s v="Basic"/>
    <n v="199"/>
    <n v="18.100000000000001"/>
    <n v="4"/>
    <n v="3"/>
    <n v="9"/>
    <n v="11"/>
    <s v="No"/>
    <s v="No"/>
    <s v="Yes"/>
    <s v="No"/>
    <s v="No"/>
    <s v="No"/>
    <m/>
    <s v="1+ Failures"/>
    <n v="0"/>
    <s v="10-20hrs"/>
    <s v="6-12months"/>
    <x v="1"/>
  </r>
  <r>
    <n v="2746"/>
    <d v="2023-02-05T00:00:00"/>
    <s v="Basic"/>
    <n v="199"/>
    <n v="13.5"/>
    <n v="3"/>
    <n v="1"/>
    <n v="24"/>
    <n v="16"/>
    <s v="No"/>
    <s v="No"/>
    <s v="Yes"/>
    <s v="No"/>
    <s v="Yes"/>
    <s v="No"/>
    <m/>
    <s v="1+ Failures"/>
    <n v="0"/>
    <s v="10-20hrs"/>
    <s v="12+ months"/>
    <x v="1"/>
  </r>
  <r>
    <n v="2747"/>
    <d v="2023-01-29T00:00:00"/>
    <s v="Premium"/>
    <n v="699"/>
    <n v="2.4"/>
    <n v="5"/>
    <n v="5"/>
    <n v="16"/>
    <n v="33"/>
    <s v="Yes"/>
    <s v="Yes"/>
    <s v="Yes"/>
    <s v="Yes"/>
    <s v="Yes"/>
    <s v="No"/>
    <m/>
    <s v="1+ Failures"/>
    <n v="1"/>
    <s v="0-5 hrs"/>
    <s v="12+ months"/>
    <x v="0"/>
  </r>
  <r>
    <n v="2748"/>
    <d v="2024-07-31T00:00:00"/>
    <s v="Standard"/>
    <n v="399"/>
    <n v="9.6"/>
    <n v="7"/>
    <n v="5"/>
    <n v="18"/>
    <n v="24"/>
    <s v="No"/>
    <s v="No"/>
    <s v="Yes"/>
    <s v="Yes"/>
    <s v="Yes"/>
    <s v="No"/>
    <m/>
    <s v="1+ Failures"/>
    <n v="0"/>
    <s v="5-10 hrs"/>
    <s v="12+ months"/>
    <x v="1"/>
  </r>
  <r>
    <n v="2749"/>
    <d v="2023-10-02T00:00:00"/>
    <s v="Premium"/>
    <n v="699"/>
    <n v="12.7"/>
    <n v="7"/>
    <n v="3"/>
    <n v="18"/>
    <n v="37"/>
    <s v="Yes"/>
    <s v="No"/>
    <s v="Yes"/>
    <s v="Yes"/>
    <s v="Yes"/>
    <s v="No"/>
    <m/>
    <s v="1+ Failures"/>
    <n v="1"/>
    <s v="10-20hrs"/>
    <s v="12+ months"/>
    <x v="0"/>
  </r>
  <r>
    <n v="2750"/>
    <d v="2024-04-28T00:00:00"/>
    <s v="Premium"/>
    <n v="699"/>
    <n v="23.7"/>
    <n v="5"/>
    <n v="1"/>
    <n v="22"/>
    <n v="27"/>
    <s v="Yes"/>
    <s v="No"/>
    <s v="Yes"/>
    <s v="Yes"/>
    <s v="Yes"/>
    <s v="No"/>
    <m/>
    <s v="1+ Failures"/>
    <n v="1"/>
    <s v="20+ hrs"/>
    <s v="12+ months"/>
    <x v="0"/>
  </r>
  <r>
    <n v="2751"/>
    <d v="2023-08-02T00:00:00"/>
    <s v="Standard"/>
    <n v="399"/>
    <n v="10"/>
    <n v="8"/>
    <n v="3"/>
    <n v="26"/>
    <n v="51"/>
    <s v="Yes"/>
    <s v="No"/>
    <s v="Yes"/>
    <s v="Yes"/>
    <s v="Yes"/>
    <s v="No"/>
    <m/>
    <s v="1+ Failures"/>
    <n v="1"/>
    <s v="5-10 hrs"/>
    <s v="12+ months"/>
    <x v="1"/>
  </r>
  <r>
    <n v="2752"/>
    <d v="2024-12-15T00:00:00"/>
    <s v="Standard"/>
    <n v="399"/>
    <n v="2.4"/>
    <n v="5"/>
    <n v="2"/>
    <n v="9"/>
    <n v="23"/>
    <s v="Yes"/>
    <s v="Yes"/>
    <s v="Yes"/>
    <s v="Yes"/>
    <s v="Yes"/>
    <s v="No"/>
    <m/>
    <s v="1+ Failures"/>
    <n v="1"/>
    <s v="0-5 hrs"/>
    <s v="6-12months"/>
    <x v="1"/>
  </r>
  <r>
    <n v="2753"/>
    <d v="2023-07-09T00:00:00"/>
    <s v="Basic"/>
    <n v="199"/>
    <n v="23.2"/>
    <n v="4"/>
    <n v="4"/>
    <n v="22"/>
    <n v="5"/>
    <s v="No"/>
    <s v="No"/>
    <s v="Yes"/>
    <s v="No"/>
    <s v="No"/>
    <s v="No"/>
    <m/>
    <s v="1+ Failures"/>
    <n v="0"/>
    <s v="20+ hrs"/>
    <s v="12+ months"/>
    <x v="1"/>
  </r>
  <r>
    <n v="2754"/>
    <d v="2024-04-02T00:00:00"/>
    <s v="Standard"/>
    <n v="399"/>
    <n v="8.4"/>
    <n v="5"/>
    <n v="4"/>
    <n v="10"/>
    <n v="24"/>
    <s v="Yes"/>
    <s v="No"/>
    <s v="Yes"/>
    <s v="Yes"/>
    <s v="Yes"/>
    <s v="No"/>
    <m/>
    <s v="1+ Failures"/>
    <n v="1"/>
    <s v="5-10 hrs"/>
    <s v="6-12months"/>
    <x v="1"/>
  </r>
  <r>
    <n v="2755"/>
    <d v="2023-10-10T00:00:00"/>
    <s v="Basic"/>
    <n v="199"/>
    <n v="21.4"/>
    <n v="3"/>
    <n v="0"/>
    <n v="8"/>
    <n v="29"/>
    <s v="No"/>
    <s v="No"/>
    <s v="No"/>
    <s v="No"/>
    <s v="Yes"/>
    <s v="No"/>
    <m/>
    <s v="0 Failures"/>
    <n v="0"/>
    <s v="20+ hrs"/>
    <s v="6-12months"/>
    <x v="1"/>
  </r>
  <r>
    <n v="2756"/>
    <d v="2023-10-20T00:00:00"/>
    <s v="Basic"/>
    <n v="199"/>
    <n v="9.5"/>
    <n v="1"/>
    <n v="2"/>
    <n v="16"/>
    <n v="11"/>
    <s v="No"/>
    <s v="No"/>
    <s v="Yes"/>
    <s v="No"/>
    <s v="No"/>
    <s v="No"/>
    <m/>
    <s v="1+ Failures"/>
    <n v="0"/>
    <s v="5-10 hrs"/>
    <s v="12+ months"/>
    <x v="1"/>
  </r>
  <r>
    <n v="2757"/>
    <d v="2024-03-01T00:00:00"/>
    <s v="Basic"/>
    <n v="199"/>
    <n v="16.399999999999999"/>
    <n v="3"/>
    <n v="1"/>
    <n v="17"/>
    <n v="50"/>
    <s v="No"/>
    <s v="No"/>
    <s v="Yes"/>
    <s v="No"/>
    <s v="Yes"/>
    <s v="No"/>
    <m/>
    <s v="1+ Failures"/>
    <n v="0"/>
    <s v="10-20hrs"/>
    <s v="12+ months"/>
    <x v="1"/>
  </r>
  <r>
    <n v="2758"/>
    <d v="2024-04-08T00:00:00"/>
    <s v="Basic"/>
    <n v="199"/>
    <n v="19.5"/>
    <n v="4"/>
    <n v="1"/>
    <n v="20"/>
    <n v="45"/>
    <s v="No"/>
    <s v="No"/>
    <s v="Yes"/>
    <s v="No"/>
    <s v="Yes"/>
    <s v="No"/>
    <m/>
    <s v="1+ Failures"/>
    <n v="0"/>
    <s v="10-20hrs"/>
    <s v="12+ months"/>
    <x v="1"/>
  </r>
  <r>
    <n v="2759"/>
    <d v="2024-11-28T00:00:00"/>
    <s v="Premium"/>
    <n v="699"/>
    <n v="5.9"/>
    <n v="7"/>
    <n v="1"/>
    <n v="27"/>
    <n v="6"/>
    <s v="No"/>
    <s v="No"/>
    <s v="Yes"/>
    <s v="Yes"/>
    <s v="No"/>
    <s v="No"/>
    <m/>
    <s v="1+ Failures"/>
    <n v="0"/>
    <s v="5-10 hrs"/>
    <s v="12+ months"/>
    <x v="0"/>
  </r>
  <r>
    <n v="2760"/>
    <d v="2023-12-31T00:00:00"/>
    <s v="Basic"/>
    <n v="199"/>
    <n v="13.6"/>
    <n v="1"/>
    <n v="3"/>
    <n v="2"/>
    <n v="60"/>
    <s v="Yes"/>
    <s v="No"/>
    <s v="Yes"/>
    <s v="No"/>
    <s v="Yes"/>
    <s v="Yes"/>
    <m/>
    <s v="1+ Failures"/>
    <n v="1"/>
    <s v="10-20hrs"/>
    <s v="0-3months"/>
    <x v="1"/>
  </r>
  <r>
    <n v="2761"/>
    <d v="2023-04-05T00:00:00"/>
    <s v="Basic"/>
    <n v="199"/>
    <n v="23.3"/>
    <n v="1"/>
    <n v="2"/>
    <n v="10"/>
    <n v="46"/>
    <s v="Yes"/>
    <s v="No"/>
    <s v="Yes"/>
    <s v="No"/>
    <s v="Yes"/>
    <s v="No"/>
    <m/>
    <s v="1+ Failures"/>
    <n v="1"/>
    <s v="20+ hrs"/>
    <s v="6-12months"/>
    <x v="1"/>
  </r>
  <r>
    <n v="2762"/>
    <d v="2023-10-14T00:00:00"/>
    <s v="Premium"/>
    <n v="699"/>
    <n v="8.3000000000000007"/>
    <n v="3"/>
    <n v="2"/>
    <n v="18"/>
    <n v="52"/>
    <s v="No"/>
    <s v="No"/>
    <s v="Yes"/>
    <s v="No"/>
    <s v="Yes"/>
    <s v="No"/>
    <m/>
    <s v="1+ Failures"/>
    <n v="0"/>
    <s v="5-10 hrs"/>
    <s v="12+ months"/>
    <x v="0"/>
  </r>
  <r>
    <n v="2763"/>
    <d v="2024-11-27T00:00:00"/>
    <s v="Premium"/>
    <n v="699"/>
    <n v="11.1"/>
    <n v="8"/>
    <n v="3"/>
    <n v="12"/>
    <n v="16"/>
    <s v="Yes"/>
    <s v="No"/>
    <s v="Yes"/>
    <s v="Yes"/>
    <s v="Yes"/>
    <s v="No"/>
    <m/>
    <s v="1+ Failures"/>
    <n v="1"/>
    <s v="10-20hrs"/>
    <s v="6-12months"/>
    <x v="0"/>
  </r>
  <r>
    <n v="2764"/>
    <d v="2024-10-25T00:00:00"/>
    <s v="Premium"/>
    <n v="699"/>
    <n v="1.7"/>
    <n v="7"/>
    <n v="1"/>
    <n v="32"/>
    <n v="41"/>
    <s v="No"/>
    <s v="Yes"/>
    <s v="Yes"/>
    <s v="Yes"/>
    <s v="Yes"/>
    <s v="No"/>
    <m/>
    <s v="1+ Failures"/>
    <n v="0"/>
    <s v="0-5 hrs"/>
    <s v="12+ months"/>
    <x v="0"/>
  </r>
  <r>
    <n v="2765"/>
    <d v="2023-06-01T00:00:00"/>
    <s v="Premium"/>
    <n v="699"/>
    <n v="17.399999999999999"/>
    <n v="6"/>
    <n v="2"/>
    <n v="2"/>
    <n v="56"/>
    <s v="Yes"/>
    <s v="No"/>
    <s v="Yes"/>
    <s v="Yes"/>
    <s v="Yes"/>
    <s v="Yes"/>
    <m/>
    <s v="1+ Failures"/>
    <n v="1"/>
    <s v="10-20hrs"/>
    <s v="0-3months"/>
    <x v="0"/>
  </r>
  <r>
    <n v="2766"/>
    <d v="2023-11-28T00:00:00"/>
    <s v="Basic"/>
    <n v="199"/>
    <n v="11.8"/>
    <n v="2"/>
    <n v="4"/>
    <n v="29"/>
    <n v="27"/>
    <s v="Yes"/>
    <s v="No"/>
    <s v="Yes"/>
    <s v="No"/>
    <s v="Yes"/>
    <s v="No"/>
    <m/>
    <s v="1+ Failures"/>
    <n v="1"/>
    <s v="10-20hrs"/>
    <s v="12+ months"/>
    <x v="1"/>
  </r>
  <r>
    <n v="2767"/>
    <d v="2024-10-23T00:00:00"/>
    <s v="Standard"/>
    <n v="399"/>
    <n v="5.3"/>
    <n v="0"/>
    <n v="0"/>
    <n v="13"/>
    <n v="17"/>
    <s v="No"/>
    <s v="No"/>
    <s v="No"/>
    <s v="No"/>
    <s v="Yes"/>
    <s v="No"/>
    <m/>
    <s v="0 Failures"/>
    <n v="0"/>
    <s v="5-10 hrs"/>
    <s v="12+ months"/>
    <x v="1"/>
  </r>
  <r>
    <n v="2768"/>
    <d v="2024-01-12T00:00:00"/>
    <s v="Basic"/>
    <n v="199"/>
    <n v="20.5"/>
    <n v="7"/>
    <n v="4"/>
    <n v="23"/>
    <n v="4"/>
    <s v="Yes"/>
    <s v="No"/>
    <s v="Yes"/>
    <s v="Yes"/>
    <s v="No"/>
    <s v="No"/>
    <m/>
    <s v="1+ Failures"/>
    <n v="1"/>
    <s v="20+ hrs"/>
    <s v="12+ months"/>
    <x v="1"/>
  </r>
  <r>
    <n v="2769"/>
    <d v="2024-05-10T00:00:00"/>
    <s v="Standard"/>
    <n v="399"/>
    <n v="16.600000000000001"/>
    <n v="0"/>
    <n v="0"/>
    <n v="34"/>
    <n v="1"/>
    <s v="No"/>
    <s v="No"/>
    <s v="No"/>
    <s v="No"/>
    <s v="No"/>
    <s v="No"/>
    <m/>
    <s v="0 Failures"/>
    <n v="0"/>
    <s v="10-20hrs"/>
    <s v="12+ months"/>
    <x v="1"/>
  </r>
  <r>
    <n v="2770"/>
    <d v="2024-11-09T00:00:00"/>
    <s v="Premium"/>
    <n v="699"/>
    <n v="18.399999999999999"/>
    <n v="1"/>
    <n v="2"/>
    <n v="12"/>
    <n v="11"/>
    <s v="Yes"/>
    <s v="No"/>
    <s v="Yes"/>
    <s v="No"/>
    <s v="No"/>
    <s v="No"/>
    <m/>
    <s v="1+ Failures"/>
    <n v="1"/>
    <s v="10-20hrs"/>
    <s v="6-12months"/>
    <x v="0"/>
  </r>
  <r>
    <n v="2771"/>
    <d v="2023-05-07T00:00:00"/>
    <s v="Basic"/>
    <n v="199"/>
    <n v="10.9"/>
    <n v="4"/>
    <n v="1"/>
    <n v="8"/>
    <n v="36"/>
    <s v="No"/>
    <s v="No"/>
    <s v="Yes"/>
    <s v="No"/>
    <s v="Yes"/>
    <s v="No"/>
    <m/>
    <s v="1+ Failures"/>
    <n v="0"/>
    <s v="10-20hrs"/>
    <s v="6-12months"/>
    <x v="1"/>
  </r>
  <r>
    <n v="2772"/>
    <d v="2023-07-23T00:00:00"/>
    <s v="Basic"/>
    <n v="199"/>
    <n v="13.5"/>
    <n v="1"/>
    <n v="3"/>
    <n v="26"/>
    <n v="10"/>
    <s v="No"/>
    <s v="No"/>
    <s v="Yes"/>
    <s v="No"/>
    <s v="No"/>
    <s v="No"/>
    <m/>
    <s v="1+ Failures"/>
    <n v="0"/>
    <s v="10-20hrs"/>
    <s v="12+ months"/>
    <x v="1"/>
  </r>
  <r>
    <n v="2773"/>
    <d v="2024-02-05T00:00:00"/>
    <s v="Basic"/>
    <n v="199"/>
    <n v="9.8000000000000007"/>
    <n v="5"/>
    <n v="2"/>
    <n v="13"/>
    <n v="45"/>
    <s v="Yes"/>
    <s v="No"/>
    <s v="Yes"/>
    <s v="Yes"/>
    <s v="Yes"/>
    <s v="No"/>
    <m/>
    <s v="1+ Failures"/>
    <n v="1"/>
    <s v="5-10 hrs"/>
    <s v="12+ months"/>
    <x v="1"/>
  </r>
  <r>
    <n v="2774"/>
    <d v="2024-05-11T00:00:00"/>
    <s v="Basic"/>
    <n v="199"/>
    <n v="15.2"/>
    <n v="2"/>
    <n v="4"/>
    <n v="2"/>
    <n v="46"/>
    <s v="No"/>
    <s v="No"/>
    <s v="Yes"/>
    <s v="No"/>
    <s v="Yes"/>
    <s v="Yes"/>
    <m/>
    <s v="1+ Failures"/>
    <n v="0"/>
    <s v="10-20hrs"/>
    <s v="0-3months"/>
    <x v="1"/>
  </r>
  <r>
    <n v="2775"/>
    <d v="2024-11-06T00:00:00"/>
    <s v="Basic"/>
    <n v="199"/>
    <n v="3.6"/>
    <n v="5"/>
    <n v="4"/>
    <n v="23"/>
    <n v="22"/>
    <s v="Yes"/>
    <s v="Yes"/>
    <s v="Yes"/>
    <s v="Yes"/>
    <s v="Yes"/>
    <s v="No"/>
    <m/>
    <s v="1+ Failures"/>
    <n v="1"/>
    <s v="0-5 hrs"/>
    <s v="12+ months"/>
    <x v="1"/>
  </r>
  <r>
    <n v="2776"/>
    <d v="2024-03-29T00:00:00"/>
    <s v="Premium"/>
    <n v="699"/>
    <n v="22.8"/>
    <n v="2"/>
    <n v="1"/>
    <n v="14"/>
    <n v="9"/>
    <s v="No"/>
    <s v="No"/>
    <s v="Yes"/>
    <s v="No"/>
    <s v="No"/>
    <s v="No"/>
    <m/>
    <s v="1+ Failures"/>
    <n v="0"/>
    <s v="20+ hrs"/>
    <s v="12+ months"/>
    <x v="0"/>
  </r>
  <r>
    <n v="2777"/>
    <d v="2024-04-30T00:00:00"/>
    <s v="Basic"/>
    <n v="199"/>
    <n v="22.4"/>
    <n v="2"/>
    <n v="0"/>
    <n v="13"/>
    <n v="18"/>
    <s v="No"/>
    <s v="No"/>
    <s v="No"/>
    <s v="No"/>
    <s v="Yes"/>
    <s v="No"/>
    <m/>
    <s v="0 Failures"/>
    <n v="0"/>
    <s v="20+ hrs"/>
    <s v="12+ months"/>
    <x v="1"/>
  </r>
  <r>
    <n v="2778"/>
    <d v="2023-03-31T00:00:00"/>
    <s v="Premium"/>
    <n v="699"/>
    <n v="19.7"/>
    <n v="3"/>
    <n v="1"/>
    <n v="15"/>
    <n v="14"/>
    <s v="No"/>
    <s v="No"/>
    <s v="Yes"/>
    <s v="No"/>
    <s v="No"/>
    <s v="No"/>
    <m/>
    <s v="1+ Failures"/>
    <n v="0"/>
    <s v="10-20hrs"/>
    <s v="12+ months"/>
    <x v="0"/>
  </r>
  <r>
    <n v="2779"/>
    <d v="2024-07-18T00:00:00"/>
    <s v="Premium"/>
    <n v="699"/>
    <n v="24.3"/>
    <n v="7"/>
    <n v="3"/>
    <n v="23"/>
    <n v="5"/>
    <s v="No"/>
    <s v="No"/>
    <s v="Yes"/>
    <s v="Yes"/>
    <s v="No"/>
    <s v="No"/>
    <m/>
    <s v="1+ Failures"/>
    <n v="0"/>
    <s v="20+ hrs"/>
    <s v="12+ months"/>
    <x v="0"/>
  </r>
  <r>
    <n v="2780"/>
    <d v="2023-05-04T00:00:00"/>
    <s v="Standard"/>
    <n v="399"/>
    <n v="13"/>
    <n v="6"/>
    <n v="4"/>
    <n v="3"/>
    <n v="31"/>
    <s v="No"/>
    <s v="No"/>
    <s v="Yes"/>
    <s v="Yes"/>
    <s v="Yes"/>
    <s v="Yes"/>
    <m/>
    <s v="1+ Failures"/>
    <n v="0"/>
    <s v="10-20hrs"/>
    <s v="0-3months"/>
    <x v="1"/>
  </r>
  <r>
    <n v="2781"/>
    <d v="2024-05-18T00:00:00"/>
    <s v="Premium"/>
    <n v="699"/>
    <n v="20.8"/>
    <n v="3"/>
    <n v="3"/>
    <n v="11"/>
    <n v="2"/>
    <s v="Yes"/>
    <s v="No"/>
    <s v="Yes"/>
    <s v="No"/>
    <s v="No"/>
    <s v="No"/>
    <m/>
    <s v="1+ Failures"/>
    <n v="1"/>
    <s v="20+ hrs"/>
    <s v="6-12months"/>
    <x v="0"/>
  </r>
  <r>
    <n v="2782"/>
    <d v="2024-07-20T00:00:00"/>
    <s v="Basic"/>
    <n v="199"/>
    <n v="10.199999999999999"/>
    <n v="5"/>
    <n v="5"/>
    <n v="10"/>
    <n v="54"/>
    <s v="No"/>
    <s v="No"/>
    <s v="Yes"/>
    <s v="Yes"/>
    <s v="Yes"/>
    <s v="No"/>
    <m/>
    <s v="1+ Failures"/>
    <n v="0"/>
    <s v="10-20hrs"/>
    <s v="6-12months"/>
    <x v="1"/>
  </r>
  <r>
    <n v="2783"/>
    <d v="2024-05-19T00:00:00"/>
    <s v="Basic"/>
    <n v="199"/>
    <n v="17.100000000000001"/>
    <n v="2"/>
    <n v="5"/>
    <n v="36"/>
    <n v="5"/>
    <s v="No"/>
    <s v="No"/>
    <s v="Yes"/>
    <s v="No"/>
    <s v="No"/>
    <s v="No"/>
    <m/>
    <s v="1+ Failures"/>
    <n v="0"/>
    <s v="10-20hrs"/>
    <s v="12+ months"/>
    <x v="1"/>
  </r>
  <r>
    <n v="2784"/>
    <d v="2024-02-17T00:00:00"/>
    <s v="Premium"/>
    <n v="699"/>
    <n v="23.1"/>
    <n v="4"/>
    <n v="4"/>
    <n v="28"/>
    <n v="55"/>
    <s v="Yes"/>
    <s v="No"/>
    <s v="Yes"/>
    <s v="No"/>
    <s v="Yes"/>
    <s v="No"/>
    <m/>
    <s v="1+ Failures"/>
    <n v="1"/>
    <s v="20+ hrs"/>
    <s v="12+ months"/>
    <x v="0"/>
  </r>
  <r>
    <n v="2785"/>
    <d v="2023-08-10T00:00:00"/>
    <s v="Standard"/>
    <n v="399"/>
    <n v="8.4"/>
    <n v="4"/>
    <n v="1"/>
    <n v="13"/>
    <n v="9"/>
    <s v="Yes"/>
    <s v="No"/>
    <s v="Yes"/>
    <s v="No"/>
    <s v="No"/>
    <s v="No"/>
    <m/>
    <s v="1+ Failures"/>
    <n v="1"/>
    <s v="5-10 hrs"/>
    <s v="12+ months"/>
    <x v="1"/>
  </r>
  <r>
    <n v="2786"/>
    <d v="2023-04-19T00:00:00"/>
    <s v="Premium"/>
    <n v="699"/>
    <n v="4"/>
    <n v="2"/>
    <n v="5"/>
    <n v="10"/>
    <n v="32"/>
    <s v="Yes"/>
    <s v="Yes"/>
    <s v="Yes"/>
    <s v="No"/>
    <s v="Yes"/>
    <s v="No"/>
    <m/>
    <s v="1+ Failures"/>
    <n v="1"/>
    <s v="0-5 hrs"/>
    <s v="6-12months"/>
    <x v="0"/>
  </r>
  <r>
    <n v="2787"/>
    <d v="2024-08-02T00:00:00"/>
    <s v="Premium"/>
    <n v="699"/>
    <n v="6.7"/>
    <n v="2"/>
    <n v="2"/>
    <n v="19"/>
    <n v="35"/>
    <s v="No"/>
    <s v="No"/>
    <s v="Yes"/>
    <s v="No"/>
    <s v="Yes"/>
    <s v="No"/>
    <m/>
    <s v="1+ Failures"/>
    <n v="0"/>
    <s v="5-10 hrs"/>
    <s v="12+ months"/>
    <x v="0"/>
  </r>
  <r>
    <n v="2788"/>
    <d v="2024-09-24T00:00:00"/>
    <s v="Basic"/>
    <n v="199"/>
    <n v="4.9000000000000004"/>
    <n v="5"/>
    <n v="3"/>
    <n v="12"/>
    <n v="3"/>
    <s v="Yes"/>
    <s v="Yes"/>
    <s v="Yes"/>
    <s v="Yes"/>
    <s v="No"/>
    <s v="No"/>
    <m/>
    <s v="1+ Failures"/>
    <n v="1"/>
    <s v="0-5 hrs"/>
    <s v="6-12months"/>
    <x v="1"/>
  </r>
  <r>
    <n v="2789"/>
    <d v="2024-10-12T00:00:00"/>
    <s v="Standard"/>
    <n v="399"/>
    <n v="9.6"/>
    <n v="0"/>
    <n v="3"/>
    <n v="14"/>
    <n v="15"/>
    <s v="No"/>
    <s v="No"/>
    <s v="Yes"/>
    <s v="No"/>
    <s v="Yes"/>
    <s v="No"/>
    <m/>
    <s v="1+ Failures"/>
    <n v="0"/>
    <s v="5-10 hrs"/>
    <s v="12+ months"/>
    <x v="1"/>
  </r>
  <r>
    <n v="2790"/>
    <d v="2024-06-28T00:00:00"/>
    <s v="Premium"/>
    <n v="699"/>
    <n v="21.7"/>
    <n v="3"/>
    <n v="0"/>
    <n v="31"/>
    <n v="54"/>
    <s v="No"/>
    <s v="No"/>
    <s v="No"/>
    <s v="No"/>
    <s v="Yes"/>
    <s v="No"/>
    <m/>
    <s v="0 Failures"/>
    <n v="0"/>
    <s v="20+ hrs"/>
    <s v="12+ months"/>
    <x v="0"/>
  </r>
  <r>
    <n v="2791"/>
    <d v="2023-01-07T00:00:00"/>
    <s v="Basic"/>
    <n v="199"/>
    <n v="10.199999999999999"/>
    <n v="7"/>
    <n v="2"/>
    <n v="18"/>
    <n v="6"/>
    <s v="No"/>
    <s v="No"/>
    <s v="Yes"/>
    <s v="Yes"/>
    <s v="No"/>
    <s v="No"/>
    <m/>
    <s v="1+ Failures"/>
    <n v="0"/>
    <s v="10-20hrs"/>
    <s v="12+ months"/>
    <x v="1"/>
  </r>
  <r>
    <n v="2792"/>
    <d v="2024-07-29T00:00:00"/>
    <s v="Standard"/>
    <n v="399"/>
    <n v="6.1"/>
    <n v="8"/>
    <n v="2"/>
    <n v="21"/>
    <n v="49"/>
    <s v="Yes"/>
    <s v="No"/>
    <s v="Yes"/>
    <s v="Yes"/>
    <s v="Yes"/>
    <s v="No"/>
    <m/>
    <s v="1+ Failures"/>
    <n v="1"/>
    <s v="5-10 hrs"/>
    <s v="12+ months"/>
    <x v="1"/>
  </r>
  <r>
    <n v="2793"/>
    <d v="2024-02-15T00:00:00"/>
    <s v="Standard"/>
    <n v="399"/>
    <n v="0.8"/>
    <n v="1"/>
    <n v="1"/>
    <n v="10"/>
    <n v="49"/>
    <s v="Yes"/>
    <s v="Yes"/>
    <s v="Yes"/>
    <s v="No"/>
    <s v="Yes"/>
    <s v="No"/>
    <m/>
    <s v="1+ Failures"/>
    <n v="1"/>
    <s v="0-5 hrs"/>
    <s v="6-12months"/>
    <x v="1"/>
  </r>
  <r>
    <n v="2794"/>
    <d v="2024-04-29T00:00:00"/>
    <s v="Premium"/>
    <n v="699"/>
    <n v="13"/>
    <n v="4"/>
    <n v="5"/>
    <n v="4"/>
    <n v="25"/>
    <s v="Yes"/>
    <s v="No"/>
    <s v="Yes"/>
    <s v="No"/>
    <s v="Yes"/>
    <s v="Yes"/>
    <m/>
    <s v="1+ Failures"/>
    <n v="1"/>
    <s v="10-20hrs"/>
    <s v="3-6months"/>
    <x v="0"/>
  </r>
  <r>
    <n v="2795"/>
    <d v="2023-02-16T00:00:00"/>
    <s v="Premium"/>
    <n v="699"/>
    <n v="10"/>
    <n v="5"/>
    <n v="5"/>
    <n v="24"/>
    <n v="17"/>
    <s v="No"/>
    <s v="No"/>
    <s v="Yes"/>
    <s v="Yes"/>
    <s v="Yes"/>
    <s v="No"/>
    <m/>
    <s v="1+ Failures"/>
    <n v="0"/>
    <s v="5-10 hrs"/>
    <s v="12+ months"/>
    <x v="0"/>
  </r>
  <r>
    <n v="2796"/>
    <d v="2023-03-10T00:00:00"/>
    <s v="Standard"/>
    <n v="399"/>
    <n v="6.7"/>
    <n v="1"/>
    <n v="1"/>
    <n v="21"/>
    <n v="59"/>
    <s v="No"/>
    <s v="No"/>
    <s v="Yes"/>
    <s v="No"/>
    <s v="Yes"/>
    <s v="No"/>
    <m/>
    <s v="1+ Failures"/>
    <n v="0"/>
    <s v="5-10 hrs"/>
    <s v="12+ months"/>
    <x v="1"/>
  </r>
  <r>
    <n v="2797"/>
    <d v="2024-11-20T00:00:00"/>
    <s v="Standard"/>
    <n v="399"/>
    <n v="11"/>
    <n v="4"/>
    <n v="0"/>
    <n v="6"/>
    <n v="4"/>
    <s v="No"/>
    <s v="No"/>
    <s v="No"/>
    <s v="No"/>
    <s v="No"/>
    <s v="No"/>
    <m/>
    <s v="0 Failures"/>
    <n v="0"/>
    <s v="10-20hrs"/>
    <s v="3-6months"/>
    <x v="1"/>
  </r>
  <r>
    <n v="2798"/>
    <d v="2024-08-13T00:00:00"/>
    <s v="Standard"/>
    <n v="399"/>
    <n v="11"/>
    <n v="0"/>
    <n v="4"/>
    <n v="22"/>
    <n v="59"/>
    <s v="No"/>
    <s v="No"/>
    <s v="Yes"/>
    <s v="No"/>
    <s v="Yes"/>
    <s v="No"/>
    <m/>
    <s v="1+ Failures"/>
    <n v="0"/>
    <s v="10-20hrs"/>
    <s v="12+ months"/>
    <x v="1"/>
  </r>
  <r>
    <n v="2799"/>
    <d v="2024-05-23T00:00:00"/>
    <s v="Premium"/>
    <n v="699"/>
    <n v="15"/>
    <n v="3"/>
    <n v="4"/>
    <n v="25"/>
    <n v="20"/>
    <s v="No"/>
    <s v="No"/>
    <s v="Yes"/>
    <s v="No"/>
    <s v="Yes"/>
    <s v="No"/>
    <m/>
    <s v="1+ Failures"/>
    <n v="0"/>
    <s v="10-20hrs"/>
    <s v="12+ months"/>
    <x v="0"/>
  </r>
  <r>
    <n v="2800"/>
    <d v="2024-03-21T00:00:00"/>
    <s v="Standard"/>
    <n v="399"/>
    <n v="2"/>
    <n v="0"/>
    <n v="1"/>
    <n v="12"/>
    <n v="1"/>
    <s v="Yes"/>
    <s v="Yes"/>
    <s v="Yes"/>
    <s v="No"/>
    <s v="No"/>
    <s v="No"/>
    <m/>
    <s v="1+ Failures"/>
    <n v="1"/>
    <s v="0-5 hrs"/>
    <s v="6-12months"/>
    <x v="1"/>
  </r>
  <r>
    <m/>
    <m/>
    <m/>
    <m/>
    <m/>
    <m/>
    <m/>
    <m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FCF0E-EFA0-4639-875E-F43A99FFF44B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0:T3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n="N/A" x="2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urn Flag" fld="17" subtotal="average" baseField="20" baseItem="0" numFmtId="10"/>
    <dataField name="Customer Count" fld="17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FAA01-FFCD-427E-9E42-D2A49B4E149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1:T2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0"/>
        <item x="1"/>
        <item n="." x="4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urn Flag" fld="17" subtotal="average" baseField="19" baseItem="0" numFmtId="10"/>
    <dataField name="Count of Churn Flag" fld="17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F7EC3-8C47-41B5-B1AF-F0029C365DF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2:T18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2"/>
        <item x="1"/>
        <item x="3"/>
        <item n="."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urn Flag" fld="17" subtotal="average" baseField="18" baseItem="0" numFmtId="10"/>
    <dataField name="Customer Count" fld="17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5CE0C-DFFC-480A-A751-9BD8F7798A1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:S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>
      <items count="8">
        <item x="1"/>
        <item x="0"/>
        <item x="3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17" subtotal="average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863F0-0919-4C0D-945D-396D9356A77A}" name="Table2" displayName="Table2" ref="A1:J2801" totalsRowShown="0">
  <autoFilter ref="A1:J2801" xr:uid="{82A863F0-0919-4C0D-945D-396D9356A77A}"/>
  <tableColumns count="10">
    <tableColumn id="1" xr3:uid="{086E34CE-681A-48C9-AA18-DE9BED76D2C3}" name="user_id"/>
    <tableColumn id="2" xr3:uid="{85C25269-60E1-4AD0-84D6-259DBC991872}" name="signup_date" dataDxfId="0"/>
    <tableColumn id="3" xr3:uid="{5172AD69-FABA-40AB-8EF7-38888D0ECCC3}" name="plan_type"/>
    <tableColumn id="4" xr3:uid="{4D09C86B-0933-4BDF-879F-89965AF0A764}" name="monthly_fee"/>
    <tableColumn id="5" xr3:uid="{2F57B3A6-EE63-49FF-856E-CC7BFE6A30B4}" name="avg_weekly_usage_hours"/>
    <tableColumn id="6" xr3:uid="{9EA6177C-A411-4EC8-85D4-2B02937B036D}" name="support_tickets"/>
    <tableColumn id="7" xr3:uid="{D683820A-071C-4CE9-8EB9-4439A6392991}" name="payment_failures"/>
    <tableColumn id="8" xr3:uid="{65A1CACE-74B2-4449-A54B-5FC97806882C}" name="tenure_months"/>
    <tableColumn id="9" xr3:uid="{2D52C9B7-907B-440B-B87C-012426EC5B54}" name="last_login_days_ago"/>
    <tableColumn id="10" xr3:uid="{05BC4953-DC83-42FA-A1FB-D77E558CD7E0}" name="chur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2165-EBD0-46E6-A044-974267700E97}">
  <dimension ref="A1:T2801"/>
  <sheetViews>
    <sheetView tabSelected="1" topLeftCell="F1" workbookViewId="0">
      <selection activeCell="I17" sqref="I17"/>
    </sheetView>
  </sheetViews>
  <sheetFormatPr defaultRowHeight="14.4" x14ac:dyDescent="0.3"/>
  <cols>
    <col min="1" max="1" width="9.21875" bestFit="1" customWidth="1"/>
    <col min="2" max="2" width="13.21875" style="7" bestFit="1" customWidth="1"/>
    <col min="3" max="3" width="11.33203125" bestFit="1" customWidth="1"/>
    <col min="4" max="4" width="13.33203125" bestFit="1" customWidth="1"/>
    <col min="5" max="5" width="23.88671875" customWidth="1"/>
    <col min="6" max="6" width="16.33203125" bestFit="1" customWidth="1"/>
    <col min="7" max="7" width="17.6640625" bestFit="1" customWidth="1"/>
    <col min="8" max="8" width="15.6640625" bestFit="1" customWidth="1"/>
    <col min="9" max="9" width="19.6640625" bestFit="1" customWidth="1"/>
    <col min="10" max="10" width="7.88671875" bestFit="1" customWidth="1"/>
    <col min="11" max="11" width="10.109375" bestFit="1" customWidth="1"/>
    <col min="12" max="12" width="21" bestFit="1" customWidth="1"/>
    <col min="13" max="13" width="11.109375" bestFit="1" customWidth="1"/>
    <col min="14" max="14" width="12.88671875" bestFit="1" customWidth="1"/>
    <col min="15" max="15" width="10.21875" bestFit="1" customWidth="1"/>
    <col min="16" max="16" width="13.21875" style="7" bestFit="1" customWidth="1"/>
    <col min="18" max="18" width="12.44140625" bestFit="1" customWidth="1"/>
    <col min="19" max="19" width="18.6640625" bestFit="1" customWidth="1"/>
    <col min="20" max="21" width="16.88671875" bestFit="1" customWidth="1"/>
  </cols>
  <sheetData>
    <row r="1" spans="1:20" x14ac:dyDescent="0.3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33</v>
      </c>
      <c r="L1" s="1" t="s">
        <v>34</v>
      </c>
      <c r="M1" s="1" t="s">
        <v>35</v>
      </c>
      <c r="N1" s="6" t="s">
        <v>32</v>
      </c>
      <c r="O1" s="6" t="s">
        <v>36</v>
      </c>
      <c r="P1" s="8" t="s">
        <v>38</v>
      </c>
    </row>
    <row r="2" spans="1:20" x14ac:dyDescent="0.3">
      <c r="A2">
        <v>1</v>
      </c>
      <c r="B2" s="7">
        <v>45031</v>
      </c>
      <c r="C2" t="s">
        <v>10</v>
      </c>
      <c r="D2">
        <v>699</v>
      </c>
      <c r="E2">
        <v>1.1000000000000001</v>
      </c>
      <c r="F2">
        <v>4</v>
      </c>
      <c r="G2">
        <v>1</v>
      </c>
      <c r="H2">
        <v>8</v>
      </c>
      <c r="I2">
        <v>14</v>
      </c>
      <c r="J2" t="s">
        <v>11</v>
      </c>
      <c r="K2">
        <f>IF(J2="Yes", 1, 0)</f>
        <v>1</v>
      </c>
      <c r="L2" t="str">
        <f>IF(G2=0,"0 Failures","1+ Failures")</f>
        <v>1+ Failures</v>
      </c>
      <c r="M2" t="str">
        <f>IF(E2&lt;=5, "0-5 hrs",    IF(E2&lt;=10, "5-10 hrs",    IF(E2&lt;=20, "10-20hrs", "20+ hrs")))</f>
        <v>0-5 hrs</v>
      </c>
      <c r="N2" t="str">
        <f>IF(H2&lt;=3, "0-3months", IF(H2&lt;=6, "3-6months", IF(H2&lt;=12, "6-12months", "12+ months")))</f>
        <v>6-12months</v>
      </c>
      <c r="O2" t="str">
        <f>IF(C2="premium", "Premium", "Basic")</f>
        <v>Premium</v>
      </c>
      <c r="P2" s="7">
        <v>45657</v>
      </c>
    </row>
    <row r="3" spans="1:20" x14ac:dyDescent="0.3">
      <c r="A3">
        <v>2</v>
      </c>
      <c r="B3" s="7">
        <v>45165</v>
      </c>
      <c r="C3" t="s">
        <v>10</v>
      </c>
      <c r="D3">
        <v>699</v>
      </c>
      <c r="E3">
        <v>2.6</v>
      </c>
      <c r="F3">
        <v>6</v>
      </c>
      <c r="G3">
        <v>0</v>
      </c>
      <c r="H3">
        <v>35</v>
      </c>
      <c r="I3">
        <v>1</v>
      </c>
      <c r="J3" t="s">
        <v>11</v>
      </c>
      <c r="K3">
        <f>IF(J3="Yes", 1, 0)</f>
        <v>1</v>
      </c>
      <c r="L3" t="str">
        <f>IF(G3=0,"0 Failures","1+ Failures")</f>
        <v>0 Failures</v>
      </c>
      <c r="M3" t="str">
        <f>IF(E3&lt;=5, "0-5 hrs",    IF(E3&lt;=10, "5-10 hrs",    IF(E3&lt;=20, "10-20hrs", "20+ hrs")))</f>
        <v>0-5 hrs</v>
      </c>
      <c r="N3" t="str">
        <f t="shared" ref="N3:N66" si="0">IF(H3&lt;=3, "0-3months", IF(H3&lt;=6, "3-6months", IF(H3&lt;=12, "6-12months", "12+ months")))</f>
        <v>12+ months</v>
      </c>
      <c r="O3" t="str">
        <f t="shared" ref="O3:O66" si="1">IF(C3="premium", "Premium", "Basic")</f>
        <v>Premium</v>
      </c>
      <c r="P3" s="7">
        <v>45657</v>
      </c>
      <c r="R3" s="3" t="s">
        <v>15</v>
      </c>
      <c r="S3" t="s">
        <v>20</v>
      </c>
    </row>
    <row r="4" spans="1:20" x14ac:dyDescent="0.3">
      <c r="A4">
        <v>3</v>
      </c>
      <c r="B4" s="7">
        <v>45211</v>
      </c>
      <c r="C4" t="s">
        <v>10</v>
      </c>
      <c r="D4">
        <v>699</v>
      </c>
      <c r="E4">
        <v>14.3</v>
      </c>
      <c r="F4">
        <v>8</v>
      </c>
      <c r="G4">
        <v>3</v>
      </c>
      <c r="H4">
        <v>2</v>
      </c>
      <c r="I4">
        <v>14</v>
      </c>
      <c r="J4" t="s">
        <v>11</v>
      </c>
      <c r="K4">
        <f>IF(J4="Yes", 1, 0)</f>
        <v>1</v>
      </c>
      <c r="L4" t="str">
        <f>IF(G4=0,"0 Failures","1+ Failures")</f>
        <v>1+ Failures</v>
      </c>
      <c r="M4" t="str">
        <f>IF(E4&lt;=5, "0-5 hrs",    IF(E4&lt;=10, "5-10 hrs",    IF(E4&lt;=20, "10-20hrs", "20+ hrs")))</f>
        <v>10-20hrs</v>
      </c>
      <c r="N4" t="str">
        <f t="shared" si="0"/>
        <v>0-3months</v>
      </c>
      <c r="O4" t="str">
        <f t="shared" si="1"/>
        <v>Premium</v>
      </c>
      <c r="P4" s="7">
        <v>45657</v>
      </c>
      <c r="R4" s="4" t="s">
        <v>18</v>
      </c>
      <c r="S4" s="5">
        <v>0.39592760180995473</v>
      </c>
    </row>
    <row r="5" spans="1:20" x14ac:dyDescent="0.3">
      <c r="A5">
        <v>4</v>
      </c>
      <c r="B5" s="7">
        <v>45271</v>
      </c>
      <c r="C5" t="s">
        <v>12</v>
      </c>
      <c r="D5">
        <v>199</v>
      </c>
      <c r="E5">
        <v>17.600000000000001</v>
      </c>
      <c r="F5">
        <v>5</v>
      </c>
      <c r="G5">
        <v>2</v>
      </c>
      <c r="H5">
        <v>11</v>
      </c>
      <c r="I5">
        <v>9</v>
      </c>
      <c r="J5" t="s">
        <v>11</v>
      </c>
      <c r="K5">
        <f>IF(J5="Yes", 1, 0)</f>
        <v>1</v>
      </c>
      <c r="L5" t="str">
        <f>IF(G5=0,"0 Failures","1+ Failures")</f>
        <v>1+ Failures</v>
      </c>
      <c r="M5" t="str">
        <f>IF(E5&lt;=5, "0-5 hrs",    IF(E5&lt;=10, "5-10 hrs",    IF(E5&lt;=20, "10-20hrs", "20+ hrs")))</f>
        <v>10-20hrs</v>
      </c>
      <c r="N5" t="str">
        <f t="shared" si="0"/>
        <v>6-12months</v>
      </c>
      <c r="O5" t="str">
        <f t="shared" si="1"/>
        <v>Basic</v>
      </c>
      <c r="P5" s="7">
        <v>45657</v>
      </c>
      <c r="R5" s="4" t="s">
        <v>19</v>
      </c>
      <c r="S5" s="5">
        <v>0.60644614079728587</v>
      </c>
    </row>
    <row r="6" spans="1:20" x14ac:dyDescent="0.3">
      <c r="A6">
        <v>5</v>
      </c>
      <c r="B6" s="7">
        <v>44971</v>
      </c>
      <c r="C6" t="s">
        <v>12</v>
      </c>
      <c r="D6">
        <v>199</v>
      </c>
      <c r="E6">
        <v>9.8000000000000007</v>
      </c>
      <c r="F6">
        <v>5</v>
      </c>
      <c r="G6">
        <v>2</v>
      </c>
      <c r="H6">
        <v>6</v>
      </c>
      <c r="I6">
        <v>38</v>
      </c>
      <c r="J6" t="s">
        <v>11</v>
      </c>
      <c r="K6">
        <f>IF(J6="Yes", 1, 0)</f>
        <v>1</v>
      </c>
      <c r="L6" t="str">
        <f>IF(G6=0,"0 Failures","1+ Failures")</f>
        <v>1+ Failures</v>
      </c>
      <c r="M6" t="str">
        <f>IF(E6&lt;=5, "0-5 hrs",    IF(E6&lt;=10, "5-10 hrs",    IF(E6&lt;=20, "10-20hrs", "20+ hrs")))</f>
        <v>5-10 hrs</v>
      </c>
      <c r="N6" t="str">
        <f t="shared" si="0"/>
        <v>3-6months</v>
      </c>
      <c r="O6" t="str">
        <f t="shared" si="1"/>
        <v>Basic</v>
      </c>
      <c r="P6" s="7">
        <v>45657</v>
      </c>
      <c r="R6" s="4" t="s">
        <v>16</v>
      </c>
      <c r="S6" s="5"/>
    </row>
    <row r="7" spans="1:20" x14ac:dyDescent="0.3">
      <c r="A7">
        <v>6</v>
      </c>
      <c r="B7" s="7">
        <v>45570</v>
      </c>
      <c r="C7" t="s">
        <v>10</v>
      </c>
      <c r="D7">
        <v>699</v>
      </c>
      <c r="E7">
        <v>13.6</v>
      </c>
      <c r="F7">
        <v>6</v>
      </c>
      <c r="G7">
        <v>0</v>
      </c>
      <c r="H7">
        <v>30</v>
      </c>
      <c r="I7">
        <v>35</v>
      </c>
      <c r="J7" t="s">
        <v>11</v>
      </c>
      <c r="K7">
        <f>IF(J7="Yes", 1, 0)</f>
        <v>1</v>
      </c>
      <c r="L7" t="str">
        <f>IF(G7=0,"0 Failures","1+ Failures")</f>
        <v>0 Failures</v>
      </c>
      <c r="M7" t="str">
        <f>IF(E7&lt;=5, "0-5 hrs",    IF(E7&lt;=10, "5-10 hrs",    IF(E7&lt;=20, "10-20hrs", "20+ hrs")))</f>
        <v>10-20hrs</v>
      </c>
      <c r="N7" t="str">
        <f t="shared" si="0"/>
        <v>12+ months</v>
      </c>
      <c r="O7" t="str">
        <f t="shared" si="1"/>
        <v>Premium</v>
      </c>
      <c r="P7" s="7">
        <v>45657</v>
      </c>
      <c r="R7" s="4" t="s">
        <v>17</v>
      </c>
      <c r="S7" s="5">
        <v>0.57321428571428568</v>
      </c>
    </row>
    <row r="8" spans="1:20" x14ac:dyDescent="0.3">
      <c r="A8">
        <v>7</v>
      </c>
      <c r="B8" s="7">
        <v>45223</v>
      </c>
      <c r="C8" t="s">
        <v>10</v>
      </c>
      <c r="D8">
        <v>699</v>
      </c>
      <c r="E8">
        <v>14.6</v>
      </c>
      <c r="F8">
        <v>1</v>
      </c>
      <c r="G8">
        <v>0</v>
      </c>
      <c r="H8">
        <v>24</v>
      </c>
      <c r="I8">
        <v>42</v>
      </c>
      <c r="J8" t="s">
        <v>11</v>
      </c>
      <c r="K8">
        <f>IF(J8="Yes", 1, 0)</f>
        <v>1</v>
      </c>
      <c r="L8" t="str">
        <f>IF(G8=0,"0 Failures","1+ Failures")</f>
        <v>0 Failures</v>
      </c>
      <c r="M8" t="str">
        <f>IF(E8&lt;=5, "0-5 hrs",    IF(E8&lt;=10, "5-10 hrs",    IF(E8&lt;=20, "10-20hrs", "20+ hrs")))</f>
        <v>10-20hrs</v>
      </c>
      <c r="N8" t="str">
        <f t="shared" si="0"/>
        <v>12+ months</v>
      </c>
      <c r="O8" t="str">
        <f t="shared" si="1"/>
        <v>Premium</v>
      </c>
      <c r="P8" s="7">
        <v>45657</v>
      </c>
    </row>
    <row r="9" spans="1:20" x14ac:dyDescent="0.3">
      <c r="A9">
        <v>8</v>
      </c>
      <c r="B9" s="7">
        <v>45300</v>
      </c>
      <c r="C9" t="s">
        <v>12</v>
      </c>
      <c r="D9">
        <v>199</v>
      </c>
      <c r="E9">
        <v>21.7</v>
      </c>
      <c r="F9">
        <v>6</v>
      </c>
      <c r="G9">
        <v>2</v>
      </c>
      <c r="H9">
        <v>15</v>
      </c>
      <c r="I9">
        <v>29</v>
      </c>
      <c r="J9" t="s">
        <v>11</v>
      </c>
      <c r="K9">
        <f>IF(J9="Yes", 1, 0)</f>
        <v>1</v>
      </c>
      <c r="L9" t="str">
        <f>IF(G9=0,"0 Failures","1+ Failures")</f>
        <v>1+ Failures</v>
      </c>
      <c r="M9" t="str">
        <f>IF(E9&lt;=5, "0-5 hrs",    IF(E9&lt;=10, "5-10 hrs",    IF(E9&lt;=20, "10-20hrs", "20+ hrs")))</f>
        <v>20+ hrs</v>
      </c>
      <c r="N9" t="str">
        <f t="shared" si="0"/>
        <v>12+ months</v>
      </c>
      <c r="O9" t="str">
        <f t="shared" si="1"/>
        <v>Basic</v>
      </c>
      <c r="P9" s="7">
        <v>45657</v>
      </c>
    </row>
    <row r="10" spans="1:20" x14ac:dyDescent="0.3">
      <c r="A10">
        <v>9</v>
      </c>
      <c r="B10" s="7">
        <v>45000</v>
      </c>
      <c r="C10" t="s">
        <v>12</v>
      </c>
      <c r="D10">
        <v>199</v>
      </c>
      <c r="E10">
        <v>9.1999999999999993</v>
      </c>
      <c r="F10">
        <v>4</v>
      </c>
      <c r="G10">
        <v>5</v>
      </c>
      <c r="H10">
        <v>24</v>
      </c>
      <c r="I10">
        <v>59</v>
      </c>
      <c r="J10" t="s">
        <v>11</v>
      </c>
      <c r="K10">
        <f>IF(J10="Yes", 1, 0)</f>
        <v>1</v>
      </c>
      <c r="L10" t="str">
        <f>IF(G10=0,"0 Failures","1+ Failures")</f>
        <v>1+ Failures</v>
      </c>
      <c r="M10" t="str">
        <f>IF(E10&lt;=5, "0-5 hrs",    IF(E10&lt;=10, "5-10 hrs",    IF(E10&lt;=20, "10-20hrs", "20+ hrs")))</f>
        <v>5-10 hrs</v>
      </c>
      <c r="N10" t="str">
        <f t="shared" si="0"/>
        <v>12+ months</v>
      </c>
      <c r="O10" t="str">
        <f t="shared" si="1"/>
        <v>Basic</v>
      </c>
      <c r="P10" s="7">
        <v>45657</v>
      </c>
    </row>
    <row r="11" spans="1:20" x14ac:dyDescent="0.3">
      <c r="A11">
        <v>10</v>
      </c>
      <c r="B11" s="7">
        <v>45582</v>
      </c>
      <c r="C11" t="s">
        <v>10</v>
      </c>
      <c r="D11">
        <v>699</v>
      </c>
      <c r="E11">
        <v>13.6</v>
      </c>
      <c r="F11">
        <v>3</v>
      </c>
      <c r="G11">
        <v>1</v>
      </c>
      <c r="H11">
        <v>11</v>
      </c>
      <c r="I11">
        <v>29</v>
      </c>
      <c r="J11" t="s">
        <v>13</v>
      </c>
      <c r="K11">
        <f>IF(J11="Yes", 1, 0)</f>
        <v>0</v>
      </c>
      <c r="L11" t="str">
        <f>IF(G11=0,"0 Failures","1+ Failures")</f>
        <v>1+ Failures</v>
      </c>
      <c r="M11" t="str">
        <f t="shared" ref="M11:M74" si="2">IF(E11&lt;=5, "0-5 hrs",    IF(E11&lt;=10, "5-10 hrs",    IF(E11&lt;=20, "10-20hrs", "20+ hrs")))</f>
        <v>10-20hrs</v>
      </c>
      <c r="N11" t="str">
        <f t="shared" si="0"/>
        <v>6-12months</v>
      </c>
      <c r="O11" t="str">
        <f t="shared" si="1"/>
        <v>Premium</v>
      </c>
      <c r="P11" s="7">
        <v>45657</v>
      </c>
    </row>
    <row r="12" spans="1:20" x14ac:dyDescent="0.3">
      <c r="A12">
        <v>11</v>
      </c>
      <c r="B12" s="7">
        <v>45250</v>
      </c>
      <c r="C12" t="s">
        <v>10</v>
      </c>
      <c r="D12">
        <v>699</v>
      </c>
      <c r="E12">
        <v>5.9</v>
      </c>
      <c r="F12">
        <v>5</v>
      </c>
      <c r="G12">
        <v>0</v>
      </c>
      <c r="H12">
        <v>36</v>
      </c>
      <c r="I12">
        <v>14</v>
      </c>
      <c r="J12" t="s">
        <v>13</v>
      </c>
      <c r="K12">
        <f>IF(J12="Yes", 1, 0)</f>
        <v>0</v>
      </c>
      <c r="L12" t="str">
        <f>IF(G12=0,"0 Failures","1+ Failures")</f>
        <v>0 Failures</v>
      </c>
      <c r="M12" t="str">
        <f t="shared" si="2"/>
        <v>5-10 hrs</v>
      </c>
      <c r="N12" t="str">
        <f t="shared" si="0"/>
        <v>12+ months</v>
      </c>
      <c r="O12" t="str">
        <f t="shared" si="1"/>
        <v>Premium</v>
      </c>
      <c r="P12" s="7">
        <v>45657</v>
      </c>
      <c r="R12" s="3" t="s">
        <v>15</v>
      </c>
      <c r="S12" t="s">
        <v>20</v>
      </c>
      <c r="T12" t="s">
        <v>26</v>
      </c>
    </row>
    <row r="13" spans="1:20" x14ac:dyDescent="0.3">
      <c r="A13">
        <v>12</v>
      </c>
      <c r="B13" s="7">
        <v>45585</v>
      </c>
      <c r="C13" t="s">
        <v>14</v>
      </c>
      <c r="D13">
        <v>399</v>
      </c>
      <c r="E13">
        <v>2.1</v>
      </c>
      <c r="F13">
        <v>5</v>
      </c>
      <c r="G13">
        <v>1</v>
      </c>
      <c r="H13">
        <v>18</v>
      </c>
      <c r="I13">
        <v>41</v>
      </c>
      <c r="J13" t="s">
        <v>11</v>
      </c>
      <c r="K13">
        <f>IF(J13="Yes", 1, 0)</f>
        <v>1</v>
      </c>
      <c r="L13" t="str">
        <f>IF(G13=0,"0 Failures","1+ Failures")</f>
        <v>1+ Failures</v>
      </c>
      <c r="M13" t="str">
        <f t="shared" si="2"/>
        <v>0-5 hrs</v>
      </c>
      <c r="N13" t="str">
        <f t="shared" si="0"/>
        <v>12+ months</v>
      </c>
      <c r="O13" t="str">
        <f t="shared" si="1"/>
        <v>Basic</v>
      </c>
      <c r="P13" s="7">
        <v>45657</v>
      </c>
      <c r="R13" s="4" t="s">
        <v>21</v>
      </c>
      <c r="S13" s="5">
        <v>0.76290630975143403</v>
      </c>
      <c r="T13" s="2">
        <v>523</v>
      </c>
    </row>
    <row r="14" spans="1:20" x14ac:dyDescent="0.3">
      <c r="A14">
        <v>13</v>
      </c>
      <c r="B14" s="7">
        <v>45525</v>
      </c>
      <c r="C14" t="s">
        <v>14</v>
      </c>
      <c r="D14">
        <v>399</v>
      </c>
      <c r="E14">
        <v>7</v>
      </c>
      <c r="F14">
        <v>3</v>
      </c>
      <c r="G14">
        <v>5</v>
      </c>
      <c r="H14">
        <v>10</v>
      </c>
      <c r="I14">
        <v>35</v>
      </c>
      <c r="J14" t="s">
        <v>11</v>
      </c>
      <c r="K14">
        <f>IF(J14="Yes", 1, 0)</f>
        <v>1</v>
      </c>
      <c r="L14" t="str">
        <f>IF(G14=0,"0 Failures","1+ Failures")</f>
        <v>1+ Failures</v>
      </c>
      <c r="M14" t="str">
        <f t="shared" si="2"/>
        <v>5-10 hrs</v>
      </c>
      <c r="N14" t="str">
        <f t="shared" si="0"/>
        <v>6-12months</v>
      </c>
      <c r="O14" t="str">
        <f t="shared" si="1"/>
        <v>Basic</v>
      </c>
      <c r="P14" s="7">
        <v>45657</v>
      </c>
      <c r="R14" s="4" t="s">
        <v>24</v>
      </c>
      <c r="S14" s="5">
        <v>0.49818181818181817</v>
      </c>
      <c r="T14" s="2">
        <v>550</v>
      </c>
    </row>
    <row r="15" spans="1:20" x14ac:dyDescent="0.3">
      <c r="A15">
        <v>14</v>
      </c>
      <c r="B15" s="7">
        <v>44975</v>
      </c>
      <c r="C15" t="s">
        <v>14</v>
      </c>
      <c r="D15">
        <v>399</v>
      </c>
      <c r="E15">
        <v>9.4</v>
      </c>
      <c r="F15">
        <v>2</v>
      </c>
      <c r="G15">
        <v>4</v>
      </c>
      <c r="H15">
        <v>26</v>
      </c>
      <c r="I15">
        <v>31</v>
      </c>
      <c r="J15" t="s">
        <v>11</v>
      </c>
      <c r="K15">
        <f>IF(J15="Yes", 1, 0)</f>
        <v>1</v>
      </c>
      <c r="L15" t="str">
        <f>IF(G15=0,"0 Failures","1+ Failures")</f>
        <v>1+ Failures</v>
      </c>
      <c r="M15" t="str">
        <f t="shared" si="2"/>
        <v>5-10 hrs</v>
      </c>
      <c r="N15" t="str">
        <f t="shared" si="0"/>
        <v>12+ months</v>
      </c>
      <c r="O15" t="str">
        <f t="shared" si="1"/>
        <v>Basic</v>
      </c>
      <c r="P15" s="7">
        <v>45657</v>
      </c>
      <c r="R15" s="4" t="s">
        <v>22</v>
      </c>
      <c r="S15" s="5">
        <v>0.5350043215211755</v>
      </c>
      <c r="T15" s="2">
        <v>1157</v>
      </c>
    </row>
    <row r="16" spans="1:20" x14ac:dyDescent="0.3">
      <c r="A16">
        <v>15</v>
      </c>
      <c r="B16" s="7">
        <v>45537</v>
      </c>
      <c r="C16" t="s">
        <v>12</v>
      </c>
      <c r="D16">
        <v>199</v>
      </c>
      <c r="E16">
        <v>15.9</v>
      </c>
      <c r="F16">
        <v>6</v>
      </c>
      <c r="G16">
        <v>4</v>
      </c>
      <c r="H16">
        <v>10</v>
      </c>
      <c r="I16">
        <v>4</v>
      </c>
      <c r="J16" t="s">
        <v>11</v>
      </c>
      <c r="K16">
        <f>IF(J16="Yes", 1, 0)</f>
        <v>1</v>
      </c>
      <c r="L16" t="str">
        <f>IF(G16=0,"0 Failures","1+ Failures")</f>
        <v>1+ Failures</v>
      </c>
      <c r="M16" t="str">
        <f t="shared" si="2"/>
        <v>10-20hrs</v>
      </c>
      <c r="N16" t="str">
        <f t="shared" si="0"/>
        <v>6-12months</v>
      </c>
      <c r="O16" t="str">
        <f t="shared" si="1"/>
        <v>Basic</v>
      </c>
      <c r="P16" s="7">
        <v>45657</v>
      </c>
      <c r="R16" s="4" t="s">
        <v>23</v>
      </c>
      <c r="S16" s="5">
        <v>0.5491228070175439</v>
      </c>
      <c r="T16" s="2">
        <v>570</v>
      </c>
    </row>
    <row r="17" spans="1:20" x14ac:dyDescent="0.3">
      <c r="A17">
        <v>16</v>
      </c>
      <c r="B17" s="7">
        <v>45625</v>
      </c>
      <c r="C17" t="s">
        <v>14</v>
      </c>
      <c r="D17">
        <v>399</v>
      </c>
      <c r="E17">
        <v>6.7</v>
      </c>
      <c r="F17">
        <v>8</v>
      </c>
      <c r="G17">
        <v>0</v>
      </c>
      <c r="H17">
        <v>34</v>
      </c>
      <c r="I17">
        <v>43</v>
      </c>
      <c r="J17" t="s">
        <v>13</v>
      </c>
      <c r="K17">
        <f>IF(J17="Yes", 1, 0)</f>
        <v>0</v>
      </c>
      <c r="L17" t="str">
        <f>IF(G17=0,"0 Failures","1+ Failures")</f>
        <v>0 Failures</v>
      </c>
      <c r="M17" t="str">
        <f t="shared" si="2"/>
        <v>5-10 hrs</v>
      </c>
      <c r="N17" t="str">
        <f t="shared" si="0"/>
        <v>12+ months</v>
      </c>
      <c r="O17" t="str">
        <f t="shared" si="1"/>
        <v>Basic</v>
      </c>
      <c r="P17" s="7">
        <v>45657</v>
      </c>
      <c r="R17" s="4" t="s">
        <v>27</v>
      </c>
      <c r="S17" s="5"/>
      <c r="T17" s="2"/>
    </row>
    <row r="18" spans="1:20" x14ac:dyDescent="0.3">
      <c r="A18">
        <v>17</v>
      </c>
      <c r="B18" s="7">
        <v>45391</v>
      </c>
      <c r="C18" t="s">
        <v>10</v>
      </c>
      <c r="D18">
        <v>699</v>
      </c>
      <c r="E18">
        <v>19.3</v>
      </c>
      <c r="F18">
        <v>5</v>
      </c>
      <c r="G18">
        <v>0</v>
      </c>
      <c r="H18">
        <v>18</v>
      </c>
      <c r="I18">
        <v>18</v>
      </c>
      <c r="J18" t="s">
        <v>13</v>
      </c>
      <c r="K18">
        <f>IF(J18="Yes", 1, 0)</f>
        <v>0</v>
      </c>
      <c r="L18" t="str">
        <f>IF(G18=0,"0 Failures","1+ Failures")</f>
        <v>0 Failures</v>
      </c>
      <c r="M18" t="str">
        <f t="shared" si="2"/>
        <v>10-20hrs</v>
      </c>
      <c r="N18" t="str">
        <f t="shared" si="0"/>
        <v>12+ months</v>
      </c>
      <c r="O18" t="str">
        <f t="shared" si="1"/>
        <v>Premium</v>
      </c>
      <c r="P18" s="7">
        <v>45657</v>
      </c>
      <c r="R18" s="4" t="s">
        <v>17</v>
      </c>
      <c r="S18" s="5">
        <v>0.57321428571428568</v>
      </c>
      <c r="T18" s="2">
        <v>2800</v>
      </c>
    </row>
    <row r="19" spans="1:20" x14ac:dyDescent="0.3">
      <c r="A19">
        <v>18</v>
      </c>
      <c r="B19" s="7">
        <v>45567</v>
      </c>
      <c r="C19" t="s">
        <v>12</v>
      </c>
      <c r="D19">
        <v>199</v>
      </c>
      <c r="E19">
        <v>24.3</v>
      </c>
      <c r="F19">
        <v>2</v>
      </c>
      <c r="G19">
        <v>4</v>
      </c>
      <c r="H19">
        <v>17</v>
      </c>
      <c r="I19">
        <v>58</v>
      </c>
      <c r="J19" t="s">
        <v>11</v>
      </c>
      <c r="K19">
        <f>IF(J19="Yes", 1, 0)</f>
        <v>1</v>
      </c>
      <c r="L19" t="str">
        <f>IF(G19=0,"0 Failures","1+ Failures")</f>
        <v>1+ Failures</v>
      </c>
      <c r="M19" t="str">
        <f t="shared" si="2"/>
        <v>20+ hrs</v>
      </c>
      <c r="N19" t="str">
        <f t="shared" si="0"/>
        <v>12+ months</v>
      </c>
      <c r="O19" t="str">
        <f t="shared" si="1"/>
        <v>Basic</v>
      </c>
      <c r="P19" s="7">
        <v>45657</v>
      </c>
    </row>
    <row r="20" spans="1:20" x14ac:dyDescent="0.3">
      <c r="A20">
        <v>19</v>
      </c>
      <c r="B20" s="7">
        <v>45470</v>
      </c>
      <c r="C20" t="s">
        <v>14</v>
      </c>
      <c r="D20">
        <v>399</v>
      </c>
      <c r="E20">
        <v>15.4</v>
      </c>
      <c r="F20">
        <v>2</v>
      </c>
      <c r="G20">
        <v>2</v>
      </c>
      <c r="H20">
        <v>33</v>
      </c>
      <c r="I20">
        <v>48</v>
      </c>
      <c r="J20" t="s">
        <v>11</v>
      </c>
      <c r="K20">
        <f>IF(J20="Yes", 1, 0)</f>
        <v>1</v>
      </c>
      <c r="L20" t="str">
        <f>IF(G20=0,"0 Failures","1+ Failures")</f>
        <v>1+ Failures</v>
      </c>
      <c r="M20" t="str">
        <f t="shared" si="2"/>
        <v>10-20hrs</v>
      </c>
      <c r="N20" t="str">
        <f t="shared" si="0"/>
        <v>12+ months</v>
      </c>
      <c r="O20" t="str">
        <f t="shared" si="1"/>
        <v>Basic</v>
      </c>
      <c r="P20" s="7">
        <v>45657</v>
      </c>
    </row>
    <row r="21" spans="1:20" x14ac:dyDescent="0.3">
      <c r="A21">
        <v>20</v>
      </c>
      <c r="B21" s="7">
        <v>45241</v>
      </c>
      <c r="C21" t="s">
        <v>12</v>
      </c>
      <c r="D21">
        <v>199</v>
      </c>
      <c r="E21">
        <v>12.5</v>
      </c>
      <c r="F21">
        <v>1</v>
      </c>
      <c r="G21">
        <v>2</v>
      </c>
      <c r="H21">
        <v>21</v>
      </c>
      <c r="I21">
        <v>56</v>
      </c>
      <c r="J21" t="s">
        <v>13</v>
      </c>
      <c r="K21">
        <f>IF(J21="Yes", 1, 0)</f>
        <v>0</v>
      </c>
      <c r="L21" t="str">
        <f>IF(G21=0,"0 Failures","1+ Failures")</f>
        <v>1+ Failures</v>
      </c>
      <c r="M21" t="str">
        <f t="shared" si="2"/>
        <v>10-20hrs</v>
      </c>
      <c r="N21" t="str">
        <f t="shared" si="0"/>
        <v>12+ months</v>
      </c>
      <c r="O21" t="str">
        <f t="shared" si="1"/>
        <v>Basic</v>
      </c>
      <c r="P21" s="7">
        <v>45657</v>
      </c>
      <c r="R21" s="3" t="s">
        <v>15</v>
      </c>
      <c r="S21" t="s">
        <v>20</v>
      </c>
      <c r="T21" t="s">
        <v>25</v>
      </c>
    </row>
    <row r="22" spans="1:20" x14ac:dyDescent="0.3">
      <c r="A22">
        <v>21</v>
      </c>
      <c r="B22" s="7">
        <v>44997</v>
      </c>
      <c r="C22" t="s">
        <v>12</v>
      </c>
      <c r="D22">
        <v>199</v>
      </c>
      <c r="E22">
        <v>6.4</v>
      </c>
      <c r="F22">
        <v>1</v>
      </c>
      <c r="G22">
        <v>0</v>
      </c>
      <c r="H22">
        <v>4</v>
      </c>
      <c r="I22">
        <v>46</v>
      </c>
      <c r="J22" t="s">
        <v>13</v>
      </c>
      <c r="K22">
        <f>IF(J22="Yes", 1, 0)</f>
        <v>0</v>
      </c>
      <c r="L22" t="str">
        <f>IF(G22=0,"0 Failures","1+ Failures")</f>
        <v>0 Failures</v>
      </c>
      <c r="M22" t="str">
        <f t="shared" si="2"/>
        <v>5-10 hrs</v>
      </c>
      <c r="N22" t="str">
        <f t="shared" si="0"/>
        <v>3-6months</v>
      </c>
      <c r="O22" t="str">
        <f t="shared" si="1"/>
        <v>Basic</v>
      </c>
      <c r="P22" s="7">
        <v>45657</v>
      </c>
      <c r="R22" s="4" t="s">
        <v>28</v>
      </c>
      <c r="S22" s="5">
        <v>0.57843137254901966</v>
      </c>
      <c r="T22" s="2">
        <v>204</v>
      </c>
    </row>
    <row r="23" spans="1:20" x14ac:dyDescent="0.3">
      <c r="A23">
        <v>22</v>
      </c>
      <c r="B23" s="7">
        <v>45548</v>
      </c>
      <c r="C23" t="s">
        <v>10</v>
      </c>
      <c r="D23">
        <v>699</v>
      </c>
      <c r="E23">
        <v>3.6</v>
      </c>
      <c r="F23">
        <v>7</v>
      </c>
      <c r="G23">
        <v>4</v>
      </c>
      <c r="H23">
        <v>9</v>
      </c>
      <c r="I23">
        <v>10</v>
      </c>
      <c r="J23" t="s">
        <v>11</v>
      </c>
      <c r="K23">
        <f>IF(J23="Yes", 1, 0)</f>
        <v>1</v>
      </c>
      <c r="L23" t="str">
        <f>IF(G23=0,"0 Failures","1+ Failures")</f>
        <v>1+ Failures</v>
      </c>
      <c r="M23" t="str">
        <f t="shared" si="2"/>
        <v>0-5 hrs</v>
      </c>
      <c r="N23" t="str">
        <f t="shared" si="0"/>
        <v>6-12months</v>
      </c>
      <c r="O23" t="str">
        <f t="shared" si="1"/>
        <v>Premium</v>
      </c>
      <c r="P23" s="7">
        <v>45657</v>
      </c>
      <c r="R23" s="4" t="s">
        <v>30</v>
      </c>
      <c r="S23" s="5">
        <v>0.5714285714285714</v>
      </c>
      <c r="T23" s="2">
        <v>238</v>
      </c>
    </row>
    <row r="24" spans="1:20" x14ac:dyDescent="0.3">
      <c r="A24">
        <v>23</v>
      </c>
      <c r="B24" s="7">
        <v>45614</v>
      </c>
      <c r="C24" t="s">
        <v>14</v>
      </c>
      <c r="D24">
        <v>399</v>
      </c>
      <c r="E24">
        <v>23.3</v>
      </c>
      <c r="F24">
        <v>3</v>
      </c>
      <c r="G24">
        <v>5</v>
      </c>
      <c r="H24">
        <v>14</v>
      </c>
      <c r="I24">
        <v>19</v>
      </c>
      <c r="J24" t="s">
        <v>13</v>
      </c>
      <c r="K24">
        <f>IF(J24="Yes", 1, 0)</f>
        <v>0</v>
      </c>
      <c r="L24" t="str">
        <f>IF(G24=0,"0 Failures","1+ Failures")</f>
        <v>1+ Failures</v>
      </c>
      <c r="M24" t="str">
        <f t="shared" si="2"/>
        <v>20+ hrs</v>
      </c>
      <c r="N24" t="str">
        <f t="shared" si="0"/>
        <v>12+ months</v>
      </c>
      <c r="O24" t="str">
        <f t="shared" si="1"/>
        <v>Basic</v>
      </c>
      <c r="P24" s="7">
        <v>45657</v>
      </c>
      <c r="R24" s="4" t="s">
        <v>31</v>
      </c>
      <c r="S24" s="5">
        <v>0.54858299595141702</v>
      </c>
      <c r="T24" s="2">
        <v>494</v>
      </c>
    </row>
    <row r="25" spans="1:20" x14ac:dyDescent="0.3">
      <c r="A25">
        <v>24</v>
      </c>
      <c r="B25" s="7">
        <v>44992</v>
      </c>
      <c r="C25" t="s">
        <v>10</v>
      </c>
      <c r="D25">
        <v>699</v>
      </c>
      <c r="E25">
        <v>11.2</v>
      </c>
      <c r="F25">
        <v>8</v>
      </c>
      <c r="G25">
        <v>3</v>
      </c>
      <c r="H25">
        <v>24</v>
      </c>
      <c r="I25">
        <v>7</v>
      </c>
      <c r="J25" t="s">
        <v>11</v>
      </c>
      <c r="K25">
        <f>IF(J25="Yes", 1, 0)</f>
        <v>1</v>
      </c>
      <c r="L25" t="str">
        <f>IF(G25=0,"0 Failures","1+ Failures")</f>
        <v>1+ Failures</v>
      </c>
      <c r="M25" t="str">
        <f t="shared" si="2"/>
        <v>10-20hrs</v>
      </c>
      <c r="N25" t="str">
        <f t="shared" si="0"/>
        <v>12+ months</v>
      </c>
      <c r="O25" t="str">
        <f t="shared" si="1"/>
        <v>Premium</v>
      </c>
      <c r="P25" s="7">
        <v>45657</v>
      </c>
      <c r="R25" s="4" t="s">
        <v>29</v>
      </c>
      <c r="S25" s="5">
        <v>0.57939914163090134</v>
      </c>
      <c r="T25" s="2">
        <v>1864</v>
      </c>
    </row>
    <row r="26" spans="1:20" x14ac:dyDescent="0.3">
      <c r="A26">
        <v>25</v>
      </c>
      <c r="B26" s="7">
        <v>45651</v>
      </c>
      <c r="C26" t="s">
        <v>14</v>
      </c>
      <c r="D26">
        <v>399</v>
      </c>
      <c r="E26">
        <v>14.9</v>
      </c>
      <c r="F26">
        <v>3</v>
      </c>
      <c r="G26">
        <v>4</v>
      </c>
      <c r="H26">
        <v>2</v>
      </c>
      <c r="I26">
        <v>14</v>
      </c>
      <c r="J26" t="s">
        <v>11</v>
      </c>
      <c r="K26">
        <f>IF(J26="Yes", 1, 0)</f>
        <v>1</v>
      </c>
      <c r="L26" t="str">
        <f>IF(G26=0,"0 Failures","1+ Failures")</f>
        <v>1+ Failures</v>
      </c>
      <c r="M26" t="str">
        <f t="shared" si="2"/>
        <v>10-20hrs</v>
      </c>
      <c r="N26" t="str">
        <f t="shared" si="0"/>
        <v>0-3months</v>
      </c>
      <c r="O26" t="str">
        <f t="shared" si="1"/>
        <v>Basic</v>
      </c>
      <c r="P26" s="7">
        <v>45657</v>
      </c>
      <c r="R26" s="4" t="s">
        <v>27</v>
      </c>
      <c r="S26" s="5"/>
      <c r="T26" s="2"/>
    </row>
    <row r="27" spans="1:20" x14ac:dyDescent="0.3">
      <c r="A27">
        <v>26</v>
      </c>
      <c r="B27" s="7">
        <v>45212</v>
      </c>
      <c r="C27" t="s">
        <v>10</v>
      </c>
      <c r="D27">
        <v>699</v>
      </c>
      <c r="E27">
        <v>6.1</v>
      </c>
      <c r="F27">
        <v>0</v>
      </c>
      <c r="G27">
        <v>2</v>
      </c>
      <c r="H27">
        <v>4</v>
      </c>
      <c r="I27">
        <v>4</v>
      </c>
      <c r="J27" t="s">
        <v>13</v>
      </c>
      <c r="K27">
        <f>IF(J27="Yes", 1, 0)</f>
        <v>0</v>
      </c>
      <c r="L27" t="str">
        <f>IF(G27=0,"0 Failures","1+ Failures")</f>
        <v>1+ Failures</v>
      </c>
      <c r="M27" t="str">
        <f t="shared" si="2"/>
        <v>5-10 hrs</v>
      </c>
      <c r="N27" t="str">
        <f t="shared" si="0"/>
        <v>3-6months</v>
      </c>
      <c r="O27" t="str">
        <f t="shared" si="1"/>
        <v>Premium</v>
      </c>
      <c r="P27" s="7">
        <v>45657</v>
      </c>
      <c r="R27" s="4" t="s">
        <v>17</v>
      </c>
      <c r="S27" s="5">
        <v>0.57321428571428568</v>
      </c>
      <c r="T27" s="2">
        <v>2800</v>
      </c>
    </row>
    <row r="28" spans="1:20" x14ac:dyDescent="0.3">
      <c r="A28">
        <v>27</v>
      </c>
      <c r="B28" s="7">
        <v>45517</v>
      </c>
      <c r="C28" t="s">
        <v>10</v>
      </c>
      <c r="D28">
        <v>699</v>
      </c>
      <c r="E28">
        <v>5.7</v>
      </c>
      <c r="F28">
        <v>2</v>
      </c>
      <c r="G28">
        <v>5</v>
      </c>
      <c r="H28">
        <v>32</v>
      </c>
      <c r="I28">
        <v>59</v>
      </c>
      <c r="J28" t="s">
        <v>13</v>
      </c>
      <c r="K28">
        <f>IF(J28="Yes", 1, 0)</f>
        <v>0</v>
      </c>
      <c r="L28" t="str">
        <f>IF(G28=0,"0 Failures","1+ Failures")</f>
        <v>1+ Failures</v>
      </c>
      <c r="M28" t="str">
        <f t="shared" si="2"/>
        <v>5-10 hrs</v>
      </c>
      <c r="N28" t="str">
        <f t="shared" si="0"/>
        <v>12+ months</v>
      </c>
      <c r="O28" t="str">
        <f t="shared" si="1"/>
        <v>Premium</v>
      </c>
      <c r="P28" s="7">
        <v>45657</v>
      </c>
    </row>
    <row r="29" spans="1:20" x14ac:dyDescent="0.3">
      <c r="A29">
        <v>28</v>
      </c>
      <c r="B29" s="7">
        <v>45368</v>
      </c>
      <c r="C29" t="s">
        <v>14</v>
      </c>
      <c r="D29">
        <v>399</v>
      </c>
      <c r="E29">
        <v>19.7</v>
      </c>
      <c r="F29">
        <v>6</v>
      </c>
      <c r="G29">
        <v>1</v>
      </c>
      <c r="H29">
        <v>16</v>
      </c>
      <c r="I29">
        <v>6</v>
      </c>
      <c r="J29" t="s">
        <v>11</v>
      </c>
      <c r="K29">
        <f>IF(J29="Yes", 1, 0)</f>
        <v>1</v>
      </c>
      <c r="L29" t="str">
        <f>IF(G29=0,"0 Failures","1+ Failures")</f>
        <v>1+ Failures</v>
      </c>
      <c r="M29" t="str">
        <f t="shared" si="2"/>
        <v>10-20hrs</v>
      </c>
      <c r="N29" t="str">
        <f t="shared" si="0"/>
        <v>12+ months</v>
      </c>
      <c r="O29" t="str">
        <f t="shared" si="1"/>
        <v>Basic</v>
      </c>
      <c r="P29" s="7">
        <v>45657</v>
      </c>
    </row>
    <row r="30" spans="1:20" x14ac:dyDescent="0.3">
      <c r="A30">
        <v>29</v>
      </c>
      <c r="B30" s="7">
        <v>45027</v>
      </c>
      <c r="C30" t="s">
        <v>14</v>
      </c>
      <c r="D30">
        <v>399</v>
      </c>
      <c r="E30">
        <v>10.6</v>
      </c>
      <c r="F30">
        <v>0</v>
      </c>
      <c r="G30">
        <v>5</v>
      </c>
      <c r="H30">
        <v>28</v>
      </c>
      <c r="I30">
        <v>41</v>
      </c>
      <c r="J30" t="s">
        <v>13</v>
      </c>
      <c r="K30">
        <f>IF(J30="Yes", 1, 0)</f>
        <v>0</v>
      </c>
      <c r="L30" t="str">
        <f>IF(G30=0,"0 Failures","1+ Failures")</f>
        <v>1+ Failures</v>
      </c>
      <c r="M30" t="str">
        <f t="shared" si="2"/>
        <v>10-20hrs</v>
      </c>
      <c r="N30" t="str">
        <f t="shared" si="0"/>
        <v>12+ months</v>
      </c>
      <c r="O30" t="str">
        <f t="shared" si="1"/>
        <v>Basic</v>
      </c>
      <c r="P30" s="7">
        <v>45657</v>
      </c>
      <c r="R30" s="3" t="s">
        <v>15</v>
      </c>
      <c r="S30" t="s">
        <v>20</v>
      </c>
      <c r="T30" t="s">
        <v>26</v>
      </c>
    </row>
    <row r="31" spans="1:20" x14ac:dyDescent="0.3">
      <c r="A31">
        <v>30</v>
      </c>
      <c r="B31" s="7">
        <v>45386</v>
      </c>
      <c r="C31" t="s">
        <v>12</v>
      </c>
      <c r="D31">
        <v>199</v>
      </c>
      <c r="E31">
        <v>18.3</v>
      </c>
      <c r="F31">
        <v>1</v>
      </c>
      <c r="G31">
        <v>1</v>
      </c>
      <c r="H31">
        <v>26</v>
      </c>
      <c r="I31">
        <v>12</v>
      </c>
      <c r="J31" t="s">
        <v>13</v>
      </c>
      <c r="K31">
        <f>IF(J31="Yes", 1, 0)</f>
        <v>0</v>
      </c>
      <c r="L31" t="str">
        <f>IF(G31=0,"0 Failures","1+ Failures")</f>
        <v>1+ Failures</v>
      </c>
      <c r="M31" t="str">
        <f t="shared" si="2"/>
        <v>10-20hrs</v>
      </c>
      <c r="N31" t="str">
        <f t="shared" si="0"/>
        <v>12+ months</v>
      </c>
      <c r="O31" t="str">
        <f t="shared" si="1"/>
        <v>Basic</v>
      </c>
      <c r="P31" s="7">
        <v>45657</v>
      </c>
      <c r="R31" s="4" t="s">
        <v>12</v>
      </c>
      <c r="S31" s="5">
        <v>0.56950431034482762</v>
      </c>
      <c r="T31" s="2">
        <v>1856</v>
      </c>
    </row>
    <row r="32" spans="1:20" x14ac:dyDescent="0.3">
      <c r="A32">
        <v>31</v>
      </c>
      <c r="B32" s="7">
        <v>45380</v>
      </c>
      <c r="C32" t="s">
        <v>12</v>
      </c>
      <c r="D32">
        <v>199</v>
      </c>
      <c r="E32">
        <v>5</v>
      </c>
      <c r="F32">
        <v>7</v>
      </c>
      <c r="G32">
        <v>1</v>
      </c>
      <c r="H32">
        <v>28</v>
      </c>
      <c r="I32">
        <v>55</v>
      </c>
      <c r="J32" t="s">
        <v>13</v>
      </c>
      <c r="K32">
        <f>IF(J32="Yes", 1, 0)</f>
        <v>0</v>
      </c>
      <c r="L32" t="str">
        <f>IF(G32=0,"0 Failures","1+ Failures")</f>
        <v>1+ Failures</v>
      </c>
      <c r="M32" t="str">
        <f t="shared" si="2"/>
        <v>0-5 hrs</v>
      </c>
      <c r="N32" t="str">
        <f t="shared" si="0"/>
        <v>12+ months</v>
      </c>
      <c r="O32" t="str">
        <f t="shared" si="1"/>
        <v>Basic</v>
      </c>
      <c r="P32" s="7">
        <v>45657</v>
      </c>
      <c r="R32" s="4" t="s">
        <v>10</v>
      </c>
      <c r="S32" s="5">
        <v>0.58050847457627119</v>
      </c>
      <c r="T32" s="2">
        <v>944</v>
      </c>
    </row>
    <row r="33" spans="1:20" x14ac:dyDescent="0.3">
      <c r="A33">
        <v>32</v>
      </c>
      <c r="B33" s="7">
        <v>45169</v>
      </c>
      <c r="C33" t="s">
        <v>10</v>
      </c>
      <c r="D33">
        <v>699</v>
      </c>
      <c r="E33">
        <v>1.7</v>
      </c>
      <c r="F33">
        <v>8</v>
      </c>
      <c r="G33">
        <v>0</v>
      </c>
      <c r="H33">
        <v>7</v>
      </c>
      <c r="I33">
        <v>5</v>
      </c>
      <c r="J33" t="s">
        <v>13</v>
      </c>
      <c r="K33">
        <f>IF(J33="Yes", 1, 0)</f>
        <v>0</v>
      </c>
      <c r="L33" t="str">
        <f>IF(G33=0,"0 Failures","1+ Failures")</f>
        <v>0 Failures</v>
      </c>
      <c r="M33" t="str">
        <f t="shared" si="2"/>
        <v>0-5 hrs</v>
      </c>
      <c r="N33" t="str">
        <f t="shared" si="0"/>
        <v>6-12months</v>
      </c>
      <c r="O33" t="str">
        <f t="shared" si="1"/>
        <v>Premium</v>
      </c>
      <c r="P33" s="7">
        <v>45657</v>
      </c>
      <c r="R33" s="4" t="s">
        <v>37</v>
      </c>
      <c r="S33" s="5"/>
      <c r="T33" s="2"/>
    </row>
    <row r="34" spans="1:20" x14ac:dyDescent="0.3">
      <c r="A34">
        <v>33</v>
      </c>
      <c r="B34" s="7">
        <v>45315</v>
      </c>
      <c r="C34" t="s">
        <v>12</v>
      </c>
      <c r="D34">
        <v>199</v>
      </c>
      <c r="E34">
        <v>12.4</v>
      </c>
      <c r="F34">
        <v>3</v>
      </c>
      <c r="G34">
        <v>3</v>
      </c>
      <c r="H34">
        <v>27</v>
      </c>
      <c r="I34">
        <v>57</v>
      </c>
      <c r="J34" t="s">
        <v>11</v>
      </c>
      <c r="K34">
        <f>IF(J34="Yes", 1, 0)</f>
        <v>1</v>
      </c>
      <c r="L34" t="str">
        <f>IF(G34=0,"0 Failures","1+ Failures")</f>
        <v>1+ Failures</v>
      </c>
      <c r="M34" t="str">
        <f t="shared" si="2"/>
        <v>10-20hrs</v>
      </c>
      <c r="N34" t="str">
        <f t="shared" si="0"/>
        <v>12+ months</v>
      </c>
      <c r="O34" t="str">
        <f t="shared" si="1"/>
        <v>Basic</v>
      </c>
      <c r="P34" s="7">
        <v>45657</v>
      </c>
      <c r="R34" s="4" t="s">
        <v>17</v>
      </c>
      <c r="S34" s="5">
        <v>0.57321428571428568</v>
      </c>
      <c r="T34" s="2">
        <v>2800</v>
      </c>
    </row>
    <row r="35" spans="1:20" x14ac:dyDescent="0.3">
      <c r="A35">
        <v>34</v>
      </c>
      <c r="B35" s="7">
        <v>45496</v>
      </c>
      <c r="C35" t="s">
        <v>12</v>
      </c>
      <c r="D35">
        <v>199</v>
      </c>
      <c r="E35">
        <v>7</v>
      </c>
      <c r="F35">
        <v>7</v>
      </c>
      <c r="G35">
        <v>2</v>
      </c>
      <c r="H35">
        <v>25</v>
      </c>
      <c r="I35">
        <v>27</v>
      </c>
      <c r="J35" t="s">
        <v>11</v>
      </c>
      <c r="K35">
        <f>IF(J35="Yes", 1, 0)</f>
        <v>1</v>
      </c>
      <c r="L35" t="str">
        <f>IF(G35=0,"0 Failures","1+ Failures")</f>
        <v>1+ Failures</v>
      </c>
      <c r="M35" t="str">
        <f t="shared" si="2"/>
        <v>5-10 hrs</v>
      </c>
      <c r="N35" t="str">
        <f t="shared" si="0"/>
        <v>12+ months</v>
      </c>
      <c r="O35" t="str">
        <f t="shared" si="1"/>
        <v>Basic</v>
      </c>
      <c r="P35" s="7">
        <v>45657</v>
      </c>
    </row>
    <row r="36" spans="1:20" x14ac:dyDescent="0.3">
      <c r="A36">
        <v>35</v>
      </c>
      <c r="B36" s="7">
        <v>45482</v>
      </c>
      <c r="C36" t="s">
        <v>10</v>
      </c>
      <c r="D36">
        <v>699</v>
      </c>
      <c r="E36">
        <v>4.3</v>
      </c>
      <c r="F36">
        <v>4</v>
      </c>
      <c r="G36">
        <v>1</v>
      </c>
      <c r="H36">
        <v>32</v>
      </c>
      <c r="I36">
        <v>3</v>
      </c>
      <c r="J36" t="s">
        <v>13</v>
      </c>
      <c r="K36">
        <f>IF(J36="Yes", 1, 0)</f>
        <v>0</v>
      </c>
      <c r="L36" t="str">
        <f>IF(G36=0,"0 Failures","1+ Failures")</f>
        <v>1+ Failures</v>
      </c>
      <c r="M36" t="str">
        <f t="shared" si="2"/>
        <v>0-5 hrs</v>
      </c>
      <c r="N36" t="str">
        <f t="shared" si="0"/>
        <v>12+ months</v>
      </c>
      <c r="O36" t="str">
        <f t="shared" si="1"/>
        <v>Premium</v>
      </c>
      <c r="P36" s="7">
        <v>45657</v>
      </c>
    </row>
    <row r="37" spans="1:20" x14ac:dyDescent="0.3">
      <c r="A37">
        <v>36</v>
      </c>
      <c r="B37" s="7">
        <v>45088</v>
      </c>
      <c r="C37" t="s">
        <v>12</v>
      </c>
      <c r="D37">
        <v>199</v>
      </c>
      <c r="E37">
        <v>1.9</v>
      </c>
      <c r="F37">
        <v>7</v>
      </c>
      <c r="G37">
        <v>4</v>
      </c>
      <c r="H37">
        <v>21</v>
      </c>
      <c r="I37">
        <v>58</v>
      </c>
      <c r="J37" t="s">
        <v>11</v>
      </c>
      <c r="K37">
        <f>IF(J37="Yes", 1, 0)</f>
        <v>1</v>
      </c>
      <c r="L37" t="str">
        <f>IF(G37=0,"0 Failures","1+ Failures")</f>
        <v>1+ Failures</v>
      </c>
      <c r="M37" t="str">
        <f t="shared" si="2"/>
        <v>0-5 hrs</v>
      </c>
      <c r="N37" t="str">
        <f t="shared" si="0"/>
        <v>12+ months</v>
      </c>
      <c r="O37" t="str">
        <f t="shared" si="1"/>
        <v>Basic</v>
      </c>
      <c r="P37" s="7">
        <v>45657</v>
      </c>
    </row>
    <row r="38" spans="1:20" x14ac:dyDescent="0.3">
      <c r="A38">
        <v>37</v>
      </c>
      <c r="B38" s="7">
        <v>45167</v>
      </c>
      <c r="C38" t="s">
        <v>12</v>
      </c>
      <c r="D38">
        <v>199</v>
      </c>
      <c r="E38">
        <v>2.5</v>
      </c>
      <c r="F38">
        <v>2</v>
      </c>
      <c r="G38">
        <v>0</v>
      </c>
      <c r="H38">
        <v>33</v>
      </c>
      <c r="I38">
        <v>38</v>
      </c>
      <c r="J38" t="s">
        <v>11</v>
      </c>
      <c r="K38">
        <f>IF(J38="Yes", 1, 0)</f>
        <v>1</v>
      </c>
      <c r="L38" t="str">
        <f>IF(G38=0,"0 Failures","1+ Failures")</f>
        <v>0 Failures</v>
      </c>
      <c r="M38" t="str">
        <f t="shared" si="2"/>
        <v>0-5 hrs</v>
      </c>
      <c r="N38" t="str">
        <f t="shared" si="0"/>
        <v>12+ months</v>
      </c>
      <c r="O38" t="str">
        <f t="shared" si="1"/>
        <v>Basic</v>
      </c>
      <c r="P38" s="7">
        <v>45657</v>
      </c>
    </row>
    <row r="39" spans="1:20" x14ac:dyDescent="0.3">
      <c r="A39">
        <v>38</v>
      </c>
      <c r="B39" s="7">
        <v>45010</v>
      </c>
      <c r="C39" t="s">
        <v>14</v>
      </c>
      <c r="D39">
        <v>399</v>
      </c>
      <c r="E39">
        <v>23.6</v>
      </c>
      <c r="F39">
        <v>3</v>
      </c>
      <c r="G39">
        <v>4</v>
      </c>
      <c r="H39">
        <v>8</v>
      </c>
      <c r="I39">
        <v>38</v>
      </c>
      <c r="J39" t="s">
        <v>11</v>
      </c>
      <c r="K39">
        <f>IF(J39="Yes", 1, 0)</f>
        <v>1</v>
      </c>
      <c r="L39" t="str">
        <f>IF(G39=0,"0 Failures","1+ Failures")</f>
        <v>1+ Failures</v>
      </c>
      <c r="M39" t="str">
        <f t="shared" si="2"/>
        <v>20+ hrs</v>
      </c>
      <c r="N39" t="str">
        <f t="shared" si="0"/>
        <v>6-12months</v>
      </c>
      <c r="O39" t="str">
        <f t="shared" si="1"/>
        <v>Basic</v>
      </c>
      <c r="P39" s="7">
        <v>45657</v>
      </c>
    </row>
    <row r="40" spans="1:20" x14ac:dyDescent="0.3">
      <c r="A40">
        <v>39</v>
      </c>
      <c r="B40" s="7">
        <v>45171</v>
      </c>
      <c r="C40" t="s">
        <v>14</v>
      </c>
      <c r="D40">
        <v>399</v>
      </c>
      <c r="E40">
        <v>8.3000000000000007</v>
      </c>
      <c r="F40">
        <v>4</v>
      </c>
      <c r="G40">
        <v>1</v>
      </c>
      <c r="H40">
        <v>34</v>
      </c>
      <c r="I40">
        <v>42</v>
      </c>
      <c r="J40" t="s">
        <v>13</v>
      </c>
      <c r="K40">
        <f>IF(J40="Yes", 1, 0)</f>
        <v>0</v>
      </c>
      <c r="L40" t="str">
        <f>IF(G40=0,"0 Failures","1+ Failures")</f>
        <v>1+ Failures</v>
      </c>
      <c r="M40" t="str">
        <f t="shared" si="2"/>
        <v>5-10 hrs</v>
      </c>
      <c r="N40" t="str">
        <f t="shared" si="0"/>
        <v>12+ months</v>
      </c>
      <c r="O40" t="str">
        <f t="shared" si="1"/>
        <v>Basic</v>
      </c>
      <c r="P40" s="7">
        <v>45657</v>
      </c>
    </row>
    <row r="41" spans="1:20" x14ac:dyDescent="0.3">
      <c r="A41">
        <v>40</v>
      </c>
      <c r="B41" s="7">
        <v>45001</v>
      </c>
      <c r="C41" t="s">
        <v>14</v>
      </c>
      <c r="D41">
        <v>399</v>
      </c>
      <c r="E41">
        <v>3.7</v>
      </c>
      <c r="F41">
        <v>4</v>
      </c>
      <c r="G41">
        <v>3</v>
      </c>
      <c r="H41">
        <v>26</v>
      </c>
      <c r="I41">
        <v>20</v>
      </c>
      <c r="J41" t="s">
        <v>13</v>
      </c>
      <c r="K41">
        <f>IF(J41="Yes", 1, 0)</f>
        <v>0</v>
      </c>
      <c r="L41" t="str">
        <f>IF(G41=0,"0 Failures","1+ Failures")</f>
        <v>1+ Failures</v>
      </c>
      <c r="M41" t="str">
        <f t="shared" si="2"/>
        <v>0-5 hrs</v>
      </c>
      <c r="N41" t="str">
        <f t="shared" si="0"/>
        <v>12+ months</v>
      </c>
      <c r="O41" t="str">
        <f t="shared" si="1"/>
        <v>Basic</v>
      </c>
      <c r="P41" s="7">
        <v>45657</v>
      </c>
    </row>
    <row r="42" spans="1:20" x14ac:dyDescent="0.3">
      <c r="A42">
        <v>41</v>
      </c>
      <c r="B42" s="7">
        <v>45198</v>
      </c>
      <c r="C42" t="s">
        <v>12</v>
      </c>
      <c r="D42">
        <v>199</v>
      </c>
      <c r="E42">
        <v>15.7</v>
      </c>
      <c r="F42">
        <v>1</v>
      </c>
      <c r="G42">
        <v>0</v>
      </c>
      <c r="H42">
        <v>30</v>
      </c>
      <c r="I42">
        <v>34</v>
      </c>
      <c r="J42" t="s">
        <v>11</v>
      </c>
      <c r="K42">
        <f>IF(J42="Yes", 1, 0)</f>
        <v>1</v>
      </c>
      <c r="L42" t="str">
        <f>IF(G42=0,"0 Failures","1+ Failures")</f>
        <v>0 Failures</v>
      </c>
      <c r="M42" t="str">
        <f t="shared" si="2"/>
        <v>10-20hrs</v>
      </c>
      <c r="N42" t="str">
        <f t="shared" si="0"/>
        <v>12+ months</v>
      </c>
      <c r="O42" t="str">
        <f t="shared" si="1"/>
        <v>Basic</v>
      </c>
      <c r="P42" s="7">
        <v>45657</v>
      </c>
    </row>
    <row r="43" spans="1:20" x14ac:dyDescent="0.3">
      <c r="A43">
        <v>42</v>
      </c>
      <c r="B43" s="7">
        <v>45483</v>
      </c>
      <c r="C43" t="s">
        <v>12</v>
      </c>
      <c r="D43">
        <v>199</v>
      </c>
      <c r="E43">
        <v>22.1</v>
      </c>
      <c r="F43">
        <v>3</v>
      </c>
      <c r="G43">
        <v>2</v>
      </c>
      <c r="H43">
        <v>23</v>
      </c>
      <c r="I43">
        <v>18</v>
      </c>
      <c r="J43" t="s">
        <v>11</v>
      </c>
      <c r="K43">
        <f>IF(J43="Yes", 1, 0)</f>
        <v>1</v>
      </c>
      <c r="L43" t="str">
        <f>IF(G43=0,"0 Failures","1+ Failures")</f>
        <v>1+ Failures</v>
      </c>
      <c r="M43" t="str">
        <f t="shared" si="2"/>
        <v>20+ hrs</v>
      </c>
      <c r="N43" t="str">
        <f t="shared" si="0"/>
        <v>12+ months</v>
      </c>
      <c r="O43" t="str">
        <f t="shared" si="1"/>
        <v>Basic</v>
      </c>
      <c r="P43" s="7">
        <v>45657</v>
      </c>
    </row>
    <row r="44" spans="1:20" x14ac:dyDescent="0.3">
      <c r="A44">
        <v>43</v>
      </c>
      <c r="B44" s="7">
        <v>45233</v>
      </c>
      <c r="C44" t="s">
        <v>10</v>
      </c>
      <c r="D44">
        <v>699</v>
      </c>
      <c r="E44">
        <v>15.5</v>
      </c>
      <c r="F44">
        <v>8</v>
      </c>
      <c r="G44">
        <v>0</v>
      </c>
      <c r="H44">
        <v>20</v>
      </c>
      <c r="I44">
        <v>42</v>
      </c>
      <c r="J44" t="s">
        <v>13</v>
      </c>
      <c r="K44">
        <f>IF(J44="Yes", 1, 0)</f>
        <v>0</v>
      </c>
      <c r="L44" t="str">
        <f>IF(G44=0,"0 Failures","1+ Failures")</f>
        <v>0 Failures</v>
      </c>
      <c r="M44" t="str">
        <f t="shared" si="2"/>
        <v>10-20hrs</v>
      </c>
      <c r="N44" t="str">
        <f t="shared" si="0"/>
        <v>12+ months</v>
      </c>
      <c r="O44" t="str">
        <f t="shared" si="1"/>
        <v>Premium</v>
      </c>
      <c r="P44" s="7">
        <v>45657</v>
      </c>
    </row>
    <row r="45" spans="1:20" x14ac:dyDescent="0.3">
      <c r="A45">
        <v>44</v>
      </c>
      <c r="B45" s="7">
        <v>45493</v>
      </c>
      <c r="C45" t="s">
        <v>10</v>
      </c>
      <c r="D45">
        <v>699</v>
      </c>
      <c r="E45">
        <v>23.5</v>
      </c>
      <c r="F45">
        <v>2</v>
      </c>
      <c r="G45">
        <v>2</v>
      </c>
      <c r="H45">
        <v>7</v>
      </c>
      <c r="I45">
        <v>7</v>
      </c>
      <c r="J45" t="s">
        <v>13</v>
      </c>
      <c r="K45">
        <f>IF(J45="Yes", 1, 0)</f>
        <v>0</v>
      </c>
      <c r="L45" t="str">
        <f>IF(G45=0,"0 Failures","1+ Failures")</f>
        <v>1+ Failures</v>
      </c>
      <c r="M45" t="str">
        <f t="shared" si="2"/>
        <v>20+ hrs</v>
      </c>
      <c r="N45" t="str">
        <f t="shared" si="0"/>
        <v>6-12months</v>
      </c>
      <c r="O45" t="str">
        <f t="shared" si="1"/>
        <v>Premium</v>
      </c>
      <c r="P45" s="7">
        <v>45657</v>
      </c>
    </row>
    <row r="46" spans="1:20" x14ac:dyDescent="0.3">
      <c r="A46">
        <v>45</v>
      </c>
      <c r="B46" s="7">
        <v>45576</v>
      </c>
      <c r="C46" t="s">
        <v>12</v>
      </c>
      <c r="D46">
        <v>199</v>
      </c>
      <c r="E46">
        <v>7.4</v>
      </c>
      <c r="F46">
        <v>3</v>
      </c>
      <c r="G46">
        <v>5</v>
      </c>
      <c r="H46">
        <v>18</v>
      </c>
      <c r="I46">
        <v>21</v>
      </c>
      <c r="J46" t="s">
        <v>11</v>
      </c>
      <c r="K46">
        <f>IF(J46="Yes", 1, 0)</f>
        <v>1</v>
      </c>
      <c r="L46" t="str">
        <f>IF(G46=0,"0 Failures","1+ Failures")</f>
        <v>1+ Failures</v>
      </c>
      <c r="M46" t="str">
        <f t="shared" si="2"/>
        <v>5-10 hrs</v>
      </c>
      <c r="N46" t="str">
        <f t="shared" si="0"/>
        <v>12+ months</v>
      </c>
      <c r="O46" t="str">
        <f t="shared" si="1"/>
        <v>Basic</v>
      </c>
      <c r="P46" s="7">
        <v>45657</v>
      </c>
    </row>
    <row r="47" spans="1:20" x14ac:dyDescent="0.3">
      <c r="A47">
        <v>46</v>
      </c>
      <c r="B47" s="7">
        <v>45210</v>
      </c>
      <c r="C47" t="s">
        <v>14</v>
      </c>
      <c r="D47">
        <v>399</v>
      </c>
      <c r="E47">
        <v>12.5</v>
      </c>
      <c r="F47">
        <v>0</v>
      </c>
      <c r="G47">
        <v>0</v>
      </c>
      <c r="H47">
        <v>33</v>
      </c>
      <c r="I47">
        <v>40</v>
      </c>
      <c r="J47" t="s">
        <v>13</v>
      </c>
      <c r="K47">
        <f>IF(J47="Yes", 1, 0)</f>
        <v>0</v>
      </c>
      <c r="L47" t="str">
        <f>IF(G47=0,"0 Failures","1+ Failures")</f>
        <v>0 Failures</v>
      </c>
      <c r="M47" t="str">
        <f t="shared" si="2"/>
        <v>10-20hrs</v>
      </c>
      <c r="N47" t="str">
        <f t="shared" si="0"/>
        <v>12+ months</v>
      </c>
      <c r="O47" t="str">
        <f t="shared" si="1"/>
        <v>Basic</v>
      </c>
      <c r="P47" s="7">
        <v>45657</v>
      </c>
    </row>
    <row r="48" spans="1:20" x14ac:dyDescent="0.3">
      <c r="A48">
        <v>47</v>
      </c>
      <c r="B48" s="7">
        <v>45379</v>
      </c>
      <c r="C48" t="s">
        <v>12</v>
      </c>
      <c r="D48">
        <v>199</v>
      </c>
      <c r="E48">
        <v>8.6999999999999993</v>
      </c>
      <c r="F48">
        <v>2</v>
      </c>
      <c r="G48">
        <v>5</v>
      </c>
      <c r="H48">
        <v>1</v>
      </c>
      <c r="I48">
        <v>16</v>
      </c>
      <c r="J48" t="s">
        <v>11</v>
      </c>
      <c r="K48">
        <f>IF(J48="Yes", 1, 0)</f>
        <v>1</v>
      </c>
      <c r="L48" t="str">
        <f>IF(G48=0,"0 Failures","1+ Failures")</f>
        <v>1+ Failures</v>
      </c>
      <c r="M48" t="str">
        <f t="shared" si="2"/>
        <v>5-10 hrs</v>
      </c>
      <c r="N48" t="str">
        <f t="shared" si="0"/>
        <v>0-3months</v>
      </c>
      <c r="O48" t="str">
        <f t="shared" si="1"/>
        <v>Basic</v>
      </c>
      <c r="P48" s="7">
        <v>45657</v>
      </c>
    </row>
    <row r="49" spans="1:16" x14ac:dyDescent="0.3">
      <c r="A49">
        <v>48</v>
      </c>
      <c r="B49" s="7">
        <v>45079</v>
      </c>
      <c r="C49" t="s">
        <v>10</v>
      </c>
      <c r="D49">
        <v>699</v>
      </c>
      <c r="E49">
        <v>14.2</v>
      </c>
      <c r="F49">
        <v>1</v>
      </c>
      <c r="G49">
        <v>0</v>
      </c>
      <c r="H49">
        <v>28</v>
      </c>
      <c r="I49">
        <v>60</v>
      </c>
      <c r="J49" t="s">
        <v>13</v>
      </c>
      <c r="K49">
        <f>IF(J49="Yes", 1, 0)</f>
        <v>0</v>
      </c>
      <c r="L49" t="str">
        <f>IF(G49=0,"0 Failures","1+ Failures")</f>
        <v>0 Failures</v>
      </c>
      <c r="M49" t="str">
        <f t="shared" si="2"/>
        <v>10-20hrs</v>
      </c>
      <c r="N49" t="str">
        <f t="shared" si="0"/>
        <v>12+ months</v>
      </c>
      <c r="O49" t="str">
        <f t="shared" si="1"/>
        <v>Premium</v>
      </c>
      <c r="P49" s="7">
        <v>45657</v>
      </c>
    </row>
    <row r="50" spans="1:16" x14ac:dyDescent="0.3">
      <c r="A50">
        <v>49</v>
      </c>
      <c r="B50" s="7">
        <v>45242</v>
      </c>
      <c r="C50" t="s">
        <v>10</v>
      </c>
      <c r="D50">
        <v>699</v>
      </c>
      <c r="E50">
        <v>20.9</v>
      </c>
      <c r="F50">
        <v>8</v>
      </c>
      <c r="G50">
        <v>1</v>
      </c>
      <c r="H50">
        <v>3</v>
      </c>
      <c r="I50">
        <v>27</v>
      </c>
      <c r="J50" t="s">
        <v>11</v>
      </c>
      <c r="K50">
        <f>IF(J50="Yes", 1, 0)</f>
        <v>1</v>
      </c>
      <c r="L50" t="str">
        <f>IF(G50=0,"0 Failures","1+ Failures")</f>
        <v>1+ Failures</v>
      </c>
      <c r="M50" t="str">
        <f t="shared" si="2"/>
        <v>20+ hrs</v>
      </c>
      <c r="N50" t="str">
        <f t="shared" si="0"/>
        <v>0-3months</v>
      </c>
      <c r="O50" t="str">
        <f t="shared" si="1"/>
        <v>Premium</v>
      </c>
      <c r="P50" s="7">
        <v>45657</v>
      </c>
    </row>
    <row r="51" spans="1:16" x14ac:dyDescent="0.3">
      <c r="A51">
        <v>50</v>
      </c>
      <c r="B51" s="7">
        <v>45289</v>
      </c>
      <c r="C51" t="s">
        <v>14</v>
      </c>
      <c r="D51">
        <v>399</v>
      </c>
      <c r="E51">
        <v>22.5</v>
      </c>
      <c r="F51">
        <v>3</v>
      </c>
      <c r="G51">
        <v>5</v>
      </c>
      <c r="H51">
        <v>3</v>
      </c>
      <c r="I51">
        <v>15</v>
      </c>
      <c r="J51" t="s">
        <v>13</v>
      </c>
      <c r="K51">
        <f>IF(J51="Yes", 1, 0)</f>
        <v>0</v>
      </c>
      <c r="L51" t="str">
        <f>IF(G51=0,"0 Failures","1+ Failures")</f>
        <v>1+ Failures</v>
      </c>
      <c r="M51" t="str">
        <f t="shared" si="2"/>
        <v>20+ hrs</v>
      </c>
      <c r="N51" t="str">
        <f t="shared" si="0"/>
        <v>0-3months</v>
      </c>
      <c r="O51" t="str">
        <f t="shared" si="1"/>
        <v>Basic</v>
      </c>
      <c r="P51" s="7">
        <v>45657</v>
      </c>
    </row>
    <row r="52" spans="1:16" x14ac:dyDescent="0.3">
      <c r="A52">
        <v>51</v>
      </c>
      <c r="B52" s="7">
        <v>45108</v>
      </c>
      <c r="C52" t="s">
        <v>10</v>
      </c>
      <c r="D52">
        <v>699</v>
      </c>
      <c r="E52">
        <v>24.4</v>
      </c>
      <c r="F52">
        <v>2</v>
      </c>
      <c r="G52">
        <v>1</v>
      </c>
      <c r="H52">
        <v>27</v>
      </c>
      <c r="I52">
        <v>55</v>
      </c>
      <c r="J52" t="s">
        <v>11</v>
      </c>
      <c r="K52">
        <f>IF(J52="Yes", 1, 0)</f>
        <v>1</v>
      </c>
      <c r="L52" t="str">
        <f>IF(G52=0,"0 Failures","1+ Failures")</f>
        <v>1+ Failures</v>
      </c>
      <c r="M52" t="str">
        <f t="shared" si="2"/>
        <v>20+ hrs</v>
      </c>
      <c r="N52" t="str">
        <f t="shared" si="0"/>
        <v>12+ months</v>
      </c>
      <c r="O52" t="str">
        <f t="shared" si="1"/>
        <v>Premium</v>
      </c>
      <c r="P52" s="7">
        <v>45657</v>
      </c>
    </row>
    <row r="53" spans="1:16" x14ac:dyDescent="0.3">
      <c r="A53">
        <v>52</v>
      </c>
      <c r="B53" s="7">
        <v>45181</v>
      </c>
      <c r="C53" t="s">
        <v>14</v>
      </c>
      <c r="D53">
        <v>399</v>
      </c>
      <c r="E53">
        <v>4.9000000000000004</v>
      </c>
      <c r="F53">
        <v>5</v>
      </c>
      <c r="G53">
        <v>3</v>
      </c>
      <c r="H53">
        <v>2</v>
      </c>
      <c r="I53">
        <v>51</v>
      </c>
      <c r="J53" t="s">
        <v>11</v>
      </c>
      <c r="K53">
        <f>IF(J53="Yes", 1, 0)</f>
        <v>1</v>
      </c>
      <c r="L53" t="str">
        <f>IF(G53=0,"0 Failures","1+ Failures")</f>
        <v>1+ Failures</v>
      </c>
      <c r="M53" t="str">
        <f t="shared" si="2"/>
        <v>0-5 hrs</v>
      </c>
      <c r="N53" t="str">
        <f t="shared" si="0"/>
        <v>0-3months</v>
      </c>
      <c r="O53" t="str">
        <f t="shared" si="1"/>
        <v>Basic</v>
      </c>
      <c r="P53" s="7">
        <v>45657</v>
      </c>
    </row>
    <row r="54" spans="1:16" x14ac:dyDescent="0.3">
      <c r="A54">
        <v>53</v>
      </c>
      <c r="B54" s="7">
        <v>45408</v>
      </c>
      <c r="C54" t="s">
        <v>14</v>
      </c>
      <c r="D54">
        <v>399</v>
      </c>
      <c r="E54">
        <v>19.8</v>
      </c>
      <c r="F54">
        <v>1</v>
      </c>
      <c r="G54">
        <v>3</v>
      </c>
      <c r="H54">
        <v>11</v>
      </c>
      <c r="I54">
        <v>55</v>
      </c>
      <c r="J54" t="s">
        <v>11</v>
      </c>
      <c r="K54">
        <f>IF(J54="Yes", 1, 0)</f>
        <v>1</v>
      </c>
      <c r="L54" t="str">
        <f>IF(G54=0,"0 Failures","1+ Failures")</f>
        <v>1+ Failures</v>
      </c>
      <c r="M54" t="str">
        <f t="shared" si="2"/>
        <v>10-20hrs</v>
      </c>
      <c r="N54" t="str">
        <f t="shared" si="0"/>
        <v>6-12months</v>
      </c>
      <c r="O54" t="str">
        <f t="shared" si="1"/>
        <v>Basic</v>
      </c>
      <c r="P54" s="7">
        <v>45657</v>
      </c>
    </row>
    <row r="55" spans="1:16" x14ac:dyDescent="0.3">
      <c r="A55">
        <v>54</v>
      </c>
      <c r="B55" s="7">
        <v>45160</v>
      </c>
      <c r="C55" t="s">
        <v>12</v>
      </c>
      <c r="D55">
        <v>199</v>
      </c>
      <c r="E55">
        <v>20.5</v>
      </c>
      <c r="F55">
        <v>7</v>
      </c>
      <c r="G55">
        <v>2</v>
      </c>
      <c r="H55">
        <v>13</v>
      </c>
      <c r="I55">
        <v>19</v>
      </c>
      <c r="J55" t="s">
        <v>13</v>
      </c>
      <c r="K55">
        <f>IF(J55="Yes", 1, 0)</f>
        <v>0</v>
      </c>
      <c r="L55" t="str">
        <f>IF(G55=0,"0 Failures","1+ Failures")</f>
        <v>1+ Failures</v>
      </c>
      <c r="M55" t="str">
        <f t="shared" si="2"/>
        <v>20+ hrs</v>
      </c>
      <c r="N55" t="str">
        <f t="shared" si="0"/>
        <v>12+ months</v>
      </c>
      <c r="O55" t="str">
        <f t="shared" si="1"/>
        <v>Basic</v>
      </c>
      <c r="P55" s="7">
        <v>45657</v>
      </c>
    </row>
    <row r="56" spans="1:16" x14ac:dyDescent="0.3">
      <c r="A56">
        <v>55</v>
      </c>
      <c r="B56" s="7">
        <v>45212</v>
      </c>
      <c r="C56" t="s">
        <v>12</v>
      </c>
      <c r="D56">
        <v>199</v>
      </c>
      <c r="E56">
        <v>16.7</v>
      </c>
      <c r="F56">
        <v>6</v>
      </c>
      <c r="G56">
        <v>2</v>
      </c>
      <c r="H56">
        <v>2</v>
      </c>
      <c r="I56">
        <v>17</v>
      </c>
      <c r="J56" t="s">
        <v>13</v>
      </c>
      <c r="K56">
        <f>IF(J56="Yes", 1, 0)</f>
        <v>0</v>
      </c>
      <c r="L56" t="str">
        <f>IF(G56=0,"0 Failures","1+ Failures")</f>
        <v>1+ Failures</v>
      </c>
      <c r="M56" t="str">
        <f t="shared" si="2"/>
        <v>10-20hrs</v>
      </c>
      <c r="N56" t="str">
        <f t="shared" si="0"/>
        <v>0-3months</v>
      </c>
      <c r="O56" t="str">
        <f t="shared" si="1"/>
        <v>Basic</v>
      </c>
      <c r="P56" s="7">
        <v>45657</v>
      </c>
    </row>
    <row r="57" spans="1:16" x14ac:dyDescent="0.3">
      <c r="A57">
        <v>56</v>
      </c>
      <c r="B57" s="7">
        <v>45194</v>
      </c>
      <c r="C57" t="s">
        <v>14</v>
      </c>
      <c r="D57">
        <v>399</v>
      </c>
      <c r="E57">
        <v>10.3</v>
      </c>
      <c r="F57">
        <v>8</v>
      </c>
      <c r="G57">
        <v>2</v>
      </c>
      <c r="H57">
        <v>33</v>
      </c>
      <c r="I57">
        <v>60</v>
      </c>
      <c r="J57" t="s">
        <v>11</v>
      </c>
      <c r="K57">
        <f>IF(J57="Yes", 1, 0)</f>
        <v>1</v>
      </c>
      <c r="L57" t="str">
        <f>IF(G57=0,"0 Failures","1+ Failures")</f>
        <v>1+ Failures</v>
      </c>
      <c r="M57" t="str">
        <f t="shared" si="2"/>
        <v>10-20hrs</v>
      </c>
      <c r="N57" t="str">
        <f t="shared" si="0"/>
        <v>12+ months</v>
      </c>
      <c r="O57" t="str">
        <f t="shared" si="1"/>
        <v>Basic</v>
      </c>
      <c r="P57" s="7">
        <v>45657</v>
      </c>
    </row>
    <row r="58" spans="1:16" x14ac:dyDescent="0.3">
      <c r="A58">
        <v>57</v>
      </c>
      <c r="B58" s="7">
        <v>45373</v>
      </c>
      <c r="C58" t="s">
        <v>12</v>
      </c>
      <c r="D58">
        <v>199</v>
      </c>
      <c r="E58">
        <v>1.4</v>
      </c>
      <c r="F58">
        <v>6</v>
      </c>
      <c r="G58">
        <v>2</v>
      </c>
      <c r="H58">
        <v>17</v>
      </c>
      <c r="I58">
        <v>46</v>
      </c>
      <c r="J58" t="s">
        <v>11</v>
      </c>
      <c r="K58">
        <f>IF(J58="Yes", 1, 0)</f>
        <v>1</v>
      </c>
      <c r="L58" t="str">
        <f>IF(G58=0,"0 Failures","1+ Failures")</f>
        <v>1+ Failures</v>
      </c>
      <c r="M58" t="str">
        <f t="shared" si="2"/>
        <v>0-5 hrs</v>
      </c>
      <c r="N58" t="str">
        <f t="shared" si="0"/>
        <v>12+ months</v>
      </c>
      <c r="O58" t="str">
        <f t="shared" si="1"/>
        <v>Basic</v>
      </c>
      <c r="P58" s="7">
        <v>45657</v>
      </c>
    </row>
    <row r="59" spans="1:16" x14ac:dyDescent="0.3">
      <c r="A59">
        <v>58</v>
      </c>
      <c r="B59" s="7">
        <v>44928</v>
      </c>
      <c r="C59" t="s">
        <v>10</v>
      </c>
      <c r="D59">
        <v>699</v>
      </c>
      <c r="E59">
        <v>3.3</v>
      </c>
      <c r="F59">
        <v>3</v>
      </c>
      <c r="G59">
        <v>2</v>
      </c>
      <c r="H59">
        <v>33</v>
      </c>
      <c r="I59">
        <v>2</v>
      </c>
      <c r="J59" t="s">
        <v>13</v>
      </c>
      <c r="K59">
        <f>IF(J59="Yes", 1, 0)</f>
        <v>0</v>
      </c>
      <c r="L59" t="str">
        <f>IF(G59=0,"0 Failures","1+ Failures")</f>
        <v>1+ Failures</v>
      </c>
      <c r="M59" t="str">
        <f t="shared" si="2"/>
        <v>0-5 hrs</v>
      </c>
      <c r="N59" t="str">
        <f t="shared" si="0"/>
        <v>12+ months</v>
      </c>
      <c r="O59" t="str">
        <f t="shared" si="1"/>
        <v>Premium</v>
      </c>
      <c r="P59" s="7">
        <v>45657</v>
      </c>
    </row>
    <row r="60" spans="1:16" x14ac:dyDescent="0.3">
      <c r="A60">
        <v>59</v>
      </c>
      <c r="B60" s="7">
        <v>45607</v>
      </c>
      <c r="C60" t="s">
        <v>10</v>
      </c>
      <c r="D60">
        <v>699</v>
      </c>
      <c r="E60">
        <v>17.3</v>
      </c>
      <c r="F60">
        <v>3</v>
      </c>
      <c r="G60">
        <v>2</v>
      </c>
      <c r="H60">
        <v>35</v>
      </c>
      <c r="I60">
        <v>27</v>
      </c>
      <c r="J60" t="s">
        <v>11</v>
      </c>
      <c r="K60">
        <f>IF(J60="Yes", 1, 0)</f>
        <v>1</v>
      </c>
      <c r="L60" t="str">
        <f>IF(G60=0,"0 Failures","1+ Failures")</f>
        <v>1+ Failures</v>
      </c>
      <c r="M60" t="str">
        <f t="shared" si="2"/>
        <v>10-20hrs</v>
      </c>
      <c r="N60" t="str">
        <f t="shared" si="0"/>
        <v>12+ months</v>
      </c>
      <c r="O60" t="str">
        <f t="shared" si="1"/>
        <v>Premium</v>
      </c>
      <c r="P60" s="7">
        <v>45657</v>
      </c>
    </row>
    <row r="61" spans="1:16" x14ac:dyDescent="0.3">
      <c r="A61">
        <v>60</v>
      </c>
      <c r="B61" s="7">
        <v>45243</v>
      </c>
      <c r="C61" t="s">
        <v>14</v>
      </c>
      <c r="D61">
        <v>399</v>
      </c>
      <c r="E61">
        <v>16.8</v>
      </c>
      <c r="F61">
        <v>1</v>
      </c>
      <c r="G61">
        <v>5</v>
      </c>
      <c r="H61">
        <v>21</v>
      </c>
      <c r="I61">
        <v>57</v>
      </c>
      <c r="J61" t="s">
        <v>11</v>
      </c>
      <c r="K61">
        <f>IF(J61="Yes", 1, 0)</f>
        <v>1</v>
      </c>
      <c r="L61" t="str">
        <f>IF(G61=0,"0 Failures","1+ Failures")</f>
        <v>1+ Failures</v>
      </c>
      <c r="M61" t="str">
        <f t="shared" si="2"/>
        <v>10-20hrs</v>
      </c>
      <c r="N61" t="str">
        <f t="shared" si="0"/>
        <v>12+ months</v>
      </c>
      <c r="O61" t="str">
        <f t="shared" si="1"/>
        <v>Basic</v>
      </c>
      <c r="P61" s="7">
        <v>45657</v>
      </c>
    </row>
    <row r="62" spans="1:16" x14ac:dyDescent="0.3">
      <c r="A62">
        <v>61</v>
      </c>
      <c r="B62" s="7">
        <v>45607</v>
      </c>
      <c r="C62" t="s">
        <v>10</v>
      </c>
      <c r="D62">
        <v>699</v>
      </c>
      <c r="E62">
        <v>8.5</v>
      </c>
      <c r="F62">
        <v>4</v>
      </c>
      <c r="G62">
        <v>4</v>
      </c>
      <c r="H62">
        <v>27</v>
      </c>
      <c r="I62">
        <v>8</v>
      </c>
      <c r="J62" t="s">
        <v>11</v>
      </c>
      <c r="K62">
        <f>IF(J62="Yes", 1, 0)</f>
        <v>1</v>
      </c>
      <c r="L62" t="str">
        <f>IF(G62=0,"0 Failures","1+ Failures")</f>
        <v>1+ Failures</v>
      </c>
      <c r="M62" t="str">
        <f t="shared" si="2"/>
        <v>5-10 hrs</v>
      </c>
      <c r="N62" t="str">
        <f t="shared" si="0"/>
        <v>12+ months</v>
      </c>
      <c r="O62" t="str">
        <f t="shared" si="1"/>
        <v>Premium</v>
      </c>
      <c r="P62" s="7">
        <v>45657</v>
      </c>
    </row>
    <row r="63" spans="1:16" x14ac:dyDescent="0.3">
      <c r="A63">
        <v>62</v>
      </c>
      <c r="B63" s="7">
        <v>45238</v>
      </c>
      <c r="C63" t="s">
        <v>14</v>
      </c>
      <c r="D63">
        <v>399</v>
      </c>
      <c r="E63">
        <v>15.6</v>
      </c>
      <c r="F63">
        <v>4</v>
      </c>
      <c r="G63">
        <v>3</v>
      </c>
      <c r="H63">
        <v>12</v>
      </c>
      <c r="I63">
        <v>35</v>
      </c>
      <c r="J63" t="s">
        <v>13</v>
      </c>
      <c r="K63">
        <f>IF(J63="Yes", 1, 0)</f>
        <v>0</v>
      </c>
      <c r="L63" t="str">
        <f>IF(G63=0,"0 Failures","1+ Failures")</f>
        <v>1+ Failures</v>
      </c>
      <c r="M63" t="str">
        <f t="shared" si="2"/>
        <v>10-20hrs</v>
      </c>
      <c r="N63" t="str">
        <f t="shared" si="0"/>
        <v>6-12months</v>
      </c>
      <c r="O63" t="str">
        <f t="shared" si="1"/>
        <v>Basic</v>
      </c>
      <c r="P63" s="7">
        <v>45657</v>
      </c>
    </row>
    <row r="64" spans="1:16" x14ac:dyDescent="0.3">
      <c r="A64">
        <v>63</v>
      </c>
      <c r="B64" s="7">
        <v>45145</v>
      </c>
      <c r="C64" t="s">
        <v>14</v>
      </c>
      <c r="D64">
        <v>399</v>
      </c>
      <c r="E64">
        <v>11</v>
      </c>
      <c r="F64">
        <v>5</v>
      </c>
      <c r="G64">
        <v>3</v>
      </c>
      <c r="H64">
        <v>14</v>
      </c>
      <c r="I64">
        <v>28</v>
      </c>
      <c r="J64" t="s">
        <v>11</v>
      </c>
      <c r="K64">
        <f>IF(J64="Yes", 1, 0)</f>
        <v>1</v>
      </c>
      <c r="L64" t="str">
        <f>IF(G64=0,"0 Failures","1+ Failures")</f>
        <v>1+ Failures</v>
      </c>
      <c r="M64" t="str">
        <f t="shared" si="2"/>
        <v>10-20hrs</v>
      </c>
      <c r="N64" t="str">
        <f t="shared" si="0"/>
        <v>12+ months</v>
      </c>
      <c r="O64" t="str">
        <f t="shared" si="1"/>
        <v>Basic</v>
      </c>
      <c r="P64" s="7">
        <v>45657</v>
      </c>
    </row>
    <row r="65" spans="1:16" x14ac:dyDescent="0.3">
      <c r="A65">
        <v>64</v>
      </c>
      <c r="B65" s="7">
        <v>45606</v>
      </c>
      <c r="C65" t="s">
        <v>10</v>
      </c>
      <c r="D65">
        <v>699</v>
      </c>
      <c r="E65">
        <v>19.899999999999999</v>
      </c>
      <c r="F65">
        <v>2</v>
      </c>
      <c r="G65">
        <v>5</v>
      </c>
      <c r="H65">
        <v>31</v>
      </c>
      <c r="I65">
        <v>5</v>
      </c>
      <c r="J65" t="s">
        <v>11</v>
      </c>
      <c r="K65">
        <f>IF(J65="Yes", 1, 0)</f>
        <v>1</v>
      </c>
      <c r="L65" t="str">
        <f>IF(G65=0,"0 Failures","1+ Failures")</f>
        <v>1+ Failures</v>
      </c>
      <c r="M65" t="str">
        <f t="shared" si="2"/>
        <v>10-20hrs</v>
      </c>
      <c r="N65" t="str">
        <f t="shared" si="0"/>
        <v>12+ months</v>
      </c>
      <c r="O65" t="str">
        <f t="shared" si="1"/>
        <v>Premium</v>
      </c>
      <c r="P65" s="7">
        <v>45657</v>
      </c>
    </row>
    <row r="66" spans="1:16" x14ac:dyDescent="0.3">
      <c r="A66">
        <v>65</v>
      </c>
      <c r="B66" s="7">
        <v>45130</v>
      </c>
      <c r="C66" t="s">
        <v>10</v>
      </c>
      <c r="D66">
        <v>699</v>
      </c>
      <c r="E66">
        <v>2.8</v>
      </c>
      <c r="F66">
        <v>3</v>
      </c>
      <c r="G66">
        <v>5</v>
      </c>
      <c r="H66">
        <v>22</v>
      </c>
      <c r="I66">
        <v>19</v>
      </c>
      <c r="J66" t="s">
        <v>11</v>
      </c>
      <c r="K66">
        <f>IF(J66="Yes", 1, 0)</f>
        <v>1</v>
      </c>
      <c r="L66" t="str">
        <f>IF(G66=0,"0 Failures","1+ Failures")</f>
        <v>1+ Failures</v>
      </c>
      <c r="M66" t="str">
        <f t="shared" si="2"/>
        <v>0-5 hrs</v>
      </c>
      <c r="N66" t="str">
        <f t="shared" si="0"/>
        <v>12+ months</v>
      </c>
      <c r="O66" t="str">
        <f t="shared" si="1"/>
        <v>Premium</v>
      </c>
      <c r="P66" s="7">
        <v>45657</v>
      </c>
    </row>
    <row r="67" spans="1:16" x14ac:dyDescent="0.3">
      <c r="A67">
        <v>66</v>
      </c>
      <c r="B67" s="7">
        <v>45393</v>
      </c>
      <c r="C67" t="s">
        <v>12</v>
      </c>
      <c r="D67">
        <v>199</v>
      </c>
      <c r="E67">
        <v>1.6</v>
      </c>
      <c r="F67">
        <v>7</v>
      </c>
      <c r="G67">
        <v>4</v>
      </c>
      <c r="H67">
        <v>2</v>
      </c>
      <c r="I67">
        <v>54</v>
      </c>
      <c r="J67" t="s">
        <v>11</v>
      </c>
      <c r="K67">
        <f>IF(J67="Yes", 1, 0)</f>
        <v>1</v>
      </c>
      <c r="L67" t="str">
        <f>IF(G67=0,"0 Failures","1+ Failures")</f>
        <v>1+ Failures</v>
      </c>
      <c r="M67" t="str">
        <f t="shared" si="2"/>
        <v>0-5 hrs</v>
      </c>
      <c r="N67" t="str">
        <f t="shared" ref="N67:N130" si="3">IF(H67&lt;=3, "0-3months", IF(H67&lt;=6, "3-6months", IF(H67&lt;=12, "6-12months", "12+ months")))</f>
        <v>0-3months</v>
      </c>
      <c r="O67" t="str">
        <f t="shared" ref="O67:O130" si="4">IF(C67="premium", "Premium", "Basic")</f>
        <v>Basic</v>
      </c>
      <c r="P67" s="7">
        <v>45657</v>
      </c>
    </row>
    <row r="68" spans="1:16" x14ac:dyDescent="0.3">
      <c r="A68">
        <v>67</v>
      </c>
      <c r="B68" s="7">
        <v>45598</v>
      </c>
      <c r="C68" t="s">
        <v>14</v>
      </c>
      <c r="D68">
        <v>399</v>
      </c>
      <c r="E68">
        <v>18.100000000000001</v>
      </c>
      <c r="F68">
        <v>6</v>
      </c>
      <c r="G68">
        <v>3</v>
      </c>
      <c r="H68">
        <v>13</v>
      </c>
      <c r="I68">
        <v>25</v>
      </c>
      <c r="J68" t="s">
        <v>11</v>
      </c>
      <c r="K68">
        <f>IF(J68="Yes", 1, 0)</f>
        <v>1</v>
      </c>
      <c r="L68" t="str">
        <f>IF(G68=0,"0 Failures","1+ Failures")</f>
        <v>1+ Failures</v>
      </c>
      <c r="M68" t="str">
        <f t="shared" si="2"/>
        <v>10-20hrs</v>
      </c>
      <c r="N68" t="str">
        <f t="shared" si="3"/>
        <v>12+ months</v>
      </c>
      <c r="O68" t="str">
        <f t="shared" si="4"/>
        <v>Basic</v>
      </c>
      <c r="P68" s="7">
        <v>45657</v>
      </c>
    </row>
    <row r="69" spans="1:16" x14ac:dyDescent="0.3">
      <c r="A69">
        <v>68</v>
      </c>
      <c r="B69" s="7">
        <v>45639</v>
      </c>
      <c r="C69" t="s">
        <v>10</v>
      </c>
      <c r="D69">
        <v>699</v>
      </c>
      <c r="E69">
        <v>22.4</v>
      </c>
      <c r="F69">
        <v>1</v>
      </c>
      <c r="G69">
        <v>3</v>
      </c>
      <c r="H69">
        <v>1</v>
      </c>
      <c r="I69">
        <v>14</v>
      </c>
      <c r="J69" t="s">
        <v>11</v>
      </c>
      <c r="K69">
        <f>IF(J69="Yes", 1, 0)</f>
        <v>1</v>
      </c>
      <c r="L69" t="str">
        <f>IF(G69=0,"0 Failures","1+ Failures")</f>
        <v>1+ Failures</v>
      </c>
      <c r="M69" t="str">
        <f t="shared" si="2"/>
        <v>20+ hrs</v>
      </c>
      <c r="N69" t="str">
        <f t="shared" si="3"/>
        <v>0-3months</v>
      </c>
      <c r="O69" t="str">
        <f t="shared" si="4"/>
        <v>Premium</v>
      </c>
      <c r="P69" s="7">
        <v>45657</v>
      </c>
    </row>
    <row r="70" spans="1:16" x14ac:dyDescent="0.3">
      <c r="A70">
        <v>69</v>
      </c>
      <c r="B70" s="7">
        <v>45402</v>
      </c>
      <c r="C70" t="s">
        <v>10</v>
      </c>
      <c r="D70">
        <v>699</v>
      </c>
      <c r="E70">
        <v>1.7</v>
      </c>
      <c r="F70">
        <v>3</v>
      </c>
      <c r="G70">
        <v>0</v>
      </c>
      <c r="H70">
        <v>30</v>
      </c>
      <c r="I70">
        <v>29</v>
      </c>
      <c r="J70" t="s">
        <v>11</v>
      </c>
      <c r="K70">
        <f>IF(J70="Yes", 1, 0)</f>
        <v>1</v>
      </c>
      <c r="L70" t="str">
        <f>IF(G70=0,"0 Failures","1+ Failures")</f>
        <v>0 Failures</v>
      </c>
      <c r="M70" t="str">
        <f t="shared" si="2"/>
        <v>0-5 hrs</v>
      </c>
      <c r="N70" t="str">
        <f t="shared" si="3"/>
        <v>12+ months</v>
      </c>
      <c r="O70" t="str">
        <f t="shared" si="4"/>
        <v>Premium</v>
      </c>
      <c r="P70" s="7">
        <v>45657</v>
      </c>
    </row>
    <row r="71" spans="1:16" x14ac:dyDescent="0.3">
      <c r="A71">
        <v>70</v>
      </c>
      <c r="B71" s="7">
        <v>45443</v>
      </c>
      <c r="C71" t="s">
        <v>10</v>
      </c>
      <c r="D71">
        <v>699</v>
      </c>
      <c r="E71">
        <v>24.7</v>
      </c>
      <c r="F71">
        <v>5</v>
      </c>
      <c r="G71">
        <v>3</v>
      </c>
      <c r="H71">
        <v>34</v>
      </c>
      <c r="I71">
        <v>39</v>
      </c>
      <c r="J71" t="s">
        <v>13</v>
      </c>
      <c r="K71">
        <f>IF(J71="Yes", 1, 0)</f>
        <v>0</v>
      </c>
      <c r="L71" t="str">
        <f>IF(G71=0,"0 Failures","1+ Failures")</f>
        <v>1+ Failures</v>
      </c>
      <c r="M71" t="str">
        <f t="shared" si="2"/>
        <v>20+ hrs</v>
      </c>
      <c r="N71" t="str">
        <f t="shared" si="3"/>
        <v>12+ months</v>
      </c>
      <c r="O71" t="str">
        <f t="shared" si="4"/>
        <v>Premium</v>
      </c>
      <c r="P71" s="7">
        <v>45657</v>
      </c>
    </row>
    <row r="72" spans="1:16" x14ac:dyDescent="0.3">
      <c r="A72">
        <v>71</v>
      </c>
      <c r="B72" s="7">
        <v>45192</v>
      </c>
      <c r="C72" t="s">
        <v>14</v>
      </c>
      <c r="D72">
        <v>399</v>
      </c>
      <c r="E72">
        <v>11.4</v>
      </c>
      <c r="F72">
        <v>2</v>
      </c>
      <c r="G72">
        <v>5</v>
      </c>
      <c r="H72">
        <v>36</v>
      </c>
      <c r="I72">
        <v>55</v>
      </c>
      <c r="J72" t="s">
        <v>11</v>
      </c>
      <c r="K72">
        <f>IF(J72="Yes", 1, 0)</f>
        <v>1</v>
      </c>
      <c r="L72" t="str">
        <f>IF(G72=0,"0 Failures","1+ Failures")</f>
        <v>1+ Failures</v>
      </c>
      <c r="M72" t="str">
        <f t="shared" si="2"/>
        <v>10-20hrs</v>
      </c>
      <c r="N72" t="str">
        <f t="shared" si="3"/>
        <v>12+ months</v>
      </c>
      <c r="O72" t="str">
        <f t="shared" si="4"/>
        <v>Basic</v>
      </c>
      <c r="P72" s="7">
        <v>45657</v>
      </c>
    </row>
    <row r="73" spans="1:16" x14ac:dyDescent="0.3">
      <c r="A73">
        <v>72</v>
      </c>
      <c r="B73" s="7">
        <v>45377</v>
      </c>
      <c r="C73" t="s">
        <v>12</v>
      </c>
      <c r="D73">
        <v>199</v>
      </c>
      <c r="E73">
        <v>19.3</v>
      </c>
      <c r="F73">
        <v>8</v>
      </c>
      <c r="G73">
        <v>3</v>
      </c>
      <c r="H73">
        <v>18</v>
      </c>
      <c r="I73">
        <v>40</v>
      </c>
      <c r="J73" t="s">
        <v>11</v>
      </c>
      <c r="K73">
        <f>IF(J73="Yes", 1, 0)</f>
        <v>1</v>
      </c>
      <c r="L73" t="str">
        <f>IF(G73=0,"0 Failures","1+ Failures")</f>
        <v>1+ Failures</v>
      </c>
      <c r="M73" t="str">
        <f t="shared" si="2"/>
        <v>10-20hrs</v>
      </c>
      <c r="N73" t="str">
        <f t="shared" si="3"/>
        <v>12+ months</v>
      </c>
      <c r="O73" t="str">
        <f t="shared" si="4"/>
        <v>Basic</v>
      </c>
      <c r="P73" s="7">
        <v>45657</v>
      </c>
    </row>
    <row r="74" spans="1:16" x14ac:dyDescent="0.3">
      <c r="A74">
        <v>73</v>
      </c>
      <c r="B74" s="7">
        <v>45068</v>
      </c>
      <c r="C74" t="s">
        <v>12</v>
      </c>
      <c r="D74">
        <v>199</v>
      </c>
      <c r="E74">
        <v>6.2</v>
      </c>
      <c r="F74">
        <v>5</v>
      </c>
      <c r="G74">
        <v>2</v>
      </c>
      <c r="H74">
        <v>19</v>
      </c>
      <c r="I74">
        <v>57</v>
      </c>
      <c r="J74" t="s">
        <v>11</v>
      </c>
      <c r="K74">
        <f>IF(J74="Yes", 1, 0)</f>
        <v>1</v>
      </c>
      <c r="L74" t="str">
        <f>IF(G74=0,"0 Failures","1+ Failures")</f>
        <v>1+ Failures</v>
      </c>
      <c r="M74" t="str">
        <f t="shared" si="2"/>
        <v>5-10 hrs</v>
      </c>
      <c r="N74" t="str">
        <f t="shared" si="3"/>
        <v>12+ months</v>
      </c>
      <c r="O74" t="str">
        <f t="shared" si="4"/>
        <v>Basic</v>
      </c>
      <c r="P74" s="7">
        <v>45657</v>
      </c>
    </row>
    <row r="75" spans="1:16" x14ac:dyDescent="0.3">
      <c r="A75">
        <v>74</v>
      </c>
      <c r="B75" s="7">
        <v>45344</v>
      </c>
      <c r="C75" t="s">
        <v>12</v>
      </c>
      <c r="D75">
        <v>199</v>
      </c>
      <c r="E75">
        <v>9.9</v>
      </c>
      <c r="F75">
        <v>2</v>
      </c>
      <c r="G75">
        <v>5</v>
      </c>
      <c r="H75">
        <v>15</v>
      </c>
      <c r="I75">
        <v>13</v>
      </c>
      <c r="J75" t="s">
        <v>11</v>
      </c>
      <c r="K75">
        <f>IF(J75="Yes", 1, 0)</f>
        <v>1</v>
      </c>
      <c r="L75" t="str">
        <f>IF(G75=0,"0 Failures","1+ Failures")</f>
        <v>1+ Failures</v>
      </c>
      <c r="M75" t="str">
        <f t="shared" ref="M75:M138" si="5">IF(E75&lt;=5, "0-5 hrs",    IF(E75&lt;=10, "5-10 hrs",    IF(E75&lt;=20, "10-20hrs", "20+ hrs")))</f>
        <v>5-10 hrs</v>
      </c>
      <c r="N75" t="str">
        <f t="shared" si="3"/>
        <v>12+ months</v>
      </c>
      <c r="O75" t="str">
        <f t="shared" si="4"/>
        <v>Basic</v>
      </c>
      <c r="P75" s="7">
        <v>45657</v>
      </c>
    </row>
    <row r="76" spans="1:16" x14ac:dyDescent="0.3">
      <c r="A76">
        <v>75</v>
      </c>
      <c r="B76" s="7">
        <v>45525</v>
      </c>
      <c r="C76" t="s">
        <v>14</v>
      </c>
      <c r="D76">
        <v>399</v>
      </c>
      <c r="E76">
        <v>11.9</v>
      </c>
      <c r="F76">
        <v>0</v>
      </c>
      <c r="G76">
        <v>1</v>
      </c>
      <c r="H76">
        <v>35</v>
      </c>
      <c r="I76">
        <v>53</v>
      </c>
      <c r="J76" t="s">
        <v>13</v>
      </c>
      <c r="K76">
        <f>IF(J76="Yes", 1, 0)</f>
        <v>0</v>
      </c>
      <c r="L76" t="str">
        <f>IF(G76=0,"0 Failures","1+ Failures")</f>
        <v>1+ Failures</v>
      </c>
      <c r="M76" t="str">
        <f t="shared" si="5"/>
        <v>10-20hrs</v>
      </c>
      <c r="N76" t="str">
        <f t="shared" si="3"/>
        <v>12+ months</v>
      </c>
      <c r="O76" t="str">
        <f t="shared" si="4"/>
        <v>Basic</v>
      </c>
      <c r="P76" s="7">
        <v>45657</v>
      </c>
    </row>
    <row r="77" spans="1:16" x14ac:dyDescent="0.3">
      <c r="A77">
        <v>76</v>
      </c>
      <c r="B77" s="7">
        <v>45232</v>
      </c>
      <c r="C77" t="s">
        <v>10</v>
      </c>
      <c r="D77">
        <v>699</v>
      </c>
      <c r="E77">
        <v>21.5</v>
      </c>
      <c r="F77">
        <v>6</v>
      </c>
      <c r="G77">
        <v>3</v>
      </c>
      <c r="H77">
        <v>2</v>
      </c>
      <c r="I77">
        <v>0</v>
      </c>
      <c r="J77" t="s">
        <v>13</v>
      </c>
      <c r="K77">
        <f>IF(J77="Yes", 1, 0)</f>
        <v>0</v>
      </c>
      <c r="L77" t="str">
        <f>IF(G77=0,"0 Failures","1+ Failures")</f>
        <v>1+ Failures</v>
      </c>
      <c r="M77" t="str">
        <f t="shared" si="5"/>
        <v>20+ hrs</v>
      </c>
      <c r="N77" t="str">
        <f t="shared" si="3"/>
        <v>0-3months</v>
      </c>
      <c r="O77" t="str">
        <f t="shared" si="4"/>
        <v>Premium</v>
      </c>
      <c r="P77" s="7">
        <v>45657</v>
      </c>
    </row>
    <row r="78" spans="1:16" x14ac:dyDescent="0.3">
      <c r="A78">
        <v>77</v>
      </c>
      <c r="B78" s="7">
        <v>45151</v>
      </c>
      <c r="C78" t="s">
        <v>14</v>
      </c>
      <c r="D78">
        <v>399</v>
      </c>
      <c r="E78">
        <v>13.7</v>
      </c>
      <c r="F78">
        <v>8</v>
      </c>
      <c r="G78">
        <v>4</v>
      </c>
      <c r="H78">
        <v>27</v>
      </c>
      <c r="I78">
        <v>57</v>
      </c>
      <c r="J78" t="s">
        <v>11</v>
      </c>
      <c r="K78">
        <f>IF(J78="Yes", 1, 0)</f>
        <v>1</v>
      </c>
      <c r="L78" t="str">
        <f>IF(G78=0,"0 Failures","1+ Failures")</f>
        <v>1+ Failures</v>
      </c>
      <c r="M78" t="str">
        <f t="shared" si="5"/>
        <v>10-20hrs</v>
      </c>
      <c r="N78" t="str">
        <f t="shared" si="3"/>
        <v>12+ months</v>
      </c>
      <c r="O78" t="str">
        <f t="shared" si="4"/>
        <v>Basic</v>
      </c>
      <c r="P78" s="7">
        <v>45657</v>
      </c>
    </row>
    <row r="79" spans="1:16" x14ac:dyDescent="0.3">
      <c r="A79">
        <v>78</v>
      </c>
      <c r="B79" s="7">
        <v>45341</v>
      </c>
      <c r="C79" t="s">
        <v>14</v>
      </c>
      <c r="D79">
        <v>399</v>
      </c>
      <c r="E79">
        <v>12.4</v>
      </c>
      <c r="F79">
        <v>6</v>
      </c>
      <c r="G79">
        <v>2</v>
      </c>
      <c r="H79">
        <v>28</v>
      </c>
      <c r="I79">
        <v>42</v>
      </c>
      <c r="J79" t="s">
        <v>11</v>
      </c>
      <c r="K79">
        <f>IF(J79="Yes", 1, 0)</f>
        <v>1</v>
      </c>
      <c r="L79" t="str">
        <f>IF(G79=0,"0 Failures","1+ Failures")</f>
        <v>1+ Failures</v>
      </c>
      <c r="M79" t="str">
        <f t="shared" si="5"/>
        <v>10-20hrs</v>
      </c>
      <c r="N79" t="str">
        <f t="shared" si="3"/>
        <v>12+ months</v>
      </c>
      <c r="O79" t="str">
        <f t="shared" si="4"/>
        <v>Basic</v>
      </c>
      <c r="P79" s="7">
        <v>45657</v>
      </c>
    </row>
    <row r="80" spans="1:16" x14ac:dyDescent="0.3">
      <c r="A80">
        <v>79</v>
      </c>
      <c r="B80" s="7">
        <v>45330</v>
      </c>
      <c r="C80" t="s">
        <v>10</v>
      </c>
      <c r="D80">
        <v>699</v>
      </c>
      <c r="E80">
        <v>21.1</v>
      </c>
      <c r="F80">
        <v>2</v>
      </c>
      <c r="G80">
        <v>4</v>
      </c>
      <c r="H80">
        <v>11</v>
      </c>
      <c r="I80">
        <v>34</v>
      </c>
      <c r="J80" t="s">
        <v>11</v>
      </c>
      <c r="K80">
        <f>IF(J80="Yes", 1, 0)</f>
        <v>1</v>
      </c>
      <c r="L80" t="str">
        <f>IF(G80=0,"0 Failures","1+ Failures")</f>
        <v>1+ Failures</v>
      </c>
      <c r="M80" t="str">
        <f t="shared" si="5"/>
        <v>20+ hrs</v>
      </c>
      <c r="N80" t="str">
        <f t="shared" si="3"/>
        <v>6-12months</v>
      </c>
      <c r="O80" t="str">
        <f t="shared" si="4"/>
        <v>Premium</v>
      </c>
      <c r="P80" s="7">
        <v>45657</v>
      </c>
    </row>
    <row r="81" spans="1:16" x14ac:dyDescent="0.3">
      <c r="A81">
        <v>80</v>
      </c>
      <c r="B81" s="7">
        <v>44978</v>
      </c>
      <c r="C81" t="s">
        <v>10</v>
      </c>
      <c r="D81">
        <v>699</v>
      </c>
      <c r="E81">
        <v>2.6</v>
      </c>
      <c r="F81">
        <v>6</v>
      </c>
      <c r="G81">
        <v>1</v>
      </c>
      <c r="H81">
        <v>2</v>
      </c>
      <c r="I81">
        <v>55</v>
      </c>
      <c r="J81" t="s">
        <v>11</v>
      </c>
      <c r="K81">
        <f>IF(J81="Yes", 1, 0)</f>
        <v>1</v>
      </c>
      <c r="L81" t="str">
        <f>IF(G81=0,"0 Failures","1+ Failures")</f>
        <v>1+ Failures</v>
      </c>
      <c r="M81" t="str">
        <f t="shared" si="5"/>
        <v>0-5 hrs</v>
      </c>
      <c r="N81" t="str">
        <f t="shared" si="3"/>
        <v>0-3months</v>
      </c>
      <c r="O81" t="str">
        <f t="shared" si="4"/>
        <v>Premium</v>
      </c>
      <c r="P81" s="7">
        <v>45657</v>
      </c>
    </row>
    <row r="82" spans="1:16" x14ac:dyDescent="0.3">
      <c r="A82">
        <v>81</v>
      </c>
      <c r="B82" s="7">
        <v>45315</v>
      </c>
      <c r="C82" t="s">
        <v>14</v>
      </c>
      <c r="D82">
        <v>399</v>
      </c>
      <c r="E82">
        <v>8.5</v>
      </c>
      <c r="F82">
        <v>7</v>
      </c>
      <c r="G82">
        <v>2</v>
      </c>
      <c r="H82">
        <v>25</v>
      </c>
      <c r="I82">
        <v>21</v>
      </c>
      <c r="J82" t="s">
        <v>13</v>
      </c>
      <c r="K82">
        <f>IF(J82="Yes", 1, 0)</f>
        <v>0</v>
      </c>
      <c r="L82" t="str">
        <f>IF(G82=0,"0 Failures","1+ Failures")</f>
        <v>1+ Failures</v>
      </c>
      <c r="M82" t="str">
        <f t="shared" si="5"/>
        <v>5-10 hrs</v>
      </c>
      <c r="N82" t="str">
        <f t="shared" si="3"/>
        <v>12+ months</v>
      </c>
      <c r="O82" t="str">
        <f t="shared" si="4"/>
        <v>Basic</v>
      </c>
      <c r="P82" s="7">
        <v>45657</v>
      </c>
    </row>
    <row r="83" spans="1:16" x14ac:dyDescent="0.3">
      <c r="A83">
        <v>82</v>
      </c>
      <c r="B83" s="7">
        <v>44980</v>
      </c>
      <c r="C83" t="s">
        <v>14</v>
      </c>
      <c r="D83">
        <v>399</v>
      </c>
      <c r="E83">
        <v>6.7</v>
      </c>
      <c r="F83">
        <v>1</v>
      </c>
      <c r="G83">
        <v>3</v>
      </c>
      <c r="H83">
        <v>27</v>
      </c>
      <c r="I83">
        <v>1</v>
      </c>
      <c r="J83" t="s">
        <v>13</v>
      </c>
      <c r="K83">
        <f>IF(J83="Yes", 1, 0)</f>
        <v>0</v>
      </c>
      <c r="L83" t="str">
        <f>IF(G83=0,"0 Failures","1+ Failures")</f>
        <v>1+ Failures</v>
      </c>
      <c r="M83" t="str">
        <f t="shared" si="5"/>
        <v>5-10 hrs</v>
      </c>
      <c r="N83" t="str">
        <f t="shared" si="3"/>
        <v>12+ months</v>
      </c>
      <c r="O83" t="str">
        <f t="shared" si="4"/>
        <v>Basic</v>
      </c>
      <c r="P83" s="7">
        <v>45657</v>
      </c>
    </row>
    <row r="84" spans="1:16" x14ac:dyDescent="0.3">
      <c r="A84">
        <v>83</v>
      </c>
      <c r="B84" s="7">
        <v>44947</v>
      </c>
      <c r="C84" t="s">
        <v>14</v>
      </c>
      <c r="D84">
        <v>399</v>
      </c>
      <c r="E84">
        <v>16.399999999999999</v>
      </c>
      <c r="F84">
        <v>0</v>
      </c>
      <c r="G84">
        <v>0</v>
      </c>
      <c r="H84">
        <v>15</v>
      </c>
      <c r="I84">
        <v>60</v>
      </c>
      <c r="J84" t="s">
        <v>11</v>
      </c>
      <c r="K84">
        <f>IF(J84="Yes", 1, 0)</f>
        <v>1</v>
      </c>
      <c r="L84" t="str">
        <f>IF(G84=0,"0 Failures","1+ Failures")</f>
        <v>0 Failures</v>
      </c>
      <c r="M84" t="str">
        <f t="shared" si="5"/>
        <v>10-20hrs</v>
      </c>
      <c r="N84" t="str">
        <f t="shared" si="3"/>
        <v>12+ months</v>
      </c>
      <c r="O84" t="str">
        <f t="shared" si="4"/>
        <v>Basic</v>
      </c>
      <c r="P84" s="7">
        <v>45657</v>
      </c>
    </row>
    <row r="85" spans="1:16" x14ac:dyDescent="0.3">
      <c r="A85">
        <v>84</v>
      </c>
      <c r="B85" s="7">
        <v>45150</v>
      </c>
      <c r="C85" t="s">
        <v>10</v>
      </c>
      <c r="D85">
        <v>699</v>
      </c>
      <c r="E85">
        <v>6.3</v>
      </c>
      <c r="F85">
        <v>7</v>
      </c>
      <c r="G85">
        <v>5</v>
      </c>
      <c r="H85">
        <v>10</v>
      </c>
      <c r="I85">
        <v>7</v>
      </c>
      <c r="J85" t="s">
        <v>13</v>
      </c>
      <c r="K85">
        <f>IF(J85="Yes", 1, 0)</f>
        <v>0</v>
      </c>
      <c r="L85" t="str">
        <f>IF(G85=0,"0 Failures","1+ Failures")</f>
        <v>1+ Failures</v>
      </c>
      <c r="M85" t="str">
        <f t="shared" si="5"/>
        <v>5-10 hrs</v>
      </c>
      <c r="N85" t="str">
        <f t="shared" si="3"/>
        <v>6-12months</v>
      </c>
      <c r="O85" t="str">
        <f t="shared" si="4"/>
        <v>Premium</v>
      </c>
      <c r="P85" s="7">
        <v>45657</v>
      </c>
    </row>
    <row r="86" spans="1:16" x14ac:dyDescent="0.3">
      <c r="A86">
        <v>85</v>
      </c>
      <c r="B86" s="7">
        <v>45044</v>
      </c>
      <c r="C86" t="s">
        <v>14</v>
      </c>
      <c r="D86">
        <v>399</v>
      </c>
      <c r="E86">
        <v>19.3</v>
      </c>
      <c r="F86">
        <v>2</v>
      </c>
      <c r="G86">
        <v>4</v>
      </c>
      <c r="H86">
        <v>17</v>
      </c>
      <c r="I86">
        <v>38</v>
      </c>
      <c r="J86" t="s">
        <v>13</v>
      </c>
      <c r="K86">
        <f>IF(J86="Yes", 1, 0)</f>
        <v>0</v>
      </c>
      <c r="L86" t="str">
        <f>IF(G86=0,"0 Failures","1+ Failures")</f>
        <v>1+ Failures</v>
      </c>
      <c r="M86" t="str">
        <f t="shared" si="5"/>
        <v>10-20hrs</v>
      </c>
      <c r="N86" t="str">
        <f t="shared" si="3"/>
        <v>12+ months</v>
      </c>
      <c r="O86" t="str">
        <f t="shared" si="4"/>
        <v>Basic</v>
      </c>
      <c r="P86" s="7">
        <v>45657</v>
      </c>
    </row>
    <row r="87" spans="1:16" x14ac:dyDescent="0.3">
      <c r="A87">
        <v>86</v>
      </c>
      <c r="B87" s="7">
        <v>45311</v>
      </c>
      <c r="C87" t="s">
        <v>12</v>
      </c>
      <c r="D87">
        <v>199</v>
      </c>
      <c r="E87">
        <v>3.1</v>
      </c>
      <c r="F87">
        <v>0</v>
      </c>
      <c r="G87">
        <v>2</v>
      </c>
      <c r="H87">
        <v>20</v>
      </c>
      <c r="I87">
        <v>36</v>
      </c>
      <c r="J87" t="s">
        <v>11</v>
      </c>
      <c r="K87">
        <f>IF(J87="Yes", 1, 0)</f>
        <v>1</v>
      </c>
      <c r="L87" t="str">
        <f>IF(G87=0,"0 Failures","1+ Failures")</f>
        <v>1+ Failures</v>
      </c>
      <c r="M87" t="str">
        <f t="shared" si="5"/>
        <v>0-5 hrs</v>
      </c>
      <c r="N87" t="str">
        <f t="shared" si="3"/>
        <v>12+ months</v>
      </c>
      <c r="O87" t="str">
        <f t="shared" si="4"/>
        <v>Basic</v>
      </c>
      <c r="P87" s="7">
        <v>45657</v>
      </c>
    </row>
    <row r="88" spans="1:16" x14ac:dyDescent="0.3">
      <c r="A88">
        <v>87</v>
      </c>
      <c r="B88" s="7">
        <v>45627</v>
      </c>
      <c r="C88" t="s">
        <v>14</v>
      </c>
      <c r="D88">
        <v>399</v>
      </c>
      <c r="E88">
        <v>2.4</v>
      </c>
      <c r="F88">
        <v>3</v>
      </c>
      <c r="G88">
        <v>0</v>
      </c>
      <c r="H88">
        <v>13</v>
      </c>
      <c r="I88">
        <v>44</v>
      </c>
      <c r="J88" t="s">
        <v>13</v>
      </c>
      <c r="K88">
        <f>IF(J88="Yes", 1, 0)</f>
        <v>0</v>
      </c>
      <c r="L88" t="str">
        <f>IF(G88=0,"0 Failures","1+ Failures")</f>
        <v>0 Failures</v>
      </c>
      <c r="M88" t="str">
        <f t="shared" si="5"/>
        <v>0-5 hrs</v>
      </c>
      <c r="N88" t="str">
        <f t="shared" si="3"/>
        <v>12+ months</v>
      </c>
      <c r="O88" t="str">
        <f t="shared" si="4"/>
        <v>Basic</v>
      </c>
      <c r="P88" s="7">
        <v>45657</v>
      </c>
    </row>
    <row r="89" spans="1:16" x14ac:dyDescent="0.3">
      <c r="A89">
        <v>88</v>
      </c>
      <c r="B89" s="7">
        <v>45306</v>
      </c>
      <c r="C89" t="s">
        <v>10</v>
      </c>
      <c r="D89">
        <v>699</v>
      </c>
      <c r="E89">
        <v>20</v>
      </c>
      <c r="F89">
        <v>0</v>
      </c>
      <c r="G89">
        <v>2</v>
      </c>
      <c r="H89">
        <v>8</v>
      </c>
      <c r="I89">
        <v>34</v>
      </c>
      <c r="J89" t="s">
        <v>11</v>
      </c>
      <c r="K89">
        <f>IF(J89="Yes", 1, 0)</f>
        <v>1</v>
      </c>
      <c r="L89" t="str">
        <f>IF(G89=0,"0 Failures","1+ Failures")</f>
        <v>1+ Failures</v>
      </c>
      <c r="M89" t="str">
        <f t="shared" si="5"/>
        <v>10-20hrs</v>
      </c>
      <c r="N89" t="str">
        <f t="shared" si="3"/>
        <v>6-12months</v>
      </c>
      <c r="O89" t="str">
        <f t="shared" si="4"/>
        <v>Premium</v>
      </c>
      <c r="P89" s="7">
        <v>45657</v>
      </c>
    </row>
    <row r="90" spans="1:16" x14ac:dyDescent="0.3">
      <c r="A90">
        <v>89</v>
      </c>
      <c r="B90" s="7">
        <v>45370</v>
      </c>
      <c r="C90" t="s">
        <v>12</v>
      </c>
      <c r="D90">
        <v>199</v>
      </c>
      <c r="E90">
        <v>16.399999999999999</v>
      </c>
      <c r="F90">
        <v>0</v>
      </c>
      <c r="G90">
        <v>3</v>
      </c>
      <c r="H90">
        <v>33</v>
      </c>
      <c r="I90">
        <v>52</v>
      </c>
      <c r="J90" t="s">
        <v>11</v>
      </c>
      <c r="K90">
        <f>IF(J90="Yes", 1, 0)</f>
        <v>1</v>
      </c>
      <c r="L90" t="str">
        <f>IF(G90=0,"0 Failures","1+ Failures")</f>
        <v>1+ Failures</v>
      </c>
      <c r="M90" t="str">
        <f t="shared" si="5"/>
        <v>10-20hrs</v>
      </c>
      <c r="N90" t="str">
        <f t="shared" si="3"/>
        <v>12+ months</v>
      </c>
      <c r="O90" t="str">
        <f t="shared" si="4"/>
        <v>Basic</v>
      </c>
      <c r="P90" s="7">
        <v>45657</v>
      </c>
    </row>
    <row r="91" spans="1:16" x14ac:dyDescent="0.3">
      <c r="A91">
        <v>90</v>
      </c>
      <c r="B91" s="7">
        <v>45593</v>
      </c>
      <c r="C91" t="s">
        <v>14</v>
      </c>
      <c r="D91">
        <v>399</v>
      </c>
      <c r="E91">
        <v>17.8</v>
      </c>
      <c r="F91">
        <v>6</v>
      </c>
      <c r="G91">
        <v>1</v>
      </c>
      <c r="H91">
        <v>30</v>
      </c>
      <c r="I91">
        <v>46</v>
      </c>
      <c r="J91" t="s">
        <v>13</v>
      </c>
      <c r="K91">
        <f>IF(J91="Yes", 1, 0)</f>
        <v>0</v>
      </c>
      <c r="L91" t="str">
        <f>IF(G91=0,"0 Failures","1+ Failures")</f>
        <v>1+ Failures</v>
      </c>
      <c r="M91" t="str">
        <f t="shared" si="5"/>
        <v>10-20hrs</v>
      </c>
      <c r="N91" t="str">
        <f t="shared" si="3"/>
        <v>12+ months</v>
      </c>
      <c r="O91" t="str">
        <f t="shared" si="4"/>
        <v>Basic</v>
      </c>
      <c r="P91" s="7">
        <v>45657</v>
      </c>
    </row>
    <row r="92" spans="1:16" x14ac:dyDescent="0.3">
      <c r="A92">
        <v>91</v>
      </c>
      <c r="B92" s="7">
        <v>45201</v>
      </c>
      <c r="C92" t="s">
        <v>14</v>
      </c>
      <c r="D92">
        <v>399</v>
      </c>
      <c r="E92">
        <v>19.5</v>
      </c>
      <c r="F92">
        <v>7</v>
      </c>
      <c r="G92">
        <v>3</v>
      </c>
      <c r="H92">
        <v>35</v>
      </c>
      <c r="I92">
        <v>52</v>
      </c>
      <c r="J92" t="s">
        <v>11</v>
      </c>
      <c r="K92">
        <f>IF(J92="Yes", 1, 0)</f>
        <v>1</v>
      </c>
      <c r="L92" t="str">
        <f>IF(G92=0,"0 Failures","1+ Failures")</f>
        <v>1+ Failures</v>
      </c>
      <c r="M92" t="str">
        <f t="shared" si="5"/>
        <v>10-20hrs</v>
      </c>
      <c r="N92" t="str">
        <f t="shared" si="3"/>
        <v>12+ months</v>
      </c>
      <c r="O92" t="str">
        <f t="shared" si="4"/>
        <v>Basic</v>
      </c>
      <c r="P92" s="7">
        <v>45657</v>
      </c>
    </row>
    <row r="93" spans="1:16" x14ac:dyDescent="0.3">
      <c r="A93">
        <v>92</v>
      </c>
      <c r="B93" s="7">
        <v>45402</v>
      </c>
      <c r="C93" t="s">
        <v>14</v>
      </c>
      <c r="D93">
        <v>399</v>
      </c>
      <c r="E93">
        <v>20.9</v>
      </c>
      <c r="F93">
        <v>1</v>
      </c>
      <c r="G93">
        <v>2</v>
      </c>
      <c r="H93">
        <v>16</v>
      </c>
      <c r="I93">
        <v>56</v>
      </c>
      <c r="J93" t="s">
        <v>11</v>
      </c>
      <c r="K93">
        <f>IF(J93="Yes", 1, 0)</f>
        <v>1</v>
      </c>
      <c r="L93" t="str">
        <f>IF(G93=0,"0 Failures","1+ Failures")</f>
        <v>1+ Failures</v>
      </c>
      <c r="M93" t="str">
        <f t="shared" si="5"/>
        <v>20+ hrs</v>
      </c>
      <c r="N93" t="str">
        <f t="shared" si="3"/>
        <v>12+ months</v>
      </c>
      <c r="O93" t="str">
        <f t="shared" si="4"/>
        <v>Basic</v>
      </c>
      <c r="P93" s="7">
        <v>45657</v>
      </c>
    </row>
    <row r="94" spans="1:16" x14ac:dyDescent="0.3">
      <c r="A94">
        <v>93</v>
      </c>
      <c r="B94" s="7">
        <v>45290</v>
      </c>
      <c r="C94" t="s">
        <v>10</v>
      </c>
      <c r="D94">
        <v>699</v>
      </c>
      <c r="E94">
        <v>8.6999999999999993</v>
      </c>
      <c r="F94">
        <v>7</v>
      </c>
      <c r="G94">
        <v>2</v>
      </c>
      <c r="H94">
        <v>25</v>
      </c>
      <c r="I94">
        <v>11</v>
      </c>
      <c r="J94" t="s">
        <v>11</v>
      </c>
      <c r="K94">
        <f>IF(J94="Yes", 1, 0)</f>
        <v>1</v>
      </c>
      <c r="L94" t="str">
        <f>IF(G94=0,"0 Failures","1+ Failures")</f>
        <v>1+ Failures</v>
      </c>
      <c r="M94" t="str">
        <f t="shared" si="5"/>
        <v>5-10 hrs</v>
      </c>
      <c r="N94" t="str">
        <f t="shared" si="3"/>
        <v>12+ months</v>
      </c>
      <c r="O94" t="str">
        <f t="shared" si="4"/>
        <v>Premium</v>
      </c>
      <c r="P94" s="7">
        <v>45657</v>
      </c>
    </row>
    <row r="95" spans="1:16" x14ac:dyDescent="0.3">
      <c r="A95">
        <v>94</v>
      </c>
      <c r="B95" s="7">
        <v>45122</v>
      </c>
      <c r="C95" t="s">
        <v>14</v>
      </c>
      <c r="D95">
        <v>399</v>
      </c>
      <c r="E95">
        <v>7.4</v>
      </c>
      <c r="F95">
        <v>4</v>
      </c>
      <c r="G95">
        <v>4</v>
      </c>
      <c r="H95">
        <v>22</v>
      </c>
      <c r="I95">
        <v>0</v>
      </c>
      <c r="J95" t="s">
        <v>13</v>
      </c>
      <c r="K95">
        <f>IF(J95="Yes", 1, 0)</f>
        <v>0</v>
      </c>
      <c r="L95" t="str">
        <f>IF(G95=0,"0 Failures","1+ Failures")</f>
        <v>1+ Failures</v>
      </c>
      <c r="M95" t="str">
        <f t="shared" si="5"/>
        <v>5-10 hrs</v>
      </c>
      <c r="N95" t="str">
        <f t="shared" si="3"/>
        <v>12+ months</v>
      </c>
      <c r="O95" t="str">
        <f t="shared" si="4"/>
        <v>Basic</v>
      </c>
      <c r="P95" s="7">
        <v>45657</v>
      </c>
    </row>
    <row r="96" spans="1:16" x14ac:dyDescent="0.3">
      <c r="A96">
        <v>95</v>
      </c>
      <c r="B96" s="7">
        <v>45414</v>
      </c>
      <c r="C96" t="s">
        <v>12</v>
      </c>
      <c r="D96">
        <v>199</v>
      </c>
      <c r="E96">
        <v>18.100000000000001</v>
      </c>
      <c r="F96">
        <v>7</v>
      </c>
      <c r="G96">
        <v>4</v>
      </c>
      <c r="H96">
        <v>16</v>
      </c>
      <c r="I96">
        <v>48</v>
      </c>
      <c r="J96" t="s">
        <v>11</v>
      </c>
      <c r="K96">
        <f>IF(J96="Yes", 1, 0)</f>
        <v>1</v>
      </c>
      <c r="L96" t="str">
        <f>IF(G96=0,"0 Failures","1+ Failures")</f>
        <v>1+ Failures</v>
      </c>
      <c r="M96" t="str">
        <f t="shared" si="5"/>
        <v>10-20hrs</v>
      </c>
      <c r="N96" t="str">
        <f t="shared" si="3"/>
        <v>12+ months</v>
      </c>
      <c r="O96" t="str">
        <f t="shared" si="4"/>
        <v>Basic</v>
      </c>
      <c r="P96" s="7">
        <v>45657</v>
      </c>
    </row>
    <row r="97" spans="1:16" x14ac:dyDescent="0.3">
      <c r="A97">
        <v>96</v>
      </c>
      <c r="B97" s="7">
        <v>45635</v>
      </c>
      <c r="C97" t="s">
        <v>10</v>
      </c>
      <c r="D97">
        <v>699</v>
      </c>
      <c r="E97">
        <v>11.5</v>
      </c>
      <c r="F97">
        <v>0</v>
      </c>
      <c r="G97">
        <v>0</v>
      </c>
      <c r="H97">
        <v>32</v>
      </c>
      <c r="I97">
        <v>18</v>
      </c>
      <c r="J97" t="s">
        <v>13</v>
      </c>
      <c r="K97">
        <f>IF(J97="Yes", 1, 0)</f>
        <v>0</v>
      </c>
      <c r="L97" t="str">
        <f>IF(G97=0,"0 Failures","1+ Failures")</f>
        <v>0 Failures</v>
      </c>
      <c r="M97" t="str">
        <f t="shared" si="5"/>
        <v>10-20hrs</v>
      </c>
      <c r="N97" t="str">
        <f t="shared" si="3"/>
        <v>12+ months</v>
      </c>
      <c r="O97" t="str">
        <f t="shared" si="4"/>
        <v>Premium</v>
      </c>
      <c r="P97" s="7">
        <v>45657</v>
      </c>
    </row>
    <row r="98" spans="1:16" x14ac:dyDescent="0.3">
      <c r="A98">
        <v>97</v>
      </c>
      <c r="B98" s="7">
        <v>45362</v>
      </c>
      <c r="C98" t="s">
        <v>12</v>
      </c>
      <c r="D98">
        <v>199</v>
      </c>
      <c r="E98">
        <v>16.8</v>
      </c>
      <c r="F98">
        <v>5</v>
      </c>
      <c r="G98">
        <v>3</v>
      </c>
      <c r="H98">
        <v>20</v>
      </c>
      <c r="I98">
        <v>35</v>
      </c>
      <c r="J98" t="s">
        <v>11</v>
      </c>
      <c r="K98">
        <f>IF(J98="Yes", 1, 0)</f>
        <v>1</v>
      </c>
      <c r="L98" t="str">
        <f>IF(G98=0,"0 Failures","1+ Failures")</f>
        <v>1+ Failures</v>
      </c>
      <c r="M98" t="str">
        <f t="shared" si="5"/>
        <v>10-20hrs</v>
      </c>
      <c r="N98" t="str">
        <f t="shared" si="3"/>
        <v>12+ months</v>
      </c>
      <c r="O98" t="str">
        <f t="shared" si="4"/>
        <v>Basic</v>
      </c>
      <c r="P98" s="7">
        <v>45657</v>
      </c>
    </row>
    <row r="99" spans="1:16" x14ac:dyDescent="0.3">
      <c r="A99">
        <v>98</v>
      </c>
      <c r="B99" s="7">
        <v>45050</v>
      </c>
      <c r="C99" t="s">
        <v>10</v>
      </c>
      <c r="D99">
        <v>699</v>
      </c>
      <c r="E99">
        <v>8.6</v>
      </c>
      <c r="F99">
        <v>7</v>
      </c>
      <c r="G99">
        <v>2</v>
      </c>
      <c r="H99">
        <v>36</v>
      </c>
      <c r="I99">
        <v>19</v>
      </c>
      <c r="J99" t="s">
        <v>11</v>
      </c>
      <c r="K99">
        <f>IF(J99="Yes", 1, 0)</f>
        <v>1</v>
      </c>
      <c r="L99" t="str">
        <f>IF(G99=0,"0 Failures","1+ Failures")</f>
        <v>1+ Failures</v>
      </c>
      <c r="M99" t="str">
        <f t="shared" si="5"/>
        <v>5-10 hrs</v>
      </c>
      <c r="N99" t="str">
        <f t="shared" si="3"/>
        <v>12+ months</v>
      </c>
      <c r="O99" t="str">
        <f t="shared" si="4"/>
        <v>Premium</v>
      </c>
      <c r="P99" s="7">
        <v>45657</v>
      </c>
    </row>
    <row r="100" spans="1:16" x14ac:dyDescent="0.3">
      <c r="A100">
        <v>99</v>
      </c>
      <c r="B100" s="7">
        <v>45422</v>
      </c>
      <c r="C100" t="s">
        <v>10</v>
      </c>
      <c r="D100">
        <v>699</v>
      </c>
      <c r="E100">
        <v>8.1999999999999993</v>
      </c>
      <c r="F100">
        <v>8</v>
      </c>
      <c r="G100">
        <v>5</v>
      </c>
      <c r="H100">
        <v>13</v>
      </c>
      <c r="I100">
        <v>11</v>
      </c>
      <c r="J100" t="s">
        <v>11</v>
      </c>
      <c r="K100">
        <f>IF(J100="Yes", 1, 0)</f>
        <v>1</v>
      </c>
      <c r="L100" t="str">
        <f>IF(G100=0,"0 Failures","1+ Failures")</f>
        <v>1+ Failures</v>
      </c>
      <c r="M100" t="str">
        <f t="shared" si="5"/>
        <v>5-10 hrs</v>
      </c>
      <c r="N100" t="str">
        <f t="shared" si="3"/>
        <v>12+ months</v>
      </c>
      <c r="O100" t="str">
        <f t="shared" si="4"/>
        <v>Premium</v>
      </c>
      <c r="P100" s="7">
        <v>45657</v>
      </c>
    </row>
    <row r="101" spans="1:16" x14ac:dyDescent="0.3">
      <c r="A101">
        <v>100</v>
      </c>
      <c r="B101" s="7">
        <v>45110</v>
      </c>
      <c r="C101" t="s">
        <v>14</v>
      </c>
      <c r="D101">
        <v>399</v>
      </c>
      <c r="E101">
        <v>15.1</v>
      </c>
      <c r="F101">
        <v>1</v>
      </c>
      <c r="G101">
        <v>1</v>
      </c>
      <c r="H101">
        <v>34</v>
      </c>
      <c r="I101">
        <v>18</v>
      </c>
      <c r="J101" t="s">
        <v>13</v>
      </c>
      <c r="K101">
        <f>IF(J101="Yes", 1, 0)</f>
        <v>0</v>
      </c>
      <c r="L101" t="str">
        <f>IF(G101=0,"0 Failures","1+ Failures")</f>
        <v>1+ Failures</v>
      </c>
      <c r="M101" t="str">
        <f t="shared" si="5"/>
        <v>10-20hrs</v>
      </c>
      <c r="N101" t="str">
        <f t="shared" si="3"/>
        <v>12+ months</v>
      </c>
      <c r="O101" t="str">
        <f t="shared" si="4"/>
        <v>Basic</v>
      </c>
      <c r="P101" s="7">
        <v>45657</v>
      </c>
    </row>
    <row r="102" spans="1:16" x14ac:dyDescent="0.3">
      <c r="A102">
        <v>101</v>
      </c>
      <c r="B102" s="7">
        <v>45493</v>
      </c>
      <c r="C102" t="s">
        <v>14</v>
      </c>
      <c r="D102">
        <v>399</v>
      </c>
      <c r="E102">
        <v>17.8</v>
      </c>
      <c r="F102">
        <v>2</v>
      </c>
      <c r="G102">
        <v>2</v>
      </c>
      <c r="H102">
        <v>1</v>
      </c>
      <c r="I102">
        <v>2</v>
      </c>
      <c r="J102" t="s">
        <v>13</v>
      </c>
      <c r="K102">
        <f>IF(J102="Yes", 1, 0)</f>
        <v>0</v>
      </c>
      <c r="L102" t="str">
        <f>IF(G102=0,"0 Failures","1+ Failures")</f>
        <v>1+ Failures</v>
      </c>
      <c r="M102" t="str">
        <f t="shared" si="5"/>
        <v>10-20hrs</v>
      </c>
      <c r="N102" t="str">
        <f t="shared" si="3"/>
        <v>0-3months</v>
      </c>
      <c r="O102" t="str">
        <f t="shared" si="4"/>
        <v>Basic</v>
      </c>
      <c r="P102" s="7">
        <v>45657</v>
      </c>
    </row>
    <row r="103" spans="1:16" x14ac:dyDescent="0.3">
      <c r="A103">
        <v>102</v>
      </c>
      <c r="B103" s="7">
        <v>45218</v>
      </c>
      <c r="C103" t="s">
        <v>14</v>
      </c>
      <c r="D103">
        <v>399</v>
      </c>
      <c r="E103">
        <v>16.100000000000001</v>
      </c>
      <c r="F103">
        <v>7</v>
      </c>
      <c r="G103">
        <v>0</v>
      </c>
      <c r="H103">
        <v>9</v>
      </c>
      <c r="I103">
        <v>55</v>
      </c>
      <c r="J103" t="s">
        <v>11</v>
      </c>
      <c r="K103">
        <f>IF(J103="Yes", 1, 0)</f>
        <v>1</v>
      </c>
      <c r="L103" t="str">
        <f>IF(G103=0,"0 Failures","1+ Failures")</f>
        <v>0 Failures</v>
      </c>
      <c r="M103" t="str">
        <f t="shared" si="5"/>
        <v>10-20hrs</v>
      </c>
      <c r="N103" t="str">
        <f t="shared" si="3"/>
        <v>6-12months</v>
      </c>
      <c r="O103" t="str">
        <f t="shared" si="4"/>
        <v>Basic</v>
      </c>
      <c r="P103" s="7">
        <v>45657</v>
      </c>
    </row>
    <row r="104" spans="1:16" x14ac:dyDescent="0.3">
      <c r="A104">
        <v>103</v>
      </c>
      <c r="B104" s="7">
        <v>45416</v>
      </c>
      <c r="C104" t="s">
        <v>14</v>
      </c>
      <c r="D104">
        <v>399</v>
      </c>
      <c r="E104">
        <v>11.3</v>
      </c>
      <c r="F104">
        <v>2</v>
      </c>
      <c r="G104">
        <v>0</v>
      </c>
      <c r="H104">
        <v>31</v>
      </c>
      <c r="I104">
        <v>16</v>
      </c>
      <c r="J104" t="s">
        <v>13</v>
      </c>
      <c r="K104">
        <f>IF(J104="Yes", 1, 0)</f>
        <v>0</v>
      </c>
      <c r="L104" t="str">
        <f>IF(G104=0,"0 Failures","1+ Failures")</f>
        <v>0 Failures</v>
      </c>
      <c r="M104" t="str">
        <f t="shared" si="5"/>
        <v>10-20hrs</v>
      </c>
      <c r="N104" t="str">
        <f t="shared" si="3"/>
        <v>12+ months</v>
      </c>
      <c r="O104" t="str">
        <f t="shared" si="4"/>
        <v>Basic</v>
      </c>
      <c r="P104" s="7">
        <v>45657</v>
      </c>
    </row>
    <row r="105" spans="1:16" x14ac:dyDescent="0.3">
      <c r="A105">
        <v>104</v>
      </c>
      <c r="B105" s="7">
        <v>45082</v>
      </c>
      <c r="C105" t="s">
        <v>12</v>
      </c>
      <c r="D105">
        <v>199</v>
      </c>
      <c r="E105">
        <v>10.3</v>
      </c>
      <c r="F105">
        <v>1</v>
      </c>
      <c r="G105">
        <v>4</v>
      </c>
      <c r="H105">
        <v>5</v>
      </c>
      <c r="I105">
        <v>40</v>
      </c>
      <c r="J105" t="s">
        <v>13</v>
      </c>
      <c r="K105">
        <f>IF(J105="Yes", 1, 0)</f>
        <v>0</v>
      </c>
      <c r="L105" t="str">
        <f>IF(G105=0,"0 Failures","1+ Failures")</f>
        <v>1+ Failures</v>
      </c>
      <c r="M105" t="str">
        <f t="shared" si="5"/>
        <v>10-20hrs</v>
      </c>
      <c r="N105" t="str">
        <f t="shared" si="3"/>
        <v>3-6months</v>
      </c>
      <c r="O105" t="str">
        <f t="shared" si="4"/>
        <v>Basic</v>
      </c>
      <c r="P105" s="7">
        <v>45657</v>
      </c>
    </row>
    <row r="106" spans="1:16" x14ac:dyDescent="0.3">
      <c r="A106">
        <v>105</v>
      </c>
      <c r="B106" s="7">
        <v>45547</v>
      </c>
      <c r="C106" t="s">
        <v>12</v>
      </c>
      <c r="D106">
        <v>199</v>
      </c>
      <c r="E106">
        <v>2.6</v>
      </c>
      <c r="F106">
        <v>3</v>
      </c>
      <c r="G106">
        <v>0</v>
      </c>
      <c r="H106">
        <v>20</v>
      </c>
      <c r="I106">
        <v>35</v>
      </c>
      <c r="J106" t="s">
        <v>13</v>
      </c>
      <c r="K106">
        <f>IF(J106="Yes", 1, 0)</f>
        <v>0</v>
      </c>
      <c r="L106" t="str">
        <f>IF(G106=0,"0 Failures","1+ Failures")</f>
        <v>0 Failures</v>
      </c>
      <c r="M106" t="str">
        <f t="shared" si="5"/>
        <v>0-5 hrs</v>
      </c>
      <c r="N106" t="str">
        <f t="shared" si="3"/>
        <v>12+ months</v>
      </c>
      <c r="O106" t="str">
        <f t="shared" si="4"/>
        <v>Basic</v>
      </c>
      <c r="P106" s="7">
        <v>45657</v>
      </c>
    </row>
    <row r="107" spans="1:16" x14ac:dyDescent="0.3">
      <c r="A107">
        <v>106</v>
      </c>
      <c r="B107" s="7">
        <v>45529</v>
      </c>
      <c r="C107" t="s">
        <v>10</v>
      </c>
      <c r="D107">
        <v>699</v>
      </c>
      <c r="E107">
        <v>19.5</v>
      </c>
      <c r="F107">
        <v>6</v>
      </c>
      <c r="G107">
        <v>3</v>
      </c>
      <c r="H107">
        <v>15</v>
      </c>
      <c r="I107">
        <v>58</v>
      </c>
      <c r="J107" t="s">
        <v>11</v>
      </c>
      <c r="K107">
        <f>IF(J107="Yes", 1, 0)</f>
        <v>1</v>
      </c>
      <c r="L107" t="str">
        <f>IF(G107=0,"0 Failures","1+ Failures")</f>
        <v>1+ Failures</v>
      </c>
      <c r="M107" t="str">
        <f t="shared" si="5"/>
        <v>10-20hrs</v>
      </c>
      <c r="N107" t="str">
        <f t="shared" si="3"/>
        <v>12+ months</v>
      </c>
      <c r="O107" t="str">
        <f t="shared" si="4"/>
        <v>Premium</v>
      </c>
      <c r="P107" s="7">
        <v>45657</v>
      </c>
    </row>
    <row r="108" spans="1:16" x14ac:dyDescent="0.3">
      <c r="A108">
        <v>107</v>
      </c>
      <c r="B108" s="7">
        <v>45139</v>
      </c>
      <c r="C108" t="s">
        <v>14</v>
      </c>
      <c r="D108">
        <v>399</v>
      </c>
      <c r="E108">
        <v>14.4</v>
      </c>
      <c r="F108">
        <v>0</v>
      </c>
      <c r="G108">
        <v>4</v>
      </c>
      <c r="H108">
        <v>20</v>
      </c>
      <c r="I108">
        <v>47</v>
      </c>
      <c r="J108" t="s">
        <v>11</v>
      </c>
      <c r="K108">
        <f>IF(J108="Yes", 1, 0)</f>
        <v>1</v>
      </c>
      <c r="L108" t="str">
        <f>IF(G108=0,"0 Failures","1+ Failures")</f>
        <v>1+ Failures</v>
      </c>
      <c r="M108" t="str">
        <f t="shared" si="5"/>
        <v>10-20hrs</v>
      </c>
      <c r="N108" t="str">
        <f t="shared" si="3"/>
        <v>12+ months</v>
      </c>
      <c r="O108" t="str">
        <f t="shared" si="4"/>
        <v>Basic</v>
      </c>
      <c r="P108" s="7">
        <v>45657</v>
      </c>
    </row>
    <row r="109" spans="1:16" x14ac:dyDescent="0.3">
      <c r="A109">
        <v>108</v>
      </c>
      <c r="B109" s="7">
        <v>45003</v>
      </c>
      <c r="C109" t="s">
        <v>10</v>
      </c>
      <c r="D109">
        <v>699</v>
      </c>
      <c r="E109">
        <v>7</v>
      </c>
      <c r="F109">
        <v>1</v>
      </c>
      <c r="G109">
        <v>1</v>
      </c>
      <c r="H109">
        <v>14</v>
      </c>
      <c r="I109">
        <v>15</v>
      </c>
      <c r="J109" t="s">
        <v>13</v>
      </c>
      <c r="K109">
        <f>IF(J109="Yes", 1, 0)</f>
        <v>0</v>
      </c>
      <c r="L109" t="str">
        <f>IF(G109=0,"0 Failures","1+ Failures")</f>
        <v>1+ Failures</v>
      </c>
      <c r="M109" t="str">
        <f t="shared" si="5"/>
        <v>5-10 hrs</v>
      </c>
      <c r="N109" t="str">
        <f t="shared" si="3"/>
        <v>12+ months</v>
      </c>
      <c r="O109" t="str">
        <f t="shared" si="4"/>
        <v>Premium</v>
      </c>
      <c r="P109" s="7">
        <v>45657</v>
      </c>
    </row>
    <row r="110" spans="1:16" x14ac:dyDescent="0.3">
      <c r="A110">
        <v>109</v>
      </c>
      <c r="B110" s="7">
        <v>45650</v>
      </c>
      <c r="C110" t="s">
        <v>12</v>
      </c>
      <c r="D110">
        <v>199</v>
      </c>
      <c r="E110">
        <v>10.5</v>
      </c>
      <c r="F110">
        <v>7</v>
      </c>
      <c r="G110">
        <v>2</v>
      </c>
      <c r="H110">
        <v>1</v>
      </c>
      <c r="I110">
        <v>2</v>
      </c>
      <c r="J110" t="s">
        <v>11</v>
      </c>
      <c r="K110">
        <f>IF(J110="Yes", 1, 0)</f>
        <v>1</v>
      </c>
      <c r="L110" t="str">
        <f>IF(G110=0,"0 Failures","1+ Failures")</f>
        <v>1+ Failures</v>
      </c>
      <c r="M110" t="str">
        <f t="shared" si="5"/>
        <v>10-20hrs</v>
      </c>
      <c r="N110" t="str">
        <f t="shared" si="3"/>
        <v>0-3months</v>
      </c>
      <c r="O110" t="str">
        <f t="shared" si="4"/>
        <v>Basic</v>
      </c>
      <c r="P110" s="7">
        <v>45657</v>
      </c>
    </row>
    <row r="111" spans="1:16" x14ac:dyDescent="0.3">
      <c r="A111">
        <v>110</v>
      </c>
      <c r="B111" s="7">
        <v>45530</v>
      </c>
      <c r="C111" t="s">
        <v>14</v>
      </c>
      <c r="D111">
        <v>399</v>
      </c>
      <c r="E111">
        <v>2.2000000000000002</v>
      </c>
      <c r="F111">
        <v>3</v>
      </c>
      <c r="G111">
        <v>2</v>
      </c>
      <c r="H111">
        <v>30</v>
      </c>
      <c r="I111">
        <v>50</v>
      </c>
      <c r="J111" t="s">
        <v>11</v>
      </c>
      <c r="K111">
        <f>IF(J111="Yes", 1, 0)</f>
        <v>1</v>
      </c>
      <c r="L111" t="str">
        <f>IF(G111=0,"0 Failures","1+ Failures")</f>
        <v>1+ Failures</v>
      </c>
      <c r="M111" t="str">
        <f t="shared" si="5"/>
        <v>0-5 hrs</v>
      </c>
      <c r="N111" t="str">
        <f t="shared" si="3"/>
        <v>12+ months</v>
      </c>
      <c r="O111" t="str">
        <f t="shared" si="4"/>
        <v>Basic</v>
      </c>
      <c r="P111" s="7">
        <v>45657</v>
      </c>
    </row>
    <row r="112" spans="1:16" x14ac:dyDescent="0.3">
      <c r="A112">
        <v>111</v>
      </c>
      <c r="B112" s="7">
        <v>45199</v>
      </c>
      <c r="C112" t="s">
        <v>10</v>
      </c>
      <c r="D112">
        <v>699</v>
      </c>
      <c r="E112">
        <v>10.9</v>
      </c>
      <c r="F112">
        <v>8</v>
      </c>
      <c r="G112">
        <v>1</v>
      </c>
      <c r="H112">
        <v>13</v>
      </c>
      <c r="I112">
        <v>41</v>
      </c>
      <c r="J112" t="s">
        <v>11</v>
      </c>
      <c r="K112">
        <f>IF(J112="Yes", 1, 0)</f>
        <v>1</v>
      </c>
      <c r="L112" t="str">
        <f>IF(G112=0,"0 Failures","1+ Failures")</f>
        <v>1+ Failures</v>
      </c>
      <c r="M112" t="str">
        <f t="shared" si="5"/>
        <v>10-20hrs</v>
      </c>
      <c r="N112" t="str">
        <f t="shared" si="3"/>
        <v>12+ months</v>
      </c>
      <c r="O112" t="str">
        <f t="shared" si="4"/>
        <v>Premium</v>
      </c>
      <c r="P112" s="7">
        <v>45657</v>
      </c>
    </row>
    <row r="113" spans="1:16" x14ac:dyDescent="0.3">
      <c r="A113">
        <v>112</v>
      </c>
      <c r="B113" s="7">
        <v>45222</v>
      </c>
      <c r="C113" t="s">
        <v>12</v>
      </c>
      <c r="D113">
        <v>199</v>
      </c>
      <c r="E113">
        <v>2</v>
      </c>
      <c r="F113">
        <v>4</v>
      </c>
      <c r="G113">
        <v>4</v>
      </c>
      <c r="H113">
        <v>5</v>
      </c>
      <c r="I113">
        <v>47</v>
      </c>
      <c r="J113" t="s">
        <v>11</v>
      </c>
      <c r="K113">
        <f>IF(J113="Yes", 1, 0)</f>
        <v>1</v>
      </c>
      <c r="L113" t="str">
        <f>IF(G113=0,"0 Failures","1+ Failures")</f>
        <v>1+ Failures</v>
      </c>
      <c r="M113" t="str">
        <f t="shared" si="5"/>
        <v>0-5 hrs</v>
      </c>
      <c r="N113" t="str">
        <f t="shared" si="3"/>
        <v>3-6months</v>
      </c>
      <c r="O113" t="str">
        <f t="shared" si="4"/>
        <v>Basic</v>
      </c>
      <c r="P113" s="7">
        <v>45657</v>
      </c>
    </row>
    <row r="114" spans="1:16" x14ac:dyDescent="0.3">
      <c r="A114">
        <v>113</v>
      </c>
      <c r="B114" s="7">
        <v>45439</v>
      </c>
      <c r="C114" t="s">
        <v>14</v>
      </c>
      <c r="D114">
        <v>399</v>
      </c>
      <c r="E114">
        <v>12</v>
      </c>
      <c r="F114">
        <v>4</v>
      </c>
      <c r="G114">
        <v>5</v>
      </c>
      <c r="H114">
        <v>8</v>
      </c>
      <c r="I114">
        <v>25</v>
      </c>
      <c r="J114" t="s">
        <v>13</v>
      </c>
      <c r="K114">
        <f>IF(J114="Yes", 1, 0)</f>
        <v>0</v>
      </c>
      <c r="L114" t="str">
        <f>IF(G114=0,"0 Failures","1+ Failures")</f>
        <v>1+ Failures</v>
      </c>
      <c r="M114" t="str">
        <f t="shared" si="5"/>
        <v>10-20hrs</v>
      </c>
      <c r="N114" t="str">
        <f t="shared" si="3"/>
        <v>6-12months</v>
      </c>
      <c r="O114" t="str">
        <f t="shared" si="4"/>
        <v>Basic</v>
      </c>
      <c r="P114" s="7">
        <v>45657</v>
      </c>
    </row>
    <row r="115" spans="1:16" x14ac:dyDescent="0.3">
      <c r="A115">
        <v>114</v>
      </c>
      <c r="B115" s="7">
        <v>45183</v>
      </c>
      <c r="C115" t="s">
        <v>10</v>
      </c>
      <c r="D115">
        <v>699</v>
      </c>
      <c r="E115">
        <v>11.2</v>
      </c>
      <c r="F115">
        <v>0</v>
      </c>
      <c r="G115">
        <v>3</v>
      </c>
      <c r="H115">
        <v>32</v>
      </c>
      <c r="I115">
        <v>47</v>
      </c>
      <c r="J115" t="s">
        <v>11</v>
      </c>
      <c r="K115">
        <f>IF(J115="Yes", 1, 0)</f>
        <v>1</v>
      </c>
      <c r="L115" t="str">
        <f>IF(G115=0,"0 Failures","1+ Failures")</f>
        <v>1+ Failures</v>
      </c>
      <c r="M115" t="str">
        <f t="shared" si="5"/>
        <v>10-20hrs</v>
      </c>
      <c r="N115" t="str">
        <f t="shared" si="3"/>
        <v>12+ months</v>
      </c>
      <c r="O115" t="str">
        <f t="shared" si="4"/>
        <v>Premium</v>
      </c>
      <c r="P115" s="7">
        <v>45657</v>
      </c>
    </row>
    <row r="116" spans="1:16" x14ac:dyDescent="0.3">
      <c r="A116">
        <v>115</v>
      </c>
      <c r="B116" s="7">
        <v>44968</v>
      </c>
      <c r="C116" t="s">
        <v>12</v>
      </c>
      <c r="D116">
        <v>199</v>
      </c>
      <c r="E116">
        <v>6.1</v>
      </c>
      <c r="F116">
        <v>0</v>
      </c>
      <c r="G116">
        <v>5</v>
      </c>
      <c r="H116">
        <v>6</v>
      </c>
      <c r="I116">
        <v>52</v>
      </c>
      <c r="J116" t="s">
        <v>11</v>
      </c>
      <c r="K116">
        <f>IF(J116="Yes", 1, 0)</f>
        <v>1</v>
      </c>
      <c r="L116" t="str">
        <f>IF(G116=0,"0 Failures","1+ Failures")</f>
        <v>1+ Failures</v>
      </c>
      <c r="M116" t="str">
        <f t="shared" si="5"/>
        <v>5-10 hrs</v>
      </c>
      <c r="N116" t="str">
        <f t="shared" si="3"/>
        <v>3-6months</v>
      </c>
      <c r="O116" t="str">
        <f t="shared" si="4"/>
        <v>Basic</v>
      </c>
      <c r="P116" s="7">
        <v>45657</v>
      </c>
    </row>
    <row r="117" spans="1:16" x14ac:dyDescent="0.3">
      <c r="A117">
        <v>116</v>
      </c>
      <c r="B117" s="7">
        <v>45373</v>
      </c>
      <c r="C117" t="s">
        <v>12</v>
      </c>
      <c r="D117">
        <v>199</v>
      </c>
      <c r="E117">
        <v>13.2</v>
      </c>
      <c r="F117">
        <v>7</v>
      </c>
      <c r="G117">
        <v>2</v>
      </c>
      <c r="H117">
        <v>31</v>
      </c>
      <c r="I117">
        <v>11</v>
      </c>
      <c r="J117" t="s">
        <v>13</v>
      </c>
      <c r="K117">
        <f>IF(J117="Yes", 1, 0)</f>
        <v>0</v>
      </c>
      <c r="L117" t="str">
        <f>IF(G117=0,"0 Failures","1+ Failures")</f>
        <v>1+ Failures</v>
      </c>
      <c r="M117" t="str">
        <f t="shared" si="5"/>
        <v>10-20hrs</v>
      </c>
      <c r="N117" t="str">
        <f t="shared" si="3"/>
        <v>12+ months</v>
      </c>
      <c r="O117" t="str">
        <f t="shared" si="4"/>
        <v>Basic</v>
      </c>
      <c r="P117" s="7">
        <v>45657</v>
      </c>
    </row>
    <row r="118" spans="1:16" x14ac:dyDescent="0.3">
      <c r="A118">
        <v>117</v>
      </c>
      <c r="B118" s="7">
        <v>45613</v>
      </c>
      <c r="C118" t="s">
        <v>10</v>
      </c>
      <c r="D118">
        <v>699</v>
      </c>
      <c r="E118">
        <v>24.2</v>
      </c>
      <c r="F118">
        <v>7</v>
      </c>
      <c r="G118">
        <v>2</v>
      </c>
      <c r="H118">
        <v>32</v>
      </c>
      <c r="I118">
        <v>26</v>
      </c>
      <c r="J118" t="s">
        <v>11</v>
      </c>
      <c r="K118">
        <f>IF(J118="Yes", 1, 0)</f>
        <v>1</v>
      </c>
      <c r="L118" t="str">
        <f>IF(G118=0,"0 Failures","1+ Failures")</f>
        <v>1+ Failures</v>
      </c>
      <c r="M118" t="str">
        <f t="shared" si="5"/>
        <v>20+ hrs</v>
      </c>
      <c r="N118" t="str">
        <f t="shared" si="3"/>
        <v>12+ months</v>
      </c>
      <c r="O118" t="str">
        <f t="shared" si="4"/>
        <v>Premium</v>
      </c>
      <c r="P118" s="7">
        <v>45657</v>
      </c>
    </row>
    <row r="119" spans="1:16" x14ac:dyDescent="0.3">
      <c r="A119">
        <v>118</v>
      </c>
      <c r="B119" s="7">
        <v>45490</v>
      </c>
      <c r="C119" t="s">
        <v>12</v>
      </c>
      <c r="D119">
        <v>199</v>
      </c>
      <c r="E119">
        <v>8.6</v>
      </c>
      <c r="F119">
        <v>7</v>
      </c>
      <c r="G119">
        <v>2</v>
      </c>
      <c r="H119">
        <v>11</v>
      </c>
      <c r="I119">
        <v>42</v>
      </c>
      <c r="J119" t="s">
        <v>13</v>
      </c>
      <c r="K119">
        <f>IF(J119="Yes", 1, 0)</f>
        <v>0</v>
      </c>
      <c r="L119" t="str">
        <f>IF(G119=0,"0 Failures","1+ Failures")</f>
        <v>1+ Failures</v>
      </c>
      <c r="M119" t="str">
        <f t="shared" si="5"/>
        <v>5-10 hrs</v>
      </c>
      <c r="N119" t="str">
        <f t="shared" si="3"/>
        <v>6-12months</v>
      </c>
      <c r="O119" t="str">
        <f t="shared" si="4"/>
        <v>Basic</v>
      </c>
      <c r="P119" s="7">
        <v>45657</v>
      </c>
    </row>
    <row r="120" spans="1:16" x14ac:dyDescent="0.3">
      <c r="A120">
        <v>119</v>
      </c>
      <c r="B120" s="7">
        <v>45340</v>
      </c>
      <c r="C120" t="s">
        <v>12</v>
      </c>
      <c r="D120">
        <v>199</v>
      </c>
      <c r="E120">
        <v>2.7</v>
      </c>
      <c r="F120">
        <v>4</v>
      </c>
      <c r="G120">
        <v>2</v>
      </c>
      <c r="H120">
        <v>30</v>
      </c>
      <c r="I120">
        <v>7</v>
      </c>
      <c r="J120" t="s">
        <v>13</v>
      </c>
      <c r="K120">
        <f>IF(J120="Yes", 1, 0)</f>
        <v>0</v>
      </c>
      <c r="L120" t="str">
        <f>IF(G120=0,"0 Failures","1+ Failures")</f>
        <v>1+ Failures</v>
      </c>
      <c r="M120" t="str">
        <f t="shared" si="5"/>
        <v>0-5 hrs</v>
      </c>
      <c r="N120" t="str">
        <f t="shared" si="3"/>
        <v>12+ months</v>
      </c>
      <c r="O120" t="str">
        <f t="shared" si="4"/>
        <v>Basic</v>
      </c>
      <c r="P120" s="7">
        <v>45657</v>
      </c>
    </row>
    <row r="121" spans="1:16" x14ac:dyDescent="0.3">
      <c r="A121">
        <v>120</v>
      </c>
      <c r="B121" s="7">
        <v>45457</v>
      </c>
      <c r="C121" t="s">
        <v>10</v>
      </c>
      <c r="D121">
        <v>699</v>
      </c>
      <c r="E121">
        <v>16.600000000000001</v>
      </c>
      <c r="F121">
        <v>8</v>
      </c>
      <c r="G121">
        <v>3</v>
      </c>
      <c r="H121">
        <v>1</v>
      </c>
      <c r="I121">
        <v>26</v>
      </c>
      <c r="J121" t="s">
        <v>11</v>
      </c>
      <c r="K121">
        <f>IF(J121="Yes", 1, 0)</f>
        <v>1</v>
      </c>
      <c r="L121" t="str">
        <f>IF(G121=0,"0 Failures","1+ Failures")</f>
        <v>1+ Failures</v>
      </c>
      <c r="M121" t="str">
        <f t="shared" si="5"/>
        <v>10-20hrs</v>
      </c>
      <c r="N121" t="str">
        <f t="shared" si="3"/>
        <v>0-3months</v>
      </c>
      <c r="O121" t="str">
        <f t="shared" si="4"/>
        <v>Premium</v>
      </c>
      <c r="P121" s="7">
        <v>45657</v>
      </c>
    </row>
    <row r="122" spans="1:16" x14ac:dyDescent="0.3">
      <c r="A122">
        <v>121</v>
      </c>
      <c r="B122" s="7">
        <v>45221</v>
      </c>
      <c r="C122" t="s">
        <v>14</v>
      </c>
      <c r="D122">
        <v>399</v>
      </c>
      <c r="E122">
        <v>15.8</v>
      </c>
      <c r="F122">
        <v>0</v>
      </c>
      <c r="G122">
        <v>1</v>
      </c>
      <c r="H122">
        <v>32</v>
      </c>
      <c r="I122">
        <v>17</v>
      </c>
      <c r="J122" t="s">
        <v>13</v>
      </c>
      <c r="K122">
        <f>IF(J122="Yes", 1, 0)</f>
        <v>0</v>
      </c>
      <c r="L122" t="str">
        <f>IF(G122=0,"0 Failures","1+ Failures")</f>
        <v>1+ Failures</v>
      </c>
      <c r="M122" t="str">
        <f t="shared" si="5"/>
        <v>10-20hrs</v>
      </c>
      <c r="N122" t="str">
        <f t="shared" si="3"/>
        <v>12+ months</v>
      </c>
      <c r="O122" t="str">
        <f t="shared" si="4"/>
        <v>Basic</v>
      </c>
      <c r="P122" s="7">
        <v>45657</v>
      </c>
    </row>
    <row r="123" spans="1:16" x14ac:dyDescent="0.3">
      <c r="A123">
        <v>122</v>
      </c>
      <c r="B123" s="7">
        <v>44941</v>
      </c>
      <c r="C123" t="s">
        <v>14</v>
      </c>
      <c r="D123">
        <v>399</v>
      </c>
      <c r="E123">
        <v>3.5</v>
      </c>
      <c r="F123">
        <v>3</v>
      </c>
      <c r="G123">
        <v>5</v>
      </c>
      <c r="H123">
        <v>32</v>
      </c>
      <c r="I123">
        <v>10</v>
      </c>
      <c r="J123" t="s">
        <v>11</v>
      </c>
      <c r="K123">
        <f>IF(J123="Yes", 1, 0)</f>
        <v>1</v>
      </c>
      <c r="L123" t="str">
        <f>IF(G123=0,"0 Failures","1+ Failures")</f>
        <v>1+ Failures</v>
      </c>
      <c r="M123" t="str">
        <f t="shared" si="5"/>
        <v>0-5 hrs</v>
      </c>
      <c r="N123" t="str">
        <f t="shared" si="3"/>
        <v>12+ months</v>
      </c>
      <c r="O123" t="str">
        <f t="shared" si="4"/>
        <v>Basic</v>
      </c>
      <c r="P123" s="7">
        <v>45657</v>
      </c>
    </row>
    <row r="124" spans="1:16" x14ac:dyDescent="0.3">
      <c r="A124">
        <v>123</v>
      </c>
      <c r="B124" s="7">
        <v>45084</v>
      </c>
      <c r="C124" t="s">
        <v>10</v>
      </c>
      <c r="D124">
        <v>699</v>
      </c>
      <c r="E124">
        <v>2.8</v>
      </c>
      <c r="F124">
        <v>1</v>
      </c>
      <c r="G124">
        <v>3</v>
      </c>
      <c r="H124">
        <v>27</v>
      </c>
      <c r="I124">
        <v>60</v>
      </c>
      <c r="J124" t="s">
        <v>11</v>
      </c>
      <c r="K124">
        <f>IF(J124="Yes", 1, 0)</f>
        <v>1</v>
      </c>
      <c r="L124" t="str">
        <f>IF(G124=0,"0 Failures","1+ Failures")</f>
        <v>1+ Failures</v>
      </c>
      <c r="M124" t="str">
        <f t="shared" si="5"/>
        <v>0-5 hrs</v>
      </c>
      <c r="N124" t="str">
        <f t="shared" si="3"/>
        <v>12+ months</v>
      </c>
      <c r="O124" t="str">
        <f t="shared" si="4"/>
        <v>Premium</v>
      </c>
      <c r="P124" s="7">
        <v>45657</v>
      </c>
    </row>
    <row r="125" spans="1:16" x14ac:dyDescent="0.3">
      <c r="A125">
        <v>124</v>
      </c>
      <c r="B125" s="7">
        <v>45410</v>
      </c>
      <c r="C125" t="s">
        <v>14</v>
      </c>
      <c r="D125">
        <v>399</v>
      </c>
      <c r="E125">
        <v>13</v>
      </c>
      <c r="F125">
        <v>4</v>
      </c>
      <c r="G125">
        <v>3</v>
      </c>
      <c r="H125">
        <v>19</v>
      </c>
      <c r="I125">
        <v>53</v>
      </c>
      <c r="J125" t="s">
        <v>11</v>
      </c>
      <c r="K125">
        <f>IF(J125="Yes", 1, 0)</f>
        <v>1</v>
      </c>
      <c r="L125" t="str">
        <f>IF(G125=0,"0 Failures","1+ Failures")</f>
        <v>1+ Failures</v>
      </c>
      <c r="M125" t="str">
        <f t="shared" si="5"/>
        <v>10-20hrs</v>
      </c>
      <c r="N125" t="str">
        <f t="shared" si="3"/>
        <v>12+ months</v>
      </c>
      <c r="O125" t="str">
        <f t="shared" si="4"/>
        <v>Basic</v>
      </c>
      <c r="P125" s="7">
        <v>45657</v>
      </c>
    </row>
    <row r="126" spans="1:16" x14ac:dyDescent="0.3">
      <c r="A126">
        <v>125</v>
      </c>
      <c r="B126" s="7">
        <v>45066</v>
      </c>
      <c r="C126" t="s">
        <v>12</v>
      </c>
      <c r="D126">
        <v>199</v>
      </c>
      <c r="E126">
        <v>14</v>
      </c>
      <c r="F126">
        <v>6</v>
      </c>
      <c r="G126">
        <v>1</v>
      </c>
      <c r="H126">
        <v>30</v>
      </c>
      <c r="I126">
        <v>58</v>
      </c>
      <c r="J126" t="s">
        <v>13</v>
      </c>
      <c r="K126">
        <f>IF(J126="Yes", 1, 0)</f>
        <v>0</v>
      </c>
      <c r="L126" t="str">
        <f>IF(G126=0,"0 Failures","1+ Failures")</f>
        <v>1+ Failures</v>
      </c>
      <c r="M126" t="str">
        <f t="shared" si="5"/>
        <v>10-20hrs</v>
      </c>
      <c r="N126" t="str">
        <f t="shared" si="3"/>
        <v>12+ months</v>
      </c>
      <c r="O126" t="str">
        <f t="shared" si="4"/>
        <v>Basic</v>
      </c>
      <c r="P126" s="7">
        <v>45657</v>
      </c>
    </row>
    <row r="127" spans="1:16" x14ac:dyDescent="0.3">
      <c r="A127">
        <v>126</v>
      </c>
      <c r="B127" s="7">
        <v>45200</v>
      </c>
      <c r="C127" t="s">
        <v>12</v>
      </c>
      <c r="D127">
        <v>199</v>
      </c>
      <c r="E127">
        <v>19.399999999999999</v>
      </c>
      <c r="F127">
        <v>6</v>
      </c>
      <c r="G127">
        <v>2</v>
      </c>
      <c r="H127">
        <v>18</v>
      </c>
      <c r="I127">
        <v>59</v>
      </c>
      <c r="J127" t="s">
        <v>13</v>
      </c>
      <c r="K127">
        <f>IF(J127="Yes", 1, 0)</f>
        <v>0</v>
      </c>
      <c r="L127" t="str">
        <f>IF(G127=0,"0 Failures","1+ Failures")</f>
        <v>1+ Failures</v>
      </c>
      <c r="M127" t="str">
        <f t="shared" si="5"/>
        <v>10-20hrs</v>
      </c>
      <c r="N127" t="str">
        <f t="shared" si="3"/>
        <v>12+ months</v>
      </c>
      <c r="O127" t="str">
        <f t="shared" si="4"/>
        <v>Basic</v>
      </c>
      <c r="P127" s="7">
        <v>45657</v>
      </c>
    </row>
    <row r="128" spans="1:16" x14ac:dyDescent="0.3">
      <c r="A128">
        <v>127</v>
      </c>
      <c r="B128" s="7">
        <v>45280</v>
      </c>
      <c r="C128" t="s">
        <v>12</v>
      </c>
      <c r="D128">
        <v>199</v>
      </c>
      <c r="E128">
        <v>18.3</v>
      </c>
      <c r="F128">
        <v>7</v>
      </c>
      <c r="G128">
        <v>1</v>
      </c>
      <c r="H128">
        <v>19</v>
      </c>
      <c r="I128">
        <v>28</v>
      </c>
      <c r="J128" t="s">
        <v>13</v>
      </c>
      <c r="K128">
        <f>IF(J128="Yes", 1, 0)</f>
        <v>0</v>
      </c>
      <c r="L128" t="str">
        <f>IF(G128=0,"0 Failures","1+ Failures")</f>
        <v>1+ Failures</v>
      </c>
      <c r="M128" t="str">
        <f t="shared" si="5"/>
        <v>10-20hrs</v>
      </c>
      <c r="N128" t="str">
        <f t="shared" si="3"/>
        <v>12+ months</v>
      </c>
      <c r="O128" t="str">
        <f t="shared" si="4"/>
        <v>Basic</v>
      </c>
      <c r="P128" s="7">
        <v>45657</v>
      </c>
    </row>
    <row r="129" spans="1:16" x14ac:dyDescent="0.3">
      <c r="A129">
        <v>128</v>
      </c>
      <c r="B129" s="7">
        <v>45120</v>
      </c>
      <c r="C129" t="s">
        <v>14</v>
      </c>
      <c r="D129">
        <v>399</v>
      </c>
      <c r="E129">
        <v>19.2</v>
      </c>
      <c r="F129">
        <v>6</v>
      </c>
      <c r="G129">
        <v>3</v>
      </c>
      <c r="H129">
        <v>36</v>
      </c>
      <c r="I129">
        <v>59</v>
      </c>
      <c r="J129" t="s">
        <v>11</v>
      </c>
      <c r="K129">
        <f>IF(J129="Yes", 1, 0)</f>
        <v>1</v>
      </c>
      <c r="L129" t="str">
        <f>IF(G129=0,"0 Failures","1+ Failures")</f>
        <v>1+ Failures</v>
      </c>
      <c r="M129" t="str">
        <f t="shared" si="5"/>
        <v>10-20hrs</v>
      </c>
      <c r="N129" t="str">
        <f t="shared" si="3"/>
        <v>12+ months</v>
      </c>
      <c r="O129" t="str">
        <f t="shared" si="4"/>
        <v>Basic</v>
      </c>
      <c r="P129" s="7">
        <v>45657</v>
      </c>
    </row>
    <row r="130" spans="1:16" x14ac:dyDescent="0.3">
      <c r="A130">
        <v>129</v>
      </c>
      <c r="B130" s="7">
        <v>45411</v>
      </c>
      <c r="C130" t="s">
        <v>10</v>
      </c>
      <c r="D130">
        <v>699</v>
      </c>
      <c r="E130">
        <v>14.5</v>
      </c>
      <c r="F130">
        <v>3</v>
      </c>
      <c r="G130">
        <v>3</v>
      </c>
      <c r="H130">
        <v>16</v>
      </c>
      <c r="I130">
        <v>2</v>
      </c>
      <c r="J130" t="s">
        <v>11</v>
      </c>
      <c r="K130">
        <f>IF(J130="Yes", 1, 0)</f>
        <v>1</v>
      </c>
      <c r="L130" t="str">
        <f>IF(G130=0,"0 Failures","1+ Failures")</f>
        <v>1+ Failures</v>
      </c>
      <c r="M130" t="str">
        <f t="shared" si="5"/>
        <v>10-20hrs</v>
      </c>
      <c r="N130" t="str">
        <f t="shared" si="3"/>
        <v>12+ months</v>
      </c>
      <c r="O130" t="str">
        <f t="shared" si="4"/>
        <v>Premium</v>
      </c>
      <c r="P130" s="7">
        <v>45657</v>
      </c>
    </row>
    <row r="131" spans="1:16" x14ac:dyDescent="0.3">
      <c r="A131">
        <v>130</v>
      </c>
      <c r="B131" s="7">
        <v>45531</v>
      </c>
      <c r="C131" t="s">
        <v>10</v>
      </c>
      <c r="D131">
        <v>699</v>
      </c>
      <c r="E131">
        <v>10</v>
      </c>
      <c r="F131">
        <v>2</v>
      </c>
      <c r="G131">
        <v>3</v>
      </c>
      <c r="H131">
        <v>25</v>
      </c>
      <c r="I131">
        <v>2</v>
      </c>
      <c r="J131" t="s">
        <v>11</v>
      </c>
      <c r="K131">
        <f>IF(J131="Yes", 1, 0)</f>
        <v>1</v>
      </c>
      <c r="L131" t="str">
        <f>IF(G131=0,"0 Failures","1+ Failures")</f>
        <v>1+ Failures</v>
      </c>
      <c r="M131" t="str">
        <f t="shared" si="5"/>
        <v>5-10 hrs</v>
      </c>
      <c r="N131" t="str">
        <f t="shared" ref="N131:N194" si="6">IF(H131&lt;=3, "0-3months", IF(H131&lt;=6, "3-6months", IF(H131&lt;=12, "6-12months", "12+ months")))</f>
        <v>12+ months</v>
      </c>
      <c r="O131" t="str">
        <f t="shared" ref="O131:O194" si="7">IF(C131="premium", "Premium", "Basic")</f>
        <v>Premium</v>
      </c>
      <c r="P131" s="7">
        <v>45657</v>
      </c>
    </row>
    <row r="132" spans="1:16" x14ac:dyDescent="0.3">
      <c r="A132">
        <v>131</v>
      </c>
      <c r="B132" s="7">
        <v>44942</v>
      </c>
      <c r="C132" t="s">
        <v>14</v>
      </c>
      <c r="D132">
        <v>399</v>
      </c>
      <c r="E132">
        <v>21.9</v>
      </c>
      <c r="F132">
        <v>7</v>
      </c>
      <c r="G132">
        <v>0</v>
      </c>
      <c r="H132">
        <v>7</v>
      </c>
      <c r="I132">
        <v>33</v>
      </c>
      <c r="J132" t="s">
        <v>13</v>
      </c>
      <c r="K132">
        <f>IF(J132="Yes", 1, 0)</f>
        <v>0</v>
      </c>
      <c r="L132" t="str">
        <f>IF(G132=0,"0 Failures","1+ Failures")</f>
        <v>0 Failures</v>
      </c>
      <c r="M132" t="str">
        <f t="shared" si="5"/>
        <v>20+ hrs</v>
      </c>
      <c r="N132" t="str">
        <f t="shared" si="6"/>
        <v>6-12months</v>
      </c>
      <c r="O132" t="str">
        <f t="shared" si="7"/>
        <v>Basic</v>
      </c>
      <c r="P132" s="7">
        <v>45657</v>
      </c>
    </row>
    <row r="133" spans="1:16" x14ac:dyDescent="0.3">
      <c r="A133">
        <v>132</v>
      </c>
      <c r="B133" s="7">
        <v>45198</v>
      </c>
      <c r="C133" t="s">
        <v>10</v>
      </c>
      <c r="D133">
        <v>699</v>
      </c>
      <c r="E133">
        <v>10.5</v>
      </c>
      <c r="F133">
        <v>2</v>
      </c>
      <c r="G133">
        <v>0</v>
      </c>
      <c r="H133">
        <v>10</v>
      </c>
      <c r="I133">
        <v>30</v>
      </c>
      <c r="J133" t="s">
        <v>13</v>
      </c>
      <c r="K133">
        <f>IF(J133="Yes", 1, 0)</f>
        <v>0</v>
      </c>
      <c r="L133" t="str">
        <f>IF(G133=0,"0 Failures","1+ Failures")</f>
        <v>0 Failures</v>
      </c>
      <c r="M133" t="str">
        <f t="shared" si="5"/>
        <v>10-20hrs</v>
      </c>
      <c r="N133" t="str">
        <f t="shared" si="6"/>
        <v>6-12months</v>
      </c>
      <c r="O133" t="str">
        <f t="shared" si="7"/>
        <v>Premium</v>
      </c>
      <c r="P133" s="7">
        <v>45657</v>
      </c>
    </row>
    <row r="134" spans="1:16" x14ac:dyDescent="0.3">
      <c r="A134">
        <v>133</v>
      </c>
      <c r="B134" s="7">
        <v>45251</v>
      </c>
      <c r="C134" t="s">
        <v>14</v>
      </c>
      <c r="D134">
        <v>399</v>
      </c>
      <c r="E134">
        <v>16.399999999999999</v>
      </c>
      <c r="F134">
        <v>5</v>
      </c>
      <c r="G134">
        <v>5</v>
      </c>
      <c r="H134">
        <v>26</v>
      </c>
      <c r="I134">
        <v>54</v>
      </c>
      <c r="J134" t="s">
        <v>11</v>
      </c>
      <c r="K134">
        <f>IF(J134="Yes", 1, 0)</f>
        <v>1</v>
      </c>
      <c r="L134" t="str">
        <f>IF(G134=0,"0 Failures","1+ Failures")</f>
        <v>1+ Failures</v>
      </c>
      <c r="M134" t="str">
        <f t="shared" si="5"/>
        <v>10-20hrs</v>
      </c>
      <c r="N134" t="str">
        <f t="shared" si="6"/>
        <v>12+ months</v>
      </c>
      <c r="O134" t="str">
        <f t="shared" si="7"/>
        <v>Basic</v>
      </c>
      <c r="P134" s="7">
        <v>45657</v>
      </c>
    </row>
    <row r="135" spans="1:16" x14ac:dyDescent="0.3">
      <c r="A135">
        <v>134</v>
      </c>
      <c r="B135" s="7">
        <v>45627</v>
      </c>
      <c r="C135" t="s">
        <v>10</v>
      </c>
      <c r="D135">
        <v>699</v>
      </c>
      <c r="E135">
        <v>21.9</v>
      </c>
      <c r="F135">
        <v>0</v>
      </c>
      <c r="G135">
        <v>4</v>
      </c>
      <c r="H135">
        <v>32</v>
      </c>
      <c r="I135">
        <v>4</v>
      </c>
      <c r="J135" t="s">
        <v>11</v>
      </c>
      <c r="K135">
        <f>IF(J135="Yes", 1, 0)</f>
        <v>1</v>
      </c>
      <c r="L135" t="str">
        <f>IF(G135=0,"0 Failures","1+ Failures")</f>
        <v>1+ Failures</v>
      </c>
      <c r="M135" t="str">
        <f t="shared" si="5"/>
        <v>20+ hrs</v>
      </c>
      <c r="N135" t="str">
        <f t="shared" si="6"/>
        <v>12+ months</v>
      </c>
      <c r="O135" t="str">
        <f t="shared" si="7"/>
        <v>Premium</v>
      </c>
      <c r="P135" s="7">
        <v>45657</v>
      </c>
    </row>
    <row r="136" spans="1:16" x14ac:dyDescent="0.3">
      <c r="A136">
        <v>135</v>
      </c>
      <c r="B136" s="7">
        <v>45029</v>
      </c>
      <c r="C136" t="s">
        <v>14</v>
      </c>
      <c r="D136">
        <v>399</v>
      </c>
      <c r="E136">
        <v>18.8</v>
      </c>
      <c r="F136">
        <v>6</v>
      </c>
      <c r="G136">
        <v>0</v>
      </c>
      <c r="H136">
        <v>15</v>
      </c>
      <c r="I136">
        <v>48</v>
      </c>
      <c r="J136" t="s">
        <v>13</v>
      </c>
      <c r="K136">
        <f>IF(J136="Yes", 1, 0)</f>
        <v>0</v>
      </c>
      <c r="L136" t="str">
        <f>IF(G136=0,"0 Failures","1+ Failures")</f>
        <v>0 Failures</v>
      </c>
      <c r="M136" t="str">
        <f t="shared" si="5"/>
        <v>10-20hrs</v>
      </c>
      <c r="N136" t="str">
        <f t="shared" si="6"/>
        <v>12+ months</v>
      </c>
      <c r="O136" t="str">
        <f t="shared" si="7"/>
        <v>Basic</v>
      </c>
      <c r="P136" s="7">
        <v>45657</v>
      </c>
    </row>
    <row r="137" spans="1:16" x14ac:dyDescent="0.3">
      <c r="A137">
        <v>136</v>
      </c>
      <c r="B137" s="7">
        <v>45227</v>
      </c>
      <c r="C137" t="s">
        <v>14</v>
      </c>
      <c r="D137">
        <v>399</v>
      </c>
      <c r="E137">
        <v>17.5</v>
      </c>
      <c r="F137">
        <v>0</v>
      </c>
      <c r="G137">
        <v>0</v>
      </c>
      <c r="H137">
        <v>11</v>
      </c>
      <c r="I137">
        <v>20</v>
      </c>
      <c r="J137" t="s">
        <v>13</v>
      </c>
      <c r="K137">
        <f>IF(J137="Yes", 1, 0)</f>
        <v>0</v>
      </c>
      <c r="L137" t="str">
        <f>IF(G137=0,"0 Failures","1+ Failures")</f>
        <v>0 Failures</v>
      </c>
      <c r="M137" t="str">
        <f t="shared" si="5"/>
        <v>10-20hrs</v>
      </c>
      <c r="N137" t="str">
        <f t="shared" si="6"/>
        <v>6-12months</v>
      </c>
      <c r="O137" t="str">
        <f t="shared" si="7"/>
        <v>Basic</v>
      </c>
      <c r="P137" s="7">
        <v>45657</v>
      </c>
    </row>
    <row r="138" spans="1:16" x14ac:dyDescent="0.3">
      <c r="A138">
        <v>137</v>
      </c>
      <c r="B138" s="7">
        <v>45111</v>
      </c>
      <c r="C138" t="s">
        <v>14</v>
      </c>
      <c r="D138">
        <v>399</v>
      </c>
      <c r="E138">
        <v>11.1</v>
      </c>
      <c r="F138">
        <v>3</v>
      </c>
      <c r="G138">
        <v>4</v>
      </c>
      <c r="H138">
        <v>24</v>
      </c>
      <c r="I138">
        <v>26</v>
      </c>
      <c r="J138" t="s">
        <v>11</v>
      </c>
      <c r="K138">
        <f>IF(J138="Yes", 1, 0)</f>
        <v>1</v>
      </c>
      <c r="L138" t="str">
        <f>IF(G138=0,"0 Failures","1+ Failures")</f>
        <v>1+ Failures</v>
      </c>
      <c r="M138" t="str">
        <f t="shared" si="5"/>
        <v>10-20hrs</v>
      </c>
      <c r="N138" t="str">
        <f t="shared" si="6"/>
        <v>12+ months</v>
      </c>
      <c r="O138" t="str">
        <f t="shared" si="7"/>
        <v>Basic</v>
      </c>
      <c r="P138" s="7">
        <v>45657</v>
      </c>
    </row>
    <row r="139" spans="1:16" x14ac:dyDescent="0.3">
      <c r="A139">
        <v>138</v>
      </c>
      <c r="B139" s="7">
        <v>45524</v>
      </c>
      <c r="C139" t="s">
        <v>12</v>
      </c>
      <c r="D139">
        <v>199</v>
      </c>
      <c r="E139">
        <v>2.4</v>
      </c>
      <c r="F139">
        <v>6</v>
      </c>
      <c r="G139">
        <v>4</v>
      </c>
      <c r="H139">
        <v>12</v>
      </c>
      <c r="I139">
        <v>43</v>
      </c>
      <c r="J139" t="s">
        <v>11</v>
      </c>
      <c r="K139">
        <f>IF(J139="Yes", 1, 0)</f>
        <v>1</v>
      </c>
      <c r="L139" t="str">
        <f>IF(G139=0,"0 Failures","1+ Failures")</f>
        <v>1+ Failures</v>
      </c>
      <c r="M139" t="str">
        <f t="shared" ref="M139:M202" si="8">IF(E139&lt;=5, "0-5 hrs",    IF(E139&lt;=10, "5-10 hrs",    IF(E139&lt;=20, "10-20hrs", "20+ hrs")))</f>
        <v>0-5 hrs</v>
      </c>
      <c r="N139" t="str">
        <f t="shared" si="6"/>
        <v>6-12months</v>
      </c>
      <c r="O139" t="str">
        <f t="shared" si="7"/>
        <v>Basic</v>
      </c>
      <c r="P139" s="7">
        <v>45657</v>
      </c>
    </row>
    <row r="140" spans="1:16" x14ac:dyDescent="0.3">
      <c r="A140">
        <v>139</v>
      </c>
      <c r="B140" s="7">
        <v>45403</v>
      </c>
      <c r="C140" t="s">
        <v>12</v>
      </c>
      <c r="D140">
        <v>199</v>
      </c>
      <c r="E140">
        <v>11.8</v>
      </c>
      <c r="F140">
        <v>4</v>
      </c>
      <c r="G140">
        <v>3</v>
      </c>
      <c r="H140">
        <v>15</v>
      </c>
      <c r="I140">
        <v>16</v>
      </c>
      <c r="J140" t="s">
        <v>13</v>
      </c>
      <c r="K140">
        <f>IF(J140="Yes", 1, 0)</f>
        <v>0</v>
      </c>
      <c r="L140" t="str">
        <f>IF(G140=0,"0 Failures","1+ Failures")</f>
        <v>1+ Failures</v>
      </c>
      <c r="M140" t="str">
        <f t="shared" si="8"/>
        <v>10-20hrs</v>
      </c>
      <c r="N140" t="str">
        <f t="shared" si="6"/>
        <v>12+ months</v>
      </c>
      <c r="O140" t="str">
        <f t="shared" si="7"/>
        <v>Basic</v>
      </c>
      <c r="P140" s="7">
        <v>45657</v>
      </c>
    </row>
    <row r="141" spans="1:16" x14ac:dyDescent="0.3">
      <c r="A141">
        <v>140</v>
      </c>
      <c r="B141" s="7">
        <v>45361</v>
      </c>
      <c r="C141" t="s">
        <v>14</v>
      </c>
      <c r="D141">
        <v>399</v>
      </c>
      <c r="E141">
        <v>4.4000000000000004</v>
      </c>
      <c r="F141">
        <v>7</v>
      </c>
      <c r="G141">
        <v>2</v>
      </c>
      <c r="H141">
        <v>35</v>
      </c>
      <c r="I141">
        <v>37</v>
      </c>
      <c r="J141" t="s">
        <v>11</v>
      </c>
      <c r="K141">
        <f>IF(J141="Yes", 1, 0)</f>
        <v>1</v>
      </c>
      <c r="L141" t="str">
        <f>IF(G141=0,"0 Failures","1+ Failures")</f>
        <v>1+ Failures</v>
      </c>
      <c r="M141" t="str">
        <f t="shared" si="8"/>
        <v>0-5 hrs</v>
      </c>
      <c r="N141" t="str">
        <f t="shared" si="6"/>
        <v>12+ months</v>
      </c>
      <c r="O141" t="str">
        <f t="shared" si="7"/>
        <v>Basic</v>
      </c>
      <c r="P141" s="7">
        <v>45657</v>
      </c>
    </row>
    <row r="142" spans="1:16" x14ac:dyDescent="0.3">
      <c r="A142">
        <v>141</v>
      </c>
      <c r="B142" s="7">
        <v>45036</v>
      </c>
      <c r="C142" t="s">
        <v>10</v>
      </c>
      <c r="D142">
        <v>699</v>
      </c>
      <c r="E142">
        <v>11.7</v>
      </c>
      <c r="F142">
        <v>4</v>
      </c>
      <c r="G142">
        <v>1</v>
      </c>
      <c r="H142">
        <v>17</v>
      </c>
      <c r="I142">
        <v>24</v>
      </c>
      <c r="J142" t="s">
        <v>13</v>
      </c>
      <c r="K142">
        <f>IF(J142="Yes", 1, 0)</f>
        <v>0</v>
      </c>
      <c r="L142" t="str">
        <f>IF(G142=0,"0 Failures","1+ Failures")</f>
        <v>1+ Failures</v>
      </c>
      <c r="M142" t="str">
        <f t="shared" si="8"/>
        <v>10-20hrs</v>
      </c>
      <c r="N142" t="str">
        <f t="shared" si="6"/>
        <v>12+ months</v>
      </c>
      <c r="O142" t="str">
        <f t="shared" si="7"/>
        <v>Premium</v>
      </c>
      <c r="P142" s="7">
        <v>45657</v>
      </c>
    </row>
    <row r="143" spans="1:16" x14ac:dyDescent="0.3">
      <c r="A143">
        <v>142</v>
      </c>
      <c r="B143" s="7">
        <v>45601</v>
      </c>
      <c r="C143" t="s">
        <v>12</v>
      </c>
      <c r="D143">
        <v>199</v>
      </c>
      <c r="E143">
        <v>14.5</v>
      </c>
      <c r="F143">
        <v>4</v>
      </c>
      <c r="G143">
        <v>5</v>
      </c>
      <c r="H143">
        <v>25</v>
      </c>
      <c r="I143">
        <v>18</v>
      </c>
      <c r="J143" t="s">
        <v>11</v>
      </c>
      <c r="K143">
        <f>IF(J143="Yes", 1, 0)</f>
        <v>1</v>
      </c>
      <c r="L143" t="str">
        <f>IF(G143=0,"0 Failures","1+ Failures")</f>
        <v>1+ Failures</v>
      </c>
      <c r="M143" t="str">
        <f t="shared" si="8"/>
        <v>10-20hrs</v>
      </c>
      <c r="N143" t="str">
        <f t="shared" si="6"/>
        <v>12+ months</v>
      </c>
      <c r="O143" t="str">
        <f t="shared" si="7"/>
        <v>Basic</v>
      </c>
      <c r="P143" s="7">
        <v>45657</v>
      </c>
    </row>
    <row r="144" spans="1:16" x14ac:dyDescent="0.3">
      <c r="A144">
        <v>143</v>
      </c>
      <c r="B144" s="7">
        <v>45220</v>
      </c>
      <c r="C144" t="s">
        <v>14</v>
      </c>
      <c r="D144">
        <v>399</v>
      </c>
      <c r="E144">
        <v>0.7</v>
      </c>
      <c r="F144">
        <v>0</v>
      </c>
      <c r="G144">
        <v>4</v>
      </c>
      <c r="H144">
        <v>18</v>
      </c>
      <c r="I144">
        <v>47</v>
      </c>
      <c r="J144" t="s">
        <v>11</v>
      </c>
      <c r="K144">
        <f>IF(J144="Yes", 1, 0)</f>
        <v>1</v>
      </c>
      <c r="L144" t="str">
        <f>IF(G144=0,"0 Failures","1+ Failures")</f>
        <v>1+ Failures</v>
      </c>
      <c r="M144" t="str">
        <f t="shared" si="8"/>
        <v>0-5 hrs</v>
      </c>
      <c r="N144" t="str">
        <f t="shared" si="6"/>
        <v>12+ months</v>
      </c>
      <c r="O144" t="str">
        <f t="shared" si="7"/>
        <v>Basic</v>
      </c>
      <c r="P144" s="7">
        <v>45657</v>
      </c>
    </row>
    <row r="145" spans="1:16" x14ac:dyDescent="0.3">
      <c r="A145">
        <v>144</v>
      </c>
      <c r="B145" s="7">
        <v>45602</v>
      </c>
      <c r="C145" t="s">
        <v>12</v>
      </c>
      <c r="D145">
        <v>199</v>
      </c>
      <c r="E145">
        <v>5.9</v>
      </c>
      <c r="F145">
        <v>3</v>
      </c>
      <c r="G145">
        <v>4</v>
      </c>
      <c r="H145">
        <v>23</v>
      </c>
      <c r="I145">
        <v>16</v>
      </c>
      <c r="J145" t="s">
        <v>13</v>
      </c>
      <c r="K145">
        <f>IF(J145="Yes", 1, 0)</f>
        <v>0</v>
      </c>
      <c r="L145" t="str">
        <f>IF(G145=0,"0 Failures","1+ Failures")</f>
        <v>1+ Failures</v>
      </c>
      <c r="M145" t="str">
        <f t="shared" si="8"/>
        <v>5-10 hrs</v>
      </c>
      <c r="N145" t="str">
        <f t="shared" si="6"/>
        <v>12+ months</v>
      </c>
      <c r="O145" t="str">
        <f t="shared" si="7"/>
        <v>Basic</v>
      </c>
      <c r="P145" s="7">
        <v>45657</v>
      </c>
    </row>
    <row r="146" spans="1:16" x14ac:dyDescent="0.3">
      <c r="A146">
        <v>145</v>
      </c>
      <c r="B146" s="7">
        <v>45520</v>
      </c>
      <c r="C146" t="s">
        <v>10</v>
      </c>
      <c r="D146">
        <v>699</v>
      </c>
      <c r="E146">
        <v>15.9</v>
      </c>
      <c r="F146">
        <v>0</v>
      </c>
      <c r="G146">
        <v>2</v>
      </c>
      <c r="H146">
        <v>9</v>
      </c>
      <c r="I146">
        <v>50</v>
      </c>
      <c r="J146" t="s">
        <v>11</v>
      </c>
      <c r="K146">
        <f>IF(J146="Yes", 1, 0)</f>
        <v>1</v>
      </c>
      <c r="L146" t="str">
        <f>IF(G146=0,"0 Failures","1+ Failures")</f>
        <v>1+ Failures</v>
      </c>
      <c r="M146" t="str">
        <f t="shared" si="8"/>
        <v>10-20hrs</v>
      </c>
      <c r="N146" t="str">
        <f t="shared" si="6"/>
        <v>6-12months</v>
      </c>
      <c r="O146" t="str">
        <f t="shared" si="7"/>
        <v>Premium</v>
      </c>
      <c r="P146" s="7">
        <v>45657</v>
      </c>
    </row>
    <row r="147" spans="1:16" x14ac:dyDescent="0.3">
      <c r="A147">
        <v>146</v>
      </c>
      <c r="B147" s="7">
        <v>45132</v>
      </c>
      <c r="C147" t="s">
        <v>14</v>
      </c>
      <c r="D147">
        <v>399</v>
      </c>
      <c r="E147">
        <v>2.7</v>
      </c>
      <c r="F147">
        <v>4</v>
      </c>
      <c r="G147">
        <v>2</v>
      </c>
      <c r="H147">
        <v>9</v>
      </c>
      <c r="I147">
        <v>47</v>
      </c>
      <c r="J147" t="s">
        <v>11</v>
      </c>
      <c r="K147">
        <f>IF(J147="Yes", 1, 0)</f>
        <v>1</v>
      </c>
      <c r="L147" t="str">
        <f>IF(G147=0,"0 Failures","1+ Failures")</f>
        <v>1+ Failures</v>
      </c>
      <c r="M147" t="str">
        <f t="shared" si="8"/>
        <v>0-5 hrs</v>
      </c>
      <c r="N147" t="str">
        <f t="shared" si="6"/>
        <v>6-12months</v>
      </c>
      <c r="O147" t="str">
        <f t="shared" si="7"/>
        <v>Basic</v>
      </c>
      <c r="P147" s="7">
        <v>45657</v>
      </c>
    </row>
    <row r="148" spans="1:16" x14ac:dyDescent="0.3">
      <c r="A148">
        <v>147</v>
      </c>
      <c r="B148" s="7">
        <v>45095</v>
      </c>
      <c r="C148" t="s">
        <v>12</v>
      </c>
      <c r="D148">
        <v>199</v>
      </c>
      <c r="E148">
        <v>22</v>
      </c>
      <c r="F148">
        <v>5</v>
      </c>
      <c r="G148">
        <v>4</v>
      </c>
      <c r="H148">
        <v>35</v>
      </c>
      <c r="I148">
        <v>32</v>
      </c>
      <c r="J148" t="s">
        <v>13</v>
      </c>
      <c r="K148">
        <f>IF(J148="Yes", 1, 0)</f>
        <v>0</v>
      </c>
      <c r="L148" t="str">
        <f>IF(G148=0,"0 Failures","1+ Failures")</f>
        <v>1+ Failures</v>
      </c>
      <c r="M148" t="str">
        <f t="shared" si="8"/>
        <v>20+ hrs</v>
      </c>
      <c r="N148" t="str">
        <f t="shared" si="6"/>
        <v>12+ months</v>
      </c>
      <c r="O148" t="str">
        <f t="shared" si="7"/>
        <v>Basic</v>
      </c>
      <c r="P148" s="7">
        <v>45657</v>
      </c>
    </row>
    <row r="149" spans="1:16" x14ac:dyDescent="0.3">
      <c r="A149">
        <v>148</v>
      </c>
      <c r="B149" s="7">
        <v>45044</v>
      </c>
      <c r="C149" t="s">
        <v>14</v>
      </c>
      <c r="D149">
        <v>399</v>
      </c>
      <c r="E149">
        <v>24.2</v>
      </c>
      <c r="F149">
        <v>4</v>
      </c>
      <c r="G149">
        <v>5</v>
      </c>
      <c r="H149">
        <v>31</v>
      </c>
      <c r="I149">
        <v>55</v>
      </c>
      <c r="J149" t="s">
        <v>11</v>
      </c>
      <c r="K149">
        <f>IF(J149="Yes", 1, 0)</f>
        <v>1</v>
      </c>
      <c r="L149" t="str">
        <f>IF(G149=0,"0 Failures","1+ Failures")</f>
        <v>1+ Failures</v>
      </c>
      <c r="M149" t="str">
        <f t="shared" si="8"/>
        <v>20+ hrs</v>
      </c>
      <c r="N149" t="str">
        <f t="shared" si="6"/>
        <v>12+ months</v>
      </c>
      <c r="O149" t="str">
        <f t="shared" si="7"/>
        <v>Basic</v>
      </c>
      <c r="P149" s="7">
        <v>45657</v>
      </c>
    </row>
    <row r="150" spans="1:16" x14ac:dyDescent="0.3">
      <c r="A150">
        <v>149</v>
      </c>
      <c r="B150" s="7">
        <v>45333</v>
      </c>
      <c r="C150" t="s">
        <v>14</v>
      </c>
      <c r="D150">
        <v>399</v>
      </c>
      <c r="E150">
        <v>3.9</v>
      </c>
      <c r="F150">
        <v>3</v>
      </c>
      <c r="G150">
        <v>5</v>
      </c>
      <c r="H150">
        <v>5</v>
      </c>
      <c r="I150">
        <v>46</v>
      </c>
      <c r="J150" t="s">
        <v>11</v>
      </c>
      <c r="K150">
        <f>IF(J150="Yes", 1, 0)</f>
        <v>1</v>
      </c>
      <c r="L150" t="str">
        <f>IF(G150=0,"0 Failures","1+ Failures")</f>
        <v>1+ Failures</v>
      </c>
      <c r="M150" t="str">
        <f t="shared" si="8"/>
        <v>0-5 hrs</v>
      </c>
      <c r="N150" t="str">
        <f t="shared" si="6"/>
        <v>3-6months</v>
      </c>
      <c r="O150" t="str">
        <f t="shared" si="7"/>
        <v>Basic</v>
      </c>
      <c r="P150" s="7">
        <v>45657</v>
      </c>
    </row>
    <row r="151" spans="1:16" x14ac:dyDescent="0.3">
      <c r="A151">
        <v>150</v>
      </c>
      <c r="B151" s="7">
        <v>45392</v>
      </c>
      <c r="C151" t="s">
        <v>10</v>
      </c>
      <c r="D151">
        <v>699</v>
      </c>
      <c r="E151">
        <v>2.7</v>
      </c>
      <c r="F151">
        <v>6</v>
      </c>
      <c r="G151">
        <v>0</v>
      </c>
      <c r="H151">
        <v>24</v>
      </c>
      <c r="I151">
        <v>16</v>
      </c>
      <c r="J151" t="s">
        <v>13</v>
      </c>
      <c r="K151">
        <f>IF(J151="Yes", 1, 0)</f>
        <v>0</v>
      </c>
      <c r="L151" t="str">
        <f>IF(G151=0,"0 Failures","1+ Failures")</f>
        <v>0 Failures</v>
      </c>
      <c r="M151" t="str">
        <f t="shared" si="8"/>
        <v>0-5 hrs</v>
      </c>
      <c r="N151" t="str">
        <f t="shared" si="6"/>
        <v>12+ months</v>
      </c>
      <c r="O151" t="str">
        <f t="shared" si="7"/>
        <v>Premium</v>
      </c>
      <c r="P151" s="7">
        <v>45657</v>
      </c>
    </row>
    <row r="152" spans="1:16" x14ac:dyDescent="0.3">
      <c r="A152">
        <v>151</v>
      </c>
      <c r="B152" s="7">
        <v>44952</v>
      </c>
      <c r="C152" t="s">
        <v>14</v>
      </c>
      <c r="D152">
        <v>399</v>
      </c>
      <c r="E152">
        <v>14.8</v>
      </c>
      <c r="F152">
        <v>5</v>
      </c>
      <c r="G152">
        <v>0</v>
      </c>
      <c r="H152">
        <v>17</v>
      </c>
      <c r="I152">
        <v>43</v>
      </c>
      <c r="J152" t="s">
        <v>11</v>
      </c>
      <c r="K152">
        <f>IF(J152="Yes", 1, 0)</f>
        <v>1</v>
      </c>
      <c r="L152" t="str">
        <f>IF(G152=0,"0 Failures","1+ Failures")</f>
        <v>0 Failures</v>
      </c>
      <c r="M152" t="str">
        <f t="shared" si="8"/>
        <v>10-20hrs</v>
      </c>
      <c r="N152" t="str">
        <f t="shared" si="6"/>
        <v>12+ months</v>
      </c>
      <c r="O152" t="str">
        <f t="shared" si="7"/>
        <v>Basic</v>
      </c>
      <c r="P152" s="7">
        <v>45657</v>
      </c>
    </row>
    <row r="153" spans="1:16" x14ac:dyDescent="0.3">
      <c r="A153">
        <v>152</v>
      </c>
      <c r="B153" s="7">
        <v>45402</v>
      </c>
      <c r="C153" t="s">
        <v>10</v>
      </c>
      <c r="D153">
        <v>699</v>
      </c>
      <c r="E153">
        <v>8.5</v>
      </c>
      <c r="F153">
        <v>3</v>
      </c>
      <c r="G153">
        <v>5</v>
      </c>
      <c r="H153">
        <v>36</v>
      </c>
      <c r="I153">
        <v>4</v>
      </c>
      <c r="J153" t="s">
        <v>13</v>
      </c>
      <c r="K153">
        <f>IF(J153="Yes", 1, 0)</f>
        <v>0</v>
      </c>
      <c r="L153" t="str">
        <f>IF(G153=0,"0 Failures","1+ Failures")</f>
        <v>1+ Failures</v>
      </c>
      <c r="M153" t="str">
        <f t="shared" si="8"/>
        <v>5-10 hrs</v>
      </c>
      <c r="N153" t="str">
        <f t="shared" si="6"/>
        <v>12+ months</v>
      </c>
      <c r="O153" t="str">
        <f t="shared" si="7"/>
        <v>Premium</v>
      </c>
      <c r="P153" s="7">
        <v>45657</v>
      </c>
    </row>
    <row r="154" spans="1:16" x14ac:dyDescent="0.3">
      <c r="A154">
        <v>153</v>
      </c>
      <c r="B154" s="7">
        <v>45238</v>
      </c>
      <c r="C154" t="s">
        <v>10</v>
      </c>
      <c r="D154">
        <v>699</v>
      </c>
      <c r="E154">
        <v>16.399999999999999</v>
      </c>
      <c r="F154">
        <v>1</v>
      </c>
      <c r="G154">
        <v>1</v>
      </c>
      <c r="H154">
        <v>20</v>
      </c>
      <c r="I154">
        <v>2</v>
      </c>
      <c r="J154" t="s">
        <v>13</v>
      </c>
      <c r="K154">
        <f>IF(J154="Yes", 1, 0)</f>
        <v>0</v>
      </c>
      <c r="L154" t="str">
        <f>IF(G154=0,"0 Failures","1+ Failures")</f>
        <v>1+ Failures</v>
      </c>
      <c r="M154" t="str">
        <f t="shared" si="8"/>
        <v>10-20hrs</v>
      </c>
      <c r="N154" t="str">
        <f t="shared" si="6"/>
        <v>12+ months</v>
      </c>
      <c r="O154" t="str">
        <f t="shared" si="7"/>
        <v>Premium</v>
      </c>
      <c r="P154" s="7">
        <v>45657</v>
      </c>
    </row>
    <row r="155" spans="1:16" x14ac:dyDescent="0.3">
      <c r="A155">
        <v>154</v>
      </c>
      <c r="B155" s="7">
        <v>45613</v>
      </c>
      <c r="C155" t="s">
        <v>14</v>
      </c>
      <c r="D155">
        <v>399</v>
      </c>
      <c r="E155">
        <v>2.9</v>
      </c>
      <c r="F155">
        <v>8</v>
      </c>
      <c r="G155">
        <v>1</v>
      </c>
      <c r="H155">
        <v>8</v>
      </c>
      <c r="I155">
        <v>24</v>
      </c>
      <c r="J155" t="s">
        <v>11</v>
      </c>
      <c r="K155">
        <f>IF(J155="Yes", 1, 0)</f>
        <v>1</v>
      </c>
      <c r="L155" t="str">
        <f>IF(G155=0,"0 Failures","1+ Failures")</f>
        <v>1+ Failures</v>
      </c>
      <c r="M155" t="str">
        <f t="shared" si="8"/>
        <v>0-5 hrs</v>
      </c>
      <c r="N155" t="str">
        <f t="shared" si="6"/>
        <v>6-12months</v>
      </c>
      <c r="O155" t="str">
        <f t="shared" si="7"/>
        <v>Basic</v>
      </c>
      <c r="P155" s="7">
        <v>45657</v>
      </c>
    </row>
    <row r="156" spans="1:16" x14ac:dyDescent="0.3">
      <c r="A156">
        <v>155</v>
      </c>
      <c r="B156" s="7">
        <v>45428</v>
      </c>
      <c r="C156" t="s">
        <v>10</v>
      </c>
      <c r="D156">
        <v>699</v>
      </c>
      <c r="E156">
        <v>10.8</v>
      </c>
      <c r="F156">
        <v>2</v>
      </c>
      <c r="G156">
        <v>3</v>
      </c>
      <c r="H156">
        <v>35</v>
      </c>
      <c r="I156">
        <v>41</v>
      </c>
      <c r="J156" t="s">
        <v>11</v>
      </c>
      <c r="K156">
        <f>IF(J156="Yes", 1, 0)</f>
        <v>1</v>
      </c>
      <c r="L156" t="str">
        <f>IF(G156=0,"0 Failures","1+ Failures")</f>
        <v>1+ Failures</v>
      </c>
      <c r="M156" t="str">
        <f t="shared" si="8"/>
        <v>10-20hrs</v>
      </c>
      <c r="N156" t="str">
        <f t="shared" si="6"/>
        <v>12+ months</v>
      </c>
      <c r="O156" t="str">
        <f t="shared" si="7"/>
        <v>Premium</v>
      </c>
      <c r="P156" s="7">
        <v>45657</v>
      </c>
    </row>
    <row r="157" spans="1:16" x14ac:dyDescent="0.3">
      <c r="A157">
        <v>156</v>
      </c>
      <c r="B157" s="7">
        <v>45381</v>
      </c>
      <c r="C157" t="s">
        <v>10</v>
      </c>
      <c r="D157">
        <v>699</v>
      </c>
      <c r="E157">
        <v>23.5</v>
      </c>
      <c r="F157">
        <v>4</v>
      </c>
      <c r="G157">
        <v>0</v>
      </c>
      <c r="H157">
        <v>27</v>
      </c>
      <c r="I157">
        <v>44</v>
      </c>
      <c r="J157" t="s">
        <v>11</v>
      </c>
      <c r="K157">
        <f>IF(J157="Yes", 1, 0)</f>
        <v>1</v>
      </c>
      <c r="L157" t="str">
        <f>IF(G157=0,"0 Failures","1+ Failures")</f>
        <v>0 Failures</v>
      </c>
      <c r="M157" t="str">
        <f t="shared" si="8"/>
        <v>20+ hrs</v>
      </c>
      <c r="N157" t="str">
        <f t="shared" si="6"/>
        <v>12+ months</v>
      </c>
      <c r="O157" t="str">
        <f t="shared" si="7"/>
        <v>Premium</v>
      </c>
      <c r="P157" s="7">
        <v>45657</v>
      </c>
    </row>
    <row r="158" spans="1:16" x14ac:dyDescent="0.3">
      <c r="A158">
        <v>157</v>
      </c>
      <c r="B158" s="7">
        <v>45587</v>
      </c>
      <c r="C158" t="s">
        <v>14</v>
      </c>
      <c r="D158">
        <v>399</v>
      </c>
      <c r="E158">
        <v>21.5</v>
      </c>
      <c r="F158">
        <v>1</v>
      </c>
      <c r="G158">
        <v>5</v>
      </c>
      <c r="H158">
        <v>16</v>
      </c>
      <c r="I158">
        <v>23</v>
      </c>
      <c r="J158" t="s">
        <v>11</v>
      </c>
      <c r="K158">
        <f>IF(J158="Yes", 1, 0)</f>
        <v>1</v>
      </c>
      <c r="L158" t="str">
        <f>IF(G158=0,"0 Failures","1+ Failures")</f>
        <v>1+ Failures</v>
      </c>
      <c r="M158" t="str">
        <f t="shared" si="8"/>
        <v>20+ hrs</v>
      </c>
      <c r="N158" t="str">
        <f t="shared" si="6"/>
        <v>12+ months</v>
      </c>
      <c r="O158" t="str">
        <f t="shared" si="7"/>
        <v>Basic</v>
      </c>
      <c r="P158" s="7">
        <v>45657</v>
      </c>
    </row>
    <row r="159" spans="1:16" x14ac:dyDescent="0.3">
      <c r="A159">
        <v>158</v>
      </c>
      <c r="B159" s="7">
        <v>45392</v>
      </c>
      <c r="C159" t="s">
        <v>14</v>
      </c>
      <c r="D159">
        <v>399</v>
      </c>
      <c r="E159">
        <v>10.3</v>
      </c>
      <c r="F159">
        <v>3</v>
      </c>
      <c r="G159">
        <v>0</v>
      </c>
      <c r="H159">
        <v>4</v>
      </c>
      <c r="I159">
        <v>60</v>
      </c>
      <c r="J159" t="s">
        <v>13</v>
      </c>
      <c r="K159">
        <f>IF(J159="Yes", 1, 0)</f>
        <v>0</v>
      </c>
      <c r="L159" t="str">
        <f>IF(G159=0,"0 Failures","1+ Failures")</f>
        <v>0 Failures</v>
      </c>
      <c r="M159" t="str">
        <f t="shared" si="8"/>
        <v>10-20hrs</v>
      </c>
      <c r="N159" t="str">
        <f t="shared" si="6"/>
        <v>3-6months</v>
      </c>
      <c r="O159" t="str">
        <f t="shared" si="7"/>
        <v>Basic</v>
      </c>
      <c r="P159" s="7">
        <v>45657</v>
      </c>
    </row>
    <row r="160" spans="1:16" x14ac:dyDescent="0.3">
      <c r="A160">
        <v>159</v>
      </c>
      <c r="B160" s="7">
        <v>45055</v>
      </c>
      <c r="C160" t="s">
        <v>12</v>
      </c>
      <c r="D160">
        <v>199</v>
      </c>
      <c r="E160">
        <v>16.2</v>
      </c>
      <c r="F160">
        <v>0</v>
      </c>
      <c r="G160">
        <v>0</v>
      </c>
      <c r="H160">
        <v>14</v>
      </c>
      <c r="I160">
        <v>50</v>
      </c>
      <c r="J160" t="s">
        <v>11</v>
      </c>
      <c r="K160">
        <f>IF(J160="Yes", 1, 0)</f>
        <v>1</v>
      </c>
      <c r="L160" t="str">
        <f>IF(G160=0,"0 Failures","1+ Failures")</f>
        <v>0 Failures</v>
      </c>
      <c r="M160" t="str">
        <f t="shared" si="8"/>
        <v>10-20hrs</v>
      </c>
      <c r="N160" t="str">
        <f t="shared" si="6"/>
        <v>12+ months</v>
      </c>
      <c r="O160" t="str">
        <f t="shared" si="7"/>
        <v>Basic</v>
      </c>
      <c r="P160" s="7">
        <v>45657</v>
      </c>
    </row>
    <row r="161" spans="1:16" x14ac:dyDescent="0.3">
      <c r="A161">
        <v>160</v>
      </c>
      <c r="B161" s="7">
        <v>45165</v>
      </c>
      <c r="C161" t="s">
        <v>10</v>
      </c>
      <c r="D161">
        <v>699</v>
      </c>
      <c r="E161">
        <v>2.2000000000000002</v>
      </c>
      <c r="F161">
        <v>8</v>
      </c>
      <c r="G161">
        <v>1</v>
      </c>
      <c r="H161">
        <v>14</v>
      </c>
      <c r="I161">
        <v>37</v>
      </c>
      <c r="J161" t="s">
        <v>11</v>
      </c>
      <c r="K161">
        <f>IF(J161="Yes", 1, 0)</f>
        <v>1</v>
      </c>
      <c r="L161" t="str">
        <f>IF(G161=0,"0 Failures","1+ Failures")</f>
        <v>1+ Failures</v>
      </c>
      <c r="M161" t="str">
        <f t="shared" si="8"/>
        <v>0-5 hrs</v>
      </c>
      <c r="N161" t="str">
        <f t="shared" si="6"/>
        <v>12+ months</v>
      </c>
      <c r="O161" t="str">
        <f t="shared" si="7"/>
        <v>Premium</v>
      </c>
      <c r="P161" s="7">
        <v>45657</v>
      </c>
    </row>
    <row r="162" spans="1:16" x14ac:dyDescent="0.3">
      <c r="A162">
        <v>161</v>
      </c>
      <c r="B162" s="7">
        <v>45060</v>
      </c>
      <c r="C162" t="s">
        <v>14</v>
      </c>
      <c r="D162">
        <v>399</v>
      </c>
      <c r="E162">
        <v>19.8</v>
      </c>
      <c r="F162">
        <v>0</v>
      </c>
      <c r="G162">
        <v>2</v>
      </c>
      <c r="H162">
        <v>10</v>
      </c>
      <c r="I162">
        <v>54</v>
      </c>
      <c r="J162" t="s">
        <v>13</v>
      </c>
      <c r="K162">
        <f>IF(J162="Yes", 1, 0)</f>
        <v>0</v>
      </c>
      <c r="L162" t="str">
        <f>IF(G162=0,"0 Failures","1+ Failures")</f>
        <v>1+ Failures</v>
      </c>
      <c r="M162" t="str">
        <f t="shared" si="8"/>
        <v>10-20hrs</v>
      </c>
      <c r="N162" t="str">
        <f t="shared" si="6"/>
        <v>6-12months</v>
      </c>
      <c r="O162" t="str">
        <f t="shared" si="7"/>
        <v>Basic</v>
      </c>
      <c r="P162" s="7">
        <v>45657</v>
      </c>
    </row>
    <row r="163" spans="1:16" x14ac:dyDescent="0.3">
      <c r="A163">
        <v>162</v>
      </c>
      <c r="B163" s="7">
        <v>44942</v>
      </c>
      <c r="C163" t="s">
        <v>10</v>
      </c>
      <c r="D163">
        <v>699</v>
      </c>
      <c r="E163">
        <v>20.100000000000001</v>
      </c>
      <c r="F163">
        <v>1</v>
      </c>
      <c r="G163">
        <v>5</v>
      </c>
      <c r="H163">
        <v>17</v>
      </c>
      <c r="I163">
        <v>55</v>
      </c>
      <c r="J163" t="s">
        <v>11</v>
      </c>
      <c r="K163">
        <f>IF(J163="Yes", 1, 0)</f>
        <v>1</v>
      </c>
      <c r="L163" t="str">
        <f>IF(G163=0,"0 Failures","1+ Failures")</f>
        <v>1+ Failures</v>
      </c>
      <c r="M163" t="str">
        <f t="shared" si="8"/>
        <v>20+ hrs</v>
      </c>
      <c r="N163" t="str">
        <f t="shared" si="6"/>
        <v>12+ months</v>
      </c>
      <c r="O163" t="str">
        <f t="shared" si="7"/>
        <v>Premium</v>
      </c>
      <c r="P163" s="7">
        <v>45657</v>
      </c>
    </row>
    <row r="164" spans="1:16" x14ac:dyDescent="0.3">
      <c r="A164">
        <v>163</v>
      </c>
      <c r="B164" s="7">
        <v>45358</v>
      </c>
      <c r="C164" t="s">
        <v>14</v>
      </c>
      <c r="D164">
        <v>399</v>
      </c>
      <c r="E164">
        <v>14.9</v>
      </c>
      <c r="F164">
        <v>0</v>
      </c>
      <c r="G164">
        <v>1</v>
      </c>
      <c r="H164">
        <v>16</v>
      </c>
      <c r="I164">
        <v>16</v>
      </c>
      <c r="J164" t="s">
        <v>11</v>
      </c>
      <c r="K164">
        <f>IF(J164="Yes", 1, 0)</f>
        <v>1</v>
      </c>
      <c r="L164" t="str">
        <f>IF(G164=0,"0 Failures","1+ Failures")</f>
        <v>1+ Failures</v>
      </c>
      <c r="M164" t="str">
        <f t="shared" si="8"/>
        <v>10-20hrs</v>
      </c>
      <c r="N164" t="str">
        <f t="shared" si="6"/>
        <v>12+ months</v>
      </c>
      <c r="O164" t="str">
        <f t="shared" si="7"/>
        <v>Basic</v>
      </c>
      <c r="P164" s="7">
        <v>45657</v>
      </c>
    </row>
    <row r="165" spans="1:16" x14ac:dyDescent="0.3">
      <c r="A165">
        <v>164</v>
      </c>
      <c r="B165" s="7">
        <v>45534</v>
      </c>
      <c r="C165" t="s">
        <v>10</v>
      </c>
      <c r="D165">
        <v>699</v>
      </c>
      <c r="E165">
        <v>18.8</v>
      </c>
      <c r="F165">
        <v>7</v>
      </c>
      <c r="G165">
        <v>3</v>
      </c>
      <c r="H165">
        <v>8</v>
      </c>
      <c r="I165">
        <v>49</v>
      </c>
      <c r="J165" t="s">
        <v>11</v>
      </c>
      <c r="K165">
        <f>IF(J165="Yes", 1, 0)</f>
        <v>1</v>
      </c>
      <c r="L165" t="str">
        <f>IF(G165=0,"0 Failures","1+ Failures")</f>
        <v>1+ Failures</v>
      </c>
      <c r="M165" t="str">
        <f t="shared" si="8"/>
        <v>10-20hrs</v>
      </c>
      <c r="N165" t="str">
        <f t="shared" si="6"/>
        <v>6-12months</v>
      </c>
      <c r="O165" t="str">
        <f t="shared" si="7"/>
        <v>Premium</v>
      </c>
      <c r="P165" s="7">
        <v>45657</v>
      </c>
    </row>
    <row r="166" spans="1:16" x14ac:dyDescent="0.3">
      <c r="A166">
        <v>165</v>
      </c>
      <c r="B166" s="7">
        <v>45601</v>
      </c>
      <c r="C166" t="s">
        <v>12</v>
      </c>
      <c r="D166">
        <v>199</v>
      </c>
      <c r="E166">
        <v>12.8</v>
      </c>
      <c r="F166">
        <v>0</v>
      </c>
      <c r="G166">
        <v>5</v>
      </c>
      <c r="H166">
        <v>29</v>
      </c>
      <c r="I166">
        <v>50</v>
      </c>
      <c r="J166" t="s">
        <v>13</v>
      </c>
      <c r="K166">
        <f>IF(J166="Yes", 1, 0)</f>
        <v>0</v>
      </c>
      <c r="L166" t="str">
        <f>IF(G166=0,"0 Failures","1+ Failures")</f>
        <v>1+ Failures</v>
      </c>
      <c r="M166" t="str">
        <f t="shared" si="8"/>
        <v>10-20hrs</v>
      </c>
      <c r="N166" t="str">
        <f t="shared" si="6"/>
        <v>12+ months</v>
      </c>
      <c r="O166" t="str">
        <f t="shared" si="7"/>
        <v>Basic</v>
      </c>
      <c r="P166" s="7">
        <v>45657</v>
      </c>
    </row>
    <row r="167" spans="1:16" x14ac:dyDescent="0.3">
      <c r="A167">
        <v>166</v>
      </c>
      <c r="B167" s="7">
        <v>45363</v>
      </c>
      <c r="C167" t="s">
        <v>10</v>
      </c>
      <c r="D167">
        <v>699</v>
      </c>
      <c r="E167">
        <v>11.7</v>
      </c>
      <c r="F167">
        <v>0</v>
      </c>
      <c r="G167">
        <v>0</v>
      </c>
      <c r="H167">
        <v>20</v>
      </c>
      <c r="I167">
        <v>30</v>
      </c>
      <c r="J167" t="s">
        <v>13</v>
      </c>
      <c r="K167">
        <f>IF(J167="Yes", 1, 0)</f>
        <v>0</v>
      </c>
      <c r="L167" t="str">
        <f>IF(G167=0,"0 Failures","1+ Failures")</f>
        <v>0 Failures</v>
      </c>
      <c r="M167" t="str">
        <f t="shared" si="8"/>
        <v>10-20hrs</v>
      </c>
      <c r="N167" t="str">
        <f t="shared" si="6"/>
        <v>12+ months</v>
      </c>
      <c r="O167" t="str">
        <f t="shared" si="7"/>
        <v>Premium</v>
      </c>
      <c r="P167" s="7">
        <v>45657</v>
      </c>
    </row>
    <row r="168" spans="1:16" x14ac:dyDescent="0.3">
      <c r="A168">
        <v>167</v>
      </c>
      <c r="B168" s="7">
        <v>45549</v>
      </c>
      <c r="C168" t="s">
        <v>10</v>
      </c>
      <c r="D168">
        <v>699</v>
      </c>
      <c r="E168">
        <v>12.5</v>
      </c>
      <c r="F168">
        <v>7</v>
      </c>
      <c r="G168">
        <v>0</v>
      </c>
      <c r="H168">
        <v>7</v>
      </c>
      <c r="I168">
        <v>57</v>
      </c>
      <c r="J168" t="s">
        <v>11</v>
      </c>
      <c r="K168">
        <f>IF(J168="Yes", 1, 0)</f>
        <v>1</v>
      </c>
      <c r="L168" t="str">
        <f>IF(G168=0,"0 Failures","1+ Failures")</f>
        <v>0 Failures</v>
      </c>
      <c r="M168" t="str">
        <f t="shared" si="8"/>
        <v>10-20hrs</v>
      </c>
      <c r="N168" t="str">
        <f t="shared" si="6"/>
        <v>6-12months</v>
      </c>
      <c r="O168" t="str">
        <f t="shared" si="7"/>
        <v>Premium</v>
      </c>
      <c r="P168" s="7">
        <v>45657</v>
      </c>
    </row>
    <row r="169" spans="1:16" x14ac:dyDescent="0.3">
      <c r="A169">
        <v>168</v>
      </c>
      <c r="B169" s="7">
        <v>45538</v>
      </c>
      <c r="C169" t="s">
        <v>12</v>
      </c>
      <c r="D169">
        <v>199</v>
      </c>
      <c r="E169">
        <v>3.6</v>
      </c>
      <c r="F169">
        <v>8</v>
      </c>
      <c r="G169">
        <v>5</v>
      </c>
      <c r="H169">
        <v>5</v>
      </c>
      <c r="I169">
        <v>20</v>
      </c>
      <c r="J169" t="s">
        <v>11</v>
      </c>
      <c r="K169">
        <f>IF(J169="Yes", 1, 0)</f>
        <v>1</v>
      </c>
      <c r="L169" t="str">
        <f>IF(G169=0,"0 Failures","1+ Failures")</f>
        <v>1+ Failures</v>
      </c>
      <c r="M169" t="str">
        <f t="shared" si="8"/>
        <v>0-5 hrs</v>
      </c>
      <c r="N169" t="str">
        <f t="shared" si="6"/>
        <v>3-6months</v>
      </c>
      <c r="O169" t="str">
        <f t="shared" si="7"/>
        <v>Basic</v>
      </c>
      <c r="P169" s="7">
        <v>45657</v>
      </c>
    </row>
    <row r="170" spans="1:16" x14ac:dyDescent="0.3">
      <c r="A170">
        <v>169</v>
      </c>
      <c r="B170" s="7">
        <v>45597</v>
      </c>
      <c r="C170" t="s">
        <v>10</v>
      </c>
      <c r="D170">
        <v>699</v>
      </c>
      <c r="E170">
        <v>11.6</v>
      </c>
      <c r="F170">
        <v>6</v>
      </c>
      <c r="G170">
        <v>0</v>
      </c>
      <c r="H170">
        <v>19</v>
      </c>
      <c r="I170">
        <v>50</v>
      </c>
      <c r="J170" t="s">
        <v>13</v>
      </c>
      <c r="K170">
        <f>IF(J170="Yes", 1, 0)</f>
        <v>0</v>
      </c>
      <c r="L170" t="str">
        <f>IF(G170=0,"0 Failures","1+ Failures")</f>
        <v>0 Failures</v>
      </c>
      <c r="M170" t="str">
        <f t="shared" si="8"/>
        <v>10-20hrs</v>
      </c>
      <c r="N170" t="str">
        <f t="shared" si="6"/>
        <v>12+ months</v>
      </c>
      <c r="O170" t="str">
        <f t="shared" si="7"/>
        <v>Premium</v>
      </c>
      <c r="P170" s="7">
        <v>45657</v>
      </c>
    </row>
    <row r="171" spans="1:16" x14ac:dyDescent="0.3">
      <c r="A171">
        <v>170</v>
      </c>
      <c r="B171" s="7">
        <v>45350</v>
      </c>
      <c r="C171" t="s">
        <v>10</v>
      </c>
      <c r="D171">
        <v>699</v>
      </c>
      <c r="E171">
        <v>18.2</v>
      </c>
      <c r="F171">
        <v>3</v>
      </c>
      <c r="G171">
        <v>3</v>
      </c>
      <c r="H171">
        <v>36</v>
      </c>
      <c r="I171">
        <v>28</v>
      </c>
      <c r="J171" t="s">
        <v>13</v>
      </c>
      <c r="K171">
        <f>IF(J171="Yes", 1, 0)</f>
        <v>0</v>
      </c>
      <c r="L171" t="str">
        <f>IF(G171=0,"0 Failures","1+ Failures")</f>
        <v>1+ Failures</v>
      </c>
      <c r="M171" t="str">
        <f t="shared" si="8"/>
        <v>10-20hrs</v>
      </c>
      <c r="N171" t="str">
        <f t="shared" si="6"/>
        <v>12+ months</v>
      </c>
      <c r="O171" t="str">
        <f t="shared" si="7"/>
        <v>Premium</v>
      </c>
      <c r="P171" s="7">
        <v>45657</v>
      </c>
    </row>
    <row r="172" spans="1:16" x14ac:dyDescent="0.3">
      <c r="A172">
        <v>171</v>
      </c>
      <c r="B172" s="7">
        <v>45188</v>
      </c>
      <c r="C172" t="s">
        <v>14</v>
      </c>
      <c r="D172">
        <v>399</v>
      </c>
      <c r="E172">
        <v>10.3</v>
      </c>
      <c r="F172">
        <v>1</v>
      </c>
      <c r="G172">
        <v>2</v>
      </c>
      <c r="H172">
        <v>30</v>
      </c>
      <c r="I172">
        <v>27</v>
      </c>
      <c r="J172" t="s">
        <v>11</v>
      </c>
      <c r="K172">
        <f>IF(J172="Yes", 1, 0)</f>
        <v>1</v>
      </c>
      <c r="L172" t="str">
        <f>IF(G172=0,"0 Failures","1+ Failures")</f>
        <v>1+ Failures</v>
      </c>
      <c r="M172" t="str">
        <f t="shared" si="8"/>
        <v>10-20hrs</v>
      </c>
      <c r="N172" t="str">
        <f t="shared" si="6"/>
        <v>12+ months</v>
      </c>
      <c r="O172" t="str">
        <f t="shared" si="7"/>
        <v>Basic</v>
      </c>
      <c r="P172" s="7">
        <v>45657</v>
      </c>
    </row>
    <row r="173" spans="1:16" x14ac:dyDescent="0.3">
      <c r="A173">
        <v>172</v>
      </c>
      <c r="B173" s="7">
        <v>45022</v>
      </c>
      <c r="C173" t="s">
        <v>14</v>
      </c>
      <c r="D173">
        <v>399</v>
      </c>
      <c r="E173">
        <v>17.3</v>
      </c>
      <c r="F173">
        <v>7</v>
      </c>
      <c r="G173">
        <v>0</v>
      </c>
      <c r="H173">
        <v>10</v>
      </c>
      <c r="I173">
        <v>5</v>
      </c>
      <c r="J173" t="s">
        <v>13</v>
      </c>
      <c r="K173">
        <f>IF(J173="Yes", 1, 0)</f>
        <v>0</v>
      </c>
      <c r="L173" t="str">
        <f>IF(G173=0,"0 Failures","1+ Failures")</f>
        <v>0 Failures</v>
      </c>
      <c r="M173" t="str">
        <f t="shared" si="8"/>
        <v>10-20hrs</v>
      </c>
      <c r="N173" t="str">
        <f t="shared" si="6"/>
        <v>6-12months</v>
      </c>
      <c r="O173" t="str">
        <f t="shared" si="7"/>
        <v>Basic</v>
      </c>
      <c r="P173" s="7">
        <v>45657</v>
      </c>
    </row>
    <row r="174" spans="1:16" x14ac:dyDescent="0.3">
      <c r="A174">
        <v>173</v>
      </c>
      <c r="B174" s="7">
        <v>45502</v>
      </c>
      <c r="C174" t="s">
        <v>14</v>
      </c>
      <c r="D174">
        <v>399</v>
      </c>
      <c r="E174">
        <v>18.7</v>
      </c>
      <c r="F174">
        <v>5</v>
      </c>
      <c r="G174">
        <v>1</v>
      </c>
      <c r="H174">
        <v>7</v>
      </c>
      <c r="I174">
        <v>35</v>
      </c>
      <c r="J174" t="s">
        <v>11</v>
      </c>
      <c r="K174">
        <f>IF(J174="Yes", 1, 0)</f>
        <v>1</v>
      </c>
      <c r="L174" t="str">
        <f>IF(G174=0,"0 Failures","1+ Failures")</f>
        <v>1+ Failures</v>
      </c>
      <c r="M174" t="str">
        <f t="shared" si="8"/>
        <v>10-20hrs</v>
      </c>
      <c r="N174" t="str">
        <f t="shared" si="6"/>
        <v>6-12months</v>
      </c>
      <c r="O174" t="str">
        <f t="shared" si="7"/>
        <v>Basic</v>
      </c>
      <c r="P174" s="7">
        <v>45657</v>
      </c>
    </row>
    <row r="175" spans="1:16" x14ac:dyDescent="0.3">
      <c r="A175">
        <v>174</v>
      </c>
      <c r="B175" s="7">
        <v>45360</v>
      </c>
      <c r="C175" t="s">
        <v>10</v>
      </c>
      <c r="D175">
        <v>699</v>
      </c>
      <c r="E175">
        <v>16.899999999999999</v>
      </c>
      <c r="F175">
        <v>6</v>
      </c>
      <c r="G175">
        <v>2</v>
      </c>
      <c r="H175">
        <v>22</v>
      </c>
      <c r="I175">
        <v>55</v>
      </c>
      <c r="J175" t="s">
        <v>11</v>
      </c>
      <c r="K175">
        <f>IF(J175="Yes", 1, 0)</f>
        <v>1</v>
      </c>
      <c r="L175" t="str">
        <f>IF(G175=0,"0 Failures","1+ Failures")</f>
        <v>1+ Failures</v>
      </c>
      <c r="M175" t="str">
        <f t="shared" si="8"/>
        <v>10-20hrs</v>
      </c>
      <c r="N175" t="str">
        <f t="shared" si="6"/>
        <v>12+ months</v>
      </c>
      <c r="O175" t="str">
        <f t="shared" si="7"/>
        <v>Premium</v>
      </c>
      <c r="P175" s="7">
        <v>45657</v>
      </c>
    </row>
    <row r="176" spans="1:16" x14ac:dyDescent="0.3">
      <c r="A176">
        <v>175</v>
      </c>
      <c r="B176" s="7">
        <v>45144</v>
      </c>
      <c r="C176" t="s">
        <v>10</v>
      </c>
      <c r="D176">
        <v>699</v>
      </c>
      <c r="E176">
        <v>24.2</v>
      </c>
      <c r="F176">
        <v>4</v>
      </c>
      <c r="G176">
        <v>2</v>
      </c>
      <c r="H176">
        <v>4</v>
      </c>
      <c r="I176">
        <v>6</v>
      </c>
      <c r="J176" t="s">
        <v>13</v>
      </c>
      <c r="K176">
        <f>IF(J176="Yes", 1, 0)</f>
        <v>0</v>
      </c>
      <c r="L176" t="str">
        <f>IF(G176=0,"0 Failures","1+ Failures")</f>
        <v>1+ Failures</v>
      </c>
      <c r="M176" t="str">
        <f t="shared" si="8"/>
        <v>20+ hrs</v>
      </c>
      <c r="N176" t="str">
        <f t="shared" si="6"/>
        <v>3-6months</v>
      </c>
      <c r="O176" t="str">
        <f t="shared" si="7"/>
        <v>Premium</v>
      </c>
      <c r="P176" s="7">
        <v>45657</v>
      </c>
    </row>
    <row r="177" spans="1:16" x14ac:dyDescent="0.3">
      <c r="A177">
        <v>176</v>
      </c>
      <c r="B177" s="7">
        <v>45044</v>
      </c>
      <c r="C177" t="s">
        <v>12</v>
      </c>
      <c r="D177">
        <v>199</v>
      </c>
      <c r="E177">
        <v>6</v>
      </c>
      <c r="F177">
        <v>1</v>
      </c>
      <c r="G177">
        <v>2</v>
      </c>
      <c r="H177">
        <v>31</v>
      </c>
      <c r="I177">
        <v>54</v>
      </c>
      <c r="J177" t="s">
        <v>11</v>
      </c>
      <c r="K177">
        <f>IF(J177="Yes", 1, 0)</f>
        <v>1</v>
      </c>
      <c r="L177" t="str">
        <f>IF(G177=0,"0 Failures","1+ Failures")</f>
        <v>1+ Failures</v>
      </c>
      <c r="M177" t="str">
        <f t="shared" si="8"/>
        <v>5-10 hrs</v>
      </c>
      <c r="N177" t="str">
        <f t="shared" si="6"/>
        <v>12+ months</v>
      </c>
      <c r="O177" t="str">
        <f t="shared" si="7"/>
        <v>Basic</v>
      </c>
      <c r="P177" s="7">
        <v>45657</v>
      </c>
    </row>
    <row r="178" spans="1:16" x14ac:dyDescent="0.3">
      <c r="A178">
        <v>177</v>
      </c>
      <c r="B178" s="7">
        <v>45497</v>
      </c>
      <c r="C178" t="s">
        <v>14</v>
      </c>
      <c r="D178">
        <v>399</v>
      </c>
      <c r="E178">
        <v>20.3</v>
      </c>
      <c r="F178">
        <v>8</v>
      </c>
      <c r="G178">
        <v>4</v>
      </c>
      <c r="H178">
        <v>15</v>
      </c>
      <c r="I178">
        <v>39</v>
      </c>
      <c r="J178" t="s">
        <v>11</v>
      </c>
      <c r="K178">
        <f>IF(J178="Yes", 1, 0)</f>
        <v>1</v>
      </c>
      <c r="L178" t="str">
        <f>IF(G178=0,"0 Failures","1+ Failures")</f>
        <v>1+ Failures</v>
      </c>
      <c r="M178" t="str">
        <f t="shared" si="8"/>
        <v>20+ hrs</v>
      </c>
      <c r="N178" t="str">
        <f t="shared" si="6"/>
        <v>12+ months</v>
      </c>
      <c r="O178" t="str">
        <f t="shared" si="7"/>
        <v>Basic</v>
      </c>
      <c r="P178" s="7">
        <v>45657</v>
      </c>
    </row>
    <row r="179" spans="1:16" x14ac:dyDescent="0.3">
      <c r="A179">
        <v>178</v>
      </c>
      <c r="B179" s="7">
        <v>45274</v>
      </c>
      <c r="C179" t="s">
        <v>12</v>
      </c>
      <c r="D179">
        <v>199</v>
      </c>
      <c r="E179">
        <v>1.2</v>
      </c>
      <c r="F179">
        <v>4</v>
      </c>
      <c r="G179">
        <v>5</v>
      </c>
      <c r="H179">
        <v>18</v>
      </c>
      <c r="I179">
        <v>48</v>
      </c>
      <c r="J179" t="s">
        <v>11</v>
      </c>
      <c r="K179">
        <f>IF(J179="Yes", 1, 0)</f>
        <v>1</v>
      </c>
      <c r="L179" t="str">
        <f>IF(G179=0,"0 Failures","1+ Failures")</f>
        <v>1+ Failures</v>
      </c>
      <c r="M179" t="str">
        <f t="shared" si="8"/>
        <v>0-5 hrs</v>
      </c>
      <c r="N179" t="str">
        <f t="shared" si="6"/>
        <v>12+ months</v>
      </c>
      <c r="O179" t="str">
        <f t="shared" si="7"/>
        <v>Basic</v>
      </c>
      <c r="P179" s="7">
        <v>45657</v>
      </c>
    </row>
    <row r="180" spans="1:16" x14ac:dyDescent="0.3">
      <c r="A180">
        <v>179</v>
      </c>
      <c r="B180" s="7">
        <v>45072</v>
      </c>
      <c r="C180" t="s">
        <v>14</v>
      </c>
      <c r="D180">
        <v>399</v>
      </c>
      <c r="E180">
        <v>4.9000000000000004</v>
      </c>
      <c r="F180">
        <v>2</v>
      </c>
      <c r="G180">
        <v>4</v>
      </c>
      <c r="H180">
        <v>1</v>
      </c>
      <c r="I180">
        <v>42</v>
      </c>
      <c r="J180" t="s">
        <v>11</v>
      </c>
      <c r="K180">
        <f>IF(J180="Yes", 1, 0)</f>
        <v>1</v>
      </c>
      <c r="L180" t="str">
        <f>IF(G180=0,"0 Failures","1+ Failures")</f>
        <v>1+ Failures</v>
      </c>
      <c r="M180" t="str">
        <f t="shared" si="8"/>
        <v>0-5 hrs</v>
      </c>
      <c r="N180" t="str">
        <f t="shared" si="6"/>
        <v>0-3months</v>
      </c>
      <c r="O180" t="str">
        <f t="shared" si="7"/>
        <v>Basic</v>
      </c>
      <c r="P180" s="7">
        <v>45657</v>
      </c>
    </row>
    <row r="181" spans="1:16" x14ac:dyDescent="0.3">
      <c r="A181">
        <v>180</v>
      </c>
      <c r="B181" s="7">
        <v>45276</v>
      </c>
      <c r="C181" t="s">
        <v>10</v>
      </c>
      <c r="D181">
        <v>699</v>
      </c>
      <c r="E181">
        <v>2.7</v>
      </c>
      <c r="F181">
        <v>8</v>
      </c>
      <c r="G181">
        <v>1</v>
      </c>
      <c r="H181">
        <v>2</v>
      </c>
      <c r="I181">
        <v>24</v>
      </c>
      <c r="J181" t="s">
        <v>11</v>
      </c>
      <c r="K181">
        <f>IF(J181="Yes", 1, 0)</f>
        <v>1</v>
      </c>
      <c r="L181" t="str">
        <f>IF(G181=0,"0 Failures","1+ Failures")</f>
        <v>1+ Failures</v>
      </c>
      <c r="M181" t="str">
        <f t="shared" si="8"/>
        <v>0-5 hrs</v>
      </c>
      <c r="N181" t="str">
        <f t="shared" si="6"/>
        <v>0-3months</v>
      </c>
      <c r="O181" t="str">
        <f t="shared" si="7"/>
        <v>Premium</v>
      </c>
      <c r="P181" s="7">
        <v>45657</v>
      </c>
    </row>
    <row r="182" spans="1:16" x14ac:dyDescent="0.3">
      <c r="A182">
        <v>181</v>
      </c>
      <c r="B182" s="7">
        <v>44980</v>
      </c>
      <c r="C182" t="s">
        <v>12</v>
      </c>
      <c r="D182">
        <v>199</v>
      </c>
      <c r="E182">
        <v>8.1</v>
      </c>
      <c r="F182">
        <v>5</v>
      </c>
      <c r="G182">
        <v>4</v>
      </c>
      <c r="H182">
        <v>24</v>
      </c>
      <c r="I182">
        <v>38</v>
      </c>
      <c r="J182" t="s">
        <v>11</v>
      </c>
      <c r="K182">
        <f>IF(J182="Yes", 1, 0)</f>
        <v>1</v>
      </c>
      <c r="L182" t="str">
        <f>IF(G182=0,"0 Failures","1+ Failures")</f>
        <v>1+ Failures</v>
      </c>
      <c r="M182" t="str">
        <f t="shared" si="8"/>
        <v>5-10 hrs</v>
      </c>
      <c r="N182" t="str">
        <f t="shared" si="6"/>
        <v>12+ months</v>
      </c>
      <c r="O182" t="str">
        <f t="shared" si="7"/>
        <v>Basic</v>
      </c>
      <c r="P182" s="7">
        <v>45657</v>
      </c>
    </row>
    <row r="183" spans="1:16" x14ac:dyDescent="0.3">
      <c r="A183">
        <v>182</v>
      </c>
      <c r="B183" s="7">
        <v>45604</v>
      </c>
      <c r="C183" t="s">
        <v>12</v>
      </c>
      <c r="D183">
        <v>199</v>
      </c>
      <c r="E183">
        <v>19</v>
      </c>
      <c r="F183">
        <v>0</v>
      </c>
      <c r="G183">
        <v>5</v>
      </c>
      <c r="H183">
        <v>11</v>
      </c>
      <c r="I183">
        <v>5</v>
      </c>
      <c r="J183" t="s">
        <v>11</v>
      </c>
      <c r="K183">
        <f>IF(J183="Yes", 1, 0)</f>
        <v>1</v>
      </c>
      <c r="L183" t="str">
        <f>IF(G183=0,"0 Failures","1+ Failures")</f>
        <v>1+ Failures</v>
      </c>
      <c r="M183" t="str">
        <f t="shared" si="8"/>
        <v>10-20hrs</v>
      </c>
      <c r="N183" t="str">
        <f t="shared" si="6"/>
        <v>6-12months</v>
      </c>
      <c r="O183" t="str">
        <f t="shared" si="7"/>
        <v>Basic</v>
      </c>
      <c r="P183" s="7">
        <v>45657</v>
      </c>
    </row>
    <row r="184" spans="1:16" x14ac:dyDescent="0.3">
      <c r="A184">
        <v>183</v>
      </c>
      <c r="B184" s="7">
        <v>45043</v>
      </c>
      <c r="C184" t="s">
        <v>14</v>
      </c>
      <c r="D184">
        <v>399</v>
      </c>
      <c r="E184">
        <v>15.4</v>
      </c>
      <c r="F184">
        <v>6</v>
      </c>
      <c r="G184">
        <v>2</v>
      </c>
      <c r="H184">
        <v>32</v>
      </c>
      <c r="I184">
        <v>13</v>
      </c>
      <c r="J184" t="s">
        <v>13</v>
      </c>
      <c r="K184">
        <f>IF(J184="Yes", 1, 0)</f>
        <v>0</v>
      </c>
      <c r="L184" t="str">
        <f>IF(G184=0,"0 Failures","1+ Failures")</f>
        <v>1+ Failures</v>
      </c>
      <c r="M184" t="str">
        <f t="shared" si="8"/>
        <v>10-20hrs</v>
      </c>
      <c r="N184" t="str">
        <f t="shared" si="6"/>
        <v>12+ months</v>
      </c>
      <c r="O184" t="str">
        <f t="shared" si="7"/>
        <v>Basic</v>
      </c>
      <c r="P184" s="7">
        <v>45657</v>
      </c>
    </row>
    <row r="185" spans="1:16" x14ac:dyDescent="0.3">
      <c r="A185">
        <v>184</v>
      </c>
      <c r="B185" s="7">
        <v>45152</v>
      </c>
      <c r="C185" t="s">
        <v>14</v>
      </c>
      <c r="D185">
        <v>399</v>
      </c>
      <c r="E185">
        <v>3.2</v>
      </c>
      <c r="F185">
        <v>7</v>
      </c>
      <c r="G185">
        <v>4</v>
      </c>
      <c r="H185">
        <v>28</v>
      </c>
      <c r="I185">
        <v>42</v>
      </c>
      <c r="J185" t="s">
        <v>11</v>
      </c>
      <c r="K185">
        <f>IF(J185="Yes", 1, 0)</f>
        <v>1</v>
      </c>
      <c r="L185" t="str">
        <f>IF(G185=0,"0 Failures","1+ Failures")</f>
        <v>1+ Failures</v>
      </c>
      <c r="M185" t="str">
        <f t="shared" si="8"/>
        <v>0-5 hrs</v>
      </c>
      <c r="N185" t="str">
        <f t="shared" si="6"/>
        <v>12+ months</v>
      </c>
      <c r="O185" t="str">
        <f t="shared" si="7"/>
        <v>Basic</v>
      </c>
      <c r="P185" s="7">
        <v>45657</v>
      </c>
    </row>
    <row r="186" spans="1:16" x14ac:dyDescent="0.3">
      <c r="A186">
        <v>185</v>
      </c>
      <c r="B186" s="7">
        <v>45188</v>
      </c>
      <c r="C186" t="s">
        <v>14</v>
      </c>
      <c r="D186">
        <v>399</v>
      </c>
      <c r="E186">
        <v>0.7</v>
      </c>
      <c r="F186">
        <v>4</v>
      </c>
      <c r="G186">
        <v>1</v>
      </c>
      <c r="H186">
        <v>4</v>
      </c>
      <c r="I186">
        <v>49</v>
      </c>
      <c r="J186" t="s">
        <v>11</v>
      </c>
      <c r="K186">
        <f>IF(J186="Yes", 1, 0)</f>
        <v>1</v>
      </c>
      <c r="L186" t="str">
        <f>IF(G186=0,"0 Failures","1+ Failures")</f>
        <v>1+ Failures</v>
      </c>
      <c r="M186" t="str">
        <f t="shared" si="8"/>
        <v>0-5 hrs</v>
      </c>
      <c r="N186" t="str">
        <f t="shared" si="6"/>
        <v>3-6months</v>
      </c>
      <c r="O186" t="str">
        <f t="shared" si="7"/>
        <v>Basic</v>
      </c>
      <c r="P186" s="7">
        <v>45657</v>
      </c>
    </row>
    <row r="187" spans="1:16" x14ac:dyDescent="0.3">
      <c r="A187">
        <v>186</v>
      </c>
      <c r="B187" s="7">
        <v>45316</v>
      </c>
      <c r="C187" t="s">
        <v>14</v>
      </c>
      <c r="D187">
        <v>399</v>
      </c>
      <c r="E187">
        <v>3.4</v>
      </c>
      <c r="F187">
        <v>7</v>
      </c>
      <c r="G187">
        <v>5</v>
      </c>
      <c r="H187">
        <v>21</v>
      </c>
      <c r="I187">
        <v>27</v>
      </c>
      <c r="J187" t="s">
        <v>11</v>
      </c>
      <c r="K187">
        <f>IF(J187="Yes", 1, 0)</f>
        <v>1</v>
      </c>
      <c r="L187" t="str">
        <f>IF(G187=0,"0 Failures","1+ Failures")</f>
        <v>1+ Failures</v>
      </c>
      <c r="M187" t="str">
        <f t="shared" si="8"/>
        <v>0-5 hrs</v>
      </c>
      <c r="N187" t="str">
        <f t="shared" si="6"/>
        <v>12+ months</v>
      </c>
      <c r="O187" t="str">
        <f t="shared" si="7"/>
        <v>Basic</v>
      </c>
      <c r="P187" s="7">
        <v>45657</v>
      </c>
    </row>
    <row r="188" spans="1:16" x14ac:dyDescent="0.3">
      <c r="A188">
        <v>187</v>
      </c>
      <c r="B188" s="7">
        <v>44970</v>
      </c>
      <c r="C188" t="s">
        <v>10</v>
      </c>
      <c r="D188">
        <v>699</v>
      </c>
      <c r="E188">
        <v>12.8</v>
      </c>
      <c r="F188">
        <v>5</v>
      </c>
      <c r="G188">
        <v>0</v>
      </c>
      <c r="H188">
        <v>15</v>
      </c>
      <c r="I188">
        <v>25</v>
      </c>
      <c r="J188" t="s">
        <v>13</v>
      </c>
      <c r="K188">
        <f>IF(J188="Yes", 1, 0)</f>
        <v>0</v>
      </c>
      <c r="L188" t="str">
        <f>IF(G188=0,"0 Failures","1+ Failures")</f>
        <v>0 Failures</v>
      </c>
      <c r="M188" t="str">
        <f t="shared" si="8"/>
        <v>10-20hrs</v>
      </c>
      <c r="N188" t="str">
        <f t="shared" si="6"/>
        <v>12+ months</v>
      </c>
      <c r="O188" t="str">
        <f t="shared" si="7"/>
        <v>Premium</v>
      </c>
      <c r="P188" s="7">
        <v>45657</v>
      </c>
    </row>
    <row r="189" spans="1:16" x14ac:dyDescent="0.3">
      <c r="A189">
        <v>188</v>
      </c>
      <c r="B189" s="7">
        <v>45341</v>
      </c>
      <c r="C189" t="s">
        <v>14</v>
      </c>
      <c r="D189">
        <v>399</v>
      </c>
      <c r="E189">
        <v>11.8</v>
      </c>
      <c r="F189">
        <v>1</v>
      </c>
      <c r="G189">
        <v>2</v>
      </c>
      <c r="H189">
        <v>2</v>
      </c>
      <c r="I189">
        <v>36</v>
      </c>
      <c r="J189" t="s">
        <v>11</v>
      </c>
      <c r="K189">
        <f>IF(J189="Yes", 1, 0)</f>
        <v>1</v>
      </c>
      <c r="L189" t="str">
        <f>IF(G189=0,"0 Failures","1+ Failures")</f>
        <v>1+ Failures</v>
      </c>
      <c r="M189" t="str">
        <f t="shared" si="8"/>
        <v>10-20hrs</v>
      </c>
      <c r="N189" t="str">
        <f t="shared" si="6"/>
        <v>0-3months</v>
      </c>
      <c r="O189" t="str">
        <f t="shared" si="7"/>
        <v>Basic</v>
      </c>
      <c r="P189" s="7">
        <v>45657</v>
      </c>
    </row>
    <row r="190" spans="1:16" x14ac:dyDescent="0.3">
      <c r="A190">
        <v>189</v>
      </c>
      <c r="B190" s="7">
        <v>45559</v>
      </c>
      <c r="C190" t="s">
        <v>10</v>
      </c>
      <c r="D190">
        <v>699</v>
      </c>
      <c r="E190">
        <v>7.6</v>
      </c>
      <c r="F190">
        <v>6</v>
      </c>
      <c r="G190">
        <v>0</v>
      </c>
      <c r="H190">
        <v>27</v>
      </c>
      <c r="I190">
        <v>20</v>
      </c>
      <c r="J190" t="s">
        <v>11</v>
      </c>
      <c r="K190">
        <f>IF(J190="Yes", 1, 0)</f>
        <v>1</v>
      </c>
      <c r="L190" t="str">
        <f>IF(G190=0,"0 Failures","1+ Failures")</f>
        <v>0 Failures</v>
      </c>
      <c r="M190" t="str">
        <f t="shared" si="8"/>
        <v>5-10 hrs</v>
      </c>
      <c r="N190" t="str">
        <f t="shared" si="6"/>
        <v>12+ months</v>
      </c>
      <c r="O190" t="str">
        <f t="shared" si="7"/>
        <v>Premium</v>
      </c>
      <c r="P190" s="7">
        <v>45657</v>
      </c>
    </row>
    <row r="191" spans="1:16" x14ac:dyDescent="0.3">
      <c r="A191">
        <v>190</v>
      </c>
      <c r="B191" s="7">
        <v>45463</v>
      </c>
      <c r="C191" t="s">
        <v>14</v>
      </c>
      <c r="D191">
        <v>399</v>
      </c>
      <c r="E191">
        <v>2.7</v>
      </c>
      <c r="F191">
        <v>1</v>
      </c>
      <c r="G191">
        <v>1</v>
      </c>
      <c r="H191">
        <v>24</v>
      </c>
      <c r="I191">
        <v>27</v>
      </c>
      <c r="J191" t="s">
        <v>11</v>
      </c>
      <c r="K191">
        <f>IF(J191="Yes", 1, 0)</f>
        <v>1</v>
      </c>
      <c r="L191" t="str">
        <f>IF(G191=0,"0 Failures","1+ Failures")</f>
        <v>1+ Failures</v>
      </c>
      <c r="M191" t="str">
        <f t="shared" si="8"/>
        <v>0-5 hrs</v>
      </c>
      <c r="N191" t="str">
        <f t="shared" si="6"/>
        <v>12+ months</v>
      </c>
      <c r="O191" t="str">
        <f t="shared" si="7"/>
        <v>Basic</v>
      </c>
      <c r="P191" s="7">
        <v>45657</v>
      </c>
    </row>
    <row r="192" spans="1:16" x14ac:dyDescent="0.3">
      <c r="A192">
        <v>191</v>
      </c>
      <c r="B192" s="7">
        <v>45005</v>
      </c>
      <c r="C192" t="s">
        <v>12</v>
      </c>
      <c r="D192">
        <v>199</v>
      </c>
      <c r="E192">
        <v>21.8</v>
      </c>
      <c r="F192">
        <v>5</v>
      </c>
      <c r="G192">
        <v>1</v>
      </c>
      <c r="H192">
        <v>26</v>
      </c>
      <c r="I192">
        <v>21</v>
      </c>
      <c r="J192" t="s">
        <v>13</v>
      </c>
      <c r="K192">
        <f>IF(J192="Yes", 1, 0)</f>
        <v>0</v>
      </c>
      <c r="L192" t="str">
        <f>IF(G192=0,"0 Failures","1+ Failures")</f>
        <v>1+ Failures</v>
      </c>
      <c r="M192" t="str">
        <f t="shared" si="8"/>
        <v>20+ hrs</v>
      </c>
      <c r="N192" t="str">
        <f t="shared" si="6"/>
        <v>12+ months</v>
      </c>
      <c r="O192" t="str">
        <f t="shared" si="7"/>
        <v>Basic</v>
      </c>
      <c r="P192" s="7">
        <v>45657</v>
      </c>
    </row>
    <row r="193" spans="1:16" x14ac:dyDescent="0.3">
      <c r="A193">
        <v>192</v>
      </c>
      <c r="B193" s="7">
        <v>45587</v>
      </c>
      <c r="C193" t="s">
        <v>10</v>
      </c>
      <c r="D193">
        <v>699</v>
      </c>
      <c r="E193">
        <v>13.5</v>
      </c>
      <c r="F193">
        <v>3</v>
      </c>
      <c r="G193">
        <v>2</v>
      </c>
      <c r="H193">
        <v>8</v>
      </c>
      <c r="I193">
        <v>22</v>
      </c>
      <c r="J193" t="s">
        <v>13</v>
      </c>
      <c r="K193">
        <f>IF(J193="Yes", 1, 0)</f>
        <v>0</v>
      </c>
      <c r="L193" t="str">
        <f>IF(G193=0,"0 Failures","1+ Failures")</f>
        <v>1+ Failures</v>
      </c>
      <c r="M193" t="str">
        <f t="shared" si="8"/>
        <v>10-20hrs</v>
      </c>
      <c r="N193" t="str">
        <f t="shared" si="6"/>
        <v>6-12months</v>
      </c>
      <c r="O193" t="str">
        <f t="shared" si="7"/>
        <v>Premium</v>
      </c>
      <c r="P193" s="7">
        <v>45657</v>
      </c>
    </row>
    <row r="194" spans="1:16" x14ac:dyDescent="0.3">
      <c r="A194">
        <v>193</v>
      </c>
      <c r="B194" s="7">
        <v>45598</v>
      </c>
      <c r="C194" t="s">
        <v>12</v>
      </c>
      <c r="D194">
        <v>199</v>
      </c>
      <c r="E194">
        <v>3</v>
      </c>
      <c r="F194">
        <v>4</v>
      </c>
      <c r="G194">
        <v>1</v>
      </c>
      <c r="H194">
        <v>16</v>
      </c>
      <c r="I194">
        <v>11</v>
      </c>
      <c r="J194" t="s">
        <v>13</v>
      </c>
      <c r="K194">
        <f>IF(J194="Yes", 1, 0)</f>
        <v>0</v>
      </c>
      <c r="L194" t="str">
        <f>IF(G194=0,"0 Failures","1+ Failures")</f>
        <v>1+ Failures</v>
      </c>
      <c r="M194" t="str">
        <f t="shared" si="8"/>
        <v>0-5 hrs</v>
      </c>
      <c r="N194" t="str">
        <f t="shared" si="6"/>
        <v>12+ months</v>
      </c>
      <c r="O194" t="str">
        <f t="shared" si="7"/>
        <v>Basic</v>
      </c>
      <c r="P194" s="7">
        <v>45657</v>
      </c>
    </row>
    <row r="195" spans="1:16" x14ac:dyDescent="0.3">
      <c r="A195">
        <v>194</v>
      </c>
      <c r="B195" s="7">
        <v>45520</v>
      </c>
      <c r="C195" t="s">
        <v>12</v>
      </c>
      <c r="D195">
        <v>199</v>
      </c>
      <c r="E195">
        <v>23.8</v>
      </c>
      <c r="F195">
        <v>7</v>
      </c>
      <c r="G195">
        <v>3</v>
      </c>
      <c r="H195">
        <v>12</v>
      </c>
      <c r="I195">
        <v>48</v>
      </c>
      <c r="J195" t="s">
        <v>11</v>
      </c>
      <c r="K195">
        <f>IF(J195="Yes", 1, 0)</f>
        <v>1</v>
      </c>
      <c r="L195" t="str">
        <f>IF(G195=0,"0 Failures","1+ Failures")</f>
        <v>1+ Failures</v>
      </c>
      <c r="M195" t="str">
        <f t="shared" si="8"/>
        <v>20+ hrs</v>
      </c>
      <c r="N195" t="str">
        <f t="shared" ref="N195:N258" si="9">IF(H195&lt;=3, "0-3months", IF(H195&lt;=6, "3-6months", IF(H195&lt;=12, "6-12months", "12+ months")))</f>
        <v>6-12months</v>
      </c>
      <c r="O195" t="str">
        <f t="shared" ref="O195:O258" si="10">IF(C195="premium", "Premium", "Basic")</f>
        <v>Basic</v>
      </c>
      <c r="P195" s="7">
        <v>45657</v>
      </c>
    </row>
    <row r="196" spans="1:16" x14ac:dyDescent="0.3">
      <c r="A196">
        <v>195</v>
      </c>
      <c r="B196" s="7">
        <v>45379</v>
      </c>
      <c r="C196" t="s">
        <v>14</v>
      </c>
      <c r="D196">
        <v>399</v>
      </c>
      <c r="E196">
        <v>21.7</v>
      </c>
      <c r="F196">
        <v>5</v>
      </c>
      <c r="G196">
        <v>1</v>
      </c>
      <c r="H196">
        <v>21</v>
      </c>
      <c r="I196">
        <v>28</v>
      </c>
      <c r="J196" t="s">
        <v>11</v>
      </c>
      <c r="K196">
        <f>IF(J196="Yes", 1, 0)</f>
        <v>1</v>
      </c>
      <c r="L196" t="str">
        <f>IF(G196=0,"0 Failures","1+ Failures")</f>
        <v>1+ Failures</v>
      </c>
      <c r="M196" t="str">
        <f t="shared" si="8"/>
        <v>20+ hrs</v>
      </c>
      <c r="N196" t="str">
        <f t="shared" si="9"/>
        <v>12+ months</v>
      </c>
      <c r="O196" t="str">
        <f t="shared" si="10"/>
        <v>Basic</v>
      </c>
      <c r="P196" s="7">
        <v>45657</v>
      </c>
    </row>
    <row r="197" spans="1:16" x14ac:dyDescent="0.3">
      <c r="A197">
        <v>196</v>
      </c>
      <c r="B197" s="7">
        <v>45399</v>
      </c>
      <c r="C197" t="s">
        <v>10</v>
      </c>
      <c r="D197">
        <v>699</v>
      </c>
      <c r="E197">
        <v>20</v>
      </c>
      <c r="F197">
        <v>0</v>
      </c>
      <c r="G197">
        <v>2</v>
      </c>
      <c r="H197">
        <v>20</v>
      </c>
      <c r="I197">
        <v>32</v>
      </c>
      <c r="J197" t="s">
        <v>11</v>
      </c>
      <c r="K197">
        <f>IF(J197="Yes", 1, 0)</f>
        <v>1</v>
      </c>
      <c r="L197" t="str">
        <f>IF(G197=0,"0 Failures","1+ Failures")</f>
        <v>1+ Failures</v>
      </c>
      <c r="M197" t="str">
        <f t="shared" si="8"/>
        <v>10-20hrs</v>
      </c>
      <c r="N197" t="str">
        <f t="shared" si="9"/>
        <v>12+ months</v>
      </c>
      <c r="O197" t="str">
        <f t="shared" si="10"/>
        <v>Premium</v>
      </c>
      <c r="P197" s="7">
        <v>45657</v>
      </c>
    </row>
    <row r="198" spans="1:16" x14ac:dyDescent="0.3">
      <c r="A198">
        <v>197</v>
      </c>
      <c r="B198" s="7">
        <v>45019</v>
      </c>
      <c r="C198" t="s">
        <v>14</v>
      </c>
      <c r="D198">
        <v>399</v>
      </c>
      <c r="E198">
        <v>1.9</v>
      </c>
      <c r="F198">
        <v>4</v>
      </c>
      <c r="G198">
        <v>0</v>
      </c>
      <c r="H198">
        <v>3</v>
      </c>
      <c r="I198">
        <v>41</v>
      </c>
      <c r="J198" t="s">
        <v>13</v>
      </c>
      <c r="K198">
        <f>IF(J198="Yes", 1, 0)</f>
        <v>0</v>
      </c>
      <c r="L198" t="str">
        <f>IF(G198=0,"0 Failures","1+ Failures")</f>
        <v>0 Failures</v>
      </c>
      <c r="M198" t="str">
        <f t="shared" si="8"/>
        <v>0-5 hrs</v>
      </c>
      <c r="N198" t="str">
        <f t="shared" si="9"/>
        <v>0-3months</v>
      </c>
      <c r="O198" t="str">
        <f t="shared" si="10"/>
        <v>Basic</v>
      </c>
      <c r="P198" s="7">
        <v>45657</v>
      </c>
    </row>
    <row r="199" spans="1:16" x14ac:dyDescent="0.3">
      <c r="A199">
        <v>198</v>
      </c>
      <c r="B199" s="7">
        <v>45512</v>
      </c>
      <c r="C199" t="s">
        <v>10</v>
      </c>
      <c r="D199">
        <v>699</v>
      </c>
      <c r="E199">
        <v>9.9</v>
      </c>
      <c r="F199">
        <v>8</v>
      </c>
      <c r="G199">
        <v>5</v>
      </c>
      <c r="H199">
        <v>33</v>
      </c>
      <c r="I199">
        <v>57</v>
      </c>
      <c r="J199" t="s">
        <v>11</v>
      </c>
      <c r="K199">
        <f>IF(J199="Yes", 1, 0)</f>
        <v>1</v>
      </c>
      <c r="L199" t="str">
        <f>IF(G199=0,"0 Failures","1+ Failures")</f>
        <v>1+ Failures</v>
      </c>
      <c r="M199" t="str">
        <f t="shared" si="8"/>
        <v>5-10 hrs</v>
      </c>
      <c r="N199" t="str">
        <f t="shared" si="9"/>
        <v>12+ months</v>
      </c>
      <c r="O199" t="str">
        <f t="shared" si="10"/>
        <v>Premium</v>
      </c>
      <c r="P199" s="7">
        <v>45657</v>
      </c>
    </row>
    <row r="200" spans="1:16" x14ac:dyDescent="0.3">
      <c r="A200">
        <v>199</v>
      </c>
      <c r="B200" s="7">
        <v>45388</v>
      </c>
      <c r="C200" t="s">
        <v>10</v>
      </c>
      <c r="D200">
        <v>699</v>
      </c>
      <c r="E200">
        <v>8.4</v>
      </c>
      <c r="F200">
        <v>7</v>
      </c>
      <c r="G200">
        <v>4</v>
      </c>
      <c r="H200">
        <v>13</v>
      </c>
      <c r="I200">
        <v>9</v>
      </c>
      <c r="J200" t="s">
        <v>13</v>
      </c>
      <c r="K200">
        <f>IF(J200="Yes", 1, 0)</f>
        <v>0</v>
      </c>
      <c r="L200" t="str">
        <f>IF(G200=0,"0 Failures","1+ Failures")</f>
        <v>1+ Failures</v>
      </c>
      <c r="M200" t="str">
        <f t="shared" si="8"/>
        <v>5-10 hrs</v>
      </c>
      <c r="N200" t="str">
        <f t="shared" si="9"/>
        <v>12+ months</v>
      </c>
      <c r="O200" t="str">
        <f t="shared" si="10"/>
        <v>Premium</v>
      </c>
      <c r="P200" s="7">
        <v>45657</v>
      </c>
    </row>
    <row r="201" spans="1:16" x14ac:dyDescent="0.3">
      <c r="A201">
        <v>200</v>
      </c>
      <c r="B201" s="7">
        <v>45180</v>
      </c>
      <c r="C201" t="s">
        <v>12</v>
      </c>
      <c r="D201">
        <v>199</v>
      </c>
      <c r="E201">
        <v>24.6</v>
      </c>
      <c r="F201">
        <v>1</v>
      </c>
      <c r="G201">
        <v>4</v>
      </c>
      <c r="H201">
        <v>22</v>
      </c>
      <c r="I201">
        <v>41</v>
      </c>
      <c r="J201" t="s">
        <v>11</v>
      </c>
      <c r="K201">
        <f>IF(J201="Yes", 1, 0)</f>
        <v>1</v>
      </c>
      <c r="L201" t="str">
        <f>IF(G201=0,"0 Failures","1+ Failures")</f>
        <v>1+ Failures</v>
      </c>
      <c r="M201" t="str">
        <f t="shared" si="8"/>
        <v>20+ hrs</v>
      </c>
      <c r="N201" t="str">
        <f t="shared" si="9"/>
        <v>12+ months</v>
      </c>
      <c r="O201" t="str">
        <f t="shared" si="10"/>
        <v>Basic</v>
      </c>
      <c r="P201" s="7">
        <v>45657</v>
      </c>
    </row>
    <row r="202" spans="1:16" x14ac:dyDescent="0.3">
      <c r="A202">
        <v>201</v>
      </c>
      <c r="B202" s="7">
        <v>45308</v>
      </c>
      <c r="C202" t="s">
        <v>10</v>
      </c>
      <c r="D202">
        <v>699</v>
      </c>
      <c r="E202">
        <v>24.8</v>
      </c>
      <c r="F202">
        <v>8</v>
      </c>
      <c r="G202">
        <v>4</v>
      </c>
      <c r="H202">
        <v>29</v>
      </c>
      <c r="I202">
        <v>39</v>
      </c>
      <c r="J202" t="s">
        <v>11</v>
      </c>
      <c r="K202">
        <f>IF(J202="Yes", 1, 0)</f>
        <v>1</v>
      </c>
      <c r="L202" t="str">
        <f>IF(G202=0,"0 Failures","1+ Failures")</f>
        <v>1+ Failures</v>
      </c>
      <c r="M202" t="str">
        <f t="shared" si="8"/>
        <v>20+ hrs</v>
      </c>
      <c r="N202" t="str">
        <f t="shared" si="9"/>
        <v>12+ months</v>
      </c>
      <c r="O202" t="str">
        <f t="shared" si="10"/>
        <v>Premium</v>
      </c>
      <c r="P202" s="7">
        <v>45657</v>
      </c>
    </row>
    <row r="203" spans="1:16" x14ac:dyDescent="0.3">
      <c r="A203">
        <v>202</v>
      </c>
      <c r="B203" s="7">
        <v>45573</v>
      </c>
      <c r="C203" t="s">
        <v>14</v>
      </c>
      <c r="D203">
        <v>399</v>
      </c>
      <c r="E203">
        <v>10.5</v>
      </c>
      <c r="F203">
        <v>5</v>
      </c>
      <c r="G203">
        <v>5</v>
      </c>
      <c r="H203">
        <v>25</v>
      </c>
      <c r="I203">
        <v>38</v>
      </c>
      <c r="J203" t="s">
        <v>11</v>
      </c>
      <c r="K203">
        <f>IF(J203="Yes", 1, 0)</f>
        <v>1</v>
      </c>
      <c r="L203" t="str">
        <f>IF(G203=0,"0 Failures","1+ Failures")</f>
        <v>1+ Failures</v>
      </c>
      <c r="M203" t="str">
        <f t="shared" ref="M203:M266" si="11">IF(E203&lt;=5, "0-5 hrs",    IF(E203&lt;=10, "5-10 hrs",    IF(E203&lt;=20, "10-20hrs", "20+ hrs")))</f>
        <v>10-20hrs</v>
      </c>
      <c r="N203" t="str">
        <f t="shared" si="9"/>
        <v>12+ months</v>
      </c>
      <c r="O203" t="str">
        <f t="shared" si="10"/>
        <v>Basic</v>
      </c>
      <c r="P203" s="7">
        <v>45657</v>
      </c>
    </row>
    <row r="204" spans="1:16" x14ac:dyDescent="0.3">
      <c r="A204">
        <v>203</v>
      </c>
      <c r="B204" s="7">
        <v>45185</v>
      </c>
      <c r="C204" t="s">
        <v>10</v>
      </c>
      <c r="D204">
        <v>699</v>
      </c>
      <c r="E204">
        <v>2.1</v>
      </c>
      <c r="F204">
        <v>1</v>
      </c>
      <c r="G204">
        <v>4</v>
      </c>
      <c r="H204">
        <v>22</v>
      </c>
      <c r="I204">
        <v>43</v>
      </c>
      <c r="J204" t="s">
        <v>11</v>
      </c>
      <c r="K204">
        <f>IF(J204="Yes", 1, 0)</f>
        <v>1</v>
      </c>
      <c r="L204" t="str">
        <f>IF(G204=0,"0 Failures","1+ Failures")</f>
        <v>1+ Failures</v>
      </c>
      <c r="M204" t="str">
        <f t="shared" si="11"/>
        <v>0-5 hrs</v>
      </c>
      <c r="N204" t="str">
        <f t="shared" si="9"/>
        <v>12+ months</v>
      </c>
      <c r="O204" t="str">
        <f t="shared" si="10"/>
        <v>Premium</v>
      </c>
      <c r="P204" s="7">
        <v>45657</v>
      </c>
    </row>
    <row r="205" spans="1:16" x14ac:dyDescent="0.3">
      <c r="A205">
        <v>204</v>
      </c>
      <c r="B205" s="7">
        <v>45642</v>
      </c>
      <c r="C205" t="s">
        <v>10</v>
      </c>
      <c r="D205">
        <v>699</v>
      </c>
      <c r="E205">
        <v>8.6999999999999993</v>
      </c>
      <c r="F205">
        <v>2</v>
      </c>
      <c r="G205">
        <v>2</v>
      </c>
      <c r="H205">
        <v>10</v>
      </c>
      <c r="I205">
        <v>19</v>
      </c>
      <c r="J205" t="s">
        <v>13</v>
      </c>
      <c r="K205">
        <f>IF(J205="Yes", 1, 0)</f>
        <v>0</v>
      </c>
      <c r="L205" t="str">
        <f>IF(G205=0,"0 Failures","1+ Failures")</f>
        <v>1+ Failures</v>
      </c>
      <c r="M205" t="str">
        <f t="shared" si="11"/>
        <v>5-10 hrs</v>
      </c>
      <c r="N205" t="str">
        <f t="shared" si="9"/>
        <v>6-12months</v>
      </c>
      <c r="O205" t="str">
        <f t="shared" si="10"/>
        <v>Premium</v>
      </c>
      <c r="P205" s="7">
        <v>45657</v>
      </c>
    </row>
    <row r="206" spans="1:16" x14ac:dyDescent="0.3">
      <c r="A206">
        <v>205</v>
      </c>
      <c r="B206" s="7">
        <v>45263</v>
      </c>
      <c r="C206" t="s">
        <v>10</v>
      </c>
      <c r="D206">
        <v>699</v>
      </c>
      <c r="E206">
        <v>3.7</v>
      </c>
      <c r="F206">
        <v>1</v>
      </c>
      <c r="G206">
        <v>2</v>
      </c>
      <c r="H206">
        <v>26</v>
      </c>
      <c r="I206">
        <v>35</v>
      </c>
      <c r="J206" t="s">
        <v>11</v>
      </c>
      <c r="K206">
        <f>IF(J206="Yes", 1, 0)</f>
        <v>1</v>
      </c>
      <c r="L206" t="str">
        <f>IF(G206=0,"0 Failures","1+ Failures")</f>
        <v>1+ Failures</v>
      </c>
      <c r="M206" t="str">
        <f t="shared" si="11"/>
        <v>0-5 hrs</v>
      </c>
      <c r="N206" t="str">
        <f t="shared" si="9"/>
        <v>12+ months</v>
      </c>
      <c r="O206" t="str">
        <f t="shared" si="10"/>
        <v>Premium</v>
      </c>
      <c r="P206" s="7">
        <v>45657</v>
      </c>
    </row>
    <row r="207" spans="1:16" x14ac:dyDescent="0.3">
      <c r="A207">
        <v>206</v>
      </c>
      <c r="B207" s="7">
        <v>45243</v>
      </c>
      <c r="C207" t="s">
        <v>12</v>
      </c>
      <c r="D207">
        <v>199</v>
      </c>
      <c r="E207">
        <v>2.8</v>
      </c>
      <c r="F207">
        <v>6</v>
      </c>
      <c r="G207">
        <v>4</v>
      </c>
      <c r="H207">
        <v>34</v>
      </c>
      <c r="I207">
        <v>23</v>
      </c>
      <c r="J207" t="s">
        <v>11</v>
      </c>
      <c r="K207">
        <f>IF(J207="Yes", 1, 0)</f>
        <v>1</v>
      </c>
      <c r="L207" t="str">
        <f>IF(G207=0,"0 Failures","1+ Failures")</f>
        <v>1+ Failures</v>
      </c>
      <c r="M207" t="str">
        <f t="shared" si="11"/>
        <v>0-5 hrs</v>
      </c>
      <c r="N207" t="str">
        <f t="shared" si="9"/>
        <v>12+ months</v>
      </c>
      <c r="O207" t="str">
        <f t="shared" si="10"/>
        <v>Basic</v>
      </c>
      <c r="P207" s="7">
        <v>45657</v>
      </c>
    </row>
    <row r="208" spans="1:16" x14ac:dyDescent="0.3">
      <c r="A208">
        <v>207</v>
      </c>
      <c r="B208" s="7">
        <v>45085</v>
      </c>
      <c r="C208" t="s">
        <v>12</v>
      </c>
      <c r="D208">
        <v>199</v>
      </c>
      <c r="E208">
        <v>8.9</v>
      </c>
      <c r="F208">
        <v>7</v>
      </c>
      <c r="G208">
        <v>1</v>
      </c>
      <c r="H208">
        <v>14</v>
      </c>
      <c r="I208">
        <v>14</v>
      </c>
      <c r="J208" t="s">
        <v>13</v>
      </c>
      <c r="K208">
        <f>IF(J208="Yes", 1, 0)</f>
        <v>0</v>
      </c>
      <c r="L208" t="str">
        <f>IF(G208=0,"0 Failures","1+ Failures")</f>
        <v>1+ Failures</v>
      </c>
      <c r="M208" t="str">
        <f t="shared" si="11"/>
        <v>5-10 hrs</v>
      </c>
      <c r="N208" t="str">
        <f t="shared" si="9"/>
        <v>12+ months</v>
      </c>
      <c r="O208" t="str">
        <f t="shared" si="10"/>
        <v>Basic</v>
      </c>
      <c r="P208" s="7">
        <v>45657</v>
      </c>
    </row>
    <row r="209" spans="1:16" x14ac:dyDescent="0.3">
      <c r="A209">
        <v>208</v>
      </c>
      <c r="B209" s="7">
        <v>45466</v>
      </c>
      <c r="C209" t="s">
        <v>12</v>
      </c>
      <c r="D209">
        <v>199</v>
      </c>
      <c r="E209">
        <v>21.2</v>
      </c>
      <c r="F209">
        <v>1</v>
      </c>
      <c r="G209">
        <v>4</v>
      </c>
      <c r="H209">
        <v>19</v>
      </c>
      <c r="I209">
        <v>49</v>
      </c>
      <c r="J209" t="s">
        <v>11</v>
      </c>
      <c r="K209">
        <f>IF(J209="Yes", 1, 0)</f>
        <v>1</v>
      </c>
      <c r="L209" t="str">
        <f>IF(G209=0,"0 Failures","1+ Failures")</f>
        <v>1+ Failures</v>
      </c>
      <c r="M209" t="str">
        <f t="shared" si="11"/>
        <v>20+ hrs</v>
      </c>
      <c r="N209" t="str">
        <f t="shared" si="9"/>
        <v>12+ months</v>
      </c>
      <c r="O209" t="str">
        <f t="shared" si="10"/>
        <v>Basic</v>
      </c>
      <c r="P209" s="7">
        <v>45657</v>
      </c>
    </row>
    <row r="210" spans="1:16" x14ac:dyDescent="0.3">
      <c r="A210">
        <v>209</v>
      </c>
      <c r="B210" s="7">
        <v>45112</v>
      </c>
      <c r="C210" t="s">
        <v>12</v>
      </c>
      <c r="D210">
        <v>199</v>
      </c>
      <c r="E210">
        <v>22</v>
      </c>
      <c r="F210">
        <v>2</v>
      </c>
      <c r="G210">
        <v>4</v>
      </c>
      <c r="H210">
        <v>22</v>
      </c>
      <c r="I210">
        <v>24</v>
      </c>
      <c r="J210" t="s">
        <v>11</v>
      </c>
      <c r="K210">
        <f>IF(J210="Yes", 1, 0)</f>
        <v>1</v>
      </c>
      <c r="L210" t="str">
        <f>IF(G210=0,"0 Failures","1+ Failures")</f>
        <v>1+ Failures</v>
      </c>
      <c r="M210" t="str">
        <f t="shared" si="11"/>
        <v>20+ hrs</v>
      </c>
      <c r="N210" t="str">
        <f t="shared" si="9"/>
        <v>12+ months</v>
      </c>
      <c r="O210" t="str">
        <f t="shared" si="10"/>
        <v>Basic</v>
      </c>
      <c r="P210" s="7">
        <v>45657</v>
      </c>
    </row>
    <row r="211" spans="1:16" x14ac:dyDescent="0.3">
      <c r="A211">
        <v>210</v>
      </c>
      <c r="B211" s="7">
        <v>45170</v>
      </c>
      <c r="C211" t="s">
        <v>10</v>
      </c>
      <c r="D211">
        <v>699</v>
      </c>
      <c r="E211">
        <v>18.2</v>
      </c>
      <c r="F211">
        <v>0</v>
      </c>
      <c r="G211">
        <v>3</v>
      </c>
      <c r="H211">
        <v>11</v>
      </c>
      <c r="I211">
        <v>23</v>
      </c>
      <c r="J211" t="s">
        <v>13</v>
      </c>
      <c r="K211">
        <f>IF(J211="Yes", 1, 0)</f>
        <v>0</v>
      </c>
      <c r="L211" t="str">
        <f>IF(G211=0,"0 Failures","1+ Failures")</f>
        <v>1+ Failures</v>
      </c>
      <c r="M211" t="str">
        <f t="shared" si="11"/>
        <v>10-20hrs</v>
      </c>
      <c r="N211" t="str">
        <f t="shared" si="9"/>
        <v>6-12months</v>
      </c>
      <c r="O211" t="str">
        <f t="shared" si="10"/>
        <v>Premium</v>
      </c>
      <c r="P211" s="7">
        <v>45657</v>
      </c>
    </row>
    <row r="212" spans="1:16" x14ac:dyDescent="0.3">
      <c r="A212">
        <v>211</v>
      </c>
      <c r="B212" s="7">
        <v>45407</v>
      </c>
      <c r="C212" t="s">
        <v>14</v>
      </c>
      <c r="D212">
        <v>399</v>
      </c>
      <c r="E212">
        <v>18.899999999999999</v>
      </c>
      <c r="F212">
        <v>7</v>
      </c>
      <c r="G212">
        <v>1</v>
      </c>
      <c r="H212">
        <v>19</v>
      </c>
      <c r="I212">
        <v>34</v>
      </c>
      <c r="J212" t="s">
        <v>11</v>
      </c>
      <c r="K212">
        <f>IF(J212="Yes", 1, 0)</f>
        <v>1</v>
      </c>
      <c r="L212" t="str">
        <f>IF(G212=0,"0 Failures","1+ Failures")</f>
        <v>1+ Failures</v>
      </c>
      <c r="M212" t="str">
        <f t="shared" si="11"/>
        <v>10-20hrs</v>
      </c>
      <c r="N212" t="str">
        <f t="shared" si="9"/>
        <v>12+ months</v>
      </c>
      <c r="O212" t="str">
        <f t="shared" si="10"/>
        <v>Basic</v>
      </c>
      <c r="P212" s="7">
        <v>45657</v>
      </c>
    </row>
    <row r="213" spans="1:16" x14ac:dyDescent="0.3">
      <c r="A213">
        <v>212</v>
      </c>
      <c r="B213" s="7">
        <v>45318</v>
      </c>
      <c r="C213" t="s">
        <v>12</v>
      </c>
      <c r="D213">
        <v>199</v>
      </c>
      <c r="E213">
        <v>17.100000000000001</v>
      </c>
      <c r="F213">
        <v>7</v>
      </c>
      <c r="G213">
        <v>3</v>
      </c>
      <c r="H213">
        <v>24</v>
      </c>
      <c r="I213">
        <v>49</v>
      </c>
      <c r="J213" t="s">
        <v>11</v>
      </c>
      <c r="K213">
        <f>IF(J213="Yes", 1, 0)</f>
        <v>1</v>
      </c>
      <c r="L213" t="str">
        <f>IF(G213=0,"0 Failures","1+ Failures")</f>
        <v>1+ Failures</v>
      </c>
      <c r="M213" t="str">
        <f t="shared" si="11"/>
        <v>10-20hrs</v>
      </c>
      <c r="N213" t="str">
        <f t="shared" si="9"/>
        <v>12+ months</v>
      </c>
      <c r="O213" t="str">
        <f t="shared" si="10"/>
        <v>Basic</v>
      </c>
      <c r="P213" s="7">
        <v>45657</v>
      </c>
    </row>
    <row r="214" spans="1:16" x14ac:dyDescent="0.3">
      <c r="A214">
        <v>213</v>
      </c>
      <c r="B214" s="7">
        <v>45183</v>
      </c>
      <c r="C214" t="s">
        <v>10</v>
      </c>
      <c r="D214">
        <v>699</v>
      </c>
      <c r="E214">
        <v>10.8</v>
      </c>
      <c r="F214">
        <v>2</v>
      </c>
      <c r="G214">
        <v>1</v>
      </c>
      <c r="H214">
        <v>34</v>
      </c>
      <c r="I214">
        <v>51</v>
      </c>
      <c r="J214" t="s">
        <v>13</v>
      </c>
      <c r="K214">
        <f>IF(J214="Yes", 1, 0)</f>
        <v>0</v>
      </c>
      <c r="L214" t="str">
        <f>IF(G214=0,"0 Failures","1+ Failures")</f>
        <v>1+ Failures</v>
      </c>
      <c r="M214" t="str">
        <f t="shared" si="11"/>
        <v>10-20hrs</v>
      </c>
      <c r="N214" t="str">
        <f t="shared" si="9"/>
        <v>12+ months</v>
      </c>
      <c r="O214" t="str">
        <f t="shared" si="10"/>
        <v>Premium</v>
      </c>
      <c r="P214" s="7">
        <v>45657</v>
      </c>
    </row>
    <row r="215" spans="1:16" x14ac:dyDescent="0.3">
      <c r="A215">
        <v>214</v>
      </c>
      <c r="B215" s="7">
        <v>45054</v>
      </c>
      <c r="C215" t="s">
        <v>12</v>
      </c>
      <c r="D215">
        <v>199</v>
      </c>
      <c r="E215">
        <v>21.9</v>
      </c>
      <c r="F215">
        <v>8</v>
      </c>
      <c r="G215">
        <v>0</v>
      </c>
      <c r="H215">
        <v>31</v>
      </c>
      <c r="I215">
        <v>45</v>
      </c>
      <c r="J215" t="s">
        <v>13</v>
      </c>
      <c r="K215">
        <f>IF(J215="Yes", 1, 0)</f>
        <v>0</v>
      </c>
      <c r="L215" t="str">
        <f>IF(G215=0,"0 Failures","1+ Failures")</f>
        <v>0 Failures</v>
      </c>
      <c r="M215" t="str">
        <f t="shared" si="11"/>
        <v>20+ hrs</v>
      </c>
      <c r="N215" t="str">
        <f t="shared" si="9"/>
        <v>12+ months</v>
      </c>
      <c r="O215" t="str">
        <f t="shared" si="10"/>
        <v>Basic</v>
      </c>
      <c r="P215" s="7">
        <v>45657</v>
      </c>
    </row>
    <row r="216" spans="1:16" x14ac:dyDescent="0.3">
      <c r="A216">
        <v>215</v>
      </c>
      <c r="B216" s="7">
        <v>45374</v>
      </c>
      <c r="C216" t="s">
        <v>14</v>
      </c>
      <c r="D216">
        <v>399</v>
      </c>
      <c r="E216">
        <v>19.2</v>
      </c>
      <c r="F216">
        <v>4</v>
      </c>
      <c r="G216">
        <v>3</v>
      </c>
      <c r="H216">
        <v>6</v>
      </c>
      <c r="I216">
        <v>57</v>
      </c>
      <c r="J216" t="s">
        <v>11</v>
      </c>
      <c r="K216">
        <f>IF(J216="Yes", 1, 0)</f>
        <v>1</v>
      </c>
      <c r="L216" t="str">
        <f>IF(G216=0,"0 Failures","1+ Failures")</f>
        <v>1+ Failures</v>
      </c>
      <c r="M216" t="str">
        <f t="shared" si="11"/>
        <v>10-20hrs</v>
      </c>
      <c r="N216" t="str">
        <f t="shared" si="9"/>
        <v>3-6months</v>
      </c>
      <c r="O216" t="str">
        <f t="shared" si="10"/>
        <v>Basic</v>
      </c>
      <c r="P216" s="7">
        <v>45657</v>
      </c>
    </row>
    <row r="217" spans="1:16" x14ac:dyDescent="0.3">
      <c r="A217">
        <v>216</v>
      </c>
      <c r="B217" s="7">
        <v>45441</v>
      </c>
      <c r="C217" t="s">
        <v>12</v>
      </c>
      <c r="D217">
        <v>199</v>
      </c>
      <c r="E217">
        <v>20.5</v>
      </c>
      <c r="F217">
        <v>5</v>
      </c>
      <c r="G217">
        <v>0</v>
      </c>
      <c r="H217">
        <v>15</v>
      </c>
      <c r="I217">
        <v>26</v>
      </c>
      <c r="J217" t="s">
        <v>11</v>
      </c>
      <c r="K217">
        <f>IF(J217="Yes", 1, 0)</f>
        <v>1</v>
      </c>
      <c r="L217" t="str">
        <f>IF(G217=0,"0 Failures","1+ Failures")</f>
        <v>0 Failures</v>
      </c>
      <c r="M217" t="str">
        <f t="shared" si="11"/>
        <v>20+ hrs</v>
      </c>
      <c r="N217" t="str">
        <f t="shared" si="9"/>
        <v>12+ months</v>
      </c>
      <c r="O217" t="str">
        <f t="shared" si="10"/>
        <v>Basic</v>
      </c>
      <c r="P217" s="7">
        <v>45657</v>
      </c>
    </row>
    <row r="218" spans="1:16" x14ac:dyDescent="0.3">
      <c r="A218">
        <v>217</v>
      </c>
      <c r="B218" s="7">
        <v>45028</v>
      </c>
      <c r="C218" t="s">
        <v>14</v>
      </c>
      <c r="D218">
        <v>399</v>
      </c>
      <c r="E218">
        <v>10</v>
      </c>
      <c r="F218">
        <v>1</v>
      </c>
      <c r="G218">
        <v>2</v>
      </c>
      <c r="H218">
        <v>16</v>
      </c>
      <c r="I218">
        <v>14</v>
      </c>
      <c r="J218" t="s">
        <v>11</v>
      </c>
      <c r="K218">
        <f>IF(J218="Yes", 1, 0)</f>
        <v>1</v>
      </c>
      <c r="L218" t="str">
        <f>IF(G218=0,"0 Failures","1+ Failures")</f>
        <v>1+ Failures</v>
      </c>
      <c r="M218" t="str">
        <f t="shared" si="11"/>
        <v>5-10 hrs</v>
      </c>
      <c r="N218" t="str">
        <f t="shared" si="9"/>
        <v>12+ months</v>
      </c>
      <c r="O218" t="str">
        <f t="shared" si="10"/>
        <v>Basic</v>
      </c>
      <c r="P218" s="7">
        <v>45657</v>
      </c>
    </row>
    <row r="219" spans="1:16" x14ac:dyDescent="0.3">
      <c r="A219">
        <v>218</v>
      </c>
      <c r="B219" s="7">
        <v>45410</v>
      </c>
      <c r="C219" t="s">
        <v>10</v>
      </c>
      <c r="D219">
        <v>699</v>
      </c>
      <c r="E219">
        <v>19.899999999999999</v>
      </c>
      <c r="F219">
        <v>2</v>
      </c>
      <c r="G219">
        <v>0</v>
      </c>
      <c r="H219">
        <v>22</v>
      </c>
      <c r="I219">
        <v>18</v>
      </c>
      <c r="J219" t="s">
        <v>13</v>
      </c>
      <c r="K219">
        <f>IF(J219="Yes", 1, 0)</f>
        <v>0</v>
      </c>
      <c r="L219" t="str">
        <f>IF(G219=0,"0 Failures","1+ Failures")</f>
        <v>0 Failures</v>
      </c>
      <c r="M219" t="str">
        <f t="shared" si="11"/>
        <v>10-20hrs</v>
      </c>
      <c r="N219" t="str">
        <f t="shared" si="9"/>
        <v>12+ months</v>
      </c>
      <c r="O219" t="str">
        <f t="shared" si="10"/>
        <v>Premium</v>
      </c>
      <c r="P219" s="7">
        <v>45657</v>
      </c>
    </row>
    <row r="220" spans="1:16" x14ac:dyDescent="0.3">
      <c r="A220">
        <v>219</v>
      </c>
      <c r="B220" s="7">
        <v>45008</v>
      </c>
      <c r="C220" t="s">
        <v>10</v>
      </c>
      <c r="D220">
        <v>699</v>
      </c>
      <c r="E220">
        <v>19.100000000000001</v>
      </c>
      <c r="F220">
        <v>7</v>
      </c>
      <c r="G220">
        <v>3</v>
      </c>
      <c r="H220">
        <v>9</v>
      </c>
      <c r="I220">
        <v>39</v>
      </c>
      <c r="J220" t="s">
        <v>11</v>
      </c>
      <c r="K220">
        <f>IF(J220="Yes", 1, 0)</f>
        <v>1</v>
      </c>
      <c r="L220" t="str">
        <f>IF(G220=0,"0 Failures","1+ Failures")</f>
        <v>1+ Failures</v>
      </c>
      <c r="M220" t="str">
        <f t="shared" si="11"/>
        <v>10-20hrs</v>
      </c>
      <c r="N220" t="str">
        <f t="shared" si="9"/>
        <v>6-12months</v>
      </c>
      <c r="O220" t="str">
        <f t="shared" si="10"/>
        <v>Premium</v>
      </c>
      <c r="P220" s="7">
        <v>45657</v>
      </c>
    </row>
    <row r="221" spans="1:16" x14ac:dyDescent="0.3">
      <c r="A221">
        <v>220</v>
      </c>
      <c r="B221" s="7">
        <v>45467</v>
      </c>
      <c r="C221" t="s">
        <v>12</v>
      </c>
      <c r="D221">
        <v>199</v>
      </c>
      <c r="E221">
        <v>5.8</v>
      </c>
      <c r="F221">
        <v>2</v>
      </c>
      <c r="G221">
        <v>4</v>
      </c>
      <c r="H221">
        <v>17</v>
      </c>
      <c r="I221">
        <v>60</v>
      </c>
      <c r="J221" t="s">
        <v>13</v>
      </c>
      <c r="K221">
        <f>IF(J221="Yes", 1, 0)</f>
        <v>0</v>
      </c>
      <c r="L221" t="str">
        <f>IF(G221=0,"0 Failures","1+ Failures")</f>
        <v>1+ Failures</v>
      </c>
      <c r="M221" t="str">
        <f t="shared" si="11"/>
        <v>5-10 hrs</v>
      </c>
      <c r="N221" t="str">
        <f t="shared" si="9"/>
        <v>12+ months</v>
      </c>
      <c r="O221" t="str">
        <f t="shared" si="10"/>
        <v>Basic</v>
      </c>
      <c r="P221" s="7">
        <v>45657</v>
      </c>
    </row>
    <row r="222" spans="1:16" x14ac:dyDescent="0.3">
      <c r="A222">
        <v>221</v>
      </c>
      <c r="B222" s="7">
        <v>45356</v>
      </c>
      <c r="C222" t="s">
        <v>14</v>
      </c>
      <c r="D222">
        <v>399</v>
      </c>
      <c r="E222">
        <v>19.5</v>
      </c>
      <c r="F222">
        <v>3</v>
      </c>
      <c r="G222">
        <v>2</v>
      </c>
      <c r="H222">
        <v>8</v>
      </c>
      <c r="I222">
        <v>7</v>
      </c>
      <c r="J222" t="s">
        <v>11</v>
      </c>
      <c r="K222">
        <f>IF(J222="Yes", 1, 0)</f>
        <v>1</v>
      </c>
      <c r="L222" t="str">
        <f>IF(G222=0,"0 Failures","1+ Failures")</f>
        <v>1+ Failures</v>
      </c>
      <c r="M222" t="str">
        <f t="shared" si="11"/>
        <v>10-20hrs</v>
      </c>
      <c r="N222" t="str">
        <f t="shared" si="9"/>
        <v>6-12months</v>
      </c>
      <c r="O222" t="str">
        <f t="shared" si="10"/>
        <v>Basic</v>
      </c>
      <c r="P222" s="7">
        <v>45657</v>
      </c>
    </row>
    <row r="223" spans="1:16" x14ac:dyDescent="0.3">
      <c r="A223">
        <v>222</v>
      </c>
      <c r="B223" s="7">
        <v>45454</v>
      </c>
      <c r="C223" t="s">
        <v>10</v>
      </c>
      <c r="D223">
        <v>699</v>
      </c>
      <c r="E223">
        <v>2</v>
      </c>
      <c r="F223">
        <v>7</v>
      </c>
      <c r="G223">
        <v>4</v>
      </c>
      <c r="H223">
        <v>30</v>
      </c>
      <c r="I223">
        <v>34</v>
      </c>
      <c r="J223" t="s">
        <v>11</v>
      </c>
      <c r="K223">
        <f>IF(J223="Yes", 1, 0)</f>
        <v>1</v>
      </c>
      <c r="L223" t="str">
        <f>IF(G223=0,"0 Failures","1+ Failures")</f>
        <v>1+ Failures</v>
      </c>
      <c r="M223" t="str">
        <f t="shared" si="11"/>
        <v>0-5 hrs</v>
      </c>
      <c r="N223" t="str">
        <f t="shared" si="9"/>
        <v>12+ months</v>
      </c>
      <c r="O223" t="str">
        <f t="shared" si="10"/>
        <v>Premium</v>
      </c>
      <c r="P223" s="7">
        <v>45657</v>
      </c>
    </row>
    <row r="224" spans="1:16" x14ac:dyDescent="0.3">
      <c r="A224">
        <v>223</v>
      </c>
      <c r="B224" s="7">
        <v>45173</v>
      </c>
      <c r="C224" t="s">
        <v>10</v>
      </c>
      <c r="D224">
        <v>699</v>
      </c>
      <c r="E224">
        <v>18.100000000000001</v>
      </c>
      <c r="F224">
        <v>4</v>
      </c>
      <c r="G224">
        <v>3</v>
      </c>
      <c r="H224">
        <v>16</v>
      </c>
      <c r="I224">
        <v>0</v>
      </c>
      <c r="J224" t="s">
        <v>13</v>
      </c>
      <c r="K224">
        <f>IF(J224="Yes", 1, 0)</f>
        <v>0</v>
      </c>
      <c r="L224" t="str">
        <f>IF(G224=0,"0 Failures","1+ Failures")</f>
        <v>1+ Failures</v>
      </c>
      <c r="M224" t="str">
        <f t="shared" si="11"/>
        <v>10-20hrs</v>
      </c>
      <c r="N224" t="str">
        <f t="shared" si="9"/>
        <v>12+ months</v>
      </c>
      <c r="O224" t="str">
        <f t="shared" si="10"/>
        <v>Premium</v>
      </c>
      <c r="P224" s="7">
        <v>45657</v>
      </c>
    </row>
    <row r="225" spans="1:16" x14ac:dyDescent="0.3">
      <c r="A225">
        <v>224</v>
      </c>
      <c r="B225" s="7">
        <v>45465</v>
      </c>
      <c r="C225" t="s">
        <v>10</v>
      </c>
      <c r="D225">
        <v>699</v>
      </c>
      <c r="E225">
        <v>5.0999999999999996</v>
      </c>
      <c r="F225">
        <v>1</v>
      </c>
      <c r="G225">
        <v>4</v>
      </c>
      <c r="H225">
        <v>27</v>
      </c>
      <c r="I225">
        <v>23</v>
      </c>
      <c r="J225" t="s">
        <v>11</v>
      </c>
      <c r="K225">
        <f>IF(J225="Yes", 1, 0)</f>
        <v>1</v>
      </c>
      <c r="L225" t="str">
        <f>IF(G225=0,"0 Failures","1+ Failures")</f>
        <v>1+ Failures</v>
      </c>
      <c r="M225" t="str">
        <f t="shared" si="11"/>
        <v>5-10 hrs</v>
      </c>
      <c r="N225" t="str">
        <f t="shared" si="9"/>
        <v>12+ months</v>
      </c>
      <c r="O225" t="str">
        <f t="shared" si="10"/>
        <v>Premium</v>
      </c>
      <c r="P225" s="7">
        <v>45657</v>
      </c>
    </row>
    <row r="226" spans="1:16" x14ac:dyDescent="0.3">
      <c r="A226">
        <v>225</v>
      </c>
      <c r="B226" s="7">
        <v>45408</v>
      </c>
      <c r="C226" t="s">
        <v>10</v>
      </c>
      <c r="D226">
        <v>699</v>
      </c>
      <c r="E226">
        <v>19.8</v>
      </c>
      <c r="F226">
        <v>8</v>
      </c>
      <c r="G226">
        <v>4</v>
      </c>
      <c r="H226">
        <v>33</v>
      </c>
      <c r="I226">
        <v>1</v>
      </c>
      <c r="J226" t="s">
        <v>11</v>
      </c>
      <c r="K226">
        <f>IF(J226="Yes", 1, 0)</f>
        <v>1</v>
      </c>
      <c r="L226" t="str">
        <f>IF(G226=0,"0 Failures","1+ Failures")</f>
        <v>1+ Failures</v>
      </c>
      <c r="M226" t="str">
        <f t="shared" si="11"/>
        <v>10-20hrs</v>
      </c>
      <c r="N226" t="str">
        <f t="shared" si="9"/>
        <v>12+ months</v>
      </c>
      <c r="O226" t="str">
        <f t="shared" si="10"/>
        <v>Premium</v>
      </c>
      <c r="P226" s="7">
        <v>45657</v>
      </c>
    </row>
    <row r="227" spans="1:16" x14ac:dyDescent="0.3">
      <c r="A227">
        <v>226</v>
      </c>
      <c r="B227" s="7">
        <v>44996</v>
      </c>
      <c r="C227" t="s">
        <v>12</v>
      </c>
      <c r="D227">
        <v>199</v>
      </c>
      <c r="E227">
        <v>24.5</v>
      </c>
      <c r="F227">
        <v>4</v>
      </c>
      <c r="G227">
        <v>5</v>
      </c>
      <c r="H227">
        <v>25</v>
      </c>
      <c r="I227">
        <v>1</v>
      </c>
      <c r="J227" t="s">
        <v>11</v>
      </c>
      <c r="K227">
        <f>IF(J227="Yes", 1, 0)</f>
        <v>1</v>
      </c>
      <c r="L227" t="str">
        <f>IF(G227=0,"0 Failures","1+ Failures")</f>
        <v>1+ Failures</v>
      </c>
      <c r="M227" t="str">
        <f t="shared" si="11"/>
        <v>20+ hrs</v>
      </c>
      <c r="N227" t="str">
        <f t="shared" si="9"/>
        <v>12+ months</v>
      </c>
      <c r="O227" t="str">
        <f t="shared" si="10"/>
        <v>Basic</v>
      </c>
      <c r="P227" s="7">
        <v>45657</v>
      </c>
    </row>
    <row r="228" spans="1:16" x14ac:dyDescent="0.3">
      <c r="A228">
        <v>227</v>
      </c>
      <c r="B228" s="7">
        <v>45063</v>
      </c>
      <c r="C228" t="s">
        <v>14</v>
      </c>
      <c r="D228">
        <v>399</v>
      </c>
      <c r="E228">
        <v>18.5</v>
      </c>
      <c r="F228">
        <v>1</v>
      </c>
      <c r="G228">
        <v>4</v>
      </c>
      <c r="H228">
        <v>16</v>
      </c>
      <c r="I228">
        <v>47</v>
      </c>
      <c r="J228" t="s">
        <v>13</v>
      </c>
      <c r="K228">
        <f>IF(J228="Yes", 1, 0)</f>
        <v>0</v>
      </c>
      <c r="L228" t="str">
        <f>IF(G228=0,"0 Failures","1+ Failures")</f>
        <v>1+ Failures</v>
      </c>
      <c r="M228" t="str">
        <f t="shared" si="11"/>
        <v>10-20hrs</v>
      </c>
      <c r="N228" t="str">
        <f t="shared" si="9"/>
        <v>12+ months</v>
      </c>
      <c r="O228" t="str">
        <f t="shared" si="10"/>
        <v>Basic</v>
      </c>
      <c r="P228" s="7">
        <v>45657</v>
      </c>
    </row>
    <row r="229" spans="1:16" x14ac:dyDescent="0.3">
      <c r="A229">
        <v>228</v>
      </c>
      <c r="B229" s="7">
        <v>45417</v>
      </c>
      <c r="C229" t="s">
        <v>12</v>
      </c>
      <c r="D229">
        <v>199</v>
      </c>
      <c r="E229">
        <v>13.9</v>
      </c>
      <c r="F229">
        <v>2</v>
      </c>
      <c r="G229">
        <v>5</v>
      </c>
      <c r="H229">
        <v>23</v>
      </c>
      <c r="I229">
        <v>29</v>
      </c>
      <c r="J229" t="s">
        <v>13</v>
      </c>
      <c r="K229">
        <f>IF(J229="Yes", 1, 0)</f>
        <v>0</v>
      </c>
      <c r="L229" t="str">
        <f>IF(G229=0,"0 Failures","1+ Failures")</f>
        <v>1+ Failures</v>
      </c>
      <c r="M229" t="str">
        <f t="shared" si="11"/>
        <v>10-20hrs</v>
      </c>
      <c r="N229" t="str">
        <f t="shared" si="9"/>
        <v>12+ months</v>
      </c>
      <c r="O229" t="str">
        <f t="shared" si="10"/>
        <v>Basic</v>
      </c>
      <c r="P229" s="7">
        <v>45657</v>
      </c>
    </row>
    <row r="230" spans="1:16" x14ac:dyDescent="0.3">
      <c r="A230">
        <v>229</v>
      </c>
      <c r="B230" s="7">
        <v>44964</v>
      </c>
      <c r="C230" t="s">
        <v>10</v>
      </c>
      <c r="D230">
        <v>699</v>
      </c>
      <c r="E230">
        <v>20.399999999999999</v>
      </c>
      <c r="F230">
        <v>1</v>
      </c>
      <c r="G230">
        <v>5</v>
      </c>
      <c r="H230">
        <v>12</v>
      </c>
      <c r="I230">
        <v>49</v>
      </c>
      <c r="J230" t="s">
        <v>13</v>
      </c>
      <c r="K230">
        <f>IF(J230="Yes", 1, 0)</f>
        <v>0</v>
      </c>
      <c r="L230" t="str">
        <f>IF(G230=0,"0 Failures","1+ Failures")</f>
        <v>1+ Failures</v>
      </c>
      <c r="M230" t="str">
        <f t="shared" si="11"/>
        <v>20+ hrs</v>
      </c>
      <c r="N230" t="str">
        <f t="shared" si="9"/>
        <v>6-12months</v>
      </c>
      <c r="O230" t="str">
        <f t="shared" si="10"/>
        <v>Premium</v>
      </c>
      <c r="P230" s="7">
        <v>45657</v>
      </c>
    </row>
    <row r="231" spans="1:16" x14ac:dyDescent="0.3">
      <c r="A231">
        <v>230</v>
      </c>
      <c r="B231" s="7">
        <v>45454</v>
      </c>
      <c r="C231" t="s">
        <v>14</v>
      </c>
      <c r="D231">
        <v>399</v>
      </c>
      <c r="E231">
        <v>1.6</v>
      </c>
      <c r="F231">
        <v>3</v>
      </c>
      <c r="G231">
        <v>0</v>
      </c>
      <c r="H231">
        <v>13</v>
      </c>
      <c r="I231">
        <v>20</v>
      </c>
      <c r="J231" t="s">
        <v>13</v>
      </c>
      <c r="K231">
        <f>IF(J231="Yes", 1, 0)</f>
        <v>0</v>
      </c>
      <c r="L231" t="str">
        <f>IF(G231=0,"0 Failures","1+ Failures")</f>
        <v>0 Failures</v>
      </c>
      <c r="M231" t="str">
        <f t="shared" si="11"/>
        <v>0-5 hrs</v>
      </c>
      <c r="N231" t="str">
        <f t="shared" si="9"/>
        <v>12+ months</v>
      </c>
      <c r="O231" t="str">
        <f t="shared" si="10"/>
        <v>Basic</v>
      </c>
      <c r="P231" s="7">
        <v>45657</v>
      </c>
    </row>
    <row r="232" spans="1:16" x14ac:dyDescent="0.3">
      <c r="A232">
        <v>231</v>
      </c>
      <c r="B232" s="7">
        <v>44975</v>
      </c>
      <c r="C232" t="s">
        <v>14</v>
      </c>
      <c r="D232">
        <v>399</v>
      </c>
      <c r="E232">
        <v>12.1</v>
      </c>
      <c r="F232">
        <v>0</v>
      </c>
      <c r="G232">
        <v>5</v>
      </c>
      <c r="H232">
        <v>35</v>
      </c>
      <c r="I232">
        <v>12</v>
      </c>
      <c r="J232" t="s">
        <v>11</v>
      </c>
      <c r="K232">
        <f>IF(J232="Yes", 1, 0)</f>
        <v>1</v>
      </c>
      <c r="L232" t="str">
        <f>IF(G232=0,"0 Failures","1+ Failures")</f>
        <v>1+ Failures</v>
      </c>
      <c r="M232" t="str">
        <f t="shared" si="11"/>
        <v>10-20hrs</v>
      </c>
      <c r="N232" t="str">
        <f t="shared" si="9"/>
        <v>12+ months</v>
      </c>
      <c r="O232" t="str">
        <f t="shared" si="10"/>
        <v>Basic</v>
      </c>
      <c r="P232" s="7">
        <v>45657</v>
      </c>
    </row>
    <row r="233" spans="1:16" x14ac:dyDescent="0.3">
      <c r="A233">
        <v>232</v>
      </c>
      <c r="B233" s="7">
        <v>45377</v>
      </c>
      <c r="C233" t="s">
        <v>10</v>
      </c>
      <c r="D233">
        <v>699</v>
      </c>
      <c r="E233">
        <v>7.2</v>
      </c>
      <c r="F233">
        <v>5</v>
      </c>
      <c r="G233">
        <v>3</v>
      </c>
      <c r="H233">
        <v>22</v>
      </c>
      <c r="I233">
        <v>56</v>
      </c>
      <c r="J233" t="s">
        <v>11</v>
      </c>
      <c r="K233">
        <f>IF(J233="Yes", 1, 0)</f>
        <v>1</v>
      </c>
      <c r="L233" t="str">
        <f>IF(G233=0,"0 Failures","1+ Failures")</f>
        <v>1+ Failures</v>
      </c>
      <c r="M233" t="str">
        <f t="shared" si="11"/>
        <v>5-10 hrs</v>
      </c>
      <c r="N233" t="str">
        <f t="shared" si="9"/>
        <v>12+ months</v>
      </c>
      <c r="O233" t="str">
        <f t="shared" si="10"/>
        <v>Premium</v>
      </c>
      <c r="P233" s="7">
        <v>45657</v>
      </c>
    </row>
    <row r="234" spans="1:16" x14ac:dyDescent="0.3">
      <c r="A234">
        <v>233</v>
      </c>
      <c r="B234" s="7">
        <v>45458</v>
      </c>
      <c r="C234" t="s">
        <v>14</v>
      </c>
      <c r="D234">
        <v>399</v>
      </c>
      <c r="E234">
        <v>24.4</v>
      </c>
      <c r="F234">
        <v>7</v>
      </c>
      <c r="G234">
        <v>5</v>
      </c>
      <c r="H234">
        <v>22</v>
      </c>
      <c r="I234">
        <v>31</v>
      </c>
      <c r="J234" t="s">
        <v>11</v>
      </c>
      <c r="K234">
        <f>IF(J234="Yes", 1, 0)</f>
        <v>1</v>
      </c>
      <c r="L234" t="str">
        <f>IF(G234=0,"0 Failures","1+ Failures")</f>
        <v>1+ Failures</v>
      </c>
      <c r="M234" t="str">
        <f t="shared" si="11"/>
        <v>20+ hrs</v>
      </c>
      <c r="N234" t="str">
        <f t="shared" si="9"/>
        <v>12+ months</v>
      </c>
      <c r="O234" t="str">
        <f t="shared" si="10"/>
        <v>Basic</v>
      </c>
      <c r="P234" s="7">
        <v>45657</v>
      </c>
    </row>
    <row r="235" spans="1:16" x14ac:dyDescent="0.3">
      <c r="A235">
        <v>234</v>
      </c>
      <c r="B235" s="7">
        <v>45111</v>
      </c>
      <c r="C235" t="s">
        <v>14</v>
      </c>
      <c r="D235">
        <v>399</v>
      </c>
      <c r="E235">
        <v>18.3</v>
      </c>
      <c r="F235">
        <v>1</v>
      </c>
      <c r="G235">
        <v>3</v>
      </c>
      <c r="H235">
        <v>6</v>
      </c>
      <c r="I235">
        <v>38</v>
      </c>
      <c r="J235" t="s">
        <v>13</v>
      </c>
      <c r="K235">
        <f>IF(J235="Yes", 1, 0)</f>
        <v>0</v>
      </c>
      <c r="L235" t="str">
        <f>IF(G235=0,"0 Failures","1+ Failures")</f>
        <v>1+ Failures</v>
      </c>
      <c r="M235" t="str">
        <f t="shared" si="11"/>
        <v>10-20hrs</v>
      </c>
      <c r="N235" t="str">
        <f t="shared" si="9"/>
        <v>3-6months</v>
      </c>
      <c r="O235" t="str">
        <f t="shared" si="10"/>
        <v>Basic</v>
      </c>
      <c r="P235" s="7">
        <v>45657</v>
      </c>
    </row>
    <row r="236" spans="1:16" x14ac:dyDescent="0.3">
      <c r="A236">
        <v>235</v>
      </c>
      <c r="B236" s="7">
        <v>45383</v>
      </c>
      <c r="C236" t="s">
        <v>10</v>
      </c>
      <c r="D236">
        <v>699</v>
      </c>
      <c r="E236">
        <v>8.4</v>
      </c>
      <c r="F236">
        <v>1</v>
      </c>
      <c r="G236">
        <v>2</v>
      </c>
      <c r="H236">
        <v>19</v>
      </c>
      <c r="I236">
        <v>42</v>
      </c>
      <c r="J236" t="s">
        <v>11</v>
      </c>
      <c r="K236">
        <f>IF(J236="Yes", 1, 0)</f>
        <v>1</v>
      </c>
      <c r="L236" t="str">
        <f>IF(G236=0,"0 Failures","1+ Failures")</f>
        <v>1+ Failures</v>
      </c>
      <c r="M236" t="str">
        <f t="shared" si="11"/>
        <v>5-10 hrs</v>
      </c>
      <c r="N236" t="str">
        <f t="shared" si="9"/>
        <v>12+ months</v>
      </c>
      <c r="O236" t="str">
        <f t="shared" si="10"/>
        <v>Premium</v>
      </c>
      <c r="P236" s="7">
        <v>45657</v>
      </c>
    </row>
    <row r="237" spans="1:16" x14ac:dyDescent="0.3">
      <c r="A237">
        <v>236</v>
      </c>
      <c r="B237" s="7">
        <v>45288</v>
      </c>
      <c r="C237" t="s">
        <v>10</v>
      </c>
      <c r="D237">
        <v>699</v>
      </c>
      <c r="E237">
        <v>4.5999999999999996</v>
      </c>
      <c r="F237">
        <v>7</v>
      </c>
      <c r="G237">
        <v>2</v>
      </c>
      <c r="H237">
        <v>28</v>
      </c>
      <c r="I237">
        <v>28</v>
      </c>
      <c r="J237" t="s">
        <v>11</v>
      </c>
      <c r="K237">
        <f>IF(J237="Yes", 1, 0)</f>
        <v>1</v>
      </c>
      <c r="L237" t="str">
        <f>IF(G237=0,"0 Failures","1+ Failures")</f>
        <v>1+ Failures</v>
      </c>
      <c r="M237" t="str">
        <f t="shared" si="11"/>
        <v>0-5 hrs</v>
      </c>
      <c r="N237" t="str">
        <f t="shared" si="9"/>
        <v>12+ months</v>
      </c>
      <c r="O237" t="str">
        <f t="shared" si="10"/>
        <v>Premium</v>
      </c>
      <c r="P237" s="7">
        <v>45657</v>
      </c>
    </row>
    <row r="238" spans="1:16" x14ac:dyDescent="0.3">
      <c r="A238">
        <v>237</v>
      </c>
      <c r="B238" s="7">
        <v>45299</v>
      </c>
      <c r="C238" t="s">
        <v>10</v>
      </c>
      <c r="D238">
        <v>699</v>
      </c>
      <c r="E238">
        <v>7.2</v>
      </c>
      <c r="F238">
        <v>0</v>
      </c>
      <c r="G238">
        <v>0</v>
      </c>
      <c r="H238">
        <v>28</v>
      </c>
      <c r="I238">
        <v>42</v>
      </c>
      <c r="J238" t="s">
        <v>13</v>
      </c>
      <c r="K238">
        <f>IF(J238="Yes", 1, 0)</f>
        <v>0</v>
      </c>
      <c r="L238" t="str">
        <f>IF(G238=0,"0 Failures","1+ Failures")</f>
        <v>0 Failures</v>
      </c>
      <c r="M238" t="str">
        <f t="shared" si="11"/>
        <v>5-10 hrs</v>
      </c>
      <c r="N238" t="str">
        <f t="shared" si="9"/>
        <v>12+ months</v>
      </c>
      <c r="O238" t="str">
        <f t="shared" si="10"/>
        <v>Premium</v>
      </c>
      <c r="P238" s="7">
        <v>45657</v>
      </c>
    </row>
    <row r="239" spans="1:16" x14ac:dyDescent="0.3">
      <c r="A239">
        <v>238</v>
      </c>
      <c r="B239" s="7">
        <v>44962</v>
      </c>
      <c r="C239" t="s">
        <v>10</v>
      </c>
      <c r="D239">
        <v>699</v>
      </c>
      <c r="E239">
        <v>23.8</v>
      </c>
      <c r="F239">
        <v>2</v>
      </c>
      <c r="G239">
        <v>4</v>
      </c>
      <c r="H239">
        <v>11</v>
      </c>
      <c r="I239">
        <v>43</v>
      </c>
      <c r="J239" t="s">
        <v>13</v>
      </c>
      <c r="K239">
        <f>IF(J239="Yes", 1, 0)</f>
        <v>0</v>
      </c>
      <c r="L239" t="str">
        <f>IF(G239=0,"0 Failures","1+ Failures")</f>
        <v>1+ Failures</v>
      </c>
      <c r="M239" t="str">
        <f t="shared" si="11"/>
        <v>20+ hrs</v>
      </c>
      <c r="N239" t="str">
        <f t="shared" si="9"/>
        <v>6-12months</v>
      </c>
      <c r="O239" t="str">
        <f t="shared" si="10"/>
        <v>Premium</v>
      </c>
      <c r="P239" s="7">
        <v>45657</v>
      </c>
    </row>
    <row r="240" spans="1:16" x14ac:dyDescent="0.3">
      <c r="A240">
        <v>239</v>
      </c>
      <c r="B240" s="7">
        <v>44960</v>
      </c>
      <c r="C240" t="s">
        <v>12</v>
      </c>
      <c r="D240">
        <v>199</v>
      </c>
      <c r="E240">
        <v>6.3</v>
      </c>
      <c r="F240">
        <v>5</v>
      </c>
      <c r="G240">
        <v>2</v>
      </c>
      <c r="H240">
        <v>5</v>
      </c>
      <c r="I240">
        <v>24</v>
      </c>
      <c r="J240" t="s">
        <v>13</v>
      </c>
      <c r="K240">
        <f>IF(J240="Yes", 1, 0)</f>
        <v>0</v>
      </c>
      <c r="L240" t="str">
        <f>IF(G240=0,"0 Failures","1+ Failures")</f>
        <v>1+ Failures</v>
      </c>
      <c r="M240" t="str">
        <f t="shared" si="11"/>
        <v>5-10 hrs</v>
      </c>
      <c r="N240" t="str">
        <f t="shared" si="9"/>
        <v>3-6months</v>
      </c>
      <c r="O240" t="str">
        <f t="shared" si="10"/>
        <v>Basic</v>
      </c>
      <c r="P240" s="7">
        <v>45657</v>
      </c>
    </row>
    <row r="241" spans="1:16" x14ac:dyDescent="0.3">
      <c r="A241">
        <v>240</v>
      </c>
      <c r="B241" s="7">
        <v>45514</v>
      </c>
      <c r="C241" t="s">
        <v>10</v>
      </c>
      <c r="D241">
        <v>699</v>
      </c>
      <c r="E241">
        <v>17.100000000000001</v>
      </c>
      <c r="F241">
        <v>5</v>
      </c>
      <c r="G241">
        <v>2</v>
      </c>
      <c r="H241">
        <v>10</v>
      </c>
      <c r="I241">
        <v>28</v>
      </c>
      <c r="J241" t="s">
        <v>13</v>
      </c>
      <c r="K241">
        <f>IF(J241="Yes", 1, 0)</f>
        <v>0</v>
      </c>
      <c r="L241" t="str">
        <f>IF(G241=0,"0 Failures","1+ Failures")</f>
        <v>1+ Failures</v>
      </c>
      <c r="M241" t="str">
        <f t="shared" si="11"/>
        <v>10-20hrs</v>
      </c>
      <c r="N241" t="str">
        <f t="shared" si="9"/>
        <v>6-12months</v>
      </c>
      <c r="O241" t="str">
        <f t="shared" si="10"/>
        <v>Premium</v>
      </c>
      <c r="P241" s="7">
        <v>45657</v>
      </c>
    </row>
    <row r="242" spans="1:16" x14ac:dyDescent="0.3">
      <c r="A242">
        <v>241</v>
      </c>
      <c r="B242" s="7">
        <v>45043</v>
      </c>
      <c r="C242" t="s">
        <v>12</v>
      </c>
      <c r="D242">
        <v>199</v>
      </c>
      <c r="E242">
        <v>9.5</v>
      </c>
      <c r="F242">
        <v>5</v>
      </c>
      <c r="G242">
        <v>5</v>
      </c>
      <c r="H242">
        <v>34</v>
      </c>
      <c r="I242">
        <v>17</v>
      </c>
      <c r="J242" t="s">
        <v>11</v>
      </c>
      <c r="K242">
        <f>IF(J242="Yes", 1, 0)</f>
        <v>1</v>
      </c>
      <c r="L242" t="str">
        <f>IF(G242=0,"0 Failures","1+ Failures")</f>
        <v>1+ Failures</v>
      </c>
      <c r="M242" t="str">
        <f t="shared" si="11"/>
        <v>5-10 hrs</v>
      </c>
      <c r="N242" t="str">
        <f t="shared" si="9"/>
        <v>12+ months</v>
      </c>
      <c r="O242" t="str">
        <f t="shared" si="10"/>
        <v>Basic</v>
      </c>
      <c r="P242" s="7">
        <v>45657</v>
      </c>
    </row>
    <row r="243" spans="1:16" x14ac:dyDescent="0.3">
      <c r="A243">
        <v>242</v>
      </c>
      <c r="B243" s="7">
        <v>45193</v>
      </c>
      <c r="C243" t="s">
        <v>12</v>
      </c>
      <c r="D243">
        <v>199</v>
      </c>
      <c r="E243">
        <v>12.7</v>
      </c>
      <c r="F243">
        <v>6</v>
      </c>
      <c r="G243">
        <v>4</v>
      </c>
      <c r="H243">
        <v>12</v>
      </c>
      <c r="I243">
        <v>7</v>
      </c>
      <c r="J243" t="s">
        <v>11</v>
      </c>
      <c r="K243">
        <f>IF(J243="Yes", 1, 0)</f>
        <v>1</v>
      </c>
      <c r="L243" t="str">
        <f>IF(G243=0,"0 Failures","1+ Failures")</f>
        <v>1+ Failures</v>
      </c>
      <c r="M243" t="str">
        <f t="shared" si="11"/>
        <v>10-20hrs</v>
      </c>
      <c r="N243" t="str">
        <f t="shared" si="9"/>
        <v>6-12months</v>
      </c>
      <c r="O243" t="str">
        <f t="shared" si="10"/>
        <v>Basic</v>
      </c>
      <c r="P243" s="7">
        <v>45657</v>
      </c>
    </row>
    <row r="244" spans="1:16" x14ac:dyDescent="0.3">
      <c r="A244">
        <v>243</v>
      </c>
      <c r="B244" s="7">
        <v>45131</v>
      </c>
      <c r="C244" t="s">
        <v>10</v>
      </c>
      <c r="D244">
        <v>699</v>
      </c>
      <c r="E244">
        <v>5.8</v>
      </c>
      <c r="F244">
        <v>4</v>
      </c>
      <c r="G244">
        <v>5</v>
      </c>
      <c r="H244">
        <v>29</v>
      </c>
      <c r="I244">
        <v>58</v>
      </c>
      <c r="J244" t="s">
        <v>13</v>
      </c>
      <c r="K244">
        <f>IF(J244="Yes", 1, 0)</f>
        <v>0</v>
      </c>
      <c r="L244" t="str">
        <f>IF(G244=0,"0 Failures","1+ Failures")</f>
        <v>1+ Failures</v>
      </c>
      <c r="M244" t="str">
        <f t="shared" si="11"/>
        <v>5-10 hrs</v>
      </c>
      <c r="N244" t="str">
        <f t="shared" si="9"/>
        <v>12+ months</v>
      </c>
      <c r="O244" t="str">
        <f t="shared" si="10"/>
        <v>Premium</v>
      </c>
      <c r="P244" s="7">
        <v>45657</v>
      </c>
    </row>
    <row r="245" spans="1:16" x14ac:dyDescent="0.3">
      <c r="A245">
        <v>244</v>
      </c>
      <c r="B245" s="7">
        <v>45016</v>
      </c>
      <c r="C245" t="s">
        <v>12</v>
      </c>
      <c r="D245">
        <v>199</v>
      </c>
      <c r="E245">
        <v>21.4</v>
      </c>
      <c r="F245">
        <v>7</v>
      </c>
      <c r="G245">
        <v>1</v>
      </c>
      <c r="H245">
        <v>9</v>
      </c>
      <c r="I245">
        <v>57</v>
      </c>
      <c r="J245" t="s">
        <v>13</v>
      </c>
      <c r="K245">
        <f>IF(J245="Yes", 1, 0)</f>
        <v>0</v>
      </c>
      <c r="L245" t="str">
        <f>IF(G245=0,"0 Failures","1+ Failures")</f>
        <v>1+ Failures</v>
      </c>
      <c r="M245" t="str">
        <f t="shared" si="11"/>
        <v>20+ hrs</v>
      </c>
      <c r="N245" t="str">
        <f t="shared" si="9"/>
        <v>6-12months</v>
      </c>
      <c r="O245" t="str">
        <f t="shared" si="10"/>
        <v>Basic</v>
      </c>
      <c r="P245" s="7">
        <v>45657</v>
      </c>
    </row>
    <row r="246" spans="1:16" x14ac:dyDescent="0.3">
      <c r="A246">
        <v>245</v>
      </c>
      <c r="B246" s="7">
        <v>45234</v>
      </c>
      <c r="C246" t="s">
        <v>10</v>
      </c>
      <c r="D246">
        <v>699</v>
      </c>
      <c r="E246">
        <v>16.899999999999999</v>
      </c>
      <c r="F246">
        <v>1</v>
      </c>
      <c r="G246">
        <v>4</v>
      </c>
      <c r="H246">
        <v>21</v>
      </c>
      <c r="I246">
        <v>34</v>
      </c>
      <c r="J246" t="s">
        <v>11</v>
      </c>
      <c r="K246">
        <f>IF(J246="Yes", 1, 0)</f>
        <v>1</v>
      </c>
      <c r="L246" t="str">
        <f>IF(G246=0,"0 Failures","1+ Failures")</f>
        <v>1+ Failures</v>
      </c>
      <c r="M246" t="str">
        <f t="shared" si="11"/>
        <v>10-20hrs</v>
      </c>
      <c r="N246" t="str">
        <f t="shared" si="9"/>
        <v>12+ months</v>
      </c>
      <c r="O246" t="str">
        <f t="shared" si="10"/>
        <v>Premium</v>
      </c>
      <c r="P246" s="7">
        <v>45657</v>
      </c>
    </row>
    <row r="247" spans="1:16" x14ac:dyDescent="0.3">
      <c r="A247">
        <v>246</v>
      </c>
      <c r="B247" s="7">
        <v>45069</v>
      </c>
      <c r="C247" t="s">
        <v>12</v>
      </c>
      <c r="D247">
        <v>199</v>
      </c>
      <c r="E247">
        <v>19.899999999999999</v>
      </c>
      <c r="F247">
        <v>8</v>
      </c>
      <c r="G247">
        <v>1</v>
      </c>
      <c r="H247">
        <v>12</v>
      </c>
      <c r="I247">
        <v>7</v>
      </c>
      <c r="J247" t="s">
        <v>13</v>
      </c>
      <c r="K247">
        <f>IF(J247="Yes", 1, 0)</f>
        <v>0</v>
      </c>
      <c r="L247" t="str">
        <f>IF(G247=0,"0 Failures","1+ Failures")</f>
        <v>1+ Failures</v>
      </c>
      <c r="M247" t="str">
        <f t="shared" si="11"/>
        <v>10-20hrs</v>
      </c>
      <c r="N247" t="str">
        <f t="shared" si="9"/>
        <v>6-12months</v>
      </c>
      <c r="O247" t="str">
        <f t="shared" si="10"/>
        <v>Basic</v>
      </c>
      <c r="P247" s="7">
        <v>45657</v>
      </c>
    </row>
    <row r="248" spans="1:16" x14ac:dyDescent="0.3">
      <c r="A248">
        <v>247</v>
      </c>
      <c r="B248" s="7">
        <v>45491</v>
      </c>
      <c r="C248" t="s">
        <v>12</v>
      </c>
      <c r="D248">
        <v>199</v>
      </c>
      <c r="E248">
        <v>1.1000000000000001</v>
      </c>
      <c r="F248">
        <v>8</v>
      </c>
      <c r="G248">
        <v>4</v>
      </c>
      <c r="H248">
        <v>32</v>
      </c>
      <c r="I248">
        <v>23</v>
      </c>
      <c r="J248" t="s">
        <v>11</v>
      </c>
      <c r="K248">
        <f>IF(J248="Yes", 1, 0)</f>
        <v>1</v>
      </c>
      <c r="L248" t="str">
        <f>IF(G248=0,"0 Failures","1+ Failures")</f>
        <v>1+ Failures</v>
      </c>
      <c r="M248" t="str">
        <f t="shared" si="11"/>
        <v>0-5 hrs</v>
      </c>
      <c r="N248" t="str">
        <f t="shared" si="9"/>
        <v>12+ months</v>
      </c>
      <c r="O248" t="str">
        <f t="shared" si="10"/>
        <v>Basic</v>
      </c>
      <c r="P248" s="7">
        <v>45657</v>
      </c>
    </row>
    <row r="249" spans="1:16" x14ac:dyDescent="0.3">
      <c r="A249">
        <v>248</v>
      </c>
      <c r="B249" s="7">
        <v>45347</v>
      </c>
      <c r="C249" t="s">
        <v>12</v>
      </c>
      <c r="D249">
        <v>199</v>
      </c>
      <c r="E249">
        <v>2.1</v>
      </c>
      <c r="F249">
        <v>6</v>
      </c>
      <c r="G249">
        <v>5</v>
      </c>
      <c r="H249">
        <v>6</v>
      </c>
      <c r="I249">
        <v>46</v>
      </c>
      <c r="J249" t="s">
        <v>11</v>
      </c>
      <c r="K249">
        <f>IF(J249="Yes", 1, 0)</f>
        <v>1</v>
      </c>
      <c r="L249" t="str">
        <f>IF(G249=0,"0 Failures","1+ Failures")</f>
        <v>1+ Failures</v>
      </c>
      <c r="M249" t="str">
        <f t="shared" si="11"/>
        <v>0-5 hrs</v>
      </c>
      <c r="N249" t="str">
        <f t="shared" si="9"/>
        <v>3-6months</v>
      </c>
      <c r="O249" t="str">
        <f t="shared" si="10"/>
        <v>Basic</v>
      </c>
      <c r="P249" s="7">
        <v>45657</v>
      </c>
    </row>
    <row r="250" spans="1:16" x14ac:dyDescent="0.3">
      <c r="A250">
        <v>249</v>
      </c>
      <c r="B250" s="7">
        <v>45623</v>
      </c>
      <c r="C250" t="s">
        <v>14</v>
      </c>
      <c r="D250">
        <v>399</v>
      </c>
      <c r="E250">
        <v>3.6</v>
      </c>
      <c r="F250">
        <v>5</v>
      </c>
      <c r="G250">
        <v>5</v>
      </c>
      <c r="H250">
        <v>5</v>
      </c>
      <c r="I250">
        <v>4</v>
      </c>
      <c r="J250" t="s">
        <v>11</v>
      </c>
      <c r="K250">
        <f>IF(J250="Yes", 1, 0)</f>
        <v>1</v>
      </c>
      <c r="L250" t="str">
        <f>IF(G250=0,"0 Failures","1+ Failures")</f>
        <v>1+ Failures</v>
      </c>
      <c r="M250" t="str">
        <f t="shared" si="11"/>
        <v>0-5 hrs</v>
      </c>
      <c r="N250" t="str">
        <f t="shared" si="9"/>
        <v>3-6months</v>
      </c>
      <c r="O250" t="str">
        <f t="shared" si="10"/>
        <v>Basic</v>
      </c>
      <c r="P250" s="7">
        <v>45657</v>
      </c>
    </row>
    <row r="251" spans="1:16" x14ac:dyDescent="0.3">
      <c r="A251">
        <v>250</v>
      </c>
      <c r="B251" s="7">
        <v>45059</v>
      </c>
      <c r="C251" t="s">
        <v>10</v>
      </c>
      <c r="D251">
        <v>699</v>
      </c>
      <c r="E251">
        <v>3.6</v>
      </c>
      <c r="F251">
        <v>8</v>
      </c>
      <c r="G251">
        <v>5</v>
      </c>
      <c r="H251">
        <v>23</v>
      </c>
      <c r="I251">
        <v>37</v>
      </c>
      <c r="J251" t="s">
        <v>11</v>
      </c>
      <c r="K251">
        <f>IF(J251="Yes", 1, 0)</f>
        <v>1</v>
      </c>
      <c r="L251" t="str">
        <f>IF(G251=0,"0 Failures","1+ Failures")</f>
        <v>1+ Failures</v>
      </c>
      <c r="M251" t="str">
        <f t="shared" si="11"/>
        <v>0-5 hrs</v>
      </c>
      <c r="N251" t="str">
        <f t="shared" si="9"/>
        <v>12+ months</v>
      </c>
      <c r="O251" t="str">
        <f t="shared" si="10"/>
        <v>Premium</v>
      </c>
      <c r="P251" s="7">
        <v>45657</v>
      </c>
    </row>
    <row r="252" spans="1:16" x14ac:dyDescent="0.3">
      <c r="A252">
        <v>251</v>
      </c>
      <c r="B252" s="7">
        <v>45095</v>
      </c>
      <c r="C252" t="s">
        <v>14</v>
      </c>
      <c r="D252">
        <v>399</v>
      </c>
      <c r="E252">
        <v>22.8</v>
      </c>
      <c r="F252">
        <v>0</v>
      </c>
      <c r="G252">
        <v>0</v>
      </c>
      <c r="H252">
        <v>33</v>
      </c>
      <c r="I252">
        <v>33</v>
      </c>
      <c r="J252" t="s">
        <v>11</v>
      </c>
      <c r="K252">
        <f>IF(J252="Yes", 1, 0)</f>
        <v>1</v>
      </c>
      <c r="L252" t="str">
        <f>IF(G252=0,"0 Failures","1+ Failures")</f>
        <v>0 Failures</v>
      </c>
      <c r="M252" t="str">
        <f t="shared" si="11"/>
        <v>20+ hrs</v>
      </c>
      <c r="N252" t="str">
        <f t="shared" si="9"/>
        <v>12+ months</v>
      </c>
      <c r="O252" t="str">
        <f t="shared" si="10"/>
        <v>Basic</v>
      </c>
      <c r="P252" s="7">
        <v>45657</v>
      </c>
    </row>
    <row r="253" spans="1:16" x14ac:dyDescent="0.3">
      <c r="A253">
        <v>252</v>
      </c>
      <c r="B253" s="7">
        <v>45217</v>
      </c>
      <c r="C253" t="s">
        <v>12</v>
      </c>
      <c r="D253">
        <v>199</v>
      </c>
      <c r="E253">
        <v>23.4</v>
      </c>
      <c r="F253">
        <v>3</v>
      </c>
      <c r="G253">
        <v>2</v>
      </c>
      <c r="H253">
        <v>21</v>
      </c>
      <c r="I253">
        <v>60</v>
      </c>
      <c r="J253" t="s">
        <v>13</v>
      </c>
      <c r="K253">
        <f>IF(J253="Yes", 1, 0)</f>
        <v>0</v>
      </c>
      <c r="L253" t="str">
        <f>IF(G253=0,"0 Failures","1+ Failures")</f>
        <v>1+ Failures</v>
      </c>
      <c r="M253" t="str">
        <f t="shared" si="11"/>
        <v>20+ hrs</v>
      </c>
      <c r="N253" t="str">
        <f t="shared" si="9"/>
        <v>12+ months</v>
      </c>
      <c r="O253" t="str">
        <f t="shared" si="10"/>
        <v>Basic</v>
      </c>
      <c r="P253" s="7">
        <v>45657</v>
      </c>
    </row>
    <row r="254" spans="1:16" x14ac:dyDescent="0.3">
      <c r="A254">
        <v>253</v>
      </c>
      <c r="B254" s="7">
        <v>45556</v>
      </c>
      <c r="C254" t="s">
        <v>12</v>
      </c>
      <c r="D254">
        <v>199</v>
      </c>
      <c r="E254">
        <v>5.3</v>
      </c>
      <c r="F254">
        <v>8</v>
      </c>
      <c r="G254">
        <v>2</v>
      </c>
      <c r="H254">
        <v>17</v>
      </c>
      <c r="I254">
        <v>8</v>
      </c>
      <c r="J254" t="s">
        <v>13</v>
      </c>
      <c r="K254">
        <f>IF(J254="Yes", 1, 0)</f>
        <v>0</v>
      </c>
      <c r="L254" t="str">
        <f>IF(G254=0,"0 Failures","1+ Failures")</f>
        <v>1+ Failures</v>
      </c>
      <c r="M254" t="str">
        <f t="shared" si="11"/>
        <v>5-10 hrs</v>
      </c>
      <c r="N254" t="str">
        <f t="shared" si="9"/>
        <v>12+ months</v>
      </c>
      <c r="O254" t="str">
        <f t="shared" si="10"/>
        <v>Basic</v>
      </c>
      <c r="P254" s="7">
        <v>45657</v>
      </c>
    </row>
    <row r="255" spans="1:16" x14ac:dyDescent="0.3">
      <c r="A255">
        <v>254</v>
      </c>
      <c r="B255" s="7">
        <v>45102</v>
      </c>
      <c r="C255" t="s">
        <v>10</v>
      </c>
      <c r="D255">
        <v>699</v>
      </c>
      <c r="E255">
        <v>12.8</v>
      </c>
      <c r="F255">
        <v>2</v>
      </c>
      <c r="G255">
        <v>4</v>
      </c>
      <c r="H255">
        <v>6</v>
      </c>
      <c r="I255">
        <v>60</v>
      </c>
      <c r="J255" t="s">
        <v>11</v>
      </c>
      <c r="K255">
        <f>IF(J255="Yes", 1, 0)</f>
        <v>1</v>
      </c>
      <c r="L255" t="str">
        <f>IF(G255=0,"0 Failures","1+ Failures")</f>
        <v>1+ Failures</v>
      </c>
      <c r="M255" t="str">
        <f t="shared" si="11"/>
        <v>10-20hrs</v>
      </c>
      <c r="N255" t="str">
        <f t="shared" si="9"/>
        <v>3-6months</v>
      </c>
      <c r="O255" t="str">
        <f t="shared" si="10"/>
        <v>Premium</v>
      </c>
      <c r="P255" s="7">
        <v>45657</v>
      </c>
    </row>
    <row r="256" spans="1:16" x14ac:dyDescent="0.3">
      <c r="A256">
        <v>255</v>
      </c>
      <c r="B256" s="7">
        <v>45583</v>
      </c>
      <c r="C256" t="s">
        <v>10</v>
      </c>
      <c r="D256">
        <v>699</v>
      </c>
      <c r="E256">
        <v>21.1</v>
      </c>
      <c r="F256">
        <v>0</v>
      </c>
      <c r="G256">
        <v>0</v>
      </c>
      <c r="H256">
        <v>22</v>
      </c>
      <c r="I256">
        <v>5</v>
      </c>
      <c r="J256" t="s">
        <v>11</v>
      </c>
      <c r="K256">
        <f>IF(J256="Yes", 1, 0)</f>
        <v>1</v>
      </c>
      <c r="L256" t="str">
        <f>IF(G256=0,"0 Failures","1+ Failures")</f>
        <v>0 Failures</v>
      </c>
      <c r="M256" t="str">
        <f t="shared" si="11"/>
        <v>20+ hrs</v>
      </c>
      <c r="N256" t="str">
        <f t="shared" si="9"/>
        <v>12+ months</v>
      </c>
      <c r="O256" t="str">
        <f t="shared" si="10"/>
        <v>Premium</v>
      </c>
      <c r="P256" s="7">
        <v>45657</v>
      </c>
    </row>
    <row r="257" spans="1:16" x14ac:dyDescent="0.3">
      <c r="A257">
        <v>256</v>
      </c>
      <c r="B257" s="7">
        <v>45569</v>
      </c>
      <c r="C257" t="s">
        <v>10</v>
      </c>
      <c r="D257">
        <v>699</v>
      </c>
      <c r="E257">
        <v>16.5</v>
      </c>
      <c r="F257">
        <v>6</v>
      </c>
      <c r="G257">
        <v>4</v>
      </c>
      <c r="H257">
        <v>17</v>
      </c>
      <c r="I257">
        <v>40</v>
      </c>
      <c r="J257" t="s">
        <v>11</v>
      </c>
      <c r="K257">
        <f>IF(J257="Yes", 1, 0)</f>
        <v>1</v>
      </c>
      <c r="L257" t="str">
        <f>IF(G257=0,"0 Failures","1+ Failures")</f>
        <v>1+ Failures</v>
      </c>
      <c r="M257" t="str">
        <f t="shared" si="11"/>
        <v>10-20hrs</v>
      </c>
      <c r="N257" t="str">
        <f t="shared" si="9"/>
        <v>12+ months</v>
      </c>
      <c r="O257" t="str">
        <f t="shared" si="10"/>
        <v>Premium</v>
      </c>
      <c r="P257" s="7">
        <v>45657</v>
      </c>
    </row>
    <row r="258" spans="1:16" x14ac:dyDescent="0.3">
      <c r="A258">
        <v>257</v>
      </c>
      <c r="B258" s="7">
        <v>45628</v>
      </c>
      <c r="C258" t="s">
        <v>10</v>
      </c>
      <c r="D258">
        <v>699</v>
      </c>
      <c r="E258">
        <v>16.2</v>
      </c>
      <c r="F258">
        <v>4</v>
      </c>
      <c r="G258">
        <v>3</v>
      </c>
      <c r="H258">
        <v>19</v>
      </c>
      <c r="I258">
        <v>15</v>
      </c>
      <c r="J258" t="s">
        <v>13</v>
      </c>
      <c r="K258">
        <f>IF(J258="Yes", 1, 0)</f>
        <v>0</v>
      </c>
      <c r="L258" t="str">
        <f>IF(G258=0,"0 Failures","1+ Failures")</f>
        <v>1+ Failures</v>
      </c>
      <c r="M258" t="str">
        <f t="shared" si="11"/>
        <v>10-20hrs</v>
      </c>
      <c r="N258" t="str">
        <f t="shared" si="9"/>
        <v>12+ months</v>
      </c>
      <c r="O258" t="str">
        <f t="shared" si="10"/>
        <v>Premium</v>
      </c>
      <c r="P258" s="7">
        <v>45657</v>
      </c>
    </row>
    <row r="259" spans="1:16" x14ac:dyDescent="0.3">
      <c r="A259">
        <v>258</v>
      </c>
      <c r="B259" s="7">
        <v>45402</v>
      </c>
      <c r="C259" t="s">
        <v>14</v>
      </c>
      <c r="D259">
        <v>399</v>
      </c>
      <c r="E259">
        <v>11.6</v>
      </c>
      <c r="F259">
        <v>0</v>
      </c>
      <c r="G259">
        <v>1</v>
      </c>
      <c r="H259">
        <v>20</v>
      </c>
      <c r="I259">
        <v>28</v>
      </c>
      <c r="J259" t="s">
        <v>13</v>
      </c>
      <c r="K259">
        <f>IF(J259="Yes", 1, 0)</f>
        <v>0</v>
      </c>
      <c r="L259" t="str">
        <f>IF(G259=0,"0 Failures","1+ Failures")</f>
        <v>1+ Failures</v>
      </c>
      <c r="M259" t="str">
        <f t="shared" si="11"/>
        <v>10-20hrs</v>
      </c>
      <c r="N259" t="str">
        <f t="shared" ref="N259:N322" si="12">IF(H259&lt;=3, "0-3months", IF(H259&lt;=6, "3-6months", IF(H259&lt;=12, "6-12months", "12+ months")))</f>
        <v>12+ months</v>
      </c>
      <c r="O259" t="str">
        <f t="shared" ref="O259:O322" si="13">IF(C259="premium", "Premium", "Basic")</f>
        <v>Basic</v>
      </c>
      <c r="P259" s="7">
        <v>45657</v>
      </c>
    </row>
    <row r="260" spans="1:16" x14ac:dyDescent="0.3">
      <c r="A260">
        <v>259</v>
      </c>
      <c r="B260" s="7">
        <v>45280</v>
      </c>
      <c r="C260" t="s">
        <v>12</v>
      </c>
      <c r="D260">
        <v>199</v>
      </c>
      <c r="E260">
        <v>15.4</v>
      </c>
      <c r="F260">
        <v>5</v>
      </c>
      <c r="G260">
        <v>5</v>
      </c>
      <c r="H260">
        <v>22</v>
      </c>
      <c r="I260">
        <v>20</v>
      </c>
      <c r="J260" t="s">
        <v>13</v>
      </c>
      <c r="K260">
        <f>IF(J260="Yes", 1, 0)</f>
        <v>0</v>
      </c>
      <c r="L260" t="str">
        <f>IF(G260=0,"0 Failures","1+ Failures")</f>
        <v>1+ Failures</v>
      </c>
      <c r="M260" t="str">
        <f t="shared" si="11"/>
        <v>10-20hrs</v>
      </c>
      <c r="N260" t="str">
        <f t="shared" si="12"/>
        <v>12+ months</v>
      </c>
      <c r="O260" t="str">
        <f t="shared" si="13"/>
        <v>Basic</v>
      </c>
      <c r="P260" s="7">
        <v>45657</v>
      </c>
    </row>
    <row r="261" spans="1:16" x14ac:dyDescent="0.3">
      <c r="A261">
        <v>260</v>
      </c>
      <c r="B261" s="7">
        <v>45404</v>
      </c>
      <c r="C261" t="s">
        <v>14</v>
      </c>
      <c r="D261">
        <v>399</v>
      </c>
      <c r="E261">
        <v>19.100000000000001</v>
      </c>
      <c r="F261">
        <v>8</v>
      </c>
      <c r="G261">
        <v>4</v>
      </c>
      <c r="H261">
        <v>9</v>
      </c>
      <c r="I261">
        <v>6</v>
      </c>
      <c r="J261" t="s">
        <v>11</v>
      </c>
      <c r="K261">
        <f>IF(J261="Yes", 1, 0)</f>
        <v>1</v>
      </c>
      <c r="L261" t="str">
        <f>IF(G261=0,"0 Failures","1+ Failures")</f>
        <v>1+ Failures</v>
      </c>
      <c r="M261" t="str">
        <f t="shared" si="11"/>
        <v>10-20hrs</v>
      </c>
      <c r="N261" t="str">
        <f t="shared" si="12"/>
        <v>6-12months</v>
      </c>
      <c r="O261" t="str">
        <f t="shared" si="13"/>
        <v>Basic</v>
      </c>
      <c r="P261" s="7">
        <v>45657</v>
      </c>
    </row>
    <row r="262" spans="1:16" x14ac:dyDescent="0.3">
      <c r="A262">
        <v>261</v>
      </c>
      <c r="B262" s="7">
        <v>45320</v>
      </c>
      <c r="C262" t="s">
        <v>12</v>
      </c>
      <c r="D262">
        <v>199</v>
      </c>
      <c r="E262">
        <v>11.5</v>
      </c>
      <c r="F262">
        <v>2</v>
      </c>
      <c r="G262">
        <v>0</v>
      </c>
      <c r="H262">
        <v>18</v>
      </c>
      <c r="I262">
        <v>3</v>
      </c>
      <c r="J262" t="s">
        <v>13</v>
      </c>
      <c r="K262">
        <f>IF(J262="Yes", 1, 0)</f>
        <v>0</v>
      </c>
      <c r="L262" t="str">
        <f>IF(G262=0,"0 Failures","1+ Failures")</f>
        <v>0 Failures</v>
      </c>
      <c r="M262" t="str">
        <f t="shared" si="11"/>
        <v>10-20hrs</v>
      </c>
      <c r="N262" t="str">
        <f t="shared" si="12"/>
        <v>12+ months</v>
      </c>
      <c r="O262" t="str">
        <f t="shared" si="13"/>
        <v>Basic</v>
      </c>
      <c r="P262" s="7">
        <v>45657</v>
      </c>
    </row>
    <row r="263" spans="1:16" x14ac:dyDescent="0.3">
      <c r="A263">
        <v>262</v>
      </c>
      <c r="B263" s="7">
        <v>45247</v>
      </c>
      <c r="C263" t="s">
        <v>10</v>
      </c>
      <c r="D263">
        <v>699</v>
      </c>
      <c r="E263">
        <v>6.6</v>
      </c>
      <c r="F263">
        <v>2</v>
      </c>
      <c r="G263">
        <v>2</v>
      </c>
      <c r="H263">
        <v>27</v>
      </c>
      <c r="I263">
        <v>59</v>
      </c>
      <c r="J263" t="s">
        <v>11</v>
      </c>
      <c r="K263">
        <f>IF(J263="Yes", 1, 0)</f>
        <v>1</v>
      </c>
      <c r="L263" t="str">
        <f>IF(G263=0,"0 Failures","1+ Failures")</f>
        <v>1+ Failures</v>
      </c>
      <c r="M263" t="str">
        <f t="shared" si="11"/>
        <v>5-10 hrs</v>
      </c>
      <c r="N263" t="str">
        <f t="shared" si="12"/>
        <v>12+ months</v>
      </c>
      <c r="O263" t="str">
        <f t="shared" si="13"/>
        <v>Premium</v>
      </c>
      <c r="P263" s="7">
        <v>45657</v>
      </c>
    </row>
    <row r="264" spans="1:16" x14ac:dyDescent="0.3">
      <c r="A264">
        <v>263</v>
      </c>
      <c r="B264" s="7">
        <v>45436</v>
      </c>
      <c r="C264" t="s">
        <v>12</v>
      </c>
      <c r="D264">
        <v>199</v>
      </c>
      <c r="E264">
        <v>12.7</v>
      </c>
      <c r="F264">
        <v>8</v>
      </c>
      <c r="G264">
        <v>3</v>
      </c>
      <c r="H264">
        <v>11</v>
      </c>
      <c r="I264">
        <v>31</v>
      </c>
      <c r="J264" t="s">
        <v>13</v>
      </c>
      <c r="K264">
        <f>IF(J264="Yes", 1, 0)</f>
        <v>0</v>
      </c>
      <c r="L264" t="str">
        <f>IF(G264=0,"0 Failures","1+ Failures")</f>
        <v>1+ Failures</v>
      </c>
      <c r="M264" t="str">
        <f t="shared" si="11"/>
        <v>10-20hrs</v>
      </c>
      <c r="N264" t="str">
        <f t="shared" si="12"/>
        <v>6-12months</v>
      </c>
      <c r="O264" t="str">
        <f t="shared" si="13"/>
        <v>Basic</v>
      </c>
      <c r="P264" s="7">
        <v>45657</v>
      </c>
    </row>
    <row r="265" spans="1:16" x14ac:dyDescent="0.3">
      <c r="A265">
        <v>264</v>
      </c>
      <c r="B265" s="7">
        <v>45288</v>
      </c>
      <c r="C265" t="s">
        <v>12</v>
      </c>
      <c r="D265">
        <v>199</v>
      </c>
      <c r="E265">
        <v>23.7</v>
      </c>
      <c r="F265">
        <v>8</v>
      </c>
      <c r="G265">
        <v>3</v>
      </c>
      <c r="H265">
        <v>6</v>
      </c>
      <c r="I265">
        <v>15</v>
      </c>
      <c r="J265" t="s">
        <v>11</v>
      </c>
      <c r="K265">
        <f>IF(J265="Yes", 1, 0)</f>
        <v>1</v>
      </c>
      <c r="L265" t="str">
        <f>IF(G265=0,"0 Failures","1+ Failures")</f>
        <v>1+ Failures</v>
      </c>
      <c r="M265" t="str">
        <f t="shared" si="11"/>
        <v>20+ hrs</v>
      </c>
      <c r="N265" t="str">
        <f t="shared" si="12"/>
        <v>3-6months</v>
      </c>
      <c r="O265" t="str">
        <f t="shared" si="13"/>
        <v>Basic</v>
      </c>
      <c r="P265" s="7">
        <v>45657</v>
      </c>
    </row>
    <row r="266" spans="1:16" x14ac:dyDescent="0.3">
      <c r="A266">
        <v>265</v>
      </c>
      <c r="B266" s="7">
        <v>45037</v>
      </c>
      <c r="C266" t="s">
        <v>12</v>
      </c>
      <c r="D266">
        <v>199</v>
      </c>
      <c r="E266">
        <v>7.4</v>
      </c>
      <c r="F266">
        <v>7</v>
      </c>
      <c r="G266">
        <v>2</v>
      </c>
      <c r="H266">
        <v>4</v>
      </c>
      <c r="I266">
        <v>34</v>
      </c>
      <c r="J266" t="s">
        <v>11</v>
      </c>
      <c r="K266">
        <f>IF(J266="Yes", 1, 0)</f>
        <v>1</v>
      </c>
      <c r="L266" t="str">
        <f>IF(G266=0,"0 Failures","1+ Failures")</f>
        <v>1+ Failures</v>
      </c>
      <c r="M266" t="str">
        <f t="shared" si="11"/>
        <v>5-10 hrs</v>
      </c>
      <c r="N266" t="str">
        <f t="shared" si="12"/>
        <v>3-6months</v>
      </c>
      <c r="O266" t="str">
        <f t="shared" si="13"/>
        <v>Basic</v>
      </c>
      <c r="P266" s="7">
        <v>45657</v>
      </c>
    </row>
    <row r="267" spans="1:16" x14ac:dyDescent="0.3">
      <c r="A267">
        <v>266</v>
      </c>
      <c r="B267" s="7">
        <v>44979</v>
      </c>
      <c r="C267" t="s">
        <v>14</v>
      </c>
      <c r="D267">
        <v>399</v>
      </c>
      <c r="E267">
        <v>22.1</v>
      </c>
      <c r="F267">
        <v>5</v>
      </c>
      <c r="G267">
        <v>3</v>
      </c>
      <c r="H267">
        <v>9</v>
      </c>
      <c r="I267">
        <v>23</v>
      </c>
      <c r="J267" t="s">
        <v>11</v>
      </c>
      <c r="K267">
        <f>IF(J267="Yes", 1, 0)</f>
        <v>1</v>
      </c>
      <c r="L267" t="str">
        <f>IF(G267=0,"0 Failures","1+ Failures")</f>
        <v>1+ Failures</v>
      </c>
      <c r="M267" t="str">
        <f t="shared" ref="M267:M330" si="14">IF(E267&lt;=5, "0-5 hrs",    IF(E267&lt;=10, "5-10 hrs",    IF(E267&lt;=20, "10-20hrs", "20+ hrs")))</f>
        <v>20+ hrs</v>
      </c>
      <c r="N267" t="str">
        <f t="shared" si="12"/>
        <v>6-12months</v>
      </c>
      <c r="O267" t="str">
        <f t="shared" si="13"/>
        <v>Basic</v>
      </c>
      <c r="P267" s="7">
        <v>45657</v>
      </c>
    </row>
    <row r="268" spans="1:16" x14ac:dyDescent="0.3">
      <c r="A268">
        <v>267</v>
      </c>
      <c r="B268" s="7">
        <v>45388</v>
      </c>
      <c r="C268" t="s">
        <v>10</v>
      </c>
      <c r="D268">
        <v>699</v>
      </c>
      <c r="E268">
        <v>5.3</v>
      </c>
      <c r="F268">
        <v>8</v>
      </c>
      <c r="G268">
        <v>2</v>
      </c>
      <c r="H268">
        <v>36</v>
      </c>
      <c r="I268">
        <v>4</v>
      </c>
      <c r="J268" t="s">
        <v>11</v>
      </c>
      <c r="K268">
        <f>IF(J268="Yes", 1, 0)</f>
        <v>1</v>
      </c>
      <c r="L268" t="str">
        <f>IF(G268=0,"0 Failures","1+ Failures")</f>
        <v>1+ Failures</v>
      </c>
      <c r="M268" t="str">
        <f t="shared" si="14"/>
        <v>5-10 hrs</v>
      </c>
      <c r="N268" t="str">
        <f t="shared" si="12"/>
        <v>12+ months</v>
      </c>
      <c r="O268" t="str">
        <f t="shared" si="13"/>
        <v>Premium</v>
      </c>
      <c r="P268" s="7">
        <v>45657</v>
      </c>
    </row>
    <row r="269" spans="1:16" x14ac:dyDescent="0.3">
      <c r="A269">
        <v>268</v>
      </c>
      <c r="B269" s="7">
        <v>45274</v>
      </c>
      <c r="C269" t="s">
        <v>10</v>
      </c>
      <c r="D269">
        <v>699</v>
      </c>
      <c r="E269">
        <v>20.7</v>
      </c>
      <c r="F269">
        <v>1</v>
      </c>
      <c r="G269">
        <v>1</v>
      </c>
      <c r="H269">
        <v>18</v>
      </c>
      <c r="I269">
        <v>6</v>
      </c>
      <c r="J269" t="s">
        <v>13</v>
      </c>
      <c r="K269">
        <f>IF(J269="Yes", 1, 0)</f>
        <v>0</v>
      </c>
      <c r="L269" t="str">
        <f>IF(G269=0,"0 Failures","1+ Failures")</f>
        <v>1+ Failures</v>
      </c>
      <c r="M269" t="str">
        <f t="shared" si="14"/>
        <v>20+ hrs</v>
      </c>
      <c r="N269" t="str">
        <f t="shared" si="12"/>
        <v>12+ months</v>
      </c>
      <c r="O269" t="str">
        <f t="shared" si="13"/>
        <v>Premium</v>
      </c>
      <c r="P269" s="7">
        <v>45657</v>
      </c>
    </row>
    <row r="270" spans="1:16" x14ac:dyDescent="0.3">
      <c r="A270">
        <v>269</v>
      </c>
      <c r="B270" s="7">
        <v>44968</v>
      </c>
      <c r="C270" t="s">
        <v>10</v>
      </c>
      <c r="D270">
        <v>699</v>
      </c>
      <c r="E270">
        <v>19</v>
      </c>
      <c r="F270">
        <v>3</v>
      </c>
      <c r="G270">
        <v>4</v>
      </c>
      <c r="H270">
        <v>24</v>
      </c>
      <c r="I270">
        <v>32</v>
      </c>
      <c r="J270" t="s">
        <v>11</v>
      </c>
      <c r="K270">
        <f>IF(J270="Yes", 1, 0)</f>
        <v>1</v>
      </c>
      <c r="L270" t="str">
        <f>IF(G270=0,"0 Failures","1+ Failures")</f>
        <v>1+ Failures</v>
      </c>
      <c r="M270" t="str">
        <f t="shared" si="14"/>
        <v>10-20hrs</v>
      </c>
      <c r="N270" t="str">
        <f t="shared" si="12"/>
        <v>12+ months</v>
      </c>
      <c r="O270" t="str">
        <f t="shared" si="13"/>
        <v>Premium</v>
      </c>
      <c r="P270" s="7">
        <v>45657</v>
      </c>
    </row>
    <row r="271" spans="1:16" x14ac:dyDescent="0.3">
      <c r="A271">
        <v>270</v>
      </c>
      <c r="B271" s="7">
        <v>45547</v>
      </c>
      <c r="C271" t="s">
        <v>12</v>
      </c>
      <c r="D271">
        <v>199</v>
      </c>
      <c r="E271">
        <v>3.9</v>
      </c>
      <c r="F271">
        <v>5</v>
      </c>
      <c r="G271">
        <v>3</v>
      </c>
      <c r="H271">
        <v>3</v>
      </c>
      <c r="I271">
        <v>33</v>
      </c>
      <c r="J271" t="s">
        <v>11</v>
      </c>
      <c r="K271">
        <f>IF(J271="Yes", 1, 0)</f>
        <v>1</v>
      </c>
      <c r="L271" t="str">
        <f>IF(G271=0,"0 Failures","1+ Failures")</f>
        <v>1+ Failures</v>
      </c>
      <c r="M271" t="str">
        <f t="shared" si="14"/>
        <v>0-5 hrs</v>
      </c>
      <c r="N271" t="str">
        <f t="shared" si="12"/>
        <v>0-3months</v>
      </c>
      <c r="O271" t="str">
        <f t="shared" si="13"/>
        <v>Basic</v>
      </c>
      <c r="P271" s="7">
        <v>45657</v>
      </c>
    </row>
    <row r="272" spans="1:16" x14ac:dyDescent="0.3">
      <c r="A272">
        <v>271</v>
      </c>
      <c r="B272" s="7">
        <v>45233</v>
      </c>
      <c r="C272" t="s">
        <v>10</v>
      </c>
      <c r="D272">
        <v>699</v>
      </c>
      <c r="E272">
        <v>8.5</v>
      </c>
      <c r="F272">
        <v>5</v>
      </c>
      <c r="G272">
        <v>1</v>
      </c>
      <c r="H272">
        <v>9</v>
      </c>
      <c r="I272">
        <v>25</v>
      </c>
      <c r="J272" t="s">
        <v>13</v>
      </c>
      <c r="K272">
        <f>IF(J272="Yes", 1, 0)</f>
        <v>0</v>
      </c>
      <c r="L272" t="str">
        <f>IF(G272=0,"0 Failures","1+ Failures")</f>
        <v>1+ Failures</v>
      </c>
      <c r="M272" t="str">
        <f t="shared" si="14"/>
        <v>5-10 hrs</v>
      </c>
      <c r="N272" t="str">
        <f t="shared" si="12"/>
        <v>6-12months</v>
      </c>
      <c r="O272" t="str">
        <f t="shared" si="13"/>
        <v>Premium</v>
      </c>
      <c r="P272" s="7">
        <v>45657</v>
      </c>
    </row>
    <row r="273" spans="1:16" x14ac:dyDescent="0.3">
      <c r="A273">
        <v>272</v>
      </c>
      <c r="B273" s="7">
        <v>45233</v>
      </c>
      <c r="C273" t="s">
        <v>10</v>
      </c>
      <c r="D273">
        <v>699</v>
      </c>
      <c r="E273">
        <v>12.9</v>
      </c>
      <c r="F273">
        <v>8</v>
      </c>
      <c r="G273">
        <v>4</v>
      </c>
      <c r="H273">
        <v>22</v>
      </c>
      <c r="I273">
        <v>31</v>
      </c>
      <c r="J273" t="s">
        <v>11</v>
      </c>
      <c r="K273">
        <f>IF(J273="Yes", 1, 0)</f>
        <v>1</v>
      </c>
      <c r="L273" t="str">
        <f>IF(G273=0,"0 Failures","1+ Failures")</f>
        <v>1+ Failures</v>
      </c>
      <c r="M273" t="str">
        <f t="shared" si="14"/>
        <v>10-20hrs</v>
      </c>
      <c r="N273" t="str">
        <f t="shared" si="12"/>
        <v>12+ months</v>
      </c>
      <c r="O273" t="str">
        <f t="shared" si="13"/>
        <v>Premium</v>
      </c>
      <c r="P273" s="7">
        <v>45657</v>
      </c>
    </row>
    <row r="274" spans="1:16" x14ac:dyDescent="0.3">
      <c r="A274">
        <v>273</v>
      </c>
      <c r="B274" s="7">
        <v>45631</v>
      </c>
      <c r="C274" t="s">
        <v>14</v>
      </c>
      <c r="D274">
        <v>399</v>
      </c>
      <c r="E274">
        <v>9.5</v>
      </c>
      <c r="F274">
        <v>1</v>
      </c>
      <c r="G274">
        <v>3</v>
      </c>
      <c r="H274">
        <v>2</v>
      </c>
      <c r="I274">
        <v>37</v>
      </c>
      <c r="J274" t="s">
        <v>11</v>
      </c>
      <c r="K274">
        <f>IF(J274="Yes", 1, 0)</f>
        <v>1</v>
      </c>
      <c r="L274" t="str">
        <f>IF(G274=0,"0 Failures","1+ Failures")</f>
        <v>1+ Failures</v>
      </c>
      <c r="M274" t="str">
        <f t="shared" si="14"/>
        <v>5-10 hrs</v>
      </c>
      <c r="N274" t="str">
        <f t="shared" si="12"/>
        <v>0-3months</v>
      </c>
      <c r="O274" t="str">
        <f t="shared" si="13"/>
        <v>Basic</v>
      </c>
      <c r="P274" s="7">
        <v>45657</v>
      </c>
    </row>
    <row r="275" spans="1:16" x14ac:dyDescent="0.3">
      <c r="A275">
        <v>274</v>
      </c>
      <c r="B275" s="7">
        <v>45519</v>
      </c>
      <c r="C275" t="s">
        <v>10</v>
      </c>
      <c r="D275">
        <v>699</v>
      </c>
      <c r="E275">
        <v>15.1</v>
      </c>
      <c r="F275">
        <v>4</v>
      </c>
      <c r="G275">
        <v>5</v>
      </c>
      <c r="H275">
        <v>2</v>
      </c>
      <c r="I275">
        <v>50</v>
      </c>
      <c r="J275" t="s">
        <v>13</v>
      </c>
      <c r="K275">
        <f>IF(J275="Yes", 1, 0)</f>
        <v>0</v>
      </c>
      <c r="L275" t="str">
        <f>IF(G275=0,"0 Failures","1+ Failures")</f>
        <v>1+ Failures</v>
      </c>
      <c r="M275" t="str">
        <f t="shared" si="14"/>
        <v>10-20hrs</v>
      </c>
      <c r="N275" t="str">
        <f t="shared" si="12"/>
        <v>0-3months</v>
      </c>
      <c r="O275" t="str">
        <f t="shared" si="13"/>
        <v>Premium</v>
      </c>
      <c r="P275" s="7">
        <v>45657</v>
      </c>
    </row>
    <row r="276" spans="1:16" x14ac:dyDescent="0.3">
      <c r="A276">
        <v>275</v>
      </c>
      <c r="B276" s="7">
        <v>45561</v>
      </c>
      <c r="C276" t="s">
        <v>10</v>
      </c>
      <c r="D276">
        <v>699</v>
      </c>
      <c r="E276">
        <v>18.2</v>
      </c>
      <c r="F276">
        <v>7</v>
      </c>
      <c r="G276">
        <v>1</v>
      </c>
      <c r="H276">
        <v>15</v>
      </c>
      <c r="I276">
        <v>33</v>
      </c>
      <c r="J276" t="s">
        <v>13</v>
      </c>
      <c r="K276">
        <f>IF(J276="Yes", 1, 0)</f>
        <v>0</v>
      </c>
      <c r="L276" t="str">
        <f>IF(G276=0,"0 Failures","1+ Failures")</f>
        <v>1+ Failures</v>
      </c>
      <c r="M276" t="str">
        <f t="shared" si="14"/>
        <v>10-20hrs</v>
      </c>
      <c r="N276" t="str">
        <f t="shared" si="12"/>
        <v>12+ months</v>
      </c>
      <c r="O276" t="str">
        <f t="shared" si="13"/>
        <v>Premium</v>
      </c>
      <c r="P276" s="7">
        <v>45657</v>
      </c>
    </row>
    <row r="277" spans="1:16" x14ac:dyDescent="0.3">
      <c r="A277">
        <v>276</v>
      </c>
      <c r="B277" s="7">
        <v>45039</v>
      </c>
      <c r="C277" t="s">
        <v>14</v>
      </c>
      <c r="D277">
        <v>399</v>
      </c>
      <c r="E277">
        <v>20.6</v>
      </c>
      <c r="F277">
        <v>3</v>
      </c>
      <c r="G277">
        <v>0</v>
      </c>
      <c r="H277">
        <v>10</v>
      </c>
      <c r="I277">
        <v>36</v>
      </c>
      <c r="J277" t="s">
        <v>13</v>
      </c>
      <c r="K277">
        <f>IF(J277="Yes", 1, 0)</f>
        <v>0</v>
      </c>
      <c r="L277" t="str">
        <f>IF(G277=0,"0 Failures","1+ Failures")</f>
        <v>0 Failures</v>
      </c>
      <c r="M277" t="str">
        <f t="shared" si="14"/>
        <v>20+ hrs</v>
      </c>
      <c r="N277" t="str">
        <f t="shared" si="12"/>
        <v>6-12months</v>
      </c>
      <c r="O277" t="str">
        <f t="shared" si="13"/>
        <v>Basic</v>
      </c>
      <c r="P277" s="7">
        <v>45657</v>
      </c>
    </row>
    <row r="278" spans="1:16" x14ac:dyDescent="0.3">
      <c r="A278">
        <v>277</v>
      </c>
      <c r="B278" s="7">
        <v>45347</v>
      </c>
      <c r="C278" t="s">
        <v>12</v>
      </c>
      <c r="D278">
        <v>199</v>
      </c>
      <c r="E278">
        <v>11.3</v>
      </c>
      <c r="F278">
        <v>6</v>
      </c>
      <c r="G278">
        <v>1</v>
      </c>
      <c r="H278">
        <v>2</v>
      </c>
      <c r="I278">
        <v>26</v>
      </c>
      <c r="J278" t="s">
        <v>13</v>
      </c>
      <c r="K278">
        <f>IF(J278="Yes", 1, 0)</f>
        <v>0</v>
      </c>
      <c r="L278" t="str">
        <f>IF(G278=0,"0 Failures","1+ Failures")</f>
        <v>1+ Failures</v>
      </c>
      <c r="M278" t="str">
        <f t="shared" si="14"/>
        <v>10-20hrs</v>
      </c>
      <c r="N278" t="str">
        <f t="shared" si="12"/>
        <v>0-3months</v>
      </c>
      <c r="O278" t="str">
        <f t="shared" si="13"/>
        <v>Basic</v>
      </c>
      <c r="P278" s="7">
        <v>45657</v>
      </c>
    </row>
    <row r="279" spans="1:16" x14ac:dyDescent="0.3">
      <c r="A279">
        <v>278</v>
      </c>
      <c r="B279" s="7">
        <v>45501</v>
      </c>
      <c r="C279" t="s">
        <v>10</v>
      </c>
      <c r="D279">
        <v>699</v>
      </c>
      <c r="E279">
        <v>21.9</v>
      </c>
      <c r="F279">
        <v>0</v>
      </c>
      <c r="G279">
        <v>5</v>
      </c>
      <c r="H279">
        <v>31</v>
      </c>
      <c r="I279">
        <v>8</v>
      </c>
      <c r="J279" t="s">
        <v>13</v>
      </c>
      <c r="K279">
        <f>IF(J279="Yes", 1, 0)</f>
        <v>0</v>
      </c>
      <c r="L279" t="str">
        <f>IF(G279=0,"0 Failures","1+ Failures")</f>
        <v>1+ Failures</v>
      </c>
      <c r="M279" t="str">
        <f t="shared" si="14"/>
        <v>20+ hrs</v>
      </c>
      <c r="N279" t="str">
        <f t="shared" si="12"/>
        <v>12+ months</v>
      </c>
      <c r="O279" t="str">
        <f t="shared" si="13"/>
        <v>Premium</v>
      </c>
      <c r="P279" s="7">
        <v>45657</v>
      </c>
    </row>
    <row r="280" spans="1:16" x14ac:dyDescent="0.3">
      <c r="A280">
        <v>279</v>
      </c>
      <c r="B280" s="7">
        <v>45277</v>
      </c>
      <c r="C280" t="s">
        <v>14</v>
      </c>
      <c r="D280">
        <v>399</v>
      </c>
      <c r="E280">
        <v>13.4</v>
      </c>
      <c r="F280">
        <v>5</v>
      </c>
      <c r="G280">
        <v>1</v>
      </c>
      <c r="H280">
        <v>31</v>
      </c>
      <c r="I280">
        <v>29</v>
      </c>
      <c r="J280" t="s">
        <v>13</v>
      </c>
      <c r="K280">
        <f>IF(J280="Yes", 1, 0)</f>
        <v>0</v>
      </c>
      <c r="L280" t="str">
        <f>IF(G280=0,"0 Failures","1+ Failures")</f>
        <v>1+ Failures</v>
      </c>
      <c r="M280" t="str">
        <f t="shared" si="14"/>
        <v>10-20hrs</v>
      </c>
      <c r="N280" t="str">
        <f t="shared" si="12"/>
        <v>12+ months</v>
      </c>
      <c r="O280" t="str">
        <f t="shared" si="13"/>
        <v>Basic</v>
      </c>
      <c r="P280" s="7">
        <v>45657</v>
      </c>
    </row>
    <row r="281" spans="1:16" x14ac:dyDescent="0.3">
      <c r="A281">
        <v>280</v>
      </c>
      <c r="B281" s="7">
        <v>45179</v>
      </c>
      <c r="C281" t="s">
        <v>10</v>
      </c>
      <c r="D281">
        <v>699</v>
      </c>
      <c r="E281">
        <v>17.100000000000001</v>
      </c>
      <c r="F281">
        <v>4</v>
      </c>
      <c r="G281">
        <v>4</v>
      </c>
      <c r="H281">
        <v>23</v>
      </c>
      <c r="I281">
        <v>30</v>
      </c>
      <c r="J281" t="s">
        <v>11</v>
      </c>
      <c r="K281">
        <f>IF(J281="Yes", 1, 0)</f>
        <v>1</v>
      </c>
      <c r="L281" t="str">
        <f>IF(G281=0,"0 Failures","1+ Failures")</f>
        <v>1+ Failures</v>
      </c>
      <c r="M281" t="str">
        <f t="shared" si="14"/>
        <v>10-20hrs</v>
      </c>
      <c r="N281" t="str">
        <f t="shared" si="12"/>
        <v>12+ months</v>
      </c>
      <c r="O281" t="str">
        <f t="shared" si="13"/>
        <v>Premium</v>
      </c>
      <c r="P281" s="7">
        <v>45657</v>
      </c>
    </row>
    <row r="282" spans="1:16" x14ac:dyDescent="0.3">
      <c r="A282">
        <v>281</v>
      </c>
      <c r="B282" s="7">
        <v>45648</v>
      </c>
      <c r="C282" t="s">
        <v>14</v>
      </c>
      <c r="D282">
        <v>399</v>
      </c>
      <c r="E282">
        <v>7.8</v>
      </c>
      <c r="F282">
        <v>4</v>
      </c>
      <c r="G282">
        <v>2</v>
      </c>
      <c r="H282">
        <v>36</v>
      </c>
      <c r="I282">
        <v>45</v>
      </c>
      <c r="J282" t="s">
        <v>11</v>
      </c>
      <c r="K282">
        <f>IF(J282="Yes", 1, 0)</f>
        <v>1</v>
      </c>
      <c r="L282" t="str">
        <f>IF(G282=0,"0 Failures","1+ Failures")</f>
        <v>1+ Failures</v>
      </c>
      <c r="M282" t="str">
        <f t="shared" si="14"/>
        <v>5-10 hrs</v>
      </c>
      <c r="N282" t="str">
        <f t="shared" si="12"/>
        <v>12+ months</v>
      </c>
      <c r="O282" t="str">
        <f t="shared" si="13"/>
        <v>Basic</v>
      </c>
      <c r="P282" s="7">
        <v>45657</v>
      </c>
    </row>
    <row r="283" spans="1:16" x14ac:dyDescent="0.3">
      <c r="A283">
        <v>282</v>
      </c>
      <c r="B283" s="7">
        <v>45514</v>
      </c>
      <c r="C283" t="s">
        <v>14</v>
      </c>
      <c r="D283">
        <v>399</v>
      </c>
      <c r="E283">
        <v>12.3</v>
      </c>
      <c r="F283">
        <v>8</v>
      </c>
      <c r="G283">
        <v>5</v>
      </c>
      <c r="H283">
        <v>21</v>
      </c>
      <c r="I283">
        <v>17</v>
      </c>
      <c r="J283" t="s">
        <v>11</v>
      </c>
      <c r="K283">
        <f>IF(J283="Yes", 1, 0)</f>
        <v>1</v>
      </c>
      <c r="L283" t="str">
        <f>IF(G283=0,"0 Failures","1+ Failures")</f>
        <v>1+ Failures</v>
      </c>
      <c r="M283" t="str">
        <f t="shared" si="14"/>
        <v>10-20hrs</v>
      </c>
      <c r="N283" t="str">
        <f t="shared" si="12"/>
        <v>12+ months</v>
      </c>
      <c r="O283" t="str">
        <f t="shared" si="13"/>
        <v>Basic</v>
      </c>
      <c r="P283" s="7">
        <v>45657</v>
      </c>
    </row>
    <row r="284" spans="1:16" x14ac:dyDescent="0.3">
      <c r="A284">
        <v>283</v>
      </c>
      <c r="B284" s="7">
        <v>45224</v>
      </c>
      <c r="C284" t="s">
        <v>10</v>
      </c>
      <c r="D284">
        <v>699</v>
      </c>
      <c r="E284">
        <v>9.8000000000000007</v>
      </c>
      <c r="F284">
        <v>6</v>
      </c>
      <c r="G284">
        <v>2</v>
      </c>
      <c r="H284">
        <v>35</v>
      </c>
      <c r="I284">
        <v>49</v>
      </c>
      <c r="J284" t="s">
        <v>13</v>
      </c>
      <c r="K284">
        <f>IF(J284="Yes", 1, 0)</f>
        <v>0</v>
      </c>
      <c r="L284" t="str">
        <f>IF(G284=0,"0 Failures","1+ Failures")</f>
        <v>1+ Failures</v>
      </c>
      <c r="M284" t="str">
        <f t="shared" si="14"/>
        <v>5-10 hrs</v>
      </c>
      <c r="N284" t="str">
        <f t="shared" si="12"/>
        <v>12+ months</v>
      </c>
      <c r="O284" t="str">
        <f t="shared" si="13"/>
        <v>Premium</v>
      </c>
      <c r="P284" s="7">
        <v>45657</v>
      </c>
    </row>
    <row r="285" spans="1:16" x14ac:dyDescent="0.3">
      <c r="A285">
        <v>284</v>
      </c>
      <c r="B285" s="7">
        <v>45189</v>
      </c>
      <c r="C285" t="s">
        <v>12</v>
      </c>
      <c r="D285">
        <v>199</v>
      </c>
      <c r="E285">
        <v>23.9</v>
      </c>
      <c r="F285">
        <v>1</v>
      </c>
      <c r="G285">
        <v>2</v>
      </c>
      <c r="H285">
        <v>19</v>
      </c>
      <c r="I285">
        <v>59</v>
      </c>
      <c r="J285" t="s">
        <v>11</v>
      </c>
      <c r="K285">
        <f>IF(J285="Yes", 1, 0)</f>
        <v>1</v>
      </c>
      <c r="L285" t="str">
        <f>IF(G285=0,"0 Failures","1+ Failures")</f>
        <v>1+ Failures</v>
      </c>
      <c r="M285" t="str">
        <f t="shared" si="14"/>
        <v>20+ hrs</v>
      </c>
      <c r="N285" t="str">
        <f t="shared" si="12"/>
        <v>12+ months</v>
      </c>
      <c r="O285" t="str">
        <f t="shared" si="13"/>
        <v>Basic</v>
      </c>
      <c r="P285" s="7">
        <v>45657</v>
      </c>
    </row>
    <row r="286" spans="1:16" x14ac:dyDescent="0.3">
      <c r="A286">
        <v>285</v>
      </c>
      <c r="B286" s="7">
        <v>45205</v>
      </c>
      <c r="C286" t="s">
        <v>10</v>
      </c>
      <c r="D286">
        <v>699</v>
      </c>
      <c r="E286">
        <v>5.7</v>
      </c>
      <c r="F286">
        <v>8</v>
      </c>
      <c r="G286">
        <v>2</v>
      </c>
      <c r="H286">
        <v>31</v>
      </c>
      <c r="I286">
        <v>59</v>
      </c>
      <c r="J286" t="s">
        <v>11</v>
      </c>
      <c r="K286">
        <f>IF(J286="Yes", 1, 0)</f>
        <v>1</v>
      </c>
      <c r="L286" t="str">
        <f>IF(G286=0,"0 Failures","1+ Failures")</f>
        <v>1+ Failures</v>
      </c>
      <c r="M286" t="str">
        <f t="shared" si="14"/>
        <v>5-10 hrs</v>
      </c>
      <c r="N286" t="str">
        <f t="shared" si="12"/>
        <v>12+ months</v>
      </c>
      <c r="O286" t="str">
        <f t="shared" si="13"/>
        <v>Premium</v>
      </c>
      <c r="P286" s="7">
        <v>45657</v>
      </c>
    </row>
    <row r="287" spans="1:16" x14ac:dyDescent="0.3">
      <c r="A287">
        <v>286</v>
      </c>
      <c r="B287" s="7">
        <v>45470</v>
      </c>
      <c r="C287" t="s">
        <v>12</v>
      </c>
      <c r="D287">
        <v>199</v>
      </c>
      <c r="E287">
        <v>15.6</v>
      </c>
      <c r="F287">
        <v>3</v>
      </c>
      <c r="G287">
        <v>1</v>
      </c>
      <c r="H287">
        <v>7</v>
      </c>
      <c r="I287">
        <v>3</v>
      </c>
      <c r="J287" t="s">
        <v>13</v>
      </c>
      <c r="K287">
        <f>IF(J287="Yes", 1, 0)</f>
        <v>0</v>
      </c>
      <c r="L287" t="str">
        <f>IF(G287=0,"0 Failures","1+ Failures")</f>
        <v>1+ Failures</v>
      </c>
      <c r="M287" t="str">
        <f t="shared" si="14"/>
        <v>10-20hrs</v>
      </c>
      <c r="N287" t="str">
        <f t="shared" si="12"/>
        <v>6-12months</v>
      </c>
      <c r="O287" t="str">
        <f t="shared" si="13"/>
        <v>Basic</v>
      </c>
      <c r="P287" s="7">
        <v>45657</v>
      </c>
    </row>
    <row r="288" spans="1:16" x14ac:dyDescent="0.3">
      <c r="A288">
        <v>287</v>
      </c>
      <c r="B288" s="7">
        <v>45624</v>
      </c>
      <c r="C288" t="s">
        <v>12</v>
      </c>
      <c r="D288">
        <v>199</v>
      </c>
      <c r="E288">
        <v>1.8</v>
      </c>
      <c r="F288">
        <v>6</v>
      </c>
      <c r="G288">
        <v>2</v>
      </c>
      <c r="H288">
        <v>15</v>
      </c>
      <c r="I288">
        <v>45</v>
      </c>
      <c r="J288" t="s">
        <v>11</v>
      </c>
      <c r="K288">
        <f>IF(J288="Yes", 1, 0)</f>
        <v>1</v>
      </c>
      <c r="L288" t="str">
        <f>IF(G288=0,"0 Failures","1+ Failures")</f>
        <v>1+ Failures</v>
      </c>
      <c r="M288" t="str">
        <f t="shared" si="14"/>
        <v>0-5 hrs</v>
      </c>
      <c r="N288" t="str">
        <f t="shared" si="12"/>
        <v>12+ months</v>
      </c>
      <c r="O288" t="str">
        <f t="shared" si="13"/>
        <v>Basic</v>
      </c>
      <c r="P288" s="7">
        <v>45657</v>
      </c>
    </row>
    <row r="289" spans="1:16" x14ac:dyDescent="0.3">
      <c r="A289">
        <v>288</v>
      </c>
      <c r="B289" s="7">
        <v>45414</v>
      </c>
      <c r="C289" t="s">
        <v>12</v>
      </c>
      <c r="D289">
        <v>199</v>
      </c>
      <c r="E289">
        <v>24.1</v>
      </c>
      <c r="F289">
        <v>2</v>
      </c>
      <c r="G289">
        <v>3</v>
      </c>
      <c r="H289">
        <v>1</v>
      </c>
      <c r="I289">
        <v>41</v>
      </c>
      <c r="J289" t="s">
        <v>13</v>
      </c>
      <c r="K289">
        <f>IF(J289="Yes", 1, 0)</f>
        <v>0</v>
      </c>
      <c r="L289" t="str">
        <f>IF(G289=0,"0 Failures","1+ Failures")</f>
        <v>1+ Failures</v>
      </c>
      <c r="M289" t="str">
        <f t="shared" si="14"/>
        <v>20+ hrs</v>
      </c>
      <c r="N289" t="str">
        <f t="shared" si="12"/>
        <v>0-3months</v>
      </c>
      <c r="O289" t="str">
        <f t="shared" si="13"/>
        <v>Basic</v>
      </c>
      <c r="P289" s="7">
        <v>45657</v>
      </c>
    </row>
    <row r="290" spans="1:16" x14ac:dyDescent="0.3">
      <c r="A290">
        <v>289</v>
      </c>
      <c r="B290" s="7">
        <v>45018</v>
      </c>
      <c r="C290" t="s">
        <v>14</v>
      </c>
      <c r="D290">
        <v>399</v>
      </c>
      <c r="E290">
        <v>19</v>
      </c>
      <c r="F290">
        <v>4</v>
      </c>
      <c r="G290">
        <v>2</v>
      </c>
      <c r="H290">
        <v>13</v>
      </c>
      <c r="I290">
        <v>18</v>
      </c>
      <c r="J290" t="s">
        <v>13</v>
      </c>
      <c r="K290">
        <f>IF(J290="Yes", 1, 0)</f>
        <v>0</v>
      </c>
      <c r="L290" t="str">
        <f>IF(G290=0,"0 Failures","1+ Failures")</f>
        <v>1+ Failures</v>
      </c>
      <c r="M290" t="str">
        <f t="shared" si="14"/>
        <v>10-20hrs</v>
      </c>
      <c r="N290" t="str">
        <f t="shared" si="12"/>
        <v>12+ months</v>
      </c>
      <c r="O290" t="str">
        <f t="shared" si="13"/>
        <v>Basic</v>
      </c>
      <c r="P290" s="7">
        <v>45657</v>
      </c>
    </row>
    <row r="291" spans="1:16" x14ac:dyDescent="0.3">
      <c r="A291">
        <v>290</v>
      </c>
      <c r="B291" s="7">
        <v>45107</v>
      </c>
      <c r="C291" t="s">
        <v>10</v>
      </c>
      <c r="D291">
        <v>699</v>
      </c>
      <c r="E291">
        <v>13.6</v>
      </c>
      <c r="F291">
        <v>0</v>
      </c>
      <c r="G291">
        <v>1</v>
      </c>
      <c r="H291">
        <v>15</v>
      </c>
      <c r="I291">
        <v>26</v>
      </c>
      <c r="J291" t="s">
        <v>13</v>
      </c>
      <c r="K291">
        <f>IF(J291="Yes", 1, 0)</f>
        <v>0</v>
      </c>
      <c r="L291" t="str">
        <f>IF(G291=0,"0 Failures","1+ Failures")</f>
        <v>1+ Failures</v>
      </c>
      <c r="M291" t="str">
        <f t="shared" si="14"/>
        <v>10-20hrs</v>
      </c>
      <c r="N291" t="str">
        <f t="shared" si="12"/>
        <v>12+ months</v>
      </c>
      <c r="O291" t="str">
        <f t="shared" si="13"/>
        <v>Premium</v>
      </c>
      <c r="P291" s="7">
        <v>45657</v>
      </c>
    </row>
    <row r="292" spans="1:16" x14ac:dyDescent="0.3">
      <c r="A292">
        <v>291</v>
      </c>
      <c r="B292" s="7">
        <v>44965</v>
      </c>
      <c r="C292" t="s">
        <v>12</v>
      </c>
      <c r="D292">
        <v>199</v>
      </c>
      <c r="E292">
        <v>19.8</v>
      </c>
      <c r="F292">
        <v>2</v>
      </c>
      <c r="G292">
        <v>5</v>
      </c>
      <c r="H292">
        <v>26</v>
      </c>
      <c r="I292">
        <v>55</v>
      </c>
      <c r="J292" t="s">
        <v>13</v>
      </c>
      <c r="K292">
        <f>IF(J292="Yes", 1, 0)</f>
        <v>0</v>
      </c>
      <c r="L292" t="str">
        <f>IF(G292=0,"0 Failures","1+ Failures")</f>
        <v>1+ Failures</v>
      </c>
      <c r="M292" t="str">
        <f t="shared" si="14"/>
        <v>10-20hrs</v>
      </c>
      <c r="N292" t="str">
        <f t="shared" si="12"/>
        <v>12+ months</v>
      </c>
      <c r="O292" t="str">
        <f t="shared" si="13"/>
        <v>Basic</v>
      </c>
      <c r="P292" s="7">
        <v>45657</v>
      </c>
    </row>
    <row r="293" spans="1:16" x14ac:dyDescent="0.3">
      <c r="A293">
        <v>292</v>
      </c>
      <c r="B293" s="7">
        <v>45583</v>
      </c>
      <c r="C293" t="s">
        <v>12</v>
      </c>
      <c r="D293">
        <v>199</v>
      </c>
      <c r="E293">
        <v>14.4</v>
      </c>
      <c r="F293">
        <v>1</v>
      </c>
      <c r="G293">
        <v>2</v>
      </c>
      <c r="H293">
        <v>20</v>
      </c>
      <c r="I293">
        <v>18</v>
      </c>
      <c r="J293" t="s">
        <v>13</v>
      </c>
      <c r="K293">
        <f>IF(J293="Yes", 1, 0)</f>
        <v>0</v>
      </c>
      <c r="L293" t="str">
        <f>IF(G293=0,"0 Failures","1+ Failures")</f>
        <v>1+ Failures</v>
      </c>
      <c r="M293" t="str">
        <f t="shared" si="14"/>
        <v>10-20hrs</v>
      </c>
      <c r="N293" t="str">
        <f t="shared" si="12"/>
        <v>12+ months</v>
      </c>
      <c r="O293" t="str">
        <f t="shared" si="13"/>
        <v>Basic</v>
      </c>
      <c r="P293" s="7">
        <v>45657</v>
      </c>
    </row>
    <row r="294" spans="1:16" x14ac:dyDescent="0.3">
      <c r="A294">
        <v>293</v>
      </c>
      <c r="B294" s="7">
        <v>45042</v>
      </c>
      <c r="C294" t="s">
        <v>10</v>
      </c>
      <c r="D294">
        <v>699</v>
      </c>
      <c r="E294">
        <v>12.6</v>
      </c>
      <c r="F294">
        <v>2</v>
      </c>
      <c r="G294">
        <v>4</v>
      </c>
      <c r="H294">
        <v>34</v>
      </c>
      <c r="I294">
        <v>29</v>
      </c>
      <c r="J294" t="s">
        <v>11</v>
      </c>
      <c r="K294">
        <f>IF(J294="Yes", 1, 0)</f>
        <v>1</v>
      </c>
      <c r="L294" t="str">
        <f>IF(G294=0,"0 Failures","1+ Failures")</f>
        <v>1+ Failures</v>
      </c>
      <c r="M294" t="str">
        <f t="shared" si="14"/>
        <v>10-20hrs</v>
      </c>
      <c r="N294" t="str">
        <f t="shared" si="12"/>
        <v>12+ months</v>
      </c>
      <c r="O294" t="str">
        <f t="shared" si="13"/>
        <v>Premium</v>
      </c>
      <c r="P294" s="7">
        <v>45657</v>
      </c>
    </row>
    <row r="295" spans="1:16" x14ac:dyDescent="0.3">
      <c r="A295">
        <v>294</v>
      </c>
      <c r="B295" s="7">
        <v>45272</v>
      </c>
      <c r="C295" t="s">
        <v>14</v>
      </c>
      <c r="D295">
        <v>399</v>
      </c>
      <c r="E295">
        <v>18.399999999999999</v>
      </c>
      <c r="F295">
        <v>4</v>
      </c>
      <c r="G295">
        <v>5</v>
      </c>
      <c r="H295">
        <v>11</v>
      </c>
      <c r="I295">
        <v>11</v>
      </c>
      <c r="J295" t="s">
        <v>11</v>
      </c>
      <c r="K295">
        <f>IF(J295="Yes", 1, 0)</f>
        <v>1</v>
      </c>
      <c r="L295" t="str">
        <f>IF(G295=0,"0 Failures","1+ Failures")</f>
        <v>1+ Failures</v>
      </c>
      <c r="M295" t="str">
        <f t="shared" si="14"/>
        <v>10-20hrs</v>
      </c>
      <c r="N295" t="str">
        <f t="shared" si="12"/>
        <v>6-12months</v>
      </c>
      <c r="O295" t="str">
        <f t="shared" si="13"/>
        <v>Basic</v>
      </c>
      <c r="P295" s="7">
        <v>45657</v>
      </c>
    </row>
    <row r="296" spans="1:16" x14ac:dyDescent="0.3">
      <c r="A296">
        <v>295</v>
      </c>
      <c r="B296" s="7">
        <v>45337</v>
      </c>
      <c r="C296" t="s">
        <v>14</v>
      </c>
      <c r="D296">
        <v>399</v>
      </c>
      <c r="E296">
        <v>4.8</v>
      </c>
      <c r="F296">
        <v>6</v>
      </c>
      <c r="G296">
        <v>3</v>
      </c>
      <c r="H296">
        <v>13</v>
      </c>
      <c r="I296">
        <v>32</v>
      </c>
      <c r="J296" t="s">
        <v>11</v>
      </c>
      <c r="K296">
        <f>IF(J296="Yes", 1, 0)</f>
        <v>1</v>
      </c>
      <c r="L296" t="str">
        <f>IF(G296=0,"0 Failures","1+ Failures")</f>
        <v>1+ Failures</v>
      </c>
      <c r="M296" t="str">
        <f t="shared" si="14"/>
        <v>0-5 hrs</v>
      </c>
      <c r="N296" t="str">
        <f t="shared" si="12"/>
        <v>12+ months</v>
      </c>
      <c r="O296" t="str">
        <f t="shared" si="13"/>
        <v>Basic</v>
      </c>
      <c r="P296" s="7">
        <v>45657</v>
      </c>
    </row>
    <row r="297" spans="1:16" x14ac:dyDescent="0.3">
      <c r="A297">
        <v>296</v>
      </c>
      <c r="B297" s="7">
        <v>44933</v>
      </c>
      <c r="C297" t="s">
        <v>10</v>
      </c>
      <c r="D297">
        <v>699</v>
      </c>
      <c r="E297">
        <v>5</v>
      </c>
      <c r="F297">
        <v>2</v>
      </c>
      <c r="G297">
        <v>3</v>
      </c>
      <c r="H297">
        <v>7</v>
      </c>
      <c r="I297">
        <v>20</v>
      </c>
      <c r="J297" t="s">
        <v>13</v>
      </c>
      <c r="K297">
        <f>IF(J297="Yes", 1, 0)</f>
        <v>0</v>
      </c>
      <c r="L297" t="str">
        <f>IF(G297=0,"0 Failures","1+ Failures")</f>
        <v>1+ Failures</v>
      </c>
      <c r="M297" t="str">
        <f t="shared" si="14"/>
        <v>0-5 hrs</v>
      </c>
      <c r="N297" t="str">
        <f t="shared" si="12"/>
        <v>6-12months</v>
      </c>
      <c r="O297" t="str">
        <f t="shared" si="13"/>
        <v>Premium</v>
      </c>
      <c r="P297" s="7">
        <v>45657</v>
      </c>
    </row>
    <row r="298" spans="1:16" x14ac:dyDescent="0.3">
      <c r="A298">
        <v>297</v>
      </c>
      <c r="B298" s="7">
        <v>45513</v>
      </c>
      <c r="C298" t="s">
        <v>14</v>
      </c>
      <c r="D298">
        <v>399</v>
      </c>
      <c r="E298">
        <v>6.3</v>
      </c>
      <c r="F298">
        <v>4</v>
      </c>
      <c r="G298">
        <v>2</v>
      </c>
      <c r="H298">
        <v>25</v>
      </c>
      <c r="I298">
        <v>19</v>
      </c>
      <c r="J298" t="s">
        <v>13</v>
      </c>
      <c r="K298">
        <f>IF(J298="Yes", 1, 0)</f>
        <v>0</v>
      </c>
      <c r="L298" t="str">
        <f>IF(G298=0,"0 Failures","1+ Failures")</f>
        <v>1+ Failures</v>
      </c>
      <c r="M298" t="str">
        <f t="shared" si="14"/>
        <v>5-10 hrs</v>
      </c>
      <c r="N298" t="str">
        <f t="shared" si="12"/>
        <v>12+ months</v>
      </c>
      <c r="O298" t="str">
        <f t="shared" si="13"/>
        <v>Basic</v>
      </c>
      <c r="P298" s="7">
        <v>45657</v>
      </c>
    </row>
    <row r="299" spans="1:16" x14ac:dyDescent="0.3">
      <c r="A299">
        <v>298</v>
      </c>
      <c r="B299" s="7">
        <v>45241</v>
      </c>
      <c r="C299" t="s">
        <v>12</v>
      </c>
      <c r="D299">
        <v>199</v>
      </c>
      <c r="E299">
        <v>16.5</v>
      </c>
      <c r="F299">
        <v>3</v>
      </c>
      <c r="G299">
        <v>0</v>
      </c>
      <c r="H299">
        <v>17</v>
      </c>
      <c r="I299">
        <v>42</v>
      </c>
      <c r="J299" t="s">
        <v>11</v>
      </c>
      <c r="K299">
        <f>IF(J299="Yes", 1, 0)</f>
        <v>1</v>
      </c>
      <c r="L299" t="str">
        <f>IF(G299=0,"0 Failures","1+ Failures")</f>
        <v>0 Failures</v>
      </c>
      <c r="M299" t="str">
        <f t="shared" si="14"/>
        <v>10-20hrs</v>
      </c>
      <c r="N299" t="str">
        <f t="shared" si="12"/>
        <v>12+ months</v>
      </c>
      <c r="O299" t="str">
        <f t="shared" si="13"/>
        <v>Basic</v>
      </c>
      <c r="P299" s="7">
        <v>45657</v>
      </c>
    </row>
    <row r="300" spans="1:16" x14ac:dyDescent="0.3">
      <c r="A300">
        <v>299</v>
      </c>
      <c r="B300" s="7">
        <v>45229</v>
      </c>
      <c r="C300" t="s">
        <v>12</v>
      </c>
      <c r="D300">
        <v>199</v>
      </c>
      <c r="E300">
        <v>17.3</v>
      </c>
      <c r="F300">
        <v>4</v>
      </c>
      <c r="G300">
        <v>5</v>
      </c>
      <c r="H300">
        <v>26</v>
      </c>
      <c r="I300">
        <v>7</v>
      </c>
      <c r="J300" t="s">
        <v>13</v>
      </c>
      <c r="K300">
        <f>IF(J300="Yes", 1, 0)</f>
        <v>0</v>
      </c>
      <c r="L300" t="str">
        <f>IF(G300=0,"0 Failures","1+ Failures")</f>
        <v>1+ Failures</v>
      </c>
      <c r="M300" t="str">
        <f t="shared" si="14"/>
        <v>10-20hrs</v>
      </c>
      <c r="N300" t="str">
        <f t="shared" si="12"/>
        <v>12+ months</v>
      </c>
      <c r="O300" t="str">
        <f t="shared" si="13"/>
        <v>Basic</v>
      </c>
      <c r="P300" s="7">
        <v>45657</v>
      </c>
    </row>
    <row r="301" spans="1:16" x14ac:dyDescent="0.3">
      <c r="A301">
        <v>300</v>
      </c>
      <c r="B301" s="7">
        <v>45547</v>
      </c>
      <c r="C301" t="s">
        <v>14</v>
      </c>
      <c r="D301">
        <v>399</v>
      </c>
      <c r="E301">
        <v>5.9</v>
      </c>
      <c r="F301">
        <v>2</v>
      </c>
      <c r="G301">
        <v>3</v>
      </c>
      <c r="H301">
        <v>15</v>
      </c>
      <c r="I301">
        <v>9</v>
      </c>
      <c r="J301" t="s">
        <v>13</v>
      </c>
      <c r="K301">
        <f>IF(J301="Yes", 1, 0)</f>
        <v>0</v>
      </c>
      <c r="L301" t="str">
        <f>IF(G301=0,"0 Failures","1+ Failures")</f>
        <v>1+ Failures</v>
      </c>
      <c r="M301" t="str">
        <f t="shared" si="14"/>
        <v>5-10 hrs</v>
      </c>
      <c r="N301" t="str">
        <f t="shared" si="12"/>
        <v>12+ months</v>
      </c>
      <c r="O301" t="str">
        <f t="shared" si="13"/>
        <v>Basic</v>
      </c>
      <c r="P301" s="7">
        <v>45657</v>
      </c>
    </row>
    <row r="302" spans="1:16" x14ac:dyDescent="0.3">
      <c r="A302">
        <v>301</v>
      </c>
      <c r="B302" s="7">
        <v>45150</v>
      </c>
      <c r="C302" t="s">
        <v>14</v>
      </c>
      <c r="D302">
        <v>399</v>
      </c>
      <c r="E302">
        <v>17.7</v>
      </c>
      <c r="F302">
        <v>7</v>
      </c>
      <c r="G302">
        <v>4</v>
      </c>
      <c r="H302">
        <v>27</v>
      </c>
      <c r="I302">
        <v>51</v>
      </c>
      <c r="J302" t="s">
        <v>11</v>
      </c>
      <c r="K302">
        <f>IF(J302="Yes", 1, 0)</f>
        <v>1</v>
      </c>
      <c r="L302" t="str">
        <f>IF(G302=0,"0 Failures","1+ Failures")</f>
        <v>1+ Failures</v>
      </c>
      <c r="M302" t="str">
        <f t="shared" si="14"/>
        <v>10-20hrs</v>
      </c>
      <c r="N302" t="str">
        <f t="shared" si="12"/>
        <v>12+ months</v>
      </c>
      <c r="O302" t="str">
        <f t="shared" si="13"/>
        <v>Basic</v>
      </c>
      <c r="P302" s="7">
        <v>45657</v>
      </c>
    </row>
    <row r="303" spans="1:16" x14ac:dyDescent="0.3">
      <c r="A303">
        <v>302</v>
      </c>
      <c r="B303" s="7">
        <v>45504</v>
      </c>
      <c r="C303" t="s">
        <v>12</v>
      </c>
      <c r="D303">
        <v>199</v>
      </c>
      <c r="E303">
        <v>13.4</v>
      </c>
      <c r="F303">
        <v>8</v>
      </c>
      <c r="G303">
        <v>5</v>
      </c>
      <c r="H303">
        <v>6</v>
      </c>
      <c r="I303">
        <v>23</v>
      </c>
      <c r="J303" t="s">
        <v>11</v>
      </c>
      <c r="K303">
        <f>IF(J303="Yes", 1, 0)</f>
        <v>1</v>
      </c>
      <c r="L303" t="str">
        <f>IF(G303=0,"0 Failures","1+ Failures")</f>
        <v>1+ Failures</v>
      </c>
      <c r="M303" t="str">
        <f t="shared" si="14"/>
        <v>10-20hrs</v>
      </c>
      <c r="N303" t="str">
        <f t="shared" si="12"/>
        <v>3-6months</v>
      </c>
      <c r="O303" t="str">
        <f t="shared" si="13"/>
        <v>Basic</v>
      </c>
      <c r="P303" s="7">
        <v>45657</v>
      </c>
    </row>
    <row r="304" spans="1:16" x14ac:dyDescent="0.3">
      <c r="A304">
        <v>303</v>
      </c>
      <c r="B304" s="7">
        <v>45095</v>
      </c>
      <c r="C304" t="s">
        <v>12</v>
      </c>
      <c r="D304">
        <v>199</v>
      </c>
      <c r="E304">
        <v>20.8</v>
      </c>
      <c r="F304">
        <v>8</v>
      </c>
      <c r="G304">
        <v>1</v>
      </c>
      <c r="H304">
        <v>4</v>
      </c>
      <c r="I304">
        <v>36</v>
      </c>
      <c r="J304" t="s">
        <v>13</v>
      </c>
      <c r="K304">
        <f>IF(J304="Yes", 1, 0)</f>
        <v>0</v>
      </c>
      <c r="L304" t="str">
        <f>IF(G304=0,"0 Failures","1+ Failures")</f>
        <v>1+ Failures</v>
      </c>
      <c r="M304" t="str">
        <f t="shared" si="14"/>
        <v>20+ hrs</v>
      </c>
      <c r="N304" t="str">
        <f t="shared" si="12"/>
        <v>3-6months</v>
      </c>
      <c r="O304" t="str">
        <f t="shared" si="13"/>
        <v>Basic</v>
      </c>
      <c r="P304" s="7">
        <v>45657</v>
      </c>
    </row>
    <row r="305" spans="1:16" x14ac:dyDescent="0.3">
      <c r="A305">
        <v>304</v>
      </c>
      <c r="B305" s="7">
        <v>45449</v>
      </c>
      <c r="C305" t="s">
        <v>14</v>
      </c>
      <c r="D305">
        <v>399</v>
      </c>
      <c r="E305">
        <v>11.3</v>
      </c>
      <c r="F305">
        <v>3</v>
      </c>
      <c r="G305">
        <v>5</v>
      </c>
      <c r="H305">
        <v>34</v>
      </c>
      <c r="I305">
        <v>37</v>
      </c>
      <c r="J305" t="s">
        <v>11</v>
      </c>
      <c r="K305">
        <f>IF(J305="Yes", 1, 0)</f>
        <v>1</v>
      </c>
      <c r="L305" t="str">
        <f>IF(G305=0,"0 Failures","1+ Failures")</f>
        <v>1+ Failures</v>
      </c>
      <c r="M305" t="str">
        <f t="shared" si="14"/>
        <v>10-20hrs</v>
      </c>
      <c r="N305" t="str">
        <f t="shared" si="12"/>
        <v>12+ months</v>
      </c>
      <c r="O305" t="str">
        <f t="shared" si="13"/>
        <v>Basic</v>
      </c>
      <c r="P305" s="7">
        <v>45657</v>
      </c>
    </row>
    <row r="306" spans="1:16" x14ac:dyDescent="0.3">
      <c r="A306">
        <v>305</v>
      </c>
      <c r="B306" s="7">
        <v>45499</v>
      </c>
      <c r="C306" t="s">
        <v>14</v>
      </c>
      <c r="D306">
        <v>399</v>
      </c>
      <c r="E306">
        <v>11.6</v>
      </c>
      <c r="F306">
        <v>8</v>
      </c>
      <c r="G306">
        <v>3</v>
      </c>
      <c r="H306">
        <v>4</v>
      </c>
      <c r="I306">
        <v>29</v>
      </c>
      <c r="J306" t="s">
        <v>11</v>
      </c>
      <c r="K306">
        <f>IF(J306="Yes", 1, 0)</f>
        <v>1</v>
      </c>
      <c r="L306" t="str">
        <f>IF(G306=0,"0 Failures","1+ Failures")</f>
        <v>1+ Failures</v>
      </c>
      <c r="M306" t="str">
        <f t="shared" si="14"/>
        <v>10-20hrs</v>
      </c>
      <c r="N306" t="str">
        <f t="shared" si="12"/>
        <v>3-6months</v>
      </c>
      <c r="O306" t="str">
        <f t="shared" si="13"/>
        <v>Basic</v>
      </c>
      <c r="P306" s="7">
        <v>45657</v>
      </c>
    </row>
    <row r="307" spans="1:16" x14ac:dyDescent="0.3">
      <c r="A307">
        <v>306</v>
      </c>
      <c r="B307" s="7">
        <v>45150</v>
      </c>
      <c r="C307" t="s">
        <v>14</v>
      </c>
      <c r="D307">
        <v>399</v>
      </c>
      <c r="E307">
        <v>18.2</v>
      </c>
      <c r="F307">
        <v>6</v>
      </c>
      <c r="G307">
        <v>2</v>
      </c>
      <c r="H307">
        <v>20</v>
      </c>
      <c r="I307">
        <v>52</v>
      </c>
      <c r="J307" t="s">
        <v>11</v>
      </c>
      <c r="K307">
        <f>IF(J307="Yes", 1, 0)</f>
        <v>1</v>
      </c>
      <c r="L307" t="str">
        <f>IF(G307=0,"0 Failures","1+ Failures")</f>
        <v>1+ Failures</v>
      </c>
      <c r="M307" t="str">
        <f t="shared" si="14"/>
        <v>10-20hrs</v>
      </c>
      <c r="N307" t="str">
        <f t="shared" si="12"/>
        <v>12+ months</v>
      </c>
      <c r="O307" t="str">
        <f t="shared" si="13"/>
        <v>Basic</v>
      </c>
      <c r="P307" s="7">
        <v>45657</v>
      </c>
    </row>
    <row r="308" spans="1:16" x14ac:dyDescent="0.3">
      <c r="A308">
        <v>307</v>
      </c>
      <c r="B308" s="7">
        <v>44988</v>
      </c>
      <c r="C308" t="s">
        <v>10</v>
      </c>
      <c r="D308">
        <v>699</v>
      </c>
      <c r="E308">
        <v>1.6</v>
      </c>
      <c r="F308">
        <v>5</v>
      </c>
      <c r="G308">
        <v>5</v>
      </c>
      <c r="H308">
        <v>5</v>
      </c>
      <c r="I308">
        <v>4</v>
      </c>
      <c r="J308" t="s">
        <v>11</v>
      </c>
      <c r="K308">
        <f>IF(J308="Yes", 1, 0)</f>
        <v>1</v>
      </c>
      <c r="L308" t="str">
        <f>IF(G308=0,"0 Failures","1+ Failures")</f>
        <v>1+ Failures</v>
      </c>
      <c r="M308" t="str">
        <f t="shared" si="14"/>
        <v>0-5 hrs</v>
      </c>
      <c r="N308" t="str">
        <f t="shared" si="12"/>
        <v>3-6months</v>
      </c>
      <c r="O308" t="str">
        <f t="shared" si="13"/>
        <v>Premium</v>
      </c>
      <c r="P308" s="7">
        <v>45657</v>
      </c>
    </row>
    <row r="309" spans="1:16" x14ac:dyDescent="0.3">
      <c r="A309">
        <v>308</v>
      </c>
      <c r="B309" s="7">
        <v>45583</v>
      </c>
      <c r="C309" t="s">
        <v>12</v>
      </c>
      <c r="D309">
        <v>199</v>
      </c>
      <c r="E309">
        <v>1.3</v>
      </c>
      <c r="F309">
        <v>6</v>
      </c>
      <c r="G309">
        <v>1</v>
      </c>
      <c r="H309">
        <v>31</v>
      </c>
      <c r="I309">
        <v>49</v>
      </c>
      <c r="J309" t="s">
        <v>11</v>
      </c>
      <c r="K309">
        <f>IF(J309="Yes", 1, 0)</f>
        <v>1</v>
      </c>
      <c r="L309" t="str">
        <f>IF(G309=0,"0 Failures","1+ Failures")</f>
        <v>1+ Failures</v>
      </c>
      <c r="M309" t="str">
        <f t="shared" si="14"/>
        <v>0-5 hrs</v>
      </c>
      <c r="N309" t="str">
        <f t="shared" si="12"/>
        <v>12+ months</v>
      </c>
      <c r="O309" t="str">
        <f t="shared" si="13"/>
        <v>Basic</v>
      </c>
      <c r="P309" s="7">
        <v>45657</v>
      </c>
    </row>
    <row r="310" spans="1:16" x14ac:dyDescent="0.3">
      <c r="A310">
        <v>309</v>
      </c>
      <c r="B310" s="7">
        <v>45313</v>
      </c>
      <c r="C310" t="s">
        <v>10</v>
      </c>
      <c r="D310">
        <v>699</v>
      </c>
      <c r="E310">
        <v>9.6999999999999993</v>
      </c>
      <c r="F310">
        <v>6</v>
      </c>
      <c r="G310">
        <v>3</v>
      </c>
      <c r="H310">
        <v>27</v>
      </c>
      <c r="I310">
        <v>55</v>
      </c>
      <c r="J310" t="s">
        <v>13</v>
      </c>
      <c r="K310">
        <f>IF(J310="Yes", 1, 0)</f>
        <v>0</v>
      </c>
      <c r="L310" t="str">
        <f>IF(G310=0,"0 Failures","1+ Failures")</f>
        <v>1+ Failures</v>
      </c>
      <c r="M310" t="str">
        <f t="shared" si="14"/>
        <v>5-10 hrs</v>
      </c>
      <c r="N310" t="str">
        <f t="shared" si="12"/>
        <v>12+ months</v>
      </c>
      <c r="O310" t="str">
        <f t="shared" si="13"/>
        <v>Premium</v>
      </c>
      <c r="P310" s="7">
        <v>45657</v>
      </c>
    </row>
    <row r="311" spans="1:16" x14ac:dyDescent="0.3">
      <c r="A311">
        <v>310</v>
      </c>
      <c r="B311" s="7">
        <v>45048</v>
      </c>
      <c r="C311" t="s">
        <v>14</v>
      </c>
      <c r="D311">
        <v>399</v>
      </c>
      <c r="E311">
        <v>17.2</v>
      </c>
      <c r="F311">
        <v>8</v>
      </c>
      <c r="G311">
        <v>1</v>
      </c>
      <c r="H311">
        <v>6</v>
      </c>
      <c r="I311">
        <v>41</v>
      </c>
      <c r="J311" t="s">
        <v>13</v>
      </c>
      <c r="K311">
        <f>IF(J311="Yes", 1, 0)</f>
        <v>0</v>
      </c>
      <c r="L311" t="str">
        <f>IF(G311=0,"0 Failures","1+ Failures")</f>
        <v>1+ Failures</v>
      </c>
      <c r="M311" t="str">
        <f t="shared" si="14"/>
        <v>10-20hrs</v>
      </c>
      <c r="N311" t="str">
        <f t="shared" si="12"/>
        <v>3-6months</v>
      </c>
      <c r="O311" t="str">
        <f t="shared" si="13"/>
        <v>Basic</v>
      </c>
      <c r="P311" s="7">
        <v>45657</v>
      </c>
    </row>
    <row r="312" spans="1:16" x14ac:dyDescent="0.3">
      <c r="A312">
        <v>311</v>
      </c>
      <c r="B312" s="7">
        <v>44950</v>
      </c>
      <c r="C312" t="s">
        <v>12</v>
      </c>
      <c r="D312">
        <v>199</v>
      </c>
      <c r="E312">
        <v>10.1</v>
      </c>
      <c r="F312">
        <v>2</v>
      </c>
      <c r="G312">
        <v>5</v>
      </c>
      <c r="H312">
        <v>35</v>
      </c>
      <c r="I312">
        <v>14</v>
      </c>
      <c r="J312" t="s">
        <v>13</v>
      </c>
      <c r="K312">
        <f>IF(J312="Yes", 1, 0)</f>
        <v>0</v>
      </c>
      <c r="L312" t="str">
        <f>IF(G312=0,"0 Failures","1+ Failures")</f>
        <v>1+ Failures</v>
      </c>
      <c r="M312" t="str">
        <f t="shared" si="14"/>
        <v>10-20hrs</v>
      </c>
      <c r="N312" t="str">
        <f t="shared" si="12"/>
        <v>12+ months</v>
      </c>
      <c r="O312" t="str">
        <f t="shared" si="13"/>
        <v>Basic</v>
      </c>
      <c r="P312" s="7">
        <v>45657</v>
      </c>
    </row>
    <row r="313" spans="1:16" x14ac:dyDescent="0.3">
      <c r="A313">
        <v>312</v>
      </c>
      <c r="B313" s="7">
        <v>45162</v>
      </c>
      <c r="C313" t="s">
        <v>14</v>
      </c>
      <c r="D313">
        <v>399</v>
      </c>
      <c r="E313">
        <v>17</v>
      </c>
      <c r="F313">
        <v>8</v>
      </c>
      <c r="G313">
        <v>3</v>
      </c>
      <c r="H313">
        <v>30</v>
      </c>
      <c r="I313">
        <v>34</v>
      </c>
      <c r="J313" t="s">
        <v>11</v>
      </c>
      <c r="K313">
        <f>IF(J313="Yes", 1, 0)</f>
        <v>1</v>
      </c>
      <c r="L313" t="str">
        <f>IF(G313=0,"0 Failures","1+ Failures")</f>
        <v>1+ Failures</v>
      </c>
      <c r="M313" t="str">
        <f t="shared" si="14"/>
        <v>10-20hrs</v>
      </c>
      <c r="N313" t="str">
        <f t="shared" si="12"/>
        <v>12+ months</v>
      </c>
      <c r="O313" t="str">
        <f t="shared" si="13"/>
        <v>Basic</v>
      </c>
      <c r="P313" s="7">
        <v>45657</v>
      </c>
    </row>
    <row r="314" spans="1:16" x14ac:dyDescent="0.3">
      <c r="A314">
        <v>313</v>
      </c>
      <c r="B314" s="7">
        <v>45042</v>
      </c>
      <c r="C314" t="s">
        <v>12</v>
      </c>
      <c r="D314">
        <v>199</v>
      </c>
      <c r="E314">
        <v>9</v>
      </c>
      <c r="F314">
        <v>4</v>
      </c>
      <c r="G314">
        <v>1</v>
      </c>
      <c r="H314">
        <v>30</v>
      </c>
      <c r="I314">
        <v>59</v>
      </c>
      <c r="J314" t="s">
        <v>13</v>
      </c>
      <c r="K314">
        <f>IF(J314="Yes", 1, 0)</f>
        <v>0</v>
      </c>
      <c r="L314" t="str">
        <f>IF(G314=0,"0 Failures","1+ Failures")</f>
        <v>1+ Failures</v>
      </c>
      <c r="M314" t="str">
        <f t="shared" si="14"/>
        <v>5-10 hrs</v>
      </c>
      <c r="N314" t="str">
        <f t="shared" si="12"/>
        <v>12+ months</v>
      </c>
      <c r="O314" t="str">
        <f t="shared" si="13"/>
        <v>Basic</v>
      </c>
      <c r="P314" s="7">
        <v>45657</v>
      </c>
    </row>
    <row r="315" spans="1:16" x14ac:dyDescent="0.3">
      <c r="A315">
        <v>314</v>
      </c>
      <c r="B315" s="7">
        <v>45535</v>
      </c>
      <c r="C315" t="s">
        <v>12</v>
      </c>
      <c r="D315">
        <v>199</v>
      </c>
      <c r="E315">
        <v>15.6</v>
      </c>
      <c r="F315">
        <v>0</v>
      </c>
      <c r="G315">
        <v>1</v>
      </c>
      <c r="H315">
        <v>27</v>
      </c>
      <c r="I315">
        <v>13</v>
      </c>
      <c r="J315" t="s">
        <v>11</v>
      </c>
      <c r="K315">
        <f>IF(J315="Yes", 1, 0)</f>
        <v>1</v>
      </c>
      <c r="L315" t="str">
        <f>IF(G315=0,"0 Failures","1+ Failures")</f>
        <v>1+ Failures</v>
      </c>
      <c r="M315" t="str">
        <f t="shared" si="14"/>
        <v>10-20hrs</v>
      </c>
      <c r="N315" t="str">
        <f t="shared" si="12"/>
        <v>12+ months</v>
      </c>
      <c r="O315" t="str">
        <f t="shared" si="13"/>
        <v>Basic</v>
      </c>
      <c r="P315" s="7">
        <v>45657</v>
      </c>
    </row>
    <row r="316" spans="1:16" x14ac:dyDescent="0.3">
      <c r="A316">
        <v>315</v>
      </c>
      <c r="B316" s="7">
        <v>45376</v>
      </c>
      <c r="C316" t="s">
        <v>12</v>
      </c>
      <c r="D316">
        <v>199</v>
      </c>
      <c r="E316">
        <v>15.1</v>
      </c>
      <c r="F316">
        <v>0</v>
      </c>
      <c r="G316">
        <v>1</v>
      </c>
      <c r="H316">
        <v>29</v>
      </c>
      <c r="I316">
        <v>47</v>
      </c>
      <c r="J316" t="s">
        <v>11</v>
      </c>
      <c r="K316">
        <f>IF(J316="Yes", 1, 0)</f>
        <v>1</v>
      </c>
      <c r="L316" t="str">
        <f>IF(G316=0,"0 Failures","1+ Failures")</f>
        <v>1+ Failures</v>
      </c>
      <c r="M316" t="str">
        <f t="shared" si="14"/>
        <v>10-20hrs</v>
      </c>
      <c r="N316" t="str">
        <f t="shared" si="12"/>
        <v>12+ months</v>
      </c>
      <c r="O316" t="str">
        <f t="shared" si="13"/>
        <v>Basic</v>
      </c>
      <c r="P316" s="7">
        <v>45657</v>
      </c>
    </row>
    <row r="317" spans="1:16" x14ac:dyDescent="0.3">
      <c r="A317">
        <v>316</v>
      </c>
      <c r="B317" s="7">
        <v>45166</v>
      </c>
      <c r="C317" t="s">
        <v>12</v>
      </c>
      <c r="D317">
        <v>199</v>
      </c>
      <c r="E317">
        <v>5.8</v>
      </c>
      <c r="F317">
        <v>0</v>
      </c>
      <c r="G317">
        <v>1</v>
      </c>
      <c r="H317">
        <v>35</v>
      </c>
      <c r="I317">
        <v>32</v>
      </c>
      <c r="J317" t="s">
        <v>13</v>
      </c>
      <c r="K317">
        <f>IF(J317="Yes", 1, 0)</f>
        <v>0</v>
      </c>
      <c r="L317" t="str">
        <f>IF(G317=0,"0 Failures","1+ Failures")</f>
        <v>1+ Failures</v>
      </c>
      <c r="M317" t="str">
        <f t="shared" si="14"/>
        <v>5-10 hrs</v>
      </c>
      <c r="N317" t="str">
        <f t="shared" si="12"/>
        <v>12+ months</v>
      </c>
      <c r="O317" t="str">
        <f t="shared" si="13"/>
        <v>Basic</v>
      </c>
      <c r="P317" s="7">
        <v>45657</v>
      </c>
    </row>
    <row r="318" spans="1:16" x14ac:dyDescent="0.3">
      <c r="A318">
        <v>317</v>
      </c>
      <c r="B318" s="7">
        <v>45603</v>
      </c>
      <c r="C318" t="s">
        <v>10</v>
      </c>
      <c r="D318">
        <v>699</v>
      </c>
      <c r="E318">
        <v>14.6</v>
      </c>
      <c r="F318">
        <v>5</v>
      </c>
      <c r="G318">
        <v>1</v>
      </c>
      <c r="H318">
        <v>21</v>
      </c>
      <c r="I318">
        <v>19</v>
      </c>
      <c r="J318" t="s">
        <v>13</v>
      </c>
      <c r="K318">
        <f>IF(J318="Yes", 1, 0)</f>
        <v>0</v>
      </c>
      <c r="L318" t="str">
        <f>IF(G318=0,"0 Failures","1+ Failures")</f>
        <v>1+ Failures</v>
      </c>
      <c r="M318" t="str">
        <f t="shared" si="14"/>
        <v>10-20hrs</v>
      </c>
      <c r="N318" t="str">
        <f t="shared" si="12"/>
        <v>12+ months</v>
      </c>
      <c r="O318" t="str">
        <f t="shared" si="13"/>
        <v>Premium</v>
      </c>
      <c r="P318" s="7">
        <v>45657</v>
      </c>
    </row>
    <row r="319" spans="1:16" x14ac:dyDescent="0.3">
      <c r="A319">
        <v>318</v>
      </c>
      <c r="B319" s="7">
        <v>45106</v>
      </c>
      <c r="C319" t="s">
        <v>10</v>
      </c>
      <c r="D319">
        <v>699</v>
      </c>
      <c r="E319">
        <v>10.6</v>
      </c>
      <c r="F319">
        <v>4</v>
      </c>
      <c r="G319">
        <v>0</v>
      </c>
      <c r="H319">
        <v>15</v>
      </c>
      <c r="I319">
        <v>35</v>
      </c>
      <c r="J319" t="s">
        <v>13</v>
      </c>
      <c r="K319">
        <f>IF(J319="Yes", 1, 0)</f>
        <v>0</v>
      </c>
      <c r="L319" t="str">
        <f>IF(G319=0,"0 Failures","1+ Failures")</f>
        <v>0 Failures</v>
      </c>
      <c r="M319" t="str">
        <f t="shared" si="14"/>
        <v>10-20hrs</v>
      </c>
      <c r="N319" t="str">
        <f t="shared" si="12"/>
        <v>12+ months</v>
      </c>
      <c r="O319" t="str">
        <f t="shared" si="13"/>
        <v>Premium</v>
      </c>
      <c r="P319" s="7">
        <v>45657</v>
      </c>
    </row>
    <row r="320" spans="1:16" x14ac:dyDescent="0.3">
      <c r="A320">
        <v>319</v>
      </c>
      <c r="B320" s="7">
        <v>45317</v>
      </c>
      <c r="C320" t="s">
        <v>10</v>
      </c>
      <c r="D320">
        <v>699</v>
      </c>
      <c r="E320">
        <v>14.1</v>
      </c>
      <c r="F320">
        <v>0</v>
      </c>
      <c r="G320">
        <v>2</v>
      </c>
      <c r="H320">
        <v>28</v>
      </c>
      <c r="I320">
        <v>60</v>
      </c>
      <c r="J320" t="s">
        <v>13</v>
      </c>
      <c r="K320">
        <f>IF(J320="Yes", 1, 0)</f>
        <v>0</v>
      </c>
      <c r="L320" t="str">
        <f>IF(G320=0,"0 Failures","1+ Failures")</f>
        <v>1+ Failures</v>
      </c>
      <c r="M320" t="str">
        <f t="shared" si="14"/>
        <v>10-20hrs</v>
      </c>
      <c r="N320" t="str">
        <f t="shared" si="12"/>
        <v>12+ months</v>
      </c>
      <c r="O320" t="str">
        <f t="shared" si="13"/>
        <v>Premium</v>
      </c>
      <c r="P320" s="7">
        <v>45657</v>
      </c>
    </row>
    <row r="321" spans="1:16" x14ac:dyDescent="0.3">
      <c r="A321">
        <v>320</v>
      </c>
      <c r="B321" s="7">
        <v>45477</v>
      </c>
      <c r="C321" t="s">
        <v>10</v>
      </c>
      <c r="D321">
        <v>699</v>
      </c>
      <c r="E321">
        <v>17.600000000000001</v>
      </c>
      <c r="F321">
        <v>6</v>
      </c>
      <c r="G321">
        <v>1</v>
      </c>
      <c r="H321">
        <v>21</v>
      </c>
      <c r="I321">
        <v>19</v>
      </c>
      <c r="J321" t="s">
        <v>13</v>
      </c>
      <c r="K321">
        <f>IF(J321="Yes", 1, 0)</f>
        <v>0</v>
      </c>
      <c r="L321" t="str">
        <f>IF(G321=0,"0 Failures","1+ Failures")</f>
        <v>1+ Failures</v>
      </c>
      <c r="M321" t="str">
        <f t="shared" si="14"/>
        <v>10-20hrs</v>
      </c>
      <c r="N321" t="str">
        <f t="shared" si="12"/>
        <v>12+ months</v>
      </c>
      <c r="O321" t="str">
        <f t="shared" si="13"/>
        <v>Premium</v>
      </c>
      <c r="P321" s="7">
        <v>45657</v>
      </c>
    </row>
    <row r="322" spans="1:16" x14ac:dyDescent="0.3">
      <c r="A322">
        <v>321</v>
      </c>
      <c r="B322" s="7">
        <v>44986</v>
      </c>
      <c r="C322" t="s">
        <v>14</v>
      </c>
      <c r="D322">
        <v>399</v>
      </c>
      <c r="E322">
        <v>21.3</v>
      </c>
      <c r="F322">
        <v>4</v>
      </c>
      <c r="G322">
        <v>5</v>
      </c>
      <c r="H322">
        <v>16</v>
      </c>
      <c r="I322">
        <v>9</v>
      </c>
      <c r="J322" t="s">
        <v>13</v>
      </c>
      <c r="K322">
        <f>IF(J322="Yes", 1, 0)</f>
        <v>0</v>
      </c>
      <c r="L322" t="str">
        <f>IF(G322=0,"0 Failures","1+ Failures")</f>
        <v>1+ Failures</v>
      </c>
      <c r="M322" t="str">
        <f t="shared" si="14"/>
        <v>20+ hrs</v>
      </c>
      <c r="N322" t="str">
        <f t="shared" si="12"/>
        <v>12+ months</v>
      </c>
      <c r="O322" t="str">
        <f t="shared" si="13"/>
        <v>Basic</v>
      </c>
      <c r="P322" s="7">
        <v>45657</v>
      </c>
    </row>
    <row r="323" spans="1:16" x14ac:dyDescent="0.3">
      <c r="A323">
        <v>322</v>
      </c>
      <c r="B323" s="7">
        <v>45188</v>
      </c>
      <c r="C323" t="s">
        <v>10</v>
      </c>
      <c r="D323">
        <v>699</v>
      </c>
      <c r="E323">
        <v>24.2</v>
      </c>
      <c r="F323">
        <v>8</v>
      </c>
      <c r="G323">
        <v>4</v>
      </c>
      <c r="H323">
        <v>27</v>
      </c>
      <c r="I323">
        <v>8</v>
      </c>
      <c r="J323" t="s">
        <v>11</v>
      </c>
      <c r="K323">
        <f>IF(J323="Yes", 1, 0)</f>
        <v>1</v>
      </c>
      <c r="L323" t="str">
        <f>IF(G323=0,"0 Failures","1+ Failures")</f>
        <v>1+ Failures</v>
      </c>
      <c r="M323" t="str">
        <f t="shared" si="14"/>
        <v>20+ hrs</v>
      </c>
      <c r="N323" t="str">
        <f t="shared" ref="N323:N386" si="15">IF(H323&lt;=3, "0-3months", IF(H323&lt;=6, "3-6months", IF(H323&lt;=12, "6-12months", "12+ months")))</f>
        <v>12+ months</v>
      </c>
      <c r="O323" t="str">
        <f t="shared" ref="O323:O386" si="16">IF(C323="premium", "Premium", "Basic")</f>
        <v>Premium</v>
      </c>
      <c r="P323" s="7">
        <v>45657</v>
      </c>
    </row>
    <row r="324" spans="1:16" x14ac:dyDescent="0.3">
      <c r="A324">
        <v>323</v>
      </c>
      <c r="B324" s="7">
        <v>45122</v>
      </c>
      <c r="C324" t="s">
        <v>12</v>
      </c>
      <c r="D324">
        <v>199</v>
      </c>
      <c r="E324">
        <v>16.3</v>
      </c>
      <c r="F324">
        <v>7</v>
      </c>
      <c r="G324">
        <v>2</v>
      </c>
      <c r="H324">
        <v>22</v>
      </c>
      <c r="I324">
        <v>5</v>
      </c>
      <c r="J324" t="s">
        <v>13</v>
      </c>
      <c r="K324">
        <f>IF(J324="Yes", 1, 0)</f>
        <v>0</v>
      </c>
      <c r="L324" t="str">
        <f>IF(G324=0,"0 Failures","1+ Failures")</f>
        <v>1+ Failures</v>
      </c>
      <c r="M324" t="str">
        <f t="shared" si="14"/>
        <v>10-20hrs</v>
      </c>
      <c r="N324" t="str">
        <f t="shared" si="15"/>
        <v>12+ months</v>
      </c>
      <c r="O324" t="str">
        <f t="shared" si="16"/>
        <v>Basic</v>
      </c>
      <c r="P324" s="7">
        <v>45657</v>
      </c>
    </row>
    <row r="325" spans="1:16" x14ac:dyDescent="0.3">
      <c r="A325">
        <v>324</v>
      </c>
      <c r="B325" s="7">
        <v>45528</v>
      </c>
      <c r="C325" t="s">
        <v>12</v>
      </c>
      <c r="D325">
        <v>199</v>
      </c>
      <c r="E325">
        <v>9.6999999999999993</v>
      </c>
      <c r="F325">
        <v>0</v>
      </c>
      <c r="G325">
        <v>0</v>
      </c>
      <c r="H325">
        <v>18</v>
      </c>
      <c r="I325">
        <v>12</v>
      </c>
      <c r="J325" t="s">
        <v>13</v>
      </c>
      <c r="K325">
        <f>IF(J325="Yes", 1, 0)</f>
        <v>0</v>
      </c>
      <c r="L325" t="str">
        <f>IF(G325=0,"0 Failures","1+ Failures")</f>
        <v>0 Failures</v>
      </c>
      <c r="M325" t="str">
        <f t="shared" si="14"/>
        <v>5-10 hrs</v>
      </c>
      <c r="N325" t="str">
        <f t="shared" si="15"/>
        <v>12+ months</v>
      </c>
      <c r="O325" t="str">
        <f t="shared" si="16"/>
        <v>Basic</v>
      </c>
      <c r="P325" s="7">
        <v>45657</v>
      </c>
    </row>
    <row r="326" spans="1:16" x14ac:dyDescent="0.3">
      <c r="A326">
        <v>325</v>
      </c>
      <c r="B326" s="7">
        <v>44942</v>
      </c>
      <c r="C326" t="s">
        <v>10</v>
      </c>
      <c r="D326">
        <v>699</v>
      </c>
      <c r="E326">
        <v>5.8</v>
      </c>
      <c r="F326">
        <v>3</v>
      </c>
      <c r="G326">
        <v>2</v>
      </c>
      <c r="H326">
        <v>36</v>
      </c>
      <c r="I326">
        <v>19</v>
      </c>
      <c r="J326" t="s">
        <v>13</v>
      </c>
      <c r="K326">
        <f>IF(J326="Yes", 1, 0)</f>
        <v>0</v>
      </c>
      <c r="L326" t="str">
        <f>IF(G326=0,"0 Failures","1+ Failures")</f>
        <v>1+ Failures</v>
      </c>
      <c r="M326" t="str">
        <f t="shared" si="14"/>
        <v>5-10 hrs</v>
      </c>
      <c r="N326" t="str">
        <f t="shared" si="15"/>
        <v>12+ months</v>
      </c>
      <c r="O326" t="str">
        <f t="shared" si="16"/>
        <v>Premium</v>
      </c>
      <c r="P326" s="7">
        <v>45657</v>
      </c>
    </row>
    <row r="327" spans="1:16" x14ac:dyDescent="0.3">
      <c r="A327">
        <v>326</v>
      </c>
      <c r="B327" s="7">
        <v>45175</v>
      </c>
      <c r="C327" t="s">
        <v>12</v>
      </c>
      <c r="D327">
        <v>199</v>
      </c>
      <c r="E327">
        <v>24.1</v>
      </c>
      <c r="F327">
        <v>1</v>
      </c>
      <c r="G327">
        <v>5</v>
      </c>
      <c r="H327">
        <v>13</v>
      </c>
      <c r="I327">
        <v>48</v>
      </c>
      <c r="J327" t="s">
        <v>11</v>
      </c>
      <c r="K327">
        <f>IF(J327="Yes", 1, 0)</f>
        <v>1</v>
      </c>
      <c r="L327" t="str">
        <f>IF(G327=0,"0 Failures","1+ Failures")</f>
        <v>1+ Failures</v>
      </c>
      <c r="M327" t="str">
        <f t="shared" si="14"/>
        <v>20+ hrs</v>
      </c>
      <c r="N327" t="str">
        <f t="shared" si="15"/>
        <v>12+ months</v>
      </c>
      <c r="O327" t="str">
        <f t="shared" si="16"/>
        <v>Basic</v>
      </c>
      <c r="P327" s="7">
        <v>45657</v>
      </c>
    </row>
    <row r="328" spans="1:16" x14ac:dyDescent="0.3">
      <c r="A328">
        <v>327</v>
      </c>
      <c r="B328" s="7">
        <v>45316</v>
      </c>
      <c r="C328" t="s">
        <v>10</v>
      </c>
      <c r="D328">
        <v>699</v>
      </c>
      <c r="E328">
        <v>10.199999999999999</v>
      </c>
      <c r="F328">
        <v>3</v>
      </c>
      <c r="G328">
        <v>4</v>
      </c>
      <c r="H328">
        <v>14</v>
      </c>
      <c r="I328">
        <v>20</v>
      </c>
      <c r="J328" t="s">
        <v>13</v>
      </c>
      <c r="K328">
        <f>IF(J328="Yes", 1, 0)</f>
        <v>0</v>
      </c>
      <c r="L328" t="str">
        <f>IF(G328=0,"0 Failures","1+ Failures")</f>
        <v>1+ Failures</v>
      </c>
      <c r="M328" t="str">
        <f t="shared" si="14"/>
        <v>10-20hrs</v>
      </c>
      <c r="N328" t="str">
        <f t="shared" si="15"/>
        <v>12+ months</v>
      </c>
      <c r="O328" t="str">
        <f t="shared" si="16"/>
        <v>Premium</v>
      </c>
      <c r="P328" s="7">
        <v>45657</v>
      </c>
    </row>
    <row r="329" spans="1:16" x14ac:dyDescent="0.3">
      <c r="A329">
        <v>328</v>
      </c>
      <c r="B329" s="7">
        <v>45436</v>
      </c>
      <c r="C329" t="s">
        <v>14</v>
      </c>
      <c r="D329">
        <v>399</v>
      </c>
      <c r="E329">
        <v>16.399999999999999</v>
      </c>
      <c r="F329">
        <v>4</v>
      </c>
      <c r="G329">
        <v>2</v>
      </c>
      <c r="H329">
        <v>35</v>
      </c>
      <c r="I329">
        <v>23</v>
      </c>
      <c r="J329" t="s">
        <v>11</v>
      </c>
      <c r="K329">
        <f>IF(J329="Yes", 1, 0)</f>
        <v>1</v>
      </c>
      <c r="L329" t="str">
        <f>IF(G329=0,"0 Failures","1+ Failures")</f>
        <v>1+ Failures</v>
      </c>
      <c r="M329" t="str">
        <f t="shared" si="14"/>
        <v>10-20hrs</v>
      </c>
      <c r="N329" t="str">
        <f t="shared" si="15"/>
        <v>12+ months</v>
      </c>
      <c r="O329" t="str">
        <f t="shared" si="16"/>
        <v>Basic</v>
      </c>
      <c r="P329" s="7">
        <v>45657</v>
      </c>
    </row>
    <row r="330" spans="1:16" x14ac:dyDescent="0.3">
      <c r="A330">
        <v>329</v>
      </c>
      <c r="B330" s="7">
        <v>45247</v>
      </c>
      <c r="C330" t="s">
        <v>14</v>
      </c>
      <c r="D330">
        <v>399</v>
      </c>
      <c r="E330">
        <v>20.2</v>
      </c>
      <c r="F330">
        <v>7</v>
      </c>
      <c r="G330">
        <v>2</v>
      </c>
      <c r="H330">
        <v>7</v>
      </c>
      <c r="I330">
        <v>58</v>
      </c>
      <c r="J330" t="s">
        <v>11</v>
      </c>
      <c r="K330">
        <f>IF(J330="Yes", 1, 0)</f>
        <v>1</v>
      </c>
      <c r="L330" t="str">
        <f>IF(G330=0,"0 Failures","1+ Failures")</f>
        <v>1+ Failures</v>
      </c>
      <c r="M330" t="str">
        <f t="shared" si="14"/>
        <v>20+ hrs</v>
      </c>
      <c r="N330" t="str">
        <f t="shared" si="15"/>
        <v>6-12months</v>
      </c>
      <c r="O330" t="str">
        <f t="shared" si="16"/>
        <v>Basic</v>
      </c>
      <c r="P330" s="7">
        <v>45657</v>
      </c>
    </row>
    <row r="331" spans="1:16" x14ac:dyDescent="0.3">
      <c r="A331">
        <v>330</v>
      </c>
      <c r="B331" s="7">
        <v>45493</v>
      </c>
      <c r="C331" t="s">
        <v>14</v>
      </c>
      <c r="D331">
        <v>399</v>
      </c>
      <c r="E331">
        <v>14.3</v>
      </c>
      <c r="F331">
        <v>3</v>
      </c>
      <c r="G331">
        <v>5</v>
      </c>
      <c r="H331">
        <v>3</v>
      </c>
      <c r="I331">
        <v>9</v>
      </c>
      <c r="J331" t="s">
        <v>11</v>
      </c>
      <c r="K331">
        <f>IF(J331="Yes", 1, 0)</f>
        <v>1</v>
      </c>
      <c r="L331" t="str">
        <f>IF(G331=0,"0 Failures","1+ Failures")</f>
        <v>1+ Failures</v>
      </c>
      <c r="M331" t="str">
        <f t="shared" ref="M331:M394" si="17">IF(E331&lt;=5, "0-5 hrs",    IF(E331&lt;=10, "5-10 hrs",    IF(E331&lt;=20, "10-20hrs", "20+ hrs")))</f>
        <v>10-20hrs</v>
      </c>
      <c r="N331" t="str">
        <f t="shared" si="15"/>
        <v>0-3months</v>
      </c>
      <c r="O331" t="str">
        <f t="shared" si="16"/>
        <v>Basic</v>
      </c>
      <c r="P331" s="7">
        <v>45657</v>
      </c>
    </row>
    <row r="332" spans="1:16" x14ac:dyDescent="0.3">
      <c r="A332">
        <v>331</v>
      </c>
      <c r="B332" s="7">
        <v>45178</v>
      </c>
      <c r="C332" t="s">
        <v>10</v>
      </c>
      <c r="D332">
        <v>699</v>
      </c>
      <c r="E332">
        <v>7.7</v>
      </c>
      <c r="F332">
        <v>3</v>
      </c>
      <c r="G332">
        <v>2</v>
      </c>
      <c r="H332">
        <v>27</v>
      </c>
      <c r="I332">
        <v>14</v>
      </c>
      <c r="J332" t="s">
        <v>13</v>
      </c>
      <c r="K332">
        <f>IF(J332="Yes", 1, 0)</f>
        <v>0</v>
      </c>
      <c r="L332" t="str">
        <f>IF(G332=0,"0 Failures","1+ Failures")</f>
        <v>1+ Failures</v>
      </c>
      <c r="M332" t="str">
        <f t="shared" si="17"/>
        <v>5-10 hrs</v>
      </c>
      <c r="N332" t="str">
        <f t="shared" si="15"/>
        <v>12+ months</v>
      </c>
      <c r="O332" t="str">
        <f t="shared" si="16"/>
        <v>Premium</v>
      </c>
      <c r="P332" s="7">
        <v>45657</v>
      </c>
    </row>
    <row r="333" spans="1:16" x14ac:dyDescent="0.3">
      <c r="A333">
        <v>332</v>
      </c>
      <c r="B333" s="7">
        <v>45584</v>
      </c>
      <c r="C333" t="s">
        <v>14</v>
      </c>
      <c r="D333">
        <v>399</v>
      </c>
      <c r="E333">
        <v>16.5</v>
      </c>
      <c r="F333">
        <v>5</v>
      </c>
      <c r="G333">
        <v>2</v>
      </c>
      <c r="H333">
        <v>36</v>
      </c>
      <c r="I333">
        <v>48</v>
      </c>
      <c r="J333" t="s">
        <v>13</v>
      </c>
      <c r="K333">
        <f>IF(J333="Yes", 1, 0)</f>
        <v>0</v>
      </c>
      <c r="L333" t="str">
        <f>IF(G333=0,"0 Failures","1+ Failures")</f>
        <v>1+ Failures</v>
      </c>
      <c r="M333" t="str">
        <f t="shared" si="17"/>
        <v>10-20hrs</v>
      </c>
      <c r="N333" t="str">
        <f t="shared" si="15"/>
        <v>12+ months</v>
      </c>
      <c r="O333" t="str">
        <f t="shared" si="16"/>
        <v>Basic</v>
      </c>
      <c r="P333" s="7">
        <v>45657</v>
      </c>
    </row>
    <row r="334" spans="1:16" x14ac:dyDescent="0.3">
      <c r="A334">
        <v>333</v>
      </c>
      <c r="B334" s="7">
        <v>45427</v>
      </c>
      <c r="C334" t="s">
        <v>10</v>
      </c>
      <c r="D334">
        <v>699</v>
      </c>
      <c r="E334">
        <v>11.8</v>
      </c>
      <c r="F334">
        <v>5</v>
      </c>
      <c r="G334">
        <v>1</v>
      </c>
      <c r="H334">
        <v>32</v>
      </c>
      <c r="I334">
        <v>8</v>
      </c>
      <c r="J334" t="s">
        <v>13</v>
      </c>
      <c r="K334">
        <f>IF(J334="Yes", 1, 0)</f>
        <v>0</v>
      </c>
      <c r="L334" t="str">
        <f>IF(G334=0,"0 Failures","1+ Failures")</f>
        <v>1+ Failures</v>
      </c>
      <c r="M334" t="str">
        <f t="shared" si="17"/>
        <v>10-20hrs</v>
      </c>
      <c r="N334" t="str">
        <f t="shared" si="15"/>
        <v>12+ months</v>
      </c>
      <c r="O334" t="str">
        <f t="shared" si="16"/>
        <v>Premium</v>
      </c>
      <c r="P334" s="7">
        <v>45657</v>
      </c>
    </row>
    <row r="335" spans="1:16" x14ac:dyDescent="0.3">
      <c r="A335">
        <v>334</v>
      </c>
      <c r="B335" s="7">
        <v>45003</v>
      </c>
      <c r="C335" t="s">
        <v>12</v>
      </c>
      <c r="D335">
        <v>199</v>
      </c>
      <c r="E335">
        <v>24.8</v>
      </c>
      <c r="F335">
        <v>0</v>
      </c>
      <c r="G335">
        <v>4</v>
      </c>
      <c r="H335">
        <v>35</v>
      </c>
      <c r="I335">
        <v>2</v>
      </c>
      <c r="J335" t="s">
        <v>13</v>
      </c>
      <c r="K335">
        <f>IF(J335="Yes", 1, 0)</f>
        <v>0</v>
      </c>
      <c r="L335" t="str">
        <f>IF(G335=0,"0 Failures","1+ Failures")</f>
        <v>1+ Failures</v>
      </c>
      <c r="M335" t="str">
        <f t="shared" si="17"/>
        <v>20+ hrs</v>
      </c>
      <c r="N335" t="str">
        <f t="shared" si="15"/>
        <v>12+ months</v>
      </c>
      <c r="O335" t="str">
        <f t="shared" si="16"/>
        <v>Basic</v>
      </c>
      <c r="P335" s="7">
        <v>45657</v>
      </c>
    </row>
    <row r="336" spans="1:16" x14ac:dyDescent="0.3">
      <c r="A336">
        <v>335</v>
      </c>
      <c r="B336" s="7">
        <v>44996</v>
      </c>
      <c r="C336" t="s">
        <v>10</v>
      </c>
      <c r="D336">
        <v>699</v>
      </c>
      <c r="E336">
        <v>19.2</v>
      </c>
      <c r="F336">
        <v>6</v>
      </c>
      <c r="G336">
        <v>1</v>
      </c>
      <c r="H336">
        <v>4</v>
      </c>
      <c r="I336">
        <v>53</v>
      </c>
      <c r="J336" t="s">
        <v>13</v>
      </c>
      <c r="K336">
        <f>IF(J336="Yes", 1, 0)</f>
        <v>0</v>
      </c>
      <c r="L336" t="str">
        <f>IF(G336=0,"0 Failures","1+ Failures")</f>
        <v>1+ Failures</v>
      </c>
      <c r="M336" t="str">
        <f t="shared" si="17"/>
        <v>10-20hrs</v>
      </c>
      <c r="N336" t="str">
        <f t="shared" si="15"/>
        <v>3-6months</v>
      </c>
      <c r="O336" t="str">
        <f t="shared" si="16"/>
        <v>Premium</v>
      </c>
      <c r="P336" s="7">
        <v>45657</v>
      </c>
    </row>
    <row r="337" spans="1:16" x14ac:dyDescent="0.3">
      <c r="A337">
        <v>336</v>
      </c>
      <c r="B337" s="7">
        <v>45580</v>
      </c>
      <c r="C337" t="s">
        <v>10</v>
      </c>
      <c r="D337">
        <v>699</v>
      </c>
      <c r="E337">
        <v>0.7</v>
      </c>
      <c r="F337">
        <v>8</v>
      </c>
      <c r="G337">
        <v>3</v>
      </c>
      <c r="H337">
        <v>10</v>
      </c>
      <c r="I337">
        <v>23</v>
      </c>
      <c r="J337" t="s">
        <v>11</v>
      </c>
      <c r="K337">
        <f>IF(J337="Yes", 1, 0)</f>
        <v>1</v>
      </c>
      <c r="L337" t="str">
        <f>IF(G337=0,"0 Failures","1+ Failures")</f>
        <v>1+ Failures</v>
      </c>
      <c r="M337" t="str">
        <f t="shared" si="17"/>
        <v>0-5 hrs</v>
      </c>
      <c r="N337" t="str">
        <f t="shared" si="15"/>
        <v>6-12months</v>
      </c>
      <c r="O337" t="str">
        <f t="shared" si="16"/>
        <v>Premium</v>
      </c>
      <c r="P337" s="7">
        <v>45657</v>
      </c>
    </row>
    <row r="338" spans="1:16" x14ac:dyDescent="0.3">
      <c r="A338">
        <v>337</v>
      </c>
      <c r="B338" s="7">
        <v>44939</v>
      </c>
      <c r="C338" t="s">
        <v>10</v>
      </c>
      <c r="D338">
        <v>699</v>
      </c>
      <c r="E338">
        <v>16.7</v>
      </c>
      <c r="F338">
        <v>0</v>
      </c>
      <c r="G338">
        <v>0</v>
      </c>
      <c r="H338">
        <v>31</v>
      </c>
      <c r="I338">
        <v>34</v>
      </c>
      <c r="J338" t="s">
        <v>13</v>
      </c>
      <c r="K338">
        <f>IF(J338="Yes", 1, 0)</f>
        <v>0</v>
      </c>
      <c r="L338" t="str">
        <f>IF(G338=0,"0 Failures","1+ Failures")</f>
        <v>0 Failures</v>
      </c>
      <c r="M338" t="str">
        <f t="shared" si="17"/>
        <v>10-20hrs</v>
      </c>
      <c r="N338" t="str">
        <f t="shared" si="15"/>
        <v>12+ months</v>
      </c>
      <c r="O338" t="str">
        <f t="shared" si="16"/>
        <v>Premium</v>
      </c>
      <c r="P338" s="7">
        <v>45657</v>
      </c>
    </row>
    <row r="339" spans="1:16" x14ac:dyDescent="0.3">
      <c r="A339">
        <v>338</v>
      </c>
      <c r="B339" s="7">
        <v>45641</v>
      </c>
      <c r="C339" t="s">
        <v>12</v>
      </c>
      <c r="D339">
        <v>199</v>
      </c>
      <c r="E339">
        <v>18.2</v>
      </c>
      <c r="F339">
        <v>8</v>
      </c>
      <c r="G339">
        <v>2</v>
      </c>
      <c r="H339">
        <v>34</v>
      </c>
      <c r="I339">
        <v>1</v>
      </c>
      <c r="J339" t="s">
        <v>13</v>
      </c>
      <c r="K339">
        <f>IF(J339="Yes", 1, 0)</f>
        <v>0</v>
      </c>
      <c r="L339" t="str">
        <f>IF(G339=0,"0 Failures","1+ Failures")</f>
        <v>1+ Failures</v>
      </c>
      <c r="M339" t="str">
        <f t="shared" si="17"/>
        <v>10-20hrs</v>
      </c>
      <c r="N339" t="str">
        <f t="shared" si="15"/>
        <v>12+ months</v>
      </c>
      <c r="O339" t="str">
        <f t="shared" si="16"/>
        <v>Basic</v>
      </c>
      <c r="P339" s="7">
        <v>45657</v>
      </c>
    </row>
    <row r="340" spans="1:16" x14ac:dyDescent="0.3">
      <c r="A340">
        <v>339</v>
      </c>
      <c r="B340" s="7">
        <v>45079</v>
      </c>
      <c r="C340" t="s">
        <v>10</v>
      </c>
      <c r="D340">
        <v>699</v>
      </c>
      <c r="E340">
        <v>20.3</v>
      </c>
      <c r="F340">
        <v>2</v>
      </c>
      <c r="G340">
        <v>0</v>
      </c>
      <c r="H340">
        <v>28</v>
      </c>
      <c r="I340">
        <v>58</v>
      </c>
      <c r="J340" t="s">
        <v>11</v>
      </c>
      <c r="K340">
        <f>IF(J340="Yes", 1, 0)</f>
        <v>1</v>
      </c>
      <c r="L340" t="str">
        <f>IF(G340=0,"0 Failures","1+ Failures")</f>
        <v>0 Failures</v>
      </c>
      <c r="M340" t="str">
        <f t="shared" si="17"/>
        <v>20+ hrs</v>
      </c>
      <c r="N340" t="str">
        <f t="shared" si="15"/>
        <v>12+ months</v>
      </c>
      <c r="O340" t="str">
        <f t="shared" si="16"/>
        <v>Premium</v>
      </c>
      <c r="P340" s="7">
        <v>45657</v>
      </c>
    </row>
    <row r="341" spans="1:16" x14ac:dyDescent="0.3">
      <c r="A341">
        <v>340</v>
      </c>
      <c r="B341" s="7">
        <v>45007</v>
      </c>
      <c r="C341" t="s">
        <v>12</v>
      </c>
      <c r="D341">
        <v>199</v>
      </c>
      <c r="E341">
        <v>15.7</v>
      </c>
      <c r="F341">
        <v>4</v>
      </c>
      <c r="G341">
        <v>2</v>
      </c>
      <c r="H341">
        <v>13</v>
      </c>
      <c r="I341">
        <v>17</v>
      </c>
      <c r="J341" t="s">
        <v>13</v>
      </c>
      <c r="K341">
        <f>IF(J341="Yes", 1, 0)</f>
        <v>0</v>
      </c>
      <c r="L341" t="str">
        <f>IF(G341=0,"0 Failures","1+ Failures")</f>
        <v>1+ Failures</v>
      </c>
      <c r="M341" t="str">
        <f t="shared" si="17"/>
        <v>10-20hrs</v>
      </c>
      <c r="N341" t="str">
        <f t="shared" si="15"/>
        <v>12+ months</v>
      </c>
      <c r="O341" t="str">
        <f t="shared" si="16"/>
        <v>Basic</v>
      </c>
      <c r="P341" s="7">
        <v>45657</v>
      </c>
    </row>
    <row r="342" spans="1:16" x14ac:dyDescent="0.3">
      <c r="A342">
        <v>341</v>
      </c>
      <c r="B342" s="7">
        <v>45009</v>
      </c>
      <c r="C342" t="s">
        <v>14</v>
      </c>
      <c r="D342">
        <v>399</v>
      </c>
      <c r="E342">
        <v>11.7</v>
      </c>
      <c r="F342">
        <v>3</v>
      </c>
      <c r="G342">
        <v>5</v>
      </c>
      <c r="H342">
        <v>26</v>
      </c>
      <c r="I342">
        <v>14</v>
      </c>
      <c r="J342" t="s">
        <v>11</v>
      </c>
      <c r="K342">
        <f>IF(J342="Yes", 1, 0)</f>
        <v>1</v>
      </c>
      <c r="L342" t="str">
        <f>IF(G342=0,"0 Failures","1+ Failures")</f>
        <v>1+ Failures</v>
      </c>
      <c r="M342" t="str">
        <f t="shared" si="17"/>
        <v>10-20hrs</v>
      </c>
      <c r="N342" t="str">
        <f t="shared" si="15"/>
        <v>12+ months</v>
      </c>
      <c r="O342" t="str">
        <f t="shared" si="16"/>
        <v>Basic</v>
      </c>
      <c r="P342" s="7">
        <v>45657</v>
      </c>
    </row>
    <row r="343" spans="1:16" x14ac:dyDescent="0.3">
      <c r="A343">
        <v>342</v>
      </c>
      <c r="B343" s="7">
        <v>45579</v>
      </c>
      <c r="C343" t="s">
        <v>10</v>
      </c>
      <c r="D343">
        <v>699</v>
      </c>
      <c r="E343">
        <v>2.8</v>
      </c>
      <c r="F343">
        <v>6</v>
      </c>
      <c r="G343">
        <v>3</v>
      </c>
      <c r="H343">
        <v>3</v>
      </c>
      <c r="I343">
        <v>35</v>
      </c>
      <c r="J343" t="s">
        <v>11</v>
      </c>
      <c r="K343">
        <f>IF(J343="Yes", 1, 0)</f>
        <v>1</v>
      </c>
      <c r="L343" t="str">
        <f>IF(G343=0,"0 Failures","1+ Failures")</f>
        <v>1+ Failures</v>
      </c>
      <c r="M343" t="str">
        <f t="shared" si="17"/>
        <v>0-5 hrs</v>
      </c>
      <c r="N343" t="str">
        <f t="shared" si="15"/>
        <v>0-3months</v>
      </c>
      <c r="O343" t="str">
        <f t="shared" si="16"/>
        <v>Premium</v>
      </c>
      <c r="P343" s="7">
        <v>45657</v>
      </c>
    </row>
    <row r="344" spans="1:16" x14ac:dyDescent="0.3">
      <c r="A344">
        <v>343</v>
      </c>
      <c r="B344" s="7">
        <v>45024</v>
      </c>
      <c r="C344" t="s">
        <v>12</v>
      </c>
      <c r="D344">
        <v>199</v>
      </c>
      <c r="E344">
        <v>2.5</v>
      </c>
      <c r="F344">
        <v>6</v>
      </c>
      <c r="G344">
        <v>5</v>
      </c>
      <c r="H344">
        <v>11</v>
      </c>
      <c r="I344">
        <v>50</v>
      </c>
      <c r="J344" t="s">
        <v>11</v>
      </c>
      <c r="K344">
        <f>IF(J344="Yes", 1, 0)</f>
        <v>1</v>
      </c>
      <c r="L344" t="str">
        <f>IF(G344=0,"0 Failures","1+ Failures")</f>
        <v>1+ Failures</v>
      </c>
      <c r="M344" t="str">
        <f t="shared" si="17"/>
        <v>0-5 hrs</v>
      </c>
      <c r="N344" t="str">
        <f t="shared" si="15"/>
        <v>6-12months</v>
      </c>
      <c r="O344" t="str">
        <f t="shared" si="16"/>
        <v>Basic</v>
      </c>
      <c r="P344" s="7">
        <v>45657</v>
      </c>
    </row>
    <row r="345" spans="1:16" x14ac:dyDescent="0.3">
      <c r="A345">
        <v>344</v>
      </c>
      <c r="B345" s="7">
        <v>45627</v>
      </c>
      <c r="C345" t="s">
        <v>10</v>
      </c>
      <c r="D345">
        <v>699</v>
      </c>
      <c r="E345">
        <v>6.1</v>
      </c>
      <c r="F345">
        <v>7</v>
      </c>
      <c r="G345">
        <v>2</v>
      </c>
      <c r="H345">
        <v>3</v>
      </c>
      <c r="I345">
        <v>2</v>
      </c>
      <c r="J345" t="s">
        <v>13</v>
      </c>
      <c r="K345">
        <f>IF(J345="Yes", 1, 0)</f>
        <v>0</v>
      </c>
      <c r="L345" t="str">
        <f>IF(G345=0,"0 Failures","1+ Failures")</f>
        <v>1+ Failures</v>
      </c>
      <c r="M345" t="str">
        <f t="shared" si="17"/>
        <v>5-10 hrs</v>
      </c>
      <c r="N345" t="str">
        <f t="shared" si="15"/>
        <v>0-3months</v>
      </c>
      <c r="O345" t="str">
        <f t="shared" si="16"/>
        <v>Premium</v>
      </c>
      <c r="P345" s="7">
        <v>45657</v>
      </c>
    </row>
    <row r="346" spans="1:16" x14ac:dyDescent="0.3">
      <c r="A346">
        <v>345</v>
      </c>
      <c r="B346" s="7">
        <v>44943</v>
      </c>
      <c r="C346" t="s">
        <v>14</v>
      </c>
      <c r="D346">
        <v>399</v>
      </c>
      <c r="E346">
        <v>14.3</v>
      </c>
      <c r="F346">
        <v>0</v>
      </c>
      <c r="G346">
        <v>1</v>
      </c>
      <c r="H346">
        <v>35</v>
      </c>
      <c r="I346">
        <v>59</v>
      </c>
      <c r="J346" t="s">
        <v>13</v>
      </c>
      <c r="K346">
        <f>IF(J346="Yes", 1, 0)</f>
        <v>0</v>
      </c>
      <c r="L346" t="str">
        <f>IF(G346=0,"0 Failures","1+ Failures")</f>
        <v>1+ Failures</v>
      </c>
      <c r="M346" t="str">
        <f t="shared" si="17"/>
        <v>10-20hrs</v>
      </c>
      <c r="N346" t="str">
        <f t="shared" si="15"/>
        <v>12+ months</v>
      </c>
      <c r="O346" t="str">
        <f t="shared" si="16"/>
        <v>Basic</v>
      </c>
      <c r="P346" s="7">
        <v>45657</v>
      </c>
    </row>
    <row r="347" spans="1:16" x14ac:dyDescent="0.3">
      <c r="A347">
        <v>346</v>
      </c>
      <c r="B347" s="7">
        <v>45173</v>
      </c>
      <c r="C347" t="s">
        <v>12</v>
      </c>
      <c r="D347">
        <v>199</v>
      </c>
      <c r="E347">
        <v>18.899999999999999</v>
      </c>
      <c r="F347">
        <v>6</v>
      </c>
      <c r="G347">
        <v>0</v>
      </c>
      <c r="H347">
        <v>10</v>
      </c>
      <c r="I347">
        <v>19</v>
      </c>
      <c r="J347" t="s">
        <v>11</v>
      </c>
      <c r="K347">
        <f>IF(J347="Yes", 1, 0)</f>
        <v>1</v>
      </c>
      <c r="L347" t="str">
        <f>IF(G347=0,"0 Failures","1+ Failures")</f>
        <v>0 Failures</v>
      </c>
      <c r="M347" t="str">
        <f t="shared" si="17"/>
        <v>10-20hrs</v>
      </c>
      <c r="N347" t="str">
        <f t="shared" si="15"/>
        <v>6-12months</v>
      </c>
      <c r="O347" t="str">
        <f t="shared" si="16"/>
        <v>Basic</v>
      </c>
      <c r="P347" s="7">
        <v>45657</v>
      </c>
    </row>
    <row r="348" spans="1:16" x14ac:dyDescent="0.3">
      <c r="A348">
        <v>347</v>
      </c>
      <c r="B348" s="7">
        <v>45070</v>
      </c>
      <c r="C348" t="s">
        <v>10</v>
      </c>
      <c r="D348">
        <v>699</v>
      </c>
      <c r="E348">
        <v>17.100000000000001</v>
      </c>
      <c r="F348">
        <v>8</v>
      </c>
      <c r="G348">
        <v>2</v>
      </c>
      <c r="H348">
        <v>25</v>
      </c>
      <c r="I348">
        <v>24</v>
      </c>
      <c r="J348" t="s">
        <v>13</v>
      </c>
      <c r="K348">
        <f>IF(J348="Yes", 1, 0)</f>
        <v>0</v>
      </c>
      <c r="L348" t="str">
        <f>IF(G348=0,"0 Failures","1+ Failures")</f>
        <v>1+ Failures</v>
      </c>
      <c r="M348" t="str">
        <f t="shared" si="17"/>
        <v>10-20hrs</v>
      </c>
      <c r="N348" t="str">
        <f t="shared" si="15"/>
        <v>12+ months</v>
      </c>
      <c r="O348" t="str">
        <f t="shared" si="16"/>
        <v>Premium</v>
      </c>
      <c r="P348" s="7">
        <v>45657</v>
      </c>
    </row>
    <row r="349" spans="1:16" x14ac:dyDescent="0.3">
      <c r="A349">
        <v>348</v>
      </c>
      <c r="B349" s="7">
        <v>45004</v>
      </c>
      <c r="C349" t="s">
        <v>10</v>
      </c>
      <c r="D349">
        <v>699</v>
      </c>
      <c r="E349">
        <v>12.8</v>
      </c>
      <c r="F349">
        <v>5</v>
      </c>
      <c r="G349">
        <v>0</v>
      </c>
      <c r="H349">
        <v>6</v>
      </c>
      <c r="I349">
        <v>6</v>
      </c>
      <c r="J349" t="s">
        <v>13</v>
      </c>
      <c r="K349">
        <f>IF(J349="Yes", 1, 0)</f>
        <v>0</v>
      </c>
      <c r="L349" t="str">
        <f>IF(G349=0,"0 Failures","1+ Failures")</f>
        <v>0 Failures</v>
      </c>
      <c r="M349" t="str">
        <f t="shared" si="17"/>
        <v>10-20hrs</v>
      </c>
      <c r="N349" t="str">
        <f t="shared" si="15"/>
        <v>3-6months</v>
      </c>
      <c r="O349" t="str">
        <f t="shared" si="16"/>
        <v>Premium</v>
      </c>
      <c r="P349" s="7">
        <v>45657</v>
      </c>
    </row>
    <row r="350" spans="1:16" x14ac:dyDescent="0.3">
      <c r="A350">
        <v>349</v>
      </c>
      <c r="B350" s="7">
        <v>45388</v>
      </c>
      <c r="C350" t="s">
        <v>14</v>
      </c>
      <c r="D350">
        <v>399</v>
      </c>
      <c r="E350">
        <v>24.2</v>
      </c>
      <c r="F350">
        <v>5</v>
      </c>
      <c r="G350">
        <v>0</v>
      </c>
      <c r="H350">
        <v>26</v>
      </c>
      <c r="I350">
        <v>40</v>
      </c>
      <c r="J350" t="s">
        <v>11</v>
      </c>
      <c r="K350">
        <f>IF(J350="Yes", 1, 0)</f>
        <v>1</v>
      </c>
      <c r="L350" t="str">
        <f>IF(G350=0,"0 Failures","1+ Failures")</f>
        <v>0 Failures</v>
      </c>
      <c r="M350" t="str">
        <f t="shared" si="17"/>
        <v>20+ hrs</v>
      </c>
      <c r="N350" t="str">
        <f t="shared" si="15"/>
        <v>12+ months</v>
      </c>
      <c r="O350" t="str">
        <f t="shared" si="16"/>
        <v>Basic</v>
      </c>
      <c r="P350" s="7">
        <v>45657</v>
      </c>
    </row>
    <row r="351" spans="1:16" x14ac:dyDescent="0.3">
      <c r="A351">
        <v>350</v>
      </c>
      <c r="B351" s="7">
        <v>45603</v>
      </c>
      <c r="C351" t="s">
        <v>14</v>
      </c>
      <c r="D351">
        <v>399</v>
      </c>
      <c r="E351">
        <v>9.1999999999999993</v>
      </c>
      <c r="F351">
        <v>6</v>
      </c>
      <c r="G351">
        <v>3</v>
      </c>
      <c r="H351">
        <v>15</v>
      </c>
      <c r="I351">
        <v>11</v>
      </c>
      <c r="J351" t="s">
        <v>13</v>
      </c>
      <c r="K351">
        <f>IF(J351="Yes", 1, 0)</f>
        <v>0</v>
      </c>
      <c r="L351" t="str">
        <f>IF(G351=0,"0 Failures","1+ Failures")</f>
        <v>1+ Failures</v>
      </c>
      <c r="M351" t="str">
        <f t="shared" si="17"/>
        <v>5-10 hrs</v>
      </c>
      <c r="N351" t="str">
        <f t="shared" si="15"/>
        <v>12+ months</v>
      </c>
      <c r="O351" t="str">
        <f t="shared" si="16"/>
        <v>Basic</v>
      </c>
      <c r="P351" s="7">
        <v>45657</v>
      </c>
    </row>
    <row r="352" spans="1:16" x14ac:dyDescent="0.3">
      <c r="A352">
        <v>351</v>
      </c>
      <c r="B352" s="7">
        <v>45201</v>
      </c>
      <c r="C352" t="s">
        <v>14</v>
      </c>
      <c r="D352">
        <v>399</v>
      </c>
      <c r="E352">
        <v>19.399999999999999</v>
      </c>
      <c r="F352">
        <v>4</v>
      </c>
      <c r="G352">
        <v>1</v>
      </c>
      <c r="H352">
        <v>6</v>
      </c>
      <c r="I352">
        <v>45</v>
      </c>
      <c r="J352" t="s">
        <v>11</v>
      </c>
      <c r="K352">
        <f>IF(J352="Yes", 1, 0)</f>
        <v>1</v>
      </c>
      <c r="L352" t="str">
        <f>IF(G352=0,"0 Failures","1+ Failures")</f>
        <v>1+ Failures</v>
      </c>
      <c r="M352" t="str">
        <f t="shared" si="17"/>
        <v>10-20hrs</v>
      </c>
      <c r="N352" t="str">
        <f t="shared" si="15"/>
        <v>3-6months</v>
      </c>
      <c r="O352" t="str">
        <f t="shared" si="16"/>
        <v>Basic</v>
      </c>
      <c r="P352" s="7">
        <v>45657</v>
      </c>
    </row>
    <row r="353" spans="1:16" x14ac:dyDescent="0.3">
      <c r="A353">
        <v>352</v>
      </c>
      <c r="B353" s="7">
        <v>45036</v>
      </c>
      <c r="C353" t="s">
        <v>12</v>
      </c>
      <c r="D353">
        <v>199</v>
      </c>
      <c r="E353">
        <v>17.899999999999999</v>
      </c>
      <c r="F353">
        <v>2</v>
      </c>
      <c r="G353">
        <v>5</v>
      </c>
      <c r="H353">
        <v>25</v>
      </c>
      <c r="I353">
        <v>24</v>
      </c>
      <c r="J353" t="s">
        <v>11</v>
      </c>
      <c r="K353">
        <f>IF(J353="Yes", 1, 0)</f>
        <v>1</v>
      </c>
      <c r="L353" t="str">
        <f>IF(G353=0,"0 Failures","1+ Failures")</f>
        <v>1+ Failures</v>
      </c>
      <c r="M353" t="str">
        <f t="shared" si="17"/>
        <v>10-20hrs</v>
      </c>
      <c r="N353" t="str">
        <f t="shared" si="15"/>
        <v>12+ months</v>
      </c>
      <c r="O353" t="str">
        <f t="shared" si="16"/>
        <v>Basic</v>
      </c>
      <c r="P353" s="7">
        <v>45657</v>
      </c>
    </row>
    <row r="354" spans="1:16" x14ac:dyDescent="0.3">
      <c r="A354">
        <v>353</v>
      </c>
      <c r="B354" s="7">
        <v>45062</v>
      </c>
      <c r="C354" t="s">
        <v>12</v>
      </c>
      <c r="D354">
        <v>199</v>
      </c>
      <c r="E354">
        <v>23.6</v>
      </c>
      <c r="F354">
        <v>7</v>
      </c>
      <c r="G354">
        <v>2</v>
      </c>
      <c r="H354">
        <v>1</v>
      </c>
      <c r="I354">
        <v>48</v>
      </c>
      <c r="J354" t="s">
        <v>11</v>
      </c>
      <c r="K354">
        <f>IF(J354="Yes", 1, 0)</f>
        <v>1</v>
      </c>
      <c r="L354" t="str">
        <f>IF(G354=0,"0 Failures","1+ Failures")</f>
        <v>1+ Failures</v>
      </c>
      <c r="M354" t="str">
        <f t="shared" si="17"/>
        <v>20+ hrs</v>
      </c>
      <c r="N354" t="str">
        <f t="shared" si="15"/>
        <v>0-3months</v>
      </c>
      <c r="O354" t="str">
        <f t="shared" si="16"/>
        <v>Basic</v>
      </c>
      <c r="P354" s="7">
        <v>45657</v>
      </c>
    </row>
    <row r="355" spans="1:16" x14ac:dyDescent="0.3">
      <c r="A355">
        <v>354</v>
      </c>
      <c r="B355" s="7">
        <v>44953</v>
      </c>
      <c r="C355" t="s">
        <v>12</v>
      </c>
      <c r="D355">
        <v>199</v>
      </c>
      <c r="E355">
        <v>11.1</v>
      </c>
      <c r="F355">
        <v>8</v>
      </c>
      <c r="G355">
        <v>4</v>
      </c>
      <c r="H355">
        <v>12</v>
      </c>
      <c r="I355">
        <v>32</v>
      </c>
      <c r="J355" t="s">
        <v>11</v>
      </c>
      <c r="K355">
        <f>IF(J355="Yes", 1, 0)</f>
        <v>1</v>
      </c>
      <c r="L355" t="str">
        <f>IF(G355=0,"0 Failures","1+ Failures")</f>
        <v>1+ Failures</v>
      </c>
      <c r="M355" t="str">
        <f t="shared" si="17"/>
        <v>10-20hrs</v>
      </c>
      <c r="N355" t="str">
        <f t="shared" si="15"/>
        <v>6-12months</v>
      </c>
      <c r="O355" t="str">
        <f t="shared" si="16"/>
        <v>Basic</v>
      </c>
      <c r="P355" s="7">
        <v>45657</v>
      </c>
    </row>
    <row r="356" spans="1:16" x14ac:dyDescent="0.3">
      <c r="A356">
        <v>355</v>
      </c>
      <c r="B356" s="7">
        <v>45324</v>
      </c>
      <c r="C356" t="s">
        <v>12</v>
      </c>
      <c r="D356">
        <v>199</v>
      </c>
      <c r="E356">
        <v>14.1</v>
      </c>
      <c r="F356">
        <v>5</v>
      </c>
      <c r="G356">
        <v>3</v>
      </c>
      <c r="H356">
        <v>23</v>
      </c>
      <c r="I356">
        <v>0</v>
      </c>
      <c r="J356" t="s">
        <v>11</v>
      </c>
      <c r="K356">
        <f>IF(J356="Yes", 1, 0)</f>
        <v>1</v>
      </c>
      <c r="L356" t="str">
        <f>IF(G356=0,"0 Failures","1+ Failures")</f>
        <v>1+ Failures</v>
      </c>
      <c r="M356" t="str">
        <f t="shared" si="17"/>
        <v>10-20hrs</v>
      </c>
      <c r="N356" t="str">
        <f t="shared" si="15"/>
        <v>12+ months</v>
      </c>
      <c r="O356" t="str">
        <f t="shared" si="16"/>
        <v>Basic</v>
      </c>
      <c r="P356" s="7">
        <v>45657</v>
      </c>
    </row>
    <row r="357" spans="1:16" x14ac:dyDescent="0.3">
      <c r="A357">
        <v>356</v>
      </c>
      <c r="B357" s="7">
        <v>45316</v>
      </c>
      <c r="C357" t="s">
        <v>12</v>
      </c>
      <c r="D357">
        <v>199</v>
      </c>
      <c r="E357">
        <v>22.7</v>
      </c>
      <c r="F357">
        <v>3</v>
      </c>
      <c r="G357">
        <v>4</v>
      </c>
      <c r="H357">
        <v>36</v>
      </c>
      <c r="I357">
        <v>33</v>
      </c>
      <c r="J357" t="s">
        <v>11</v>
      </c>
      <c r="K357">
        <f>IF(J357="Yes", 1, 0)</f>
        <v>1</v>
      </c>
      <c r="L357" t="str">
        <f>IF(G357=0,"0 Failures","1+ Failures")</f>
        <v>1+ Failures</v>
      </c>
      <c r="M357" t="str">
        <f t="shared" si="17"/>
        <v>20+ hrs</v>
      </c>
      <c r="N357" t="str">
        <f t="shared" si="15"/>
        <v>12+ months</v>
      </c>
      <c r="O357" t="str">
        <f t="shared" si="16"/>
        <v>Basic</v>
      </c>
      <c r="P357" s="7">
        <v>45657</v>
      </c>
    </row>
    <row r="358" spans="1:16" x14ac:dyDescent="0.3">
      <c r="A358">
        <v>357</v>
      </c>
      <c r="B358" s="7">
        <v>45372</v>
      </c>
      <c r="C358" t="s">
        <v>12</v>
      </c>
      <c r="D358">
        <v>199</v>
      </c>
      <c r="E358">
        <v>7.1</v>
      </c>
      <c r="F358">
        <v>4</v>
      </c>
      <c r="G358">
        <v>3</v>
      </c>
      <c r="H358">
        <v>9</v>
      </c>
      <c r="I358">
        <v>9</v>
      </c>
      <c r="J358" t="s">
        <v>11</v>
      </c>
      <c r="K358">
        <f>IF(J358="Yes", 1, 0)</f>
        <v>1</v>
      </c>
      <c r="L358" t="str">
        <f>IF(G358=0,"0 Failures","1+ Failures")</f>
        <v>1+ Failures</v>
      </c>
      <c r="M358" t="str">
        <f t="shared" si="17"/>
        <v>5-10 hrs</v>
      </c>
      <c r="N358" t="str">
        <f t="shared" si="15"/>
        <v>6-12months</v>
      </c>
      <c r="O358" t="str">
        <f t="shared" si="16"/>
        <v>Basic</v>
      </c>
      <c r="P358" s="7">
        <v>45657</v>
      </c>
    </row>
    <row r="359" spans="1:16" x14ac:dyDescent="0.3">
      <c r="A359">
        <v>358</v>
      </c>
      <c r="B359" s="7">
        <v>45567</v>
      </c>
      <c r="C359" t="s">
        <v>14</v>
      </c>
      <c r="D359">
        <v>399</v>
      </c>
      <c r="E359">
        <v>7.8</v>
      </c>
      <c r="F359">
        <v>1</v>
      </c>
      <c r="G359">
        <v>2</v>
      </c>
      <c r="H359">
        <v>27</v>
      </c>
      <c r="I359">
        <v>16</v>
      </c>
      <c r="J359" t="s">
        <v>13</v>
      </c>
      <c r="K359">
        <f>IF(J359="Yes", 1, 0)</f>
        <v>0</v>
      </c>
      <c r="L359" t="str">
        <f>IF(G359=0,"0 Failures","1+ Failures")</f>
        <v>1+ Failures</v>
      </c>
      <c r="M359" t="str">
        <f t="shared" si="17"/>
        <v>5-10 hrs</v>
      </c>
      <c r="N359" t="str">
        <f t="shared" si="15"/>
        <v>12+ months</v>
      </c>
      <c r="O359" t="str">
        <f t="shared" si="16"/>
        <v>Basic</v>
      </c>
      <c r="P359" s="7">
        <v>45657</v>
      </c>
    </row>
    <row r="360" spans="1:16" x14ac:dyDescent="0.3">
      <c r="A360">
        <v>359</v>
      </c>
      <c r="B360" s="7">
        <v>45267</v>
      </c>
      <c r="C360" t="s">
        <v>14</v>
      </c>
      <c r="D360">
        <v>399</v>
      </c>
      <c r="E360">
        <v>11.7</v>
      </c>
      <c r="F360">
        <v>2</v>
      </c>
      <c r="G360">
        <v>2</v>
      </c>
      <c r="H360">
        <v>13</v>
      </c>
      <c r="I360">
        <v>0</v>
      </c>
      <c r="J360" t="s">
        <v>13</v>
      </c>
      <c r="K360">
        <f>IF(J360="Yes", 1, 0)</f>
        <v>0</v>
      </c>
      <c r="L360" t="str">
        <f>IF(G360=0,"0 Failures","1+ Failures")</f>
        <v>1+ Failures</v>
      </c>
      <c r="M360" t="str">
        <f t="shared" si="17"/>
        <v>10-20hrs</v>
      </c>
      <c r="N360" t="str">
        <f t="shared" si="15"/>
        <v>12+ months</v>
      </c>
      <c r="O360" t="str">
        <f t="shared" si="16"/>
        <v>Basic</v>
      </c>
      <c r="P360" s="7">
        <v>45657</v>
      </c>
    </row>
    <row r="361" spans="1:16" x14ac:dyDescent="0.3">
      <c r="A361">
        <v>360</v>
      </c>
      <c r="B361" s="7">
        <v>45593</v>
      </c>
      <c r="C361" t="s">
        <v>10</v>
      </c>
      <c r="D361">
        <v>699</v>
      </c>
      <c r="E361">
        <v>20.2</v>
      </c>
      <c r="F361">
        <v>5</v>
      </c>
      <c r="G361">
        <v>3</v>
      </c>
      <c r="H361">
        <v>25</v>
      </c>
      <c r="I361">
        <v>21</v>
      </c>
      <c r="J361" t="s">
        <v>11</v>
      </c>
      <c r="K361">
        <f>IF(J361="Yes", 1, 0)</f>
        <v>1</v>
      </c>
      <c r="L361" t="str">
        <f>IF(G361=0,"0 Failures","1+ Failures")</f>
        <v>1+ Failures</v>
      </c>
      <c r="M361" t="str">
        <f t="shared" si="17"/>
        <v>20+ hrs</v>
      </c>
      <c r="N361" t="str">
        <f t="shared" si="15"/>
        <v>12+ months</v>
      </c>
      <c r="O361" t="str">
        <f t="shared" si="16"/>
        <v>Premium</v>
      </c>
      <c r="P361" s="7">
        <v>45657</v>
      </c>
    </row>
    <row r="362" spans="1:16" x14ac:dyDescent="0.3">
      <c r="A362">
        <v>361</v>
      </c>
      <c r="B362" s="7">
        <v>45334</v>
      </c>
      <c r="C362" t="s">
        <v>10</v>
      </c>
      <c r="D362">
        <v>699</v>
      </c>
      <c r="E362">
        <v>7.9</v>
      </c>
      <c r="F362">
        <v>3</v>
      </c>
      <c r="G362">
        <v>3</v>
      </c>
      <c r="H362">
        <v>9</v>
      </c>
      <c r="I362">
        <v>20</v>
      </c>
      <c r="J362" t="s">
        <v>11</v>
      </c>
      <c r="K362">
        <f>IF(J362="Yes", 1, 0)</f>
        <v>1</v>
      </c>
      <c r="L362" t="str">
        <f>IF(G362=0,"0 Failures","1+ Failures")</f>
        <v>1+ Failures</v>
      </c>
      <c r="M362" t="str">
        <f t="shared" si="17"/>
        <v>5-10 hrs</v>
      </c>
      <c r="N362" t="str">
        <f t="shared" si="15"/>
        <v>6-12months</v>
      </c>
      <c r="O362" t="str">
        <f t="shared" si="16"/>
        <v>Premium</v>
      </c>
      <c r="P362" s="7">
        <v>45657</v>
      </c>
    </row>
    <row r="363" spans="1:16" x14ac:dyDescent="0.3">
      <c r="A363">
        <v>362</v>
      </c>
      <c r="B363" s="7">
        <v>45312</v>
      </c>
      <c r="C363" t="s">
        <v>14</v>
      </c>
      <c r="D363">
        <v>399</v>
      </c>
      <c r="E363">
        <v>18.5</v>
      </c>
      <c r="F363">
        <v>7</v>
      </c>
      <c r="G363">
        <v>4</v>
      </c>
      <c r="H363">
        <v>19</v>
      </c>
      <c r="I363">
        <v>50</v>
      </c>
      <c r="J363" t="s">
        <v>11</v>
      </c>
      <c r="K363">
        <f>IF(J363="Yes", 1, 0)</f>
        <v>1</v>
      </c>
      <c r="L363" t="str">
        <f>IF(G363=0,"0 Failures","1+ Failures")</f>
        <v>1+ Failures</v>
      </c>
      <c r="M363" t="str">
        <f t="shared" si="17"/>
        <v>10-20hrs</v>
      </c>
      <c r="N363" t="str">
        <f t="shared" si="15"/>
        <v>12+ months</v>
      </c>
      <c r="O363" t="str">
        <f t="shared" si="16"/>
        <v>Basic</v>
      </c>
      <c r="P363" s="7">
        <v>45657</v>
      </c>
    </row>
    <row r="364" spans="1:16" x14ac:dyDescent="0.3">
      <c r="A364">
        <v>363</v>
      </c>
      <c r="B364" s="7">
        <v>45490</v>
      </c>
      <c r="C364" t="s">
        <v>14</v>
      </c>
      <c r="D364">
        <v>399</v>
      </c>
      <c r="E364">
        <v>9.4</v>
      </c>
      <c r="F364">
        <v>3</v>
      </c>
      <c r="G364">
        <v>4</v>
      </c>
      <c r="H364">
        <v>26</v>
      </c>
      <c r="I364">
        <v>34</v>
      </c>
      <c r="J364" t="s">
        <v>11</v>
      </c>
      <c r="K364">
        <f>IF(J364="Yes", 1, 0)</f>
        <v>1</v>
      </c>
      <c r="L364" t="str">
        <f>IF(G364=0,"0 Failures","1+ Failures")</f>
        <v>1+ Failures</v>
      </c>
      <c r="M364" t="str">
        <f t="shared" si="17"/>
        <v>5-10 hrs</v>
      </c>
      <c r="N364" t="str">
        <f t="shared" si="15"/>
        <v>12+ months</v>
      </c>
      <c r="O364" t="str">
        <f t="shared" si="16"/>
        <v>Basic</v>
      </c>
      <c r="P364" s="7">
        <v>45657</v>
      </c>
    </row>
    <row r="365" spans="1:16" x14ac:dyDescent="0.3">
      <c r="A365">
        <v>364</v>
      </c>
      <c r="B365" s="7">
        <v>45636</v>
      </c>
      <c r="C365" t="s">
        <v>12</v>
      </c>
      <c r="D365">
        <v>199</v>
      </c>
      <c r="E365">
        <v>23.6</v>
      </c>
      <c r="F365">
        <v>3</v>
      </c>
      <c r="G365">
        <v>3</v>
      </c>
      <c r="H365">
        <v>30</v>
      </c>
      <c r="I365">
        <v>51</v>
      </c>
      <c r="J365" t="s">
        <v>11</v>
      </c>
      <c r="K365">
        <f>IF(J365="Yes", 1, 0)</f>
        <v>1</v>
      </c>
      <c r="L365" t="str">
        <f>IF(G365=0,"0 Failures","1+ Failures")</f>
        <v>1+ Failures</v>
      </c>
      <c r="M365" t="str">
        <f t="shared" si="17"/>
        <v>20+ hrs</v>
      </c>
      <c r="N365" t="str">
        <f t="shared" si="15"/>
        <v>12+ months</v>
      </c>
      <c r="O365" t="str">
        <f t="shared" si="16"/>
        <v>Basic</v>
      </c>
      <c r="P365" s="7">
        <v>45657</v>
      </c>
    </row>
    <row r="366" spans="1:16" x14ac:dyDescent="0.3">
      <c r="A366">
        <v>365</v>
      </c>
      <c r="B366" s="7">
        <v>45601</v>
      </c>
      <c r="C366" t="s">
        <v>12</v>
      </c>
      <c r="D366">
        <v>199</v>
      </c>
      <c r="E366">
        <v>17</v>
      </c>
      <c r="F366">
        <v>2</v>
      </c>
      <c r="G366">
        <v>5</v>
      </c>
      <c r="H366">
        <v>27</v>
      </c>
      <c r="I366">
        <v>19</v>
      </c>
      <c r="J366" t="s">
        <v>11</v>
      </c>
      <c r="K366">
        <f>IF(J366="Yes", 1, 0)</f>
        <v>1</v>
      </c>
      <c r="L366" t="str">
        <f>IF(G366=0,"0 Failures","1+ Failures")</f>
        <v>1+ Failures</v>
      </c>
      <c r="M366" t="str">
        <f t="shared" si="17"/>
        <v>10-20hrs</v>
      </c>
      <c r="N366" t="str">
        <f t="shared" si="15"/>
        <v>12+ months</v>
      </c>
      <c r="O366" t="str">
        <f t="shared" si="16"/>
        <v>Basic</v>
      </c>
      <c r="P366" s="7">
        <v>45657</v>
      </c>
    </row>
    <row r="367" spans="1:16" x14ac:dyDescent="0.3">
      <c r="A367">
        <v>366</v>
      </c>
      <c r="B367" s="7">
        <v>45337</v>
      </c>
      <c r="C367" t="s">
        <v>12</v>
      </c>
      <c r="D367">
        <v>199</v>
      </c>
      <c r="E367">
        <v>19.8</v>
      </c>
      <c r="F367">
        <v>1</v>
      </c>
      <c r="G367">
        <v>3</v>
      </c>
      <c r="H367">
        <v>28</v>
      </c>
      <c r="I367">
        <v>38</v>
      </c>
      <c r="J367" t="s">
        <v>11</v>
      </c>
      <c r="K367">
        <f>IF(J367="Yes", 1, 0)</f>
        <v>1</v>
      </c>
      <c r="L367" t="str">
        <f>IF(G367=0,"0 Failures","1+ Failures")</f>
        <v>1+ Failures</v>
      </c>
      <c r="M367" t="str">
        <f t="shared" si="17"/>
        <v>10-20hrs</v>
      </c>
      <c r="N367" t="str">
        <f t="shared" si="15"/>
        <v>12+ months</v>
      </c>
      <c r="O367" t="str">
        <f t="shared" si="16"/>
        <v>Basic</v>
      </c>
      <c r="P367" s="7">
        <v>45657</v>
      </c>
    </row>
    <row r="368" spans="1:16" x14ac:dyDescent="0.3">
      <c r="A368">
        <v>367</v>
      </c>
      <c r="B368" s="7">
        <v>45295</v>
      </c>
      <c r="C368" t="s">
        <v>10</v>
      </c>
      <c r="D368">
        <v>699</v>
      </c>
      <c r="E368">
        <v>23.1</v>
      </c>
      <c r="F368">
        <v>6</v>
      </c>
      <c r="G368">
        <v>4</v>
      </c>
      <c r="H368">
        <v>33</v>
      </c>
      <c r="I368">
        <v>2</v>
      </c>
      <c r="J368" t="s">
        <v>13</v>
      </c>
      <c r="K368">
        <f>IF(J368="Yes", 1, 0)</f>
        <v>0</v>
      </c>
      <c r="L368" t="str">
        <f>IF(G368=0,"0 Failures","1+ Failures")</f>
        <v>1+ Failures</v>
      </c>
      <c r="M368" t="str">
        <f t="shared" si="17"/>
        <v>20+ hrs</v>
      </c>
      <c r="N368" t="str">
        <f t="shared" si="15"/>
        <v>12+ months</v>
      </c>
      <c r="O368" t="str">
        <f t="shared" si="16"/>
        <v>Premium</v>
      </c>
      <c r="P368" s="7">
        <v>45657</v>
      </c>
    </row>
    <row r="369" spans="1:16" x14ac:dyDescent="0.3">
      <c r="A369">
        <v>368</v>
      </c>
      <c r="B369" s="7">
        <v>45607</v>
      </c>
      <c r="C369" t="s">
        <v>10</v>
      </c>
      <c r="D369">
        <v>699</v>
      </c>
      <c r="E369">
        <v>15</v>
      </c>
      <c r="F369">
        <v>1</v>
      </c>
      <c r="G369">
        <v>0</v>
      </c>
      <c r="H369">
        <v>35</v>
      </c>
      <c r="I369">
        <v>49</v>
      </c>
      <c r="J369" t="s">
        <v>11</v>
      </c>
      <c r="K369">
        <f>IF(J369="Yes", 1, 0)</f>
        <v>1</v>
      </c>
      <c r="L369" t="str">
        <f>IF(G369=0,"0 Failures","1+ Failures")</f>
        <v>0 Failures</v>
      </c>
      <c r="M369" t="str">
        <f t="shared" si="17"/>
        <v>10-20hrs</v>
      </c>
      <c r="N369" t="str">
        <f t="shared" si="15"/>
        <v>12+ months</v>
      </c>
      <c r="O369" t="str">
        <f t="shared" si="16"/>
        <v>Premium</v>
      </c>
      <c r="P369" s="7">
        <v>45657</v>
      </c>
    </row>
    <row r="370" spans="1:16" x14ac:dyDescent="0.3">
      <c r="A370">
        <v>369</v>
      </c>
      <c r="B370" s="7">
        <v>45336</v>
      </c>
      <c r="C370" t="s">
        <v>14</v>
      </c>
      <c r="D370">
        <v>399</v>
      </c>
      <c r="E370">
        <v>16.399999999999999</v>
      </c>
      <c r="F370">
        <v>0</v>
      </c>
      <c r="G370">
        <v>4</v>
      </c>
      <c r="H370">
        <v>11</v>
      </c>
      <c r="I370">
        <v>41</v>
      </c>
      <c r="J370" t="s">
        <v>13</v>
      </c>
      <c r="K370">
        <f>IF(J370="Yes", 1, 0)</f>
        <v>0</v>
      </c>
      <c r="L370" t="str">
        <f>IF(G370=0,"0 Failures","1+ Failures")</f>
        <v>1+ Failures</v>
      </c>
      <c r="M370" t="str">
        <f t="shared" si="17"/>
        <v>10-20hrs</v>
      </c>
      <c r="N370" t="str">
        <f t="shared" si="15"/>
        <v>6-12months</v>
      </c>
      <c r="O370" t="str">
        <f t="shared" si="16"/>
        <v>Basic</v>
      </c>
      <c r="P370" s="7">
        <v>45657</v>
      </c>
    </row>
    <row r="371" spans="1:16" x14ac:dyDescent="0.3">
      <c r="A371">
        <v>370</v>
      </c>
      <c r="B371" s="7">
        <v>45458</v>
      </c>
      <c r="C371" t="s">
        <v>14</v>
      </c>
      <c r="D371">
        <v>399</v>
      </c>
      <c r="E371">
        <v>3.1</v>
      </c>
      <c r="F371">
        <v>1</v>
      </c>
      <c r="G371">
        <v>2</v>
      </c>
      <c r="H371">
        <v>28</v>
      </c>
      <c r="I371">
        <v>14</v>
      </c>
      <c r="J371" t="s">
        <v>11</v>
      </c>
      <c r="K371">
        <f>IF(J371="Yes", 1, 0)</f>
        <v>1</v>
      </c>
      <c r="L371" t="str">
        <f>IF(G371=0,"0 Failures","1+ Failures")</f>
        <v>1+ Failures</v>
      </c>
      <c r="M371" t="str">
        <f t="shared" si="17"/>
        <v>0-5 hrs</v>
      </c>
      <c r="N371" t="str">
        <f t="shared" si="15"/>
        <v>12+ months</v>
      </c>
      <c r="O371" t="str">
        <f t="shared" si="16"/>
        <v>Basic</v>
      </c>
      <c r="P371" s="7">
        <v>45657</v>
      </c>
    </row>
    <row r="372" spans="1:16" x14ac:dyDescent="0.3">
      <c r="A372">
        <v>371</v>
      </c>
      <c r="B372" s="7">
        <v>45634</v>
      </c>
      <c r="C372" t="s">
        <v>10</v>
      </c>
      <c r="D372">
        <v>699</v>
      </c>
      <c r="E372">
        <v>11.4</v>
      </c>
      <c r="F372">
        <v>6</v>
      </c>
      <c r="G372">
        <v>3</v>
      </c>
      <c r="H372">
        <v>15</v>
      </c>
      <c r="I372">
        <v>49</v>
      </c>
      <c r="J372" t="s">
        <v>11</v>
      </c>
      <c r="K372">
        <f>IF(J372="Yes", 1, 0)</f>
        <v>1</v>
      </c>
      <c r="L372" t="str">
        <f>IF(G372=0,"0 Failures","1+ Failures")</f>
        <v>1+ Failures</v>
      </c>
      <c r="M372" t="str">
        <f t="shared" si="17"/>
        <v>10-20hrs</v>
      </c>
      <c r="N372" t="str">
        <f t="shared" si="15"/>
        <v>12+ months</v>
      </c>
      <c r="O372" t="str">
        <f t="shared" si="16"/>
        <v>Premium</v>
      </c>
      <c r="P372" s="7">
        <v>45657</v>
      </c>
    </row>
    <row r="373" spans="1:16" x14ac:dyDescent="0.3">
      <c r="A373">
        <v>372</v>
      </c>
      <c r="B373" s="7">
        <v>45014</v>
      </c>
      <c r="C373" t="s">
        <v>10</v>
      </c>
      <c r="D373">
        <v>699</v>
      </c>
      <c r="E373">
        <v>9</v>
      </c>
      <c r="F373">
        <v>0</v>
      </c>
      <c r="G373">
        <v>3</v>
      </c>
      <c r="H373">
        <v>10</v>
      </c>
      <c r="I373">
        <v>6</v>
      </c>
      <c r="J373" t="s">
        <v>11</v>
      </c>
      <c r="K373">
        <f>IF(J373="Yes", 1, 0)</f>
        <v>1</v>
      </c>
      <c r="L373" t="str">
        <f>IF(G373=0,"0 Failures","1+ Failures")</f>
        <v>1+ Failures</v>
      </c>
      <c r="M373" t="str">
        <f t="shared" si="17"/>
        <v>5-10 hrs</v>
      </c>
      <c r="N373" t="str">
        <f t="shared" si="15"/>
        <v>6-12months</v>
      </c>
      <c r="O373" t="str">
        <f t="shared" si="16"/>
        <v>Premium</v>
      </c>
      <c r="P373" s="7">
        <v>45657</v>
      </c>
    </row>
    <row r="374" spans="1:16" x14ac:dyDescent="0.3">
      <c r="A374">
        <v>373</v>
      </c>
      <c r="B374" s="7">
        <v>45421</v>
      </c>
      <c r="C374" t="s">
        <v>12</v>
      </c>
      <c r="D374">
        <v>199</v>
      </c>
      <c r="E374">
        <v>9</v>
      </c>
      <c r="F374">
        <v>5</v>
      </c>
      <c r="G374">
        <v>3</v>
      </c>
      <c r="H374">
        <v>10</v>
      </c>
      <c r="I374">
        <v>50</v>
      </c>
      <c r="J374" t="s">
        <v>11</v>
      </c>
      <c r="K374">
        <f>IF(J374="Yes", 1, 0)</f>
        <v>1</v>
      </c>
      <c r="L374" t="str">
        <f>IF(G374=0,"0 Failures","1+ Failures")</f>
        <v>1+ Failures</v>
      </c>
      <c r="M374" t="str">
        <f t="shared" si="17"/>
        <v>5-10 hrs</v>
      </c>
      <c r="N374" t="str">
        <f t="shared" si="15"/>
        <v>6-12months</v>
      </c>
      <c r="O374" t="str">
        <f t="shared" si="16"/>
        <v>Basic</v>
      </c>
      <c r="P374" s="7">
        <v>45657</v>
      </c>
    </row>
    <row r="375" spans="1:16" x14ac:dyDescent="0.3">
      <c r="A375">
        <v>374</v>
      </c>
      <c r="B375" s="7">
        <v>45654</v>
      </c>
      <c r="C375" t="s">
        <v>14</v>
      </c>
      <c r="D375">
        <v>399</v>
      </c>
      <c r="E375">
        <v>2.9</v>
      </c>
      <c r="F375">
        <v>7</v>
      </c>
      <c r="G375">
        <v>2</v>
      </c>
      <c r="H375">
        <v>31</v>
      </c>
      <c r="I375">
        <v>4</v>
      </c>
      <c r="J375" t="s">
        <v>11</v>
      </c>
      <c r="K375">
        <f>IF(J375="Yes", 1, 0)</f>
        <v>1</v>
      </c>
      <c r="L375" t="str">
        <f>IF(G375=0,"0 Failures","1+ Failures")</f>
        <v>1+ Failures</v>
      </c>
      <c r="M375" t="str">
        <f t="shared" si="17"/>
        <v>0-5 hrs</v>
      </c>
      <c r="N375" t="str">
        <f t="shared" si="15"/>
        <v>12+ months</v>
      </c>
      <c r="O375" t="str">
        <f t="shared" si="16"/>
        <v>Basic</v>
      </c>
      <c r="P375" s="7">
        <v>45657</v>
      </c>
    </row>
    <row r="376" spans="1:16" x14ac:dyDescent="0.3">
      <c r="A376">
        <v>375</v>
      </c>
      <c r="B376" s="7">
        <v>45176</v>
      </c>
      <c r="C376" t="s">
        <v>12</v>
      </c>
      <c r="D376">
        <v>199</v>
      </c>
      <c r="E376">
        <v>21.3</v>
      </c>
      <c r="F376">
        <v>1</v>
      </c>
      <c r="G376">
        <v>5</v>
      </c>
      <c r="H376">
        <v>2</v>
      </c>
      <c r="I376">
        <v>51</v>
      </c>
      <c r="J376" t="s">
        <v>11</v>
      </c>
      <c r="K376">
        <f>IF(J376="Yes", 1, 0)</f>
        <v>1</v>
      </c>
      <c r="L376" t="str">
        <f>IF(G376=0,"0 Failures","1+ Failures")</f>
        <v>1+ Failures</v>
      </c>
      <c r="M376" t="str">
        <f t="shared" si="17"/>
        <v>20+ hrs</v>
      </c>
      <c r="N376" t="str">
        <f t="shared" si="15"/>
        <v>0-3months</v>
      </c>
      <c r="O376" t="str">
        <f t="shared" si="16"/>
        <v>Basic</v>
      </c>
      <c r="P376" s="7">
        <v>45657</v>
      </c>
    </row>
    <row r="377" spans="1:16" x14ac:dyDescent="0.3">
      <c r="A377">
        <v>376</v>
      </c>
      <c r="B377" s="7">
        <v>45164</v>
      </c>
      <c r="C377" t="s">
        <v>10</v>
      </c>
      <c r="D377">
        <v>699</v>
      </c>
      <c r="E377">
        <v>14</v>
      </c>
      <c r="F377">
        <v>5</v>
      </c>
      <c r="G377">
        <v>4</v>
      </c>
      <c r="H377">
        <v>12</v>
      </c>
      <c r="I377">
        <v>27</v>
      </c>
      <c r="J377" t="s">
        <v>13</v>
      </c>
      <c r="K377">
        <f>IF(J377="Yes", 1, 0)</f>
        <v>0</v>
      </c>
      <c r="L377" t="str">
        <f>IF(G377=0,"0 Failures","1+ Failures")</f>
        <v>1+ Failures</v>
      </c>
      <c r="M377" t="str">
        <f t="shared" si="17"/>
        <v>10-20hrs</v>
      </c>
      <c r="N377" t="str">
        <f t="shared" si="15"/>
        <v>6-12months</v>
      </c>
      <c r="O377" t="str">
        <f t="shared" si="16"/>
        <v>Premium</v>
      </c>
      <c r="P377" s="7">
        <v>45657</v>
      </c>
    </row>
    <row r="378" spans="1:16" x14ac:dyDescent="0.3">
      <c r="A378">
        <v>377</v>
      </c>
      <c r="B378" s="7">
        <v>45129</v>
      </c>
      <c r="C378" t="s">
        <v>14</v>
      </c>
      <c r="D378">
        <v>399</v>
      </c>
      <c r="E378">
        <v>5.0999999999999996</v>
      </c>
      <c r="F378">
        <v>6</v>
      </c>
      <c r="G378">
        <v>3</v>
      </c>
      <c r="H378">
        <v>12</v>
      </c>
      <c r="I378">
        <v>1</v>
      </c>
      <c r="J378" t="s">
        <v>13</v>
      </c>
      <c r="K378">
        <f>IF(J378="Yes", 1, 0)</f>
        <v>0</v>
      </c>
      <c r="L378" t="str">
        <f>IF(G378=0,"0 Failures","1+ Failures")</f>
        <v>1+ Failures</v>
      </c>
      <c r="M378" t="str">
        <f t="shared" si="17"/>
        <v>5-10 hrs</v>
      </c>
      <c r="N378" t="str">
        <f t="shared" si="15"/>
        <v>6-12months</v>
      </c>
      <c r="O378" t="str">
        <f t="shared" si="16"/>
        <v>Basic</v>
      </c>
      <c r="P378" s="7">
        <v>45657</v>
      </c>
    </row>
    <row r="379" spans="1:16" x14ac:dyDescent="0.3">
      <c r="A379">
        <v>378</v>
      </c>
      <c r="B379" s="7">
        <v>44991</v>
      </c>
      <c r="C379" t="s">
        <v>14</v>
      </c>
      <c r="D379">
        <v>399</v>
      </c>
      <c r="E379">
        <v>10</v>
      </c>
      <c r="F379">
        <v>3</v>
      </c>
      <c r="G379">
        <v>1</v>
      </c>
      <c r="H379">
        <v>28</v>
      </c>
      <c r="I379">
        <v>17</v>
      </c>
      <c r="J379" t="s">
        <v>13</v>
      </c>
      <c r="K379">
        <f>IF(J379="Yes", 1, 0)</f>
        <v>0</v>
      </c>
      <c r="L379" t="str">
        <f>IF(G379=0,"0 Failures","1+ Failures")</f>
        <v>1+ Failures</v>
      </c>
      <c r="M379" t="str">
        <f t="shared" si="17"/>
        <v>5-10 hrs</v>
      </c>
      <c r="N379" t="str">
        <f t="shared" si="15"/>
        <v>12+ months</v>
      </c>
      <c r="O379" t="str">
        <f t="shared" si="16"/>
        <v>Basic</v>
      </c>
      <c r="P379" s="7">
        <v>45657</v>
      </c>
    </row>
    <row r="380" spans="1:16" x14ac:dyDescent="0.3">
      <c r="A380">
        <v>379</v>
      </c>
      <c r="B380" s="7">
        <v>45395</v>
      </c>
      <c r="C380" t="s">
        <v>10</v>
      </c>
      <c r="D380">
        <v>699</v>
      </c>
      <c r="E380">
        <v>20.100000000000001</v>
      </c>
      <c r="F380">
        <v>8</v>
      </c>
      <c r="G380">
        <v>1</v>
      </c>
      <c r="H380">
        <v>7</v>
      </c>
      <c r="I380">
        <v>23</v>
      </c>
      <c r="J380" t="s">
        <v>11</v>
      </c>
      <c r="K380">
        <f>IF(J380="Yes", 1, 0)</f>
        <v>1</v>
      </c>
      <c r="L380" t="str">
        <f>IF(G380=0,"0 Failures","1+ Failures")</f>
        <v>1+ Failures</v>
      </c>
      <c r="M380" t="str">
        <f t="shared" si="17"/>
        <v>20+ hrs</v>
      </c>
      <c r="N380" t="str">
        <f t="shared" si="15"/>
        <v>6-12months</v>
      </c>
      <c r="O380" t="str">
        <f t="shared" si="16"/>
        <v>Premium</v>
      </c>
      <c r="P380" s="7">
        <v>45657</v>
      </c>
    </row>
    <row r="381" spans="1:16" x14ac:dyDescent="0.3">
      <c r="A381">
        <v>380</v>
      </c>
      <c r="B381" s="7">
        <v>45324</v>
      </c>
      <c r="C381" t="s">
        <v>12</v>
      </c>
      <c r="D381">
        <v>199</v>
      </c>
      <c r="E381">
        <v>16.899999999999999</v>
      </c>
      <c r="F381">
        <v>7</v>
      </c>
      <c r="G381">
        <v>4</v>
      </c>
      <c r="H381">
        <v>17</v>
      </c>
      <c r="I381">
        <v>40</v>
      </c>
      <c r="J381" t="s">
        <v>11</v>
      </c>
      <c r="K381">
        <f>IF(J381="Yes", 1, 0)</f>
        <v>1</v>
      </c>
      <c r="L381" t="str">
        <f>IF(G381=0,"0 Failures","1+ Failures")</f>
        <v>1+ Failures</v>
      </c>
      <c r="M381" t="str">
        <f t="shared" si="17"/>
        <v>10-20hrs</v>
      </c>
      <c r="N381" t="str">
        <f t="shared" si="15"/>
        <v>12+ months</v>
      </c>
      <c r="O381" t="str">
        <f t="shared" si="16"/>
        <v>Basic</v>
      </c>
      <c r="P381" s="7">
        <v>45657</v>
      </c>
    </row>
    <row r="382" spans="1:16" x14ac:dyDescent="0.3">
      <c r="A382">
        <v>381</v>
      </c>
      <c r="B382" s="7">
        <v>45103</v>
      </c>
      <c r="C382" t="s">
        <v>10</v>
      </c>
      <c r="D382">
        <v>699</v>
      </c>
      <c r="E382">
        <v>14.9</v>
      </c>
      <c r="F382">
        <v>5</v>
      </c>
      <c r="G382">
        <v>2</v>
      </c>
      <c r="H382">
        <v>26</v>
      </c>
      <c r="I382">
        <v>54</v>
      </c>
      <c r="J382" t="s">
        <v>11</v>
      </c>
      <c r="K382">
        <f>IF(J382="Yes", 1, 0)</f>
        <v>1</v>
      </c>
      <c r="L382" t="str">
        <f>IF(G382=0,"0 Failures","1+ Failures")</f>
        <v>1+ Failures</v>
      </c>
      <c r="M382" t="str">
        <f t="shared" si="17"/>
        <v>10-20hrs</v>
      </c>
      <c r="N382" t="str">
        <f t="shared" si="15"/>
        <v>12+ months</v>
      </c>
      <c r="O382" t="str">
        <f t="shared" si="16"/>
        <v>Premium</v>
      </c>
      <c r="P382" s="7">
        <v>45657</v>
      </c>
    </row>
    <row r="383" spans="1:16" x14ac:dyDescent="0.3">
      <c r="A383">
        <v>382</v>
      </c>
      <c r="B383" s="7">
        <v>45171</v>
      </c>
      <c r="C383" t="s">
        <v>10</v>
      </c>
      <c r="D383">
        <v>699</v>
      </c>
      <c r="E383">
        <v>23</v>
      </c>
      <c r="F383">
        <v>1</v>
      </c>
      <c r="G383">
        <v>5</v>
      </c>
      <c r="H383">
        <v>20</v>
      </c>
      <c r="I383">
        <v>8</v>
      </c>
      <c r="J383" t="s">
        <v>11</v>
      </c>
      <c r="K383">
        <f>IF(J383="Yes", 1, 0)</f>
        <v>1</v>
      </c>
      <c r="L383" t="str">
        <f>IF(G383=0,"0 Failures","1+ Failures")</f>
        <v>1+ Failures</v>
      </c>
      <c r="M383" t="str">
        <f t="shared" si="17"/>
        <v>20+ hrs</v>
      </c>
      <c r="N383" t="str">
        <f t="shared" si="15"/>
        <v>12+ months</v>
      </c>
      <c r="O383" t="str">
        <f t="shared" si="16"/>
        <v>Premium</v>
      </c>
      <c r="P383" s="7">
        <v>45657</v>
      </c>
    </row>
    <row r="384" spans="1:16" x14ac:dyDescent="0.3">
      <c r="A384">
        <v>383</v>
      </c>
      <c r="B384" s="7">
        <v>45068</v>
      </c>
      <c r="C384" t="s">
        <v>14</v>
      </c>
      <c r="D384">
        <v>399</v>
      </c>
      <c r="E384">
        <v>5</v>
      </c>
      <c r="F384">
        <v>2</v>
      </c>
      <c r="G384">
        <v>4</v>
      </c>
      <c r="H384">
        <v>8</v>
      </c>
      <c r="I384">
        <v>24</v>
      </c>
      <c r="J384" t="s">
        <v>11</v>
      </c>
      <c r="K384">
        <f>IF(J384="Yes", 1, 0)</f>
        <v>1</v>
      </c>
      <c r="L384" t="str">
        <f>IF(G384=0,"0 Failures","1+ Failures")</f>
        <v>1+ Failures</v>
      </c>
      <c r="M384" t="str">
        <f t="shared" si="17"/>
        <v>0-5 hrs</v>
      </c>
      <c r="N384" t="str">
        <f t="shared" si="15"/>
        <v>6-12months</v>
      </c>
      <c r="O384" t="str">
        <f t="shared" si="16"/>
        <v>Basic</v>
      </c>
      <c r="P384" s="7">
        <v>45657</v>
      </c>
    </row>
    <row r="385" spans="1:16" x14ac:dyDescent="0.3">
      <c r="A385">
        <v>384</v>
      </c>
      <c r="B385" s="7">
        <v>45587</v>
      </c>
      <c r="C385" t="s">
        <v>10</v>
      </c>
      <c r="D385">
        <v>699</v>
      </c>
      <c r="E385">
        <v>10.9</v>
      </c>
      <c r="F385">
        <v>7</v>
      </c>
      <c r="G385">
        <v>5</v>
      </c>
      <c r="H385">
        <v>25</v>
      </c>
      <c r="I385">
        <v>34</v>
      </c>
      <c r="J385" t="s">
        <v>11</v>
      </c>
      <c r="K385">
        <f>IF(J385="Yes", 1, 0)</f>
        <v>1</v>
      </c>
      <c r="L385" t="str">
        <f>IF(G385=0,"0 Failures","1+ Failures")</f>
        <v>1+ Failures</v>
      </c>
      <c r="M385" t="str">
        <f t="shared" si="17"/>
        <v>10-20hrs</v>
      </c>
      <c r="N385" t="str">
        <f t="shared" si="15"/>
        <v>12+ months</v>
      </c>
      <c r="O385" t="str">
        <f t="shared" si="16"/>
        <v>Premium</v>
      </c>
      <c r="P385" s="7">
        <v>45657</v>
      </c>
    </row>
    <row r="386" spans="1:16" x14ac:dyDescent="0.3">
      <c r="A386">
        <v>385</v>
      </c>
      <c r="B386" s="7">
        <v>45388</v>
      </c>
      <c r="C386" t="s">
        <v>12</v>
      </c>
      <c r="D386">
        <v>199</v>
      </c>
      <c r="E386">
        <v>4.5999999999999996</v>
      </c>
      <c r="F386">
        <v>4</v>
      </c>
      <c r="G386">
        <v>1</v>
      </c>
      <c r="H386">
        <v>36</v>
      </c>
      <c r="I386">
        <v>11</v>
      </c>
      <c r="J386" t="s">
        <v>11</v>
      </c>
      <c r="K386">
        <f>IF(J386="Yes", 1, 0)</f>
        <v>1</v>
      </c>
      <c r="L386" t="str">
        <f>IF(G386=0,"0 Failures","1+ Failures")</f>
        <v>1+ Failures</v>
      </c>
      <c r="M386" t="str">
        <f t="shared" si="17"/>
        <v>0-5 hrs</v>
      </c>
      <c r="N386" t="str">
        <f t="shared" si="15"/>
        <v>12+ months</v>
      </c>
      <c r="O386" t="str">
        <f t="shared" si="16"/>
        <v>Basic</v>
      </c>
      <c r="P386" s="7">
        <v>45657</v>
      </c>
    </row>
    <row r="387" spans="1:16" x14ac:dyDescent="0.3">
      <c r="A387">
        <v>386</v>
      </c>
      <c r="B387" s="7">
        <v>45320</v>
      </c>
      <c r="C387" t="s">
        <v>10</v>
      </c>
      <c r="D387">
        <v>699</v>
      </c>
      <c r="E387">
        <v>21.7</v>
      </c>
      <c r="F387">
        <v>0</v>
      </c>
      <c r="G387">
        <v>3</v>
      </c>
      <c r="H387">
        <v>4</v>
      </c>
      <c r="I387">
        <v>8</v>
      </c>
      <c r="J387" t="s">
        <v>11</v>
      </c>
      <c r="K387">
        <f>IF(J387="Yes", 1, 0)</f>
        <v>1</v>
      </c>
      <c r="L387" t="str">
        <f>IF(G387=0,"0 Failures","1+ Failures")</f>
        <v>1+ Failures</v>
      </c>
      <c r="M387" t="str">
        <f t="shared" si="17"/>
        <v>20+ hrs</v>
      </c>
      <c r="N387" t="str">
        <f t="shared" ref="N387:N450" si="18">IF(H387&lt;=3, "0-3months", IF(H387&lt;=6, "3-6months", IF(H387&lt;=12, "6-12months", "12+ months")))</f>
        <v>3-6months</v>
      </c>
      <c r="O387" t="str">
        <f t="shared" ref="O387:O450" si="19">IF(C387="premium", "Premium", "Basic")</f>
        <v>Premium</v>
      </c>
      <c r="P387" s="7">
        <v>45657</v>
      </c>
    </row>
    <row r="388" spans="1:16" x14ac:dyDescent="0.3">
      <c r="A388">
        <v>387</v>
      </c>
      <c r="B388" s="7">
        <v>45381</v>
      </c>
      <c r="C388" t="s">
        <v>10</v>
      </c>
      <c r="D388">
        <v>699</v>
      </c>
      <c r="E388">
        <v>16.5</v>
      </c>
      <c r="F388">
        <v>6</v>
      </c>
      <c r="G388">
        <v>5</v>
      </c>
      <c r="H388">
        <v>33</v>
      </c>
      <c r="I388">
        <v>31</v>
      </c>
      <c r="J388" t="s">
        <v>11</v>
      </c>
      <c r="K388">
        <f>IF(J388="Yes", 1, 0)</f>
        <v>1</v>
      </c>
      <c r="L388" t="str">
        <f>IF(G388=0,"0 Failures","1+ Failures")</f>
        <v>1+ Failures</v>
      </c>
      <c r="M388" t="str">
        <f t="shared" si="17"/>
        <v>10-20hrs</v>
      </c>
      <c r="N388" t="str">
        <f t="shared" si="18"/>
        <v>12+ months</v>
      </c>
      <c r="O388" t="str">
        <f t="shared" si="19"/>
        <v>Premium</v>
      </c>
      <c r="P388" s="7">
        <v>45657</v>
      </c>
    </row>
    <row r="389" spans="1:16" x14ac:dyDescent="0.3">
      <c r="A389">
        <v>388</v>
      </c>
      <c r="B389" s="7">
        <v>45157</v>
      </c>
      <c r="C389" t="s">
        <v>14</v>
      </c>
      <c r="D389">
        <v>399</v>
      </c>
      <c r="E389">
        <v>2.5</v>
      </c>
      <c r="F389">
        <v>0</v>
      </c>
      <c r="G389">
        <v>1</v>
      </c>
      <c r="H389">
        <v>11</v>
      </c>
      <c r="I389">
        <v>18</v>
      </c>
      <c r="J389" t="s">
        <v>11</v>
      </c>
      <c r="K389">
        <f>IF(J389="Yes", 1, 0)</f>
        <v>1</v>
      </c>
      <c r="L389" t="str">
        <f>IF(G389=0,"0 Failures","1+ Failures")</f>
        <v>1+ Failures</v>
      </c>
      <c r="M389" t="str">
        <f t="shared" si="17"/>
        <v>0-5 hrs</v>
      </c>
      <c r="N389" t="str">
        <f t="shared" si="18"/>
        <v>6-12months</v>
      </c>
      <c r="O389" t="str">
        <f t="shared" si="19"/>
        <v>Basic</v>
      </c>
      <c r="P389" s="7">
        <v>45657</v>
      </c>
    </row>
    <row r="390" spans="1:16" x14ac:dyDescent="0.3">
      <c r="A390">
        <v>389</v>
      </c>
      <c r="B390" s="7">
        <v>45434</v>
      </c>
      <c r="C390" t="s">
        <v>10</v>
      </c>
      <c r="D390">
        <v>699</v>
      </c>
      <c r="E390">
        <v>4.5999999999999996</v>
      </c>
      <c r="F390">
        <v>7</v>
      </c>
      <c r="G390">
        <v>4</v>
      </c>
      <c r="H390">
        <v>19</v>
      </c>
      <c r="I390">
        <v>47</v>
      </c>
      <c r="J390" t="s">
        <v>11</v>
      </c>
      <c r="K390">
        <f>IF(J390="Yes", 1, 0)</f>
        <v>1</v>
      </c>
      <c r="L390" t="str">
        <f>IF(G390=0,"0 Failures","1+ Failures")</f>
        <v>1+ Failures</v>
      </c>
      <c r="M390" t="str">
        <f t="shared" si="17"/>
        <v>0-5 hrs</v>
      </c>
      <c r="N390" t="str">
        <f t="shared" si="18"/>
        <v>12+ months</v>
      </c>
      <c r="O390" t="str">
        <f t="shared" si="19"/>
        <v>Premium</v>
      </c>
      <c r="P390" s="7">
        <v>45657</v>
      </c>
    </row>
    <row r="391" spans="1:16" x14ac:dyDescent="0.3">
      <c r="A391">
        <v>390</v>
      </c>
      <c r="B391" s="7">
        <v>45302</v>
      </c>
      <c r="C391" t="s">
        <v>10</v>
      </c>
      <c r="D391">
        <v>699</v>
      </c>
      <c r="E391">
        <v>3.3</v>
      </c>
      <c r="F391">
        <v>1</v>
      </c>
      <c r="G391">
        <v>2</v>
      </c>
      <c r="H391">
        <v>33</v>
      </c>
      <c r="I391">
        <v>49</v>
      </c>
      <c r="J391" t="s">
        <v>11</v>
      </c>
      <c r="K391">
        <f>IF(J391="Yes", 1, 0)</f>
        <v>1</v>
      </c>
      <c r="L391" t="str">
        <f>IF(G391=0,"0 Failures","1+ Failures")</f>
        <v>1+ Failures</v>
      </c>
      <c r="M391" t="str">
        <f t="shared" si="17"/>
        <v>0-5 hrs</v>
      </c>
      <c r="N391" t="str">
        <f t="shared" si="18"/>
        <v>12+ months</v>
      </c>
      <c r="O391" t="str">
        <f t="shared" si="19"/>
        <v>Premium</v>
      </c>
      <c r="P391" s="7">
        <v>45657</v>
      </c>
    </row>
    <row r="392" spans="1:16" x14ac:dyDescent="0.3">
      <c r="A392">
        <v>391</v>
      </c>
      <c r="B392" s="7">
        <v>45031</v>
      </c>
      <c r="C392" t="s">
        <v>10</v>
      </c>
      <c r="D392">
        <v>699</v>
      </c>
      <c r="E392">
        <v>19.100000000000001</v>
      </c>
      <c r="F392">
        <v>7</v>
      </c>
      <c r="G392">
        <v>4</v>
      </c>
      <c r="H392">
        <v>3</v>
      </c>
      <c r="I392">
        <v>13</v>
      </c>
      <c r="J392" t="s">
        <v>13</v>
      </c>
      <c r="K392">
        <f>IF(J392="Yes", 1, 0)</f>
        <v>0</v>
      </c>
      <c r="L392" t="str">
        <f>IF(G392=0,"0 Failures","1+ Failures")</f>
        <v>1+ Failures</v>
      </c>
      <c r="M392" t="str">
        <f t="shared" si="17"/>
        <v>10-20hrs</v>
      </c>
      <c r="N392" t="str">
        <f t="shared" si="18"/>
        <v>0-3months</v>
      </c>
      <c r="O392" t="str">
        <f t="shared" si="19"/>
        <v>Premium</v>
      </c>
      <c r="P392" s="7">
        <v>45657</v>
      </c>
    </row>
    <row r="393" spans="1:16" x14ac:dyDescent="0.3">
      <c r="A393">
        <v>392</v>
      </c>
      <c r="B393" s="7">
        <v>45016</v>
      </c>
      <c r="C393" t="s">
        <v>10</v>
      </c>
      <c r="D393">
        <v>699</v>
      </c>
      <c r="E393">
        <v>7.8</v>
      </c>
      <c r="F393">
        <v>0</v>
      </c>
      <c r="G393">
        <v>3</v>
      </c>
      <c r="H393">
        <v>16</v>
      </c>
      <c r="I393">
        <v>16</v>
      </c>
      <c r="J393" t="s">
        <v>11</v>
      </c>
      <c r="K393">
        <f>IF(J393="Yes", 1, 0)</f>
        <v>1</v>
      </c>
      <c r="L393" t="str">
        <f>IF(G393=0,"0 Failures","1+ Failures")</f>
        <v>1+ Failures</v>
      </c>
      <c r="M393" t="str">
        <f t="shared" si="17"/>
        <v>5-10 hrs</v>
      </c>
      <c r="N393" t="str">
        <f t="shared" si="18"/>
        <v>12+ months</v>
      </c>
      <c r="O393" t="str">
        <f t="shared" si="19"/>
        <v>Premium</v>
      </c>
      <c r="P393" s="7">
        <v>45657</v>
      </c>
    </row>
    <row r="394" spans="1:16" x14ac:dyDescent="0.3">
      <c r="A394">
        <v>393</v>
      </c>
      <c r="B394" s="7">
        <v>45632</v>
      </c>
      <c r="C394" t="s">
        <v>14</v>
      </c>
      <c r="D394">
        <v>399</v>
      </c>
      <c r="E394">
        <v>19.5</v>
      </c>
      <c r="F394">
        <v>3</v>
      </c>
      <c r="G394">
        <v>1</v>
      </c>
      <c r="H394">
        <v>8</v>
      </c>
      <c r="I394">
        <v>51</v>
      </c>
      <c r="J394" t="s">
        <v>13</v>
      </c>
      <c r="K394">
        <f>IF(J394="Yes", 1, 0)</f>
        <v>0</v>
      </c>
      <c r="L394" t="str">
        <f>IF(G394=0,"0 Failures","1+ Failures")</f>
        <v>1+ Failures</v>
      </c>
      <c r="M394" t="str">
        <f t="shared" si="17"/>
        <v>10-20hrs</v>
      </c>
      <c r="N394" t="str">
        <f t="shared" si="18"/>
        <v>6-12months</v>
      </c>
      <c r="O394" t="str">
        <f t="shared" si="19"/>
        <v>Basic</v>
      </c>
      <c r="P394" s="7">
        <v>45657</v>
      </c>
    </row>
    <row r="395" spans="1:16" x14ac:dyDescent="0.3">
      <c r="A395">
        <v>394</v>
      </c>
      <c r="B395" s="7">
        <v>44987</v>
      </c>
      <c r="C395" t="s">
        <v>14</v>
      </c>
      <c r="D395">
        <v>399</v>
      </c>
      <c r="E395">
        <v>4.5999999999999996</v>
      </c>
      <c r="F395">
        <v>2</v>
      </c>
      <c r="G395">
        <v>1</v>
      </c>
      <c r="H395">
        <v>28</v>
      </c>
      <c r="I395">
        <v>52</v>
      </c>
      <c r="J395" t="s">
        <v>11</v>
      </c>
      <c r="K395">
        <f>IF(J395="Yes", 1, 0)</f>
        <v>1</v>
      </c>
      <c r="L395" t="str">
        <f>IF(G395=0,"0 Failures","1+ Failures")</f>
        <v>1+ Failures</v>
      </c>
      <c r="M395" t="str">
        <f t="shared" ref="M395:M458" si="20">IF(E395&lt;=5, "0-5 hrs",    IF(E395&lt;=10, "5-10 hrs",    IF(E395&lt;=20, "10-20hrs", "20+ hrs")))</f>
        <v>0-5 hrs</v>
      </c>
      <c r="N395" t="str">
        <f t="shared" si="18"/>
        <v>12+ months</v>
      </c>
      <c r="O395" t="str">
        <f t="shared" si="19"/>
        <v>Basic</v>
      </c>
      <c r="P395" s="7">
        <v>45657</v>
      </c>
    </row>
    <row r="396" spans="1:16" x14ac:dyDescent="0.3">
      <c r="A396">
        <v>395</v>
      </c>
      <c r="B396" s="7">
        <v>45226</v>
      </c>
      <c r="C396" t="s">
        <v>10</v>
      </c>
      <c r="D396">
        <v>699</v>
      </c>
      <c r="E396">
        <v>13.5</v>
      </c>
      <c r="F396">
        <v>8</v>
      </c>
      <c r="G396">
        <v>1</v>
      </c>
      <c r="H396">
        <v>23</v>
      </c>
      <c r="I396">
        <v>20</v>
      </c>
      <c r="J396" t="s">
        <v>13</v>
      </c>
      <c r="K396">
        <f>IF(J396="Yes", 1, 0)</f>
        <v>0</v>
      </c>
      <c r="L396" t="str">
        <f>IF(G396=0,"0 Failures","1+ Failures")</f>
        <v>1+ Failures</v>
      </c>
      <c r="M396" t="str">
        <f t="shared" si="20"/>
        <v>10-20hrs</v>
      </c>
      <c r="N396" t="str">
        <f t="shared" si="18"/>
        <v>12+ months</v>
      </c>
      <c r="O396" t="str">
        <f t="shared" si="19"/>
        <v>Premium</v>
      </c>
      <c r="P396" s="7">
        <v>45657</v>
      </c>
    </row>
    <row r="397" spans="1:16" x14ac:dyDescent="0.3">
      <c r="A397">
        <v>396</v>
      </c>
      <c r="B397" s="7">
        <v>45348</v>
      </c>
      <c r="C397" t="s">
        <v>14</v>
      </c>
      <c r="D397">
        <v>399</v>
      </c>
      <c r="E397">
        <v>23.8</v>
      </c>
      <c r="F397">
        <v>8</v>
      </c>
      <c r="G397">
        <v>5</v>
      </c>
      <c r="H397">
        <v>18</v>
      </c>
      <c r="I397">
        <v>52</v>
      </c>
      <c r="J397" t="s">
        <v>11</v>
      </c>
      <c r="K397">
        <f>IF(J397="Yes", 1, 0)</f>
        <v>1</v>
      </c>
      <c r="L397" t="str">
        <f>IF(G397=0,"0 Failures","1+ Failures")</f>
        <v>1+ Failures</v>
      </c>
      <c r="M397" t="str">
        <f t="shared" si="20"/>
        <v>20+ hrs</v>
      </c>
      <c r="N397" t="str">
        <f t="shared" si="18"/>
        <v>12+ months</v>
      </c>
      <c r="O397" t="str">
        <f t="shared" si="19"/>
        <v>Basic</v>
      </c>
      <c r="P397" s="7">
        <v>45657</v>
      </c>
    </row>
    <row r="398" spans="1:16" x14ac:dyDescent="0.3">
      <c r="A398">
        <v>397</v>
      </c>
      <c r="B398" s="7">
        <v>45076</v>
      </c>
      <c r="C398" t="s">
        <v>12</v>
      </c>
      <c r="D398">
        <v>199</v>
      </c>
      <c r="E398">
        <v>21.7</v>
      </c>
      <c r="F398">
        <v>2</v>
      </c>
      <c r="G398">
        <v>5</v>
      </c>
      <c r="H398">
        <v>18</v>
      </c>
      <c r="I398">
        <v>55</v>
      </c>
      <c r="J398" t="s">
        <v>11</v>
      </c>
      <c r="K398">
        <f>IF(J398="Yes", 1, 0)</f>
        <v>1</v>
      </c>
      <c r="L398" t="str">
        <f>IF(G398=0,"0 Failures","1+ Failures")</f>
        <v>1+ Failures</v>
      </c>
      <c r="M398" t="str">
        <f t="shared" si="20"/>
        <v>20+ hrs</v>
      </c>
      <c r="N398" t="str">
        <f t="shared" si="18"/>
        <v>12+ months</v>
      </c>
      <c r="O398" t="str">
        <f t="shared" si="19"/>
        <v>Basic</v>
      </c>
      <c r="P398" s="7">
        <v>45657</v>
      </c>
    </row>
    <row r="399" spans="1:16" x14ac:dyDescent="0.3">
      <c r="A399">
        <v>398</v>
      </c>
      <c r="B399" s="7">
        <v>45202</v>
      </c>
      <c r="C399" t="s">
        <v>10</v>
      </c>
      <c r="D399">
        <v>699</v>
      </c>
      <c r="E399">
        <v>20.8</v>
      </c>
      <c r="F399">
        <v>6</v>
      </c>
      <c r="G399">
        <v>3</v>
      </c>
      <c r="H399">
        <v>21</v>
      </c>
      <c r="I399">
        <v>9</v>
      </c>
      <c r="J399" t="s">
        <v>13</v>
      </c>
      <c r="K399">
        <f>IF(J399="Yes", 1, 0)</f>
        <v>0</v>
      </c>
      <c r="L399" t="str">
        <f>IF(G399=0,"0 Failures","1+ Failures")</f>
        <v>1+ Failures</v>
      </c>
      <c r="M399" t="str">
        <f t="shared" si="20"/>
        <v>20+ hrs</v>
      </c>
      <c r="N399" t="str">
        <f t="shared" si="18"/>
        <v>12+ months</v>
      </c>
      <c r="O399" t="str">
        <f t="shared" si="19"/>
        <v>Premium</v>
      </c>
      <c r="P399" s="7">
        <v>45657</v>
      </c>
    </row>
    <row r="400" spans="1:16" x14ac:dyDescent="0.3">
      <c r="A400">
        <v>399</v>
      </c>
      <c r="B400" s="7">
        <v>45022</v>
      </c>
      <c r="C400" t="s">
        <v>10</v>
      </c>
      <c r="D400">
        <v>699</v>
      </c>
      <c r="E400">
        <v>9.6999999999999993</v>
      </c>
      <c r="F400">
        <v>1</v>
      </c>
      <c r="G400">
        <v>5</v>
      </c>
      <c r="H400">
        <v>27</v>
      </c>
      <c r="I400">
        <v>50</v>
      </c>
      <c r="J400" t="s">
        <v>13</v>
      </c>
      <c r="K400">
        <f>IF(J400="Yes", 1, 0)</f>
        <v>0</v>
      </c>
      <c r="L400" t="str">
        <f>IF(G400=0,"0 Failures","1+ Failures")</f>
        <v>1+ Failures</v>
      </c>
      <c r="M400" t="str">
        <f t="shared" si="20"/>
        <v>5-10 hrs</v>
      </c>
      <c r="N400" t="str">
        <f t="shared" si="18"/>
        <v>12+ months</v>
      </c>
      <c r="O400" t="str">
        <f t="shared" si="19"/>
        <v>Premium</v>
      </c>
      <c r="P400" s="7">
        <v>45657</v>
      </c>
    </row>
    <row r="401" spans="1:16" x14ac:dyDescent="0.3">
      <c r="A401">
        <v>400</v>
      </c>
      <c r="B401" s="7">
        <v>45522</v>
      </c>
      <c r="C401" t="s">
        <v>14</v>
      </c>
      <c r="D401">
        <v>399</v>
      </c>
      <c r="E401">
        <v>18.899999999999999</v>
      </c>
      <c r="F401">
        <v>5</v>
      </c>
      <c r="G401">
        <v>3</v>
      </c>
      <c r="H401">
        <v>33</v>
      </c>
      <c r="I401">
        <v>60</v>
      </c>
      <c r="J401" t="s">
        <v>11</v>
      </c>
      <c r="K401">
        <f>IF(J401="Yes", 1, 0)</f>
        <v>1</v>
      </c>
      <c r="L401" t="str">
        <f>IF(G401=0,"0 Failures","1+ Failures")</f>
        <v>1+ Failures</v>
      </c>
      <c r="M401" t="str">
        <f t="shared" si="20"/>
        <v>10-20hrs</v>
      </c>
      <c r="N401" t="str">
        <f t="shared" si="18"/>
        <v>12+ months</v>
      </c>
      <c r="O401" t="str">
        <f t="shared" si="19"/>
        <v>Basic</v>
      </c>
      <c r="P401" s="7">
        <v>45657</v>
      </c>
    </row>
    <row r="402" spans="1:16" x14ac:dyDescent="0.3">
      <c r="A402">
        <v>401</v>
      </c>
      <c r="B402" s="7">
        <v>44991</v>
      </c>
      <c r="C402" t="s">
        <v>12</v>
      </c>
      <c r="D402">
        <v>199</v>
      </c>
      <c r="E402">
        <v>18.399999999999999</v>
      </c>
      <c r="F402">
        <v>7</v>
      </c>
      <c r="G402">
        <v>5</v>
      </c>
      <c r="H402">
        <v>6</v>
      </c>
      <c r="I402">
        <v>42</v>
      </c>
      <c r="J402" t="s">
        <v>11</v>
      </c>
      <c r="K402">
        <f>IF(J402="Yes", 1, 0)</f>
        <v>1</v>
      </c>
      <c r="L402" t="str">
        <f>IF(G402=0,"0 Failures","1+ Failures")</f>
        <v>1+ Failures</v>
      </c>
      <c r="M402" t="str">
        <f t="shared" si="20"/>
        <v>10-20hrs</v>
      </c>
      <c r="N402" t="str">
        <f t="shared" si="18"/>
        <v>3-6months</v>
      </c>
      <c r="O402" t="str">
        <f t="shared" si="19"/>
        <v>Basic</v>
      </c>
      <c r="P402" s="7">
        <v>45657</v>
      </c>
    </row>
    <row r="403" spans="1:16" x14ac:dyDescent="0.3">
      <c r="A403">
        <v>402</v>
      </c>
      <c r="B403" s="7">
        <v>45217</v>
      </c>
      <c r="C403" t="s">
        <v>10</v>
      </c>
      <c r="D403">
        <v>699</v>
      </c>
      <c r="E403">
        <v>5.8</v>
      </c>
      <c r="F403">
        <v>6</v>
      </c>
      <c r="G403">
        <v>1</v>
      </c>
      <c r="H403">
        <v>26</v>
      </c>
      <c r="I403">
        <v>31</v>
      </c>
      <c r="J403" t="s">
        <v>11</v>
      </c>
      <c r="K403">
        <f>IF(J403="Yes", 1, 0)</f>
        <v>1</v>
      </c>
      <c r="L403" t="str">
        <f>IF(G403=0,"0 Failures","1+ Failures")</f>
        <v>1+ Failures</v>
      </c>
      <c r="M403" t="str">
        <f t="shared" si="20"/>
        <v>5-10 hrs</v>
      </c>
      <c r="N403" t="str">
        <f t="shared" si="18"/>
        <v>12+ months</v>
      </c>
      <c r="O403" t="str">
        <f t="shared" si="19"/>
        <v>Premium</v>
      </c>
      <c r="P403" s="7">
        <v>45657</v>
      </c>
    </row>
    <row r="404" spans="1:16" x14ac:dyDescent="0.3">
      <c r="A404">
        <v>403</v>
      </c>
      <c r="B404" s="7">
        <v>44976</v>
      </c>
      <c r="C404" t="s">
        <v>14</v>
      </c>
      <c r="D404">
        <v>399</v>
      </c>
      <c r="E404">
        <v>14.7</v>
      </c>
      <c r="F404">
        <v>7</v>
      </c>
      <c r="G404">
        <v>2</v>
      </c>
      <c r="H404">
        <v>36</v>
      </c>
      <c r="I404">
        <v>57</v>
      </c>
      <c r="J404" t="s">
        <v>11</v>
      </c>
      <c r="K404">
        <f>IF(J404="Yes", 1, 0)</f>
        <v>1</v>
      </c>
      <c r="L404" t="str">
        <f>IF(G404=0,"0 Failures","1+ Failures")</f>
        <v>1+ Failures</v>
      </c>
      <c r="M404" t="str">
        <f t="shared" si="20"/>
        <v>10-20hrs</v>
      </c>
      <c r="N404" t="str">
        <f t="shared" si="18"/>
        <v>12+ months</v>
      </c>
      <c r="O404" t="str">
        <f t="shared" si="19"/>
        <v>Basic</v>
      </c>
      <c r="P404" s="7">
        <v>45657</v>
      </c>
    </row>
    <row r="405" spans="1:16" x14ac:dyDescent="0.3">
      <c r="A405">
        <v>404</v>
      </c>
      <c r="B405" s="7">
        <v>45088</v>
      </c>
      <c r="C405" t="s">
        <v>12</v>
      </c>
      <c r="D405">
        <v>199</v>
      </c>
      <c r="E405">
        <v>15.8</v>
      </c>
      <c r="F405">
        <v>7</v>
      </c>
      <c r="G405">
        <v>0</v>
      </c>
      <c r="H405">
        <v>7</v>
      </c>
      <c r="I405">
        <v>7</v>
      </c>
      <c r="J405" t="s">
        <v>13</v>
      </c>
      <c r="K405">
        <f>IF(J405="Yes", 1, 0)</f>
        <v>0</v>
      </c>
      <c r="L405" t="str">
        <f>IF(G405=0,"0 Failures","1+ Failures")</f>
        <v>0 Failures</v>
      </c>
      <c r="M405" t="str">
        <f t="shared" si="20"/>
        <v>10-20hrs</v>
      </c>
      <c r="N405" t="str">
        <f t="shared" si="18"/>
        <v>6-12months</v>
      </c>
      <c r="O405" t="str">
        <f t="shared" si="19"/>
        <v>Basic</v>
      </c>
      <c r="P405" s="7">
        <v>45657</v>
      </c>
    </row>
    <row r="406" spans="1:16" x14ac:dyDescent="0.3">
      <c r="A406">
        <v>405</v>
      </c>
      <c r="B406" s="7">
        <v>45592</v>
      </c>
      <c r="C406" t="s">
        <v>14</v>
      </c>
      <c r="D406">
        <v>399</v>
      </c>
      <c r="E406">
        <v>0.5</v>
      </c>
      <c r="F406">
        <v>6</v>
      </c>
      <c r="G406">
        <v>1</v>
      </c>
      <c r="H406">
        <v>30</v>
      </c>
      <c r="I406">
        <v>44</v>
      </c>
      <c r="J406" t="s">
        <v>13</v>
      </c>
      <c r="K406">
        <f>IF(J406="Yes", 1, 0)</f>
        <v>0</v>
      </c>
      <c r="L406" t="str">
        <f>IF(G406=0,"0 Failures","1+ Failures")</f>
        <v>1+ Failures</v>
      </c>
      <c r="M406" t="str">
        <f t="shared" si="20"/>
        <v>0-5 hrs</v>
      </c>
      <c r="N406" t="str">
        <f t="shared" si="18"/>
        <v>12+ months</v>
      </c>
      <c r="O406" t="str">
        <f t="shared" si="19"/>
        <v>Basic</v>
      </c>
      <c r="P406" s="7">
        <v>45657</v>
      </c>
    </row>
    <row r="407" spans="1:16" x14ac:dyDescent="0.3">
      <c r="A407">
        <v>406</v>
      </c>
      <c r="B407" s="7">
        <v>45011</v>
      </c>
      <c r="C407" t="s">
        <v>14</v>
      </c>
      <c r="D407">
        <v>399</v>
      </c>
      <c r="E407">
        <v>21.9</v>
      </c>
      <c r="F407">
        <v>4</v>
      </c>
      <c r="G407">
        <v>0</v>
      </c>
      <c r="H407">
        <v>11</v>
      </c>
      <c r="I407">
        <v>41</v>
      </c>
      <c r="J407" t="s">
        <v>11</v>
      </c>
      <c r="K407">
        <f>IF(J407="Yes", 1, 0)</f>
        <v>1</v>
      </c>
      <c r="L407" t="str">
        <f>IF(G407=0,"0 Failures","1+ Failures")</f>
        <v>0 Failures</v>
      </c>
      <c r="M407" t="str">
        <f t="shared" si="20"/>
        <v>20+ hrs</v>
      </c>
      <c r="N407" t="str">
        <f t="shared" si="18"/>
        <v>6-12months</v>
      </c>
      <c r="O407" t="str">
        <f t="shared" si="19"/>
        <v>Basic</v>
      </c>
      <c r="P407" s="7">
        <v>45657</v>
      </c>
    </row>
    <row r="408" spans="1:16" x14ac:dyDescent="0.3">
      <c r="A408">
        <v>407</v>
      </c>
      <c r="B408" s="7">
        <v>45366</v>
      </c>
      <c r="C408" t="s">
        <v>14</v>
      </c>
      <c r="D408">
        <v>399</v>
      </c>
      <c r="E408">
        <v>1.8</v>
      </c>
      <c r="F408">
        <v>4</v>
      </c>
      <c r="G408">
        <v>5</v>
      </c>
      <c r="H408">
        <v>11</v>
      </c>
      <c r="I408">
        <v>44</v>
      </c>
      <c r="J408" t="s">
        <v>11</v>
      </c>
      <c r="K408">
        <f>IF(J408="Yes", 1, 0)</f>
        <v>1</v>
      </c>
      <c r="L408" t="str">
        <f>IF(G408=0,"0 Failures","1+ Failures")</f>
        <v>1+ Failures</v>
      </c>
      <c r="M408" t="str">
        <f t="shared" si="20"/>
        <v>0-5 hrs</v>
      </c>
      <c r="N408" t="str">
        <f t="shared" si="18"/>
        <v>6-12months</v>
      </c>
      <c r="O408" t="str">
        <f t="shared" si="19"/>
        <v>Basic</v>
      </c>
      <c r="P408" s="7">
        <v>45657</v>
      </c>
    </row>
    <row r="409" spans="1:16" x14ac:dyDescent="0.3">
      <c r="A409">
        <v>408</v>
      </c>
      <c r="B409" s="7">
        <v>45534</v>
      </c>
      <c r="C409" t="s">
        <v>10</v>
      </c>
      <c r="D409">
        <v>699</v>
      </c>
      <c r="E409">
        <v>17.7</v>
      </c>
      <c r="F409">
        <v>0</v>
      </c>
      <c r="G409">
        <v>1</v>
      </c>
      <c r="H409">
        <v>6</v>
      </c>
      <c r="I409">
        <v>30</v>
      </c>
      <c r="J409" t="s">
        <v>11</v>
      </c>
      <c r="K409">
        <f>IF(J409="Yes", 1, 0)</f>
        <v>1</v>
      </c>
      <c r="L409" t="str">
        <f>IF(G409=0,"0 Failures","1+ Failures")</f>
        <v>1+ Failures</v>
      </c>
      <c r="M409" t="str">
        <f t="shared" si="20"/>
        <v>10-20hrs</v>
      </c>
      <c r="N409" t="str">
        <f t="shared" si="18"/>
        <v>3-6months</v>
      </c>
      <c r="O409" t="str">
        <f t="shared" si="19"/>
        <v>Premium</v>
      </c>
      <c r="P409" s="7">
        <v>45657</v>
      </c>
    </row>
    <row r="410" spans="1:16" x14ac:dyDescent="0.3">
      <c r="A410">
        <v>409</v>
      </c>
      <c r="B410" s="7">
        <v>45050</v>
      </c>
      <c r="C410" t="s">
        <v>12</v>
      </c>
      <c r="D410">
        <v>199</v>
      </c>
      <c r="E410">
        <v>17.2</v>
      </c>
      <c r="F410">
        <v>0</v>
      </c>
      <c r="G410">
        <v>0</v>
      </c>
      <c r="H410">
        <v>34</v>
      </c>
      <c r="I410">
        <v>44</v>
      </c>
      <c r="J410" t="s">
        <v>11</v>
      </c>
      <c r="K410">
        <f>IF(J410="Yes", 1, 0)</f>
        <v>1</v>
      </c>
      <c r="L410" t="str">
        <f>IF(G410=0,"0 Failures","1+ Failures")</f>
        <v>0 Failures</v>
      </c>
      <c r="M410" t="str">
        <f t="shared" si="20"/>
        <v>10-20hrs</v>
      </c>
      <c r="N410" t="str">
        <f t="shared" si="18"/>
        <v>12+ months</v>
      </c>
      <c r="O410" t="str">
        <f t="shared" si="19"/>
        <v>Basic</v>
      </c>
      <c r="P410" s="7">
        <v>45657</v>
      </c>
    </row>
    <row r="411" spans="1:16" x14ac:dyDescent="0.3">
      <c r="A411">
        <v>410</v>
      </c>
      <c r="B411" s="7">
        <v>45031</v>
      </c>
      <c r="C411" t="s">
        <v>14</v>
      </c>
      <c r="D411">
        <v>399</v>
      </c>
      <c r="E411">
        <v>12.2</v>
      </c>
      <c r="F411">
        <v>3</v>
      </c>
      <c r="G411">
        <v>3</v>
      </c>
      <c r="H411">
        <v>9</v>
      </c>
      <c r="I411">
        <v>5</v>
      </c>
      <c r="J411" t="s">
        <v>13</v>
      </c>
      <c r="K411">
        <f>IF(J411="Yes", 1, 0)</f>
        <v>0</v>
      </c>
      <c r="L411" t="str">
        <f>IF(G411=0,"0 Failures","1+ Failures")</f>
        <v>1+ Failures</v>
      </c>
      <c r="M411" t="str">
        <f t="shared" si="20"/>
        <v>10-20hrs</v>
      </c>
      <c r="N411" t="str">
        <f t="shared" si="18"/>
        <v>6-12months</v>
      </c>
      <c r="O411" t="str">
        <f t="shared" si="19"/>
        <v>Basic</v>
      </c>
      <c r="P411" s="7">
        <v>45657</v>
      </c>
    </row>
    <row r="412" spans="1:16" x14ac:dyDescent="0.3">
      <c r="A412">
        <v>411</v>
      </c>
      <c r="B412" s="7">
        <v>45063</v>
      </c>
      <c r="C412" t="s">
        <v>12</v>
      </c>
      <c r="D412">
        <v>199</v>
      </c>
      <c r="E412">
        <v>9.5</v>
      </c>
      <c r="F412">
        <v>4</v>
      </c>
      <c r="G412">
        <v>1</v>
      </c>
      <c r="H412">
        <v>21</v>
      </c>
      <c r="I412">
        <v>24</v>
      </c>
      <c r="J412" t="s">
        <v>13</v>
      </c>
      <c r="K412">
        <f>IF(J412="Yes", 1, 0)</f>
        <v>0</v>
      </c>
      <c r="L412" t="str">
        <f>IF(G412=0,"0 Failures","1+ Failures")</f>
        <v>1+ Failures</v>
      </c>
      <c r="M412" t="str">
        <f t="shared" si="20"/>
        <v>5-10 hrs</v>
      </c>
      <c r="N412" t="str">
        <f t="shared" si="18"/>
        <v>12+ months</v>
      </c>
      <c r="O412" t="str">
        <f t="shared" si="19"/>
        <v>Basic</v>
      </c>
      <c r="P412" s="7">
        <v>45657</v>
      </c>
    </row>
    <row r="413" spans="1:16" x14ac:dyDescent="0.3">
      <c r="A413">
        <v>412</v>
      </c>
      <c r="B413" s="7">
        <v>45286</v>
      </c>
      <c r="C413" t="s">
        <v>10</v>
      </c>
      <c r="D413">
        <v>699</v>
      </c>
      <c r="E413">
        <v>2.2000000000000002</v>
      </c>
      <c r="F413">
        <v>0</v>
      </c>
      <c r="G413">
        <v>4</v>
      </c>
      <c r="H413">
        <v>10</v>
      </c>
      <c r="I413">
        <v>41</v>
      </c>
      <c r="J413" t="s">
        <v>11</v>
      </c>
      <c r="K413">
        <f>IF(J413="Yes", 1, 0)</f>
        <v>1</v>
      </c>
      <c r="L413" t="str">
        <f>IF(G413=0,"0 Failures","1+ Failures")</f>
        <v>1+ Failures</v>
      </c>
      <c r="M413" t="str">
        <f t="shared" si="20"/>
        <v>0-5 hrs</v>
      </c>
      <c r="N413" t="str">
        <f t="shared" si="18"/>
        <v>6-12months</v>
      </c>
      <c r="O413" t="str">
        <f t="shared" si="19"/>
        <v>Premium</v>
      </c>
      <c r="P413" s="7">
        <v>45657</v>
      </c>
    </row>
    <row r="414" spans="1:16" x14ac:dyDescent="0.3">
      <c r="A414">
        <v>413</v>
      </c>
      <c r="B414" s="7">
        <v>45149</v>
      </c>
      <c r="C414" t="s">
        <v>10</v>
      </c>
      <c r="D414">
        <v>699</v>
      </c>
      <c r="E414">
        <v>15.9</v>
      </c>
      <c r="F414">
        <v>2</v>
      </c>
      <c r="G414">
        <v>3</v>
      </c>
      <c r="H414">
        <v>14</v>
      </c>
      <c r="I414">
        <v>39</v>
      </c>
      <c r="J414" t="s">
        <v>13</v>
      </c>
      <c r="K414">
        <f>IF(J414="Yes", 1, 0)</f>
        <v>0</v>
      </c>
      <c r="L414" t="str">
        <f>IF(G414=0,"0 Failures","1+ Failures")</f>
        <v>1+ Failures</v>
      </c>
      <c r="M414" t="str">
        <f t="shared" si="20"/>
        <v>10-20hrs</v>
      </c>
      <c r="N414" t="str">
        <f t="shared" si="18"/>
        <v>12+ months</v>
      </c>
      <c r="O414" t="str">
        <f t="shared" si="19"/>
        <v>Premium</v>
      </c>
      <c r="P414" s="7">
        <v>45657</v>
      </c>
    </row>
    <row r="415" spans="1:16" x14ac:dyDescent="0.3">
      <c r="A415">
        <v>414</v>
      </c>
      <c r="B415" s="7">
        <v>45366</v>
      </c>
      <c r="C415" t="s">
        <v>12</v>
      </c>
      <c r="D415">
        <v>199</v>
      </c>
      <c r="E415">
        <v>3.9</v>
      </c>
      <c r="F415">
        <v>1</v>
      </c>
      <c r="G415">
        <v>4</v>
      </c>
      <c r="H415">
        <v>7</v>
      </c>
      <c r="I415">
        <v>46</v>
      </c>
      <c r="J415" t="s">
        <v>11</v>
      </c>
      <c r="K415">
        <f>IF(J415="Yes", 1, 0)</f>
        <v>1</v>
      </c>
      <c r="L415" t="str">
        <f>IF(G415=0,"0 Failures","1+ Failures")</f>
        <v>1+ Failures</v>
      </c>
      <c r="M415" t="str">
        <f t="shared" si="20"/>
        <v>0-5 hrs</v>
      </c>
      <c r="N415" t="str">
        <f t="shared" si="18"/>
        <v>6-12months</v>
      </c>
      <c r="O415" t="str">
        <f t="shared" si="19"/>
        <v>Basic</v>
      </c>
      <c r="P415" s="7">
        <v>45657</v>
      </c>
    </row>
    <row r="416" spans="1:16" x14ac:dyDescent="0.3">
      <c r="A416">
        <v>415</v>
      </c>
      <c r="B416" s="7">
        <v>45549</v>
      </c>
      <c r="C416" t="s">
        <v>14</v>
      </c>
      <c r="D416">
        <v>399</v>
      </c>
      <c r="E416">
        <v>6.6</v>
      </c>
      <c r="F416">
        <v>1</v>
      </c>
      <c r="G416">
        <v>1</v>
      </c>
      <c r="H416">
        <v>9</v>
      </c>
      <c r="I416">
        <v>35</v>
      </c>
      <c r="J416" t="s">
        <v>13</v>
      </c>
      <c r="K416">
        <f>IF(J416="Yes", 1, 0)</f>
        <v>0</v>
      </c>
      <c r="L416" t="str">
        <f>IF(G416=0,"0 Failures","1+ Failures")</f>
        <v>1+ Failures</v>
      </c>
      <c r="M416" t="str">
        <f t="shared" si="20"/>
        <v>5-10 hrs</v>
      </c>
      <c r="N416" t="str">
        <f t="shared" si="18"/>
        <v>6-12months</v>
      </c>
      <c r="O416" t="str">
        <f t="shared" si="19"/>
        <v>Basic</v>
      </c>
      <c r="P416" s="7">
        <v>45657</v>
      </c>
    </row>
    <row r="417" spans="1:16" x14ac:dyDescent="0.3">
      <c r="A417">
        <v>416</v>
      </c>
      <c r="B417" s="7">
        <v>45120</v>
      </c>
      <c r="C417" t="s">
        <v>14</v>
      </c>
      <c r="D417">
        <v>399</v>
      </c>
      <c r="E417">
        <v>21.3</v>
      </c>
      <c r="F417">
        <v>4</v>
      </c>
      <c r="G417">
        <v>1</v>
      </c>
      <c r="H417">
        <v>2</v>
      </c>
      <c r="I417">
        <v>33</v>
      </c>
      <c r="J417" t="s">
        <v>13</v>
      </c>
      <c r="K417">
        <f>IF(J417="Yes", 1, 0)</f>
        <v>0</v>
      </c>
      <c r="L417" t="str">
        <f>IF(G417=0,"0 Failures","1+ Failures")</f>
        <v>1+ Failures</v>
      </c>
      <c r="M417" t="str">
        <f t="shared" si="20"/>
        <v>20+ hrs</v>
      </c>
      <c r="N417" t="str">
        <f t="shared" si="18"/>
        <v>0-3months</v>
      </c>
      <c r="O417" t="str">
        <f t="shared" si="19"/>
        <v>Basic</v>
      </c>
      <c r="P417" s="7">
        <v>45657</v>
      </c>
    </row>
    <row r="418" spans="1:16" x14ac:dyDescent="0.3">
      <c r="A418">
        <v>417</v>
      </c>
      <c r="B418" s="7">
        <v>45173</v>
      </c>
      <c r="C418" t="s">
        <v>10</v>
      </c>
      <c r="D418">
        <v>699</v>
      </c>
      <c r="E418">
        <v>7.7</v>
      </c>
      <c r="F418">
        <v>0</v>
      </c>
      <c r="G418">
        <v>1</v>
      </c>
      <c r="H418">
        <v>26</v>
      </c>
      <c r="I418">
        <v>31</v>
      </c>
      <c r="J418" t="s">
        <v>13</v>
      </c>
      <c r="K418">
        <f>IF(J418="Yes", 1, 0)</f>
        <v>0</v>
      </c>
      <c r="L418" t="str">
        <f>IF(G418=0,"0 Failures","1+ Failures")</f>
        <v>1+ Failures</v>
      </c>
      <c r="M418" t="str">
        <f t="shared" si="20"/>
        <v>5-10 hrs</v>
      </c>
      <c r="N418" t="str">
        <f t="shared" si="18"/>
        <v>12+ months</v>
      </c>
      <c r="O418" t="str">
        <f t="shared" si="19"/>
        <v>Premium</v>
      </c>
      <c r="P418" s="7">
        <v>45657</v>
      </c>
    </row>
    <row r="419" spans="1:16" x14ac:dyDescent="0.3">
      <c r="A419">
        <v>418</v>
      </c>
      <c r="B419" s="7">
        <v>45323</v>
      </c>
      <c r="C419" t="s">
        <v>14</v>
      </c>
      <c r="D419">
        <v>399</v>
      </c>
      <c r="E419">
        <v>13.4</v>
      </c>
      <c r="F419">
        <v>0</v>
      </c>
      <c r="G419">
        <v>2</v>
      </c>
      <c r="H419">
        <v>5</v>
      </c>
      <c r="I419">
        <v>59</v>
      </c>
      <c r="J419" t="s">
        <v>11</v>
      </c>
      <c r="K419">
        <f>IF(J419="Yes", 1, 0)</f>
        <v>1</v>
      </c>
      <c r="L419" t="str">
        <f>IF(G419=0,"0 Failures","1+ Failures")</f>
        <v>1+ Failures</v>
      </c>
      <c r="M419" t="str">
        <f t="shared" si="20"/>
        <v>10-20hrs</v>
      </c>
      <c r="N419" t="str">
        <f t="shared" si="18"/>
        <v>3-6months</v>
      </c>
      <c r="O419" t="str">
        <f t="shared" si="19"/>
        <v>Basic</v>
      </c>
      <c r="P419" s="7">
        <v>45657</v>
      </c>
    </row>
    <row r="420" spans="1:16" x14ac:dyDescent="0.3">
      <c r="A420">
        <v>419</v>
      </c>
      <c r="B420" s="7">
        <v>45528</v>
      </c>
      <c r="C420" t="s">
        <v>10</v>
      </c>
      <c r="D420">
        <v>699</v>
      </c>
      <c r="E420">
        <v>9.5</v>
      </c>
      <c r="F420">
        <v>2</v>
      </c>
      <c r="G420">
        <v>3</v>
      </c>
      <c r="H420">
        <v>27</v>
      </c>
      <c r="I420">
        <v>49</v>
      </c>
      <c r="J420" t="s">
        <v>11</v>
      </c>
      <c r="K420">
        <f>IF(J420="Yes", 1, 0)</f>
        <v>1</v>
      </c>
      <c r="L420" t="str">
        <f>IF(G420=0,"0 Failures","1+ Failures")</f>
        <v>1+ Failures</v>
      </c>
      <c r="M420" t="str">
        <f t="shared" si="20"/>
        <v>5-10 hrs</v>
      </c>
      <c r="N420" t="str">
        <f t="shared" si="18"/>
        <v>12+ months</v>
      </c>
      <c r="O420" t="str">
        <f t="shared" si="19"/>
        <v>Premium</v>
      </c>
      <c r="P420" s="7">
        <v>45657</v>
      </c>
    </row>
    <row r="421" spans="1:16" x14ac:dyDescent="0.3">
      <c r="A421">
        <v>420</v>
      </c>
      <c r="B421" s="7">
        <v>45445</v>
      </c>
      <c r="C421" t="s">
        <v>12</v>
      </c>
      <c r="D421">
        <v>199</v>
      </c>
      <c r="E421">
        <v>6.9</v>
      </c>
      <c r="F421">
        <v>0</v>
      </c>
      <c r="G421">
        <v>0</v>
      </c>
      <c r="H421">
        <v>1</v>
      </c>
      <c r="I421">
        <v>60</v>
      </c>
      <c r="J421" t="s">
        <v>13</v>
      </c>
      <c r="K421">
        <f>IF(J421="Yes", 1, 0)</f>
        <v>0</v>
      </c>
      <c r="L421" t="str">
        <f>IF(G421=0,"0 Failures","1+ Failures")</f>
        <v>0 Failures</v>
      </c>
      <c r="M421" t="str">
        <f t="shared" si="20"/>
        <v>5-10 hrs</v>
      </c>
      <c r="N421" t="str">
        <f t="shared" si="18"/>
        <v>0-3months</v>
      </c>
      <c r="O421" t="str">
        <f t="shared" si="19"/>
        <v>Basic</v>
      </c>
      <c r="P421" s="7">
        <v>45657</v>
      </c>
    </row>
    <row r="422" spans="1:16" x14ac:dyDescent="0.3">
      <c r="A422">
        <v>421</v>
      </c>
      <c r="B422" s="7">
        <v>45476</v>
      </c>
      <c r="C422" t="s">
        <v>14</v>
      </c>
      <c r="D422">
        <v>399</v>
      </c>
      <c r="E422">
        <v>19.3</v>
      </c>
      <c r="F422">
        <v>6</v>
      </c>
      <c r="G422">
        <v>5</v>
      </c>
      <c r="H422">
        <v>33</v>
      </c>
      <c r="I422">
        <v>25</v>
      </c>
      <c r="J422" t="s">
        <v>11</v>
      </c>
      <c r="K422">
        <f>IF(J422="Yes", 1, 0)</f>
        <v>1</v>
      </c>
      <c r="L422" t="str">
        <f>IF(G422=0,"0 Failures","1+ Failures")</f>
        <v>1+ Failures</v>
      </c>
      <c r="M422" t="str">
        <f t="shared" si="20"/>
        <v>10-20hrs</v>
      </c>
      <c r="N422" t="str">
        <f t="shared" si="18"/>
        <v>12+ months</v>
      </c>
      <c r="O422" t="str">
        <f t="shared" si="19"/>
        <v>Basic</v>
      </c>
      <c r="P422" s="7">
        <v>45657</v>
      </c>
    </row>
    <row r="423" spans="1:16" x14ac:dyDescent="0.3">
      <c r="A423">
        <v>422</v>
      </c>
      <c r="B423" s="7">
        <v>45086</v>
      </c>
      <c r="C423" t="s">
        <v>10</v>
      </c>
      <c r="D423">
        <v>699</v>
      </c>
      <c r="E423">
        <v>7.3</v>
      </c>
      <c r="F423">
        <v>4</v>
      </c>
      <c r="G423">
        <v>0</v>
      </c>
      <c r="H423">
        <v>10</v>
      </c>
      <c r="I423">
        <v>32</v>
      </c>
      <c r="J423" t="s">
        <v>13</v>
      </c>
      <c r="K423">
        <f>IF(J423="Yes", 1, 0)</f>
        <v>0</v>
      </c>
      <c r="L423" t="str">
        <f>IF(G423=0,"0 Failures","1+ Failures")</f>
        <v>0 Failures</v>
      </c>
      <c r="M423" t="str">
        <f t="shared" si="20"/>
        <v>5-10 hrs</v>
      </c>
      <c r="N423" t="str">
        <f t="shared" si="18"/>
        <v>6-12months</v>
      </c>
      <c r="O423" t="str">
        <f t="shared" si="19"/>
        <v>Premium</v>
      </c>
      <c r="P423" s="7">
        <v>45657</v>
      </c>
    </row>
    <row r="424" spans="1:16" x14ac:dyDescent="0.3">
      <c r="A424">
        <v>423</v>
      </c>
      <c r="B424" s="7">
        <v>45171</v>
      </c>
      <c r="C424" t="s">
        <v>10</v>
      </c>
      <c r="D424">
        <v>699</v>
      </c>
      <c r="E424">
        <v>10.1</v>
      </c>
      <c r="F424">
        <v>1</v>
      </c>
      <c r="G424">
        <v>2</v>
      </c>
      <c r="H424">
        <v>21</v>
      </c>
      <c r="I424">
        <v>44</v>
      </c>
      <c r="J424" t="s">
        <v>11</v>
      </c>
      <c r="K424">
        <f>IF(J424="Yes", 1, 0)</f>
        <v>1</v>
      </c>
      <c r="L424" t="str">
        <f>IF(G424=0,"0 Failures","1+ Failures")</f>
        <v>1+ Failures</v>
      </c>
      <c r="M424" t="str">
        <f t="shared" si="20"/>
        <v>10-20hrs</v>
      </c>
      <c r="N424" t="str">
        <f t="shared" si="18"/>
        <v>12+ months</v>
      </c>
      <c r="O424" t="str">
        <f t="shared" si="19"/>
        <v>Premium</v>
      </c>
      <c r="P424" s="7">
        <v>45657</v>
      </c>
    </row>
    <row r="425" spans="1:16" x14ac:dyDescent="0.3">
      <c r="A425">
        <v>424</v>
      </c>
      <c r="B425" s="7">
        <v>44983</v>
      </c>
      <c r="C425" t="s">
        <v>12</v>
      </c>
      <c r="D425">
        <v>199</v>
      </c>
      <c r="E425">
        <v>2.6</v>
      </c>
      <c r="F425">
        <v>6</v>
      </c>
      <c r="G425">
        <v>0</v>
      </c>
      <c r="H425">
        <v>16</v>
      </c>
      <c r="I425">
        <v>29</v>
      </c>
      <c r="J425" t="s">
        <v>11</v>
      </c>
      <c r="K425">
        <f>IF(J425="Yes", 1, 0)</f>
        <v>1</v>
      </c>
      <c r="L425" t="str">
        <f>IF(G425=0,"0 Failures","1+ Failures")</f>
        <v>0 Failures</v>
      </c>
      <c r="M425" t="str">
        <f t="shared" si="20"/>
        <v>0-5 hrs</v>
      </c>
      <c r="N425" t="str">
        <f t="shared" si="18"/>
        <v>12+ months</v>
      </c>
      <c r="O425" t="str">
        <f t="shared" si="19"/>
        <v>Basic</v>
      </c>
      <c r="P425" s="7">
        <v>45657</v>
      </c>
    </row>
    <row r="426" spans="1:16" x14ac:dyDescent="0.3">
      <c r="A426">
        <v>425</v>
      </c>
      <c r="B426" s="7">
        <v>45282</v>
      </c>
      <c r="C426" t="s">
        <v>14</v>
      </c>
      <c r="D426">
        <v>399</v>
      </c>
      <c r="E426">
        <v>3.4</v>
      </c>
      <c r="F426">
        <v>2</v>
      </c>
      <c r="G426">
        <v>5</v>
      </c>
      <c r="H426">
        <v>12</v>
      </c>
      <c r="I426">
        <v>0</v>
      </c>
      <c r="J426" t="s">
        <v>11</v>
      </c>
      <c r="K426">
        <f>IF(J426="Yes", 1, 0)</f>
        <v>1</v>
      </c>
      <c r="L426" t="str">
        <f>IF(G426=0,"0 Failures","1+ Failures")</f>
        <v>1+ Failures</v>
      </c>
      <c r="M426" t="str">
        <f t="shared" si="20"/>
        <v>0-5 hrs</v>
      </c>
      <c r="N426" t="str">
        <f t="shared" si="18"/>
        <v>6-12months</v>
      </c>
      <c r="O426" t="str">
        <f t="shared" si="19"/>
        <v>Basic</v>
      </c>
      <c r="P426" s="7">
        <v>45657</v>
      </c>
    </row>
    <row r="427" spans="1:16" x14ac:dyDescent="0.3">
      <c r="A427">
        <v>426</v>
      </c>
      <c r="B427" s="7">
        <v>45202</v>
      </c>
      <c r="C427" t="s">
        <v>10</v>
      </c>
      <c r="D427">
        <v>699</v>
      </c>
      <c r="E427">
        <v>19.7</v>
      </c>
      <c r="F427">
        <v>4</v>
      </c>
      <c r="G427">
        <v>1</v>
      </c>
      <c r="H427">
        <v>34</v>
      </c>
      <c r="I427">
        <v>23</v>
      </c>
      <c r="J427" t="s">
        <v>11</v>
      </c>
      <c r="K427">
        <f>IF(J427="Yes", 1, 0)</f>
        <v>1</v>
      </c>
      <c r="L427" t="str">
        <f>IF(G427=0,"0 Failures","1+ Failures")</f>
        <v>1+ Failures</v>
      </c>
      <c r="M427" t="str">
        <f t="shared" si="20"/>
        <v>10-20hrs</v>
      </c>
      <c r="N427" t="str">
        <f t="shared" si="18"/>
        <v>12+ months</v>
      </c>
      <c r="O427" t="str">
        <f t="shared" si="19"/>
        <v>Premium</v>
      </c>
      <c r="P427" s="7">
        <v>45657</v>
      </c>
    </row>
    <row r="428" spans="1:16" x14ac:dyDescent="0.3">
      <c r="A428">
        <v>427</v>
      </c>
      <c r="B428" s="7">
        <v>45463</v>
      </c>
      <c r="C428" t="s">
        <v>10</v>
      </c>
      <c r="D428">
        <v>699</v>
      </c>
      <c r="E428">
        <v>19.399999999999999</v>
      </c>
      <c r="F428">
        <v>0</v>
      </c>
      <c r="G428">
        <v>2</v>
      </c>
      <c r="H428">
        <v>8</v>
      </c>
      <c r="I428">
        <v>51</v>
      </c>
      <c r="J428" t="s">
        <v>11</v>
      </c>
      <c r="K428">
        <f>IF(J428="Yes", 1, 0)</f>
        <v>1</v>
      </c>
      <c r="L428" t="str">
        <f>IF(G428=0,"0 Failures","1+ Failures")</f>
        <v>1+ Failures</v>
      </c>
      <c r="M428" t="str">
        <f t="shared" si="20"/>
        <v>10-20hrs</v>
      </c>
      <c r="N428" t="str">
        <f t="shared" si="18"/>
        <v>6-12months</v>
      </c>
      <c r="O428" t="str">
        <f t="shared" si="19"/>
        <v>Premium</v>
      </c>
      <c r="P428" s="7">
        <v>45657</v>
      </c>
    </row>
    <row r="429" spans="1:16" x14ac:dyDescent="0.3">
      <c r="A429">
        <v>428</v>
      </c>
      <c r="B429" s="7">
        <v>44983</v>
      </c>
      <c r="C429" t="s">
        <v>12</v>
      </c>
      <c r="D429">
        <v>199</v>
      </c>
      <c r="E429">
        <v>18</v>
      </c>
      <c r="F429">
        <v>1</v>
      </c>
      <c r="G429">
        <v>3</v>
      </c>
      <c r="H429">
        <v>17</v>
      </c>
      <c r="I429">
        <v>29</v>
      </c>
      <c r="J429" t="s">
        <v>11</v>
      </c>
      <c r="K429">
        <f>IF(J429="Yes", 1, 0)</f>
        <v>1</v>
      </c>
      <c r="L429" t="str">
        <f>IF(G429=0,"0 Failures","1+ Failures")</f>
        <v>1+ Failures</v>
      </c>
      <c r="M429" t="str">
        <f t="shared" si="20"/>
        <v>10-20hrs</v>
      </c>
      <c r="N429" t="str">
        <f t="shared" si="18"/>
        <v>12+ months</v>
      </c>
      <c r="O429" t="str">
        <f t="shared" si="19"/>
        <v>Basic</v>
      </c>
      <c r="P429" s="7">
        <v>45657</v>
      </c>
    </row>
    <row r="430" spans="1:16" x14ac:dyDescent="0.3">
      <c r="A430">
        <v>429</v>
      </c>
      <c r="B430" s="7">
        <v>45045</v>
      </c>
      <c r="C430" t="s">
        <v>14</v>
      </c>
      <c r="D430">
        <v>399</v>
      </c>
      <c r="E430">
        <v>9.5</v>
      </c>
      <c r="F430">
        <v>4</v>
      </c>
      <c r="G430">
        <v>0</v>
      </c>
      <c r="H430">
        <v>11</v>
      </c>
      <c r="I430">
        <v>57</v>
      </c>
      <c r="J430" t="s">
        <v>13</v>
      </c>
      <c r="K430">
        <f>IF(J430="Yes", 1, 0)</f>
        <v>0</v>
      </c>
      <c r="L430" t="str">
        <f>IF(G430=0,"0 Failures","1+ Failures")</f>
        <v>0 Failures</v>
      </c>
      <c r="M430" t="str">
        <f t="shared" si="20"/>
        <v>5-10 hrs</v>
      </c>
      <c r="N430" t="str">
        <f t="shared" si="18"/>
        <v>6-12months</v>
      </c>
      <c r="O430" t="str">
        <f t="shared" si="19"/>
        <v>Basic</v>
      </c>
      <c r="P430" s="7">
        <v>45657</v>
      </c>
    </row>
    <row r="431" spans="1:16" x14ac:dyDescent="0.3">
      <c r="A431">
        <v>430</v>
      </c>
      <c r="B431" s="7">
        <v>45319</v>
      </c>
      <c r="C431" t="s">
        <v>12</v>
      </c>
      <c r="D431">
        <v>199</v>
      </c>
      <c r="E431">
        <v>0.6</v>
      </c>
      <c r="F431">
        <v>0</v>
      </c>
      <c r="G431">
        <v>1</v>
      </c>
      <c r="H431">
        <v>33</v>
      </c>
      <c r="I431">
        <v>2</v>
      </c>
      <c r="J431" t="s">
        <v>13</v>
      </c>
      <c r="K431">
        <f>IF(J431="Yes", 1, 0)</f>
        <v>0</v>
      </c>
      <c r="L431" t="str">
        <f>IF(G431=0,"0 Failures","1+ Failures")</f>
        <v>1+ Failures</v>
      </c>
      <c r="M431" t="str">
        <f t="shared" si="20"/>
        <v>0-5 hrs</v>
      </c>
      <c r="N431" t="str">
        <f t="shared" si="18"/>
        <v>12+ months</v>
      </c>
      <c r="O431" t="str">
        <f t="shared" si="19"/>
        <v>Basic</v>
      </c>
      <c r="P431" s="7">
        <v>45657</v>
      </c>
    </row>
    <row r="432" spans="1:16" x14ac:dyDescent="0.3">
      <c r="A432">
        <v>431</v>
      </c>
      <c r="B432" s="7">
        <v>45598</v>
      </c>
      <c r="C432" t="s">
        <v>12</v>
      </c>
      <c r="D432">
        <v>199</v>
      </c>
      <c r="E432">
        <v>23.3</v>
      </c>
      <c r="F432">
        <v>0</v>
      </c>
      <c r="G432">
        <v>4</v>
      </c>
      <c r="H432">
        <v>12</v>
      </c>
      <c r="I432">
        <v>51</v>
      </c>
      <c r="J432" t="s">
        <v>13</v>
      </c>
      <c r="K432">
        <f>IF(J432="Yes", 1, 0)</f>
        <v>0</v>
      </c>
      <c r="L432" t="str">
        <f>IF(G432=0,"0 Failures","1+ Failures")</f>
        <v>1+ Failures</v>
      </c>
      <c r="M432" t="str">
        <f t="shared" si="20"/>
        <v>20+ hrs</v>
      </c>
      <c r="N432" t="str">
        <f t="shared" si="18"/>
        <v>6-12months</v>
      </c>
      <c r="O432" t="str">
        <f t="shared" si="19"/>
        <v>Basic</v>
      </c>
      <c r="P432" s="7">
        <v>45657</v>
      </c>
    </row>
    <row r="433" spans="1:16" x14ac:dyDescent="0.3">
      <c r="A433">
        <v>432</v>
      </c>
      <c r="B433" s="7">
        <v>45006</v>
      </c>
      <c r="C433" t="s">
        <v>14</v>
      </c>
      <c r="D433">
        <v>399</v>
      </c>
      <c r="E433">
        <v>8.4</v>
      </c>
      <c r="F433">
        <v>6</v>
      </c>
      <c r="G433">
        <v>5</v>
      </c>
      <c r="H433">
        <v>15</v>
      </c>
      <c r="I433">
        <v>20</v>
      </c>
      <c r="J433" t="s">
        <v>11</v>
      </c>
      <c r="K433">
        <f>IF(J433="Yes", 1, 0)</f>
        <v>1</v>
      </c>
      <c r="L433" t="str">
        <f>IF(G433=0,"0 Failures","1+ Failures")</f>
        <v>1+ Failures</v>
      </c>
      <c r="M433" t="str">
        <f t="shared" si="20"/>
        <v>5-10 hrs</v>
      </c>
      <c r="N433" t="str">
        <f t="shared" si="18"/>
        <v>12+ months</v>
      </c>
      <c r="O433" t="str">
        <f t="shared" si="19"/>
        <v>Basic</v>
      </c>
      <c r="P433" s="7">
        <v>45657</v>
      </c>
    </row>
    <row r="434" spans="1:16" x14ac:dyDescent="0.3">
      <c r="A434">
        <v>433</v>
      </c>
      <c r="B434" s="7">
        <v>44974</v>
      </c>
      <c r="C434" t="s">
        <v>10</v>
      </c>
      <c r="D434">
        <v>699</v>
      </c>
      <c r="E434">
        <v>3.4</v>
      </c>
      <c r="F434">
        <v>0</v>
      </c>
      <c r="G434">
        <v>1</v>
      </c>
      <c r="H434">
        <v>24</v>
      </c>
      <c r="I434">
        <v>14</v>
      </c>
      <c r="J434" t="s">
        <v>13</v>
      </c>
      <c r="K434">
        <f>IF(J434="Yes", 1, 0)</f>
        <v>0</v>
      </c>
      <c r="L434" t="str">
        <f>IF(G434=0,"0 Failures","1+ Failures")</f>
        <v>1+ Failures</v>
      </c>
      <c r="M434" t="str">
        <f t="shared" si="20"/>
        <v>0-5 hrs</v>
      </c>
      <c r="N434" t="str">
        <f t="shared" si="18"/>
        <v>12+ months</v>
      </c>
      <c r="O434" t="str">
        <f t="shared" si="19"/>
        <v>Premium</v>
      </c>
      <c r="P434" s="7">
        <v>45657</v>
      </c>
    </row>
    <row r="435" spans="1:16" x14ac:dyDescent="0.3">
      <c r="A435">
        <v>434</v>
      </c>
      <c r="B435" s="7">
        <v>45394</v>
      </c>
      <c r="C435" t="s">
        <v>14</v>
      </c>
      <c r="D435">
        <v>399</v>
      </c>
      <c r="E435">
        <v>22</v>
      </c>
      <c r="F435">
        <v>4</v>
      </c>
      <c r="G435">
        <v>2</v>
      </c>
      <c r="H435">
        <v>5</v>
      </c>
      <c r="I435">
        <v>20</v>
      </c>
      <c r="J435" t="s">
        <v>11</v>
      </c>
      <c r="K435">
        <f>IF(J435="Yes", 1, 0)</f>
        <v>1</v>
      </c>
      <c r="L435" t="str">
        <f>IF(G435=0,"0 Failures","1+ Failures")</f>
        <v>1+ Failures</v>
      </c>
      <c r="M435" t="str">
        <f t="shared" si="20"/>
        <v>20+ hrs</v>
      </c>
      <c r="N435" t="str">
        <f t="shared" si="18"/>
        <v>3-6months</v>
      </c>
      <c r="O435" t="str">
        <f t="shared" si="19"/>
        <v>Basic</v>
      </c>
      <c r="P435" s="7">
        <v>45657</v>
      </c>
    </row>
    <row r="436" spans="1:16" x14ac:dyDescent="0.3">
      <c r="A436">
        <v>435</v>
      </c>
      <c r="B436" s="7">
        <v>45304</v>
      </c>
      <c r="C436" t="s">
        <v>12</v>
      </c>
      <c r="D436">
        <v>199</v>
      </c>
      <c r="E436">
        <v>5.4</v>
      </c>
      <c r="F436">
        <v>4</v>
      </c>
      <c r="G436">
        <v>5</v>
      </c>
      <c r="H436">
        <v>24</v>
      </c>
      <c r="I436">
        <v>39</v>
      </c>
      <c r="J436" t="s">
        <v>11</v>
      </c>
      <c r="K436">
        <f>IF(J436="Yes", 1, 0)</f>
        <v>1</v>
      </c>
      <c r="L436" t="str">
        <f>IF(G436=0,"0 Failures","1+ Failures")</f>
        <v>1+ Failures</v>
      </c>
      <c r="M436" t="str">
        <f t="shared" si="20"/>
        <v>5-10 hrs</v>
      </c>
      <c r="N436" t="str">
        <f t="shared" si="18"/>
        <v>12+ months</v>
      </c>
      <c r="O436" t="str">
        <f t="shared" si="19"/>
        <v>Basic</v>
      </c>
      <c r="P436" s="7">
        <v>45657</v>
      </c>
    </row>
    <row r="437" spans="1:16" x14ac:dyDescent="0.3">
      <c r="A437">
        <v>436</v>
      </c>
      <c r="B437" s="7">
        <v>45178</v>
      </c>
      <c r="C437" t="s">
        <v>10</v>
      </c>
      <c r="D437">
        <v>699</v>
      </c>
      <c r="E437">
        <v>24.9</v>
      </c>
      <c r="F437">
        <v>3</v>
      </c>
      <c r="G437">
        <v>5</v>
      </c>
      <c r="H437">
        <v>32</v>
      </c>
      <c r="I437">
        <v>57</v>
      </c>
      <c r="J437" t="s">
        <v>11</v>
      </c>
      <c r="K437">
        <f>IF(J437="Yes", 1, 0)</f>
        <v>1</v>
      </c>
      <c r="L437" t="str">
        <f>IF(G437=0,"0 Failures","1+ Failures")</f>
        <v>1+ Failures</v>
      </c>
      <c r="M437" t="str">
        <f t="shared" si="20"/>
        <v>20+ hrs</v>
      </c>
      <c r="N437" t="str">
        <f t="shared" si="18"/>
        <v>12+ months</v>
      </c>
      <c r="O437" t="str">
        <f t="shared" si="19"/>
        <v>Premium</v>
      </c>
      <c r="P437" s="7">
        <v>45657</v>
      </c>
    </row>
    <row r="438" spans="1:16" x14ac:dyDescent="0.3">
      <c r="A438">
        <v>437</v>
      </c>
      <c r="B438" s="7">
        <v>45637</v>
      </c>
      <c r="C438" t="s">
        <v>12</v>
      </c>
      <c r="D438">
        <v>199</v>
      </c>
      <c r="E438">
        <v>23.3</v>
      </c>
      <c r="F438">
        <v>0</v>
      </c>
      <c r="G438">
        <v>1</v>
      </c>
      <c r="H438">
        <v>1</v>
      </c>
      <c r="I438">
        <v>34</v>
      </c>
      <c r="J438" t="s">
        <v>11</v>
      </c>
      <c r="K438">
        <f>IF(J438="Yes", 1, 0)</f>
        <v>1</v>
      </c>
      <c r="L438" t="str">
        <f>IF(G438=0,"0 Failures","1+ Failures")</f>
        <v>1+ Failures</v>
      </c>
      <c r="M438" t="str">
        <f t="shared" si="20"/>
        <v>20+ hrs</v>
      </c>
      <c r="N438" t="str">
        <f t="shared" si="18"/>
        <v>0-3months</v>
      </c>
      <c r="O438" t="str">
        <f t="shared" si="19"/>
        <v>Basic</v>
      </c>
      <c r="P438" s="7">
        <v>45657</v>
      </c>
    </row>
    <row r="439" spans="1:16" x14ac:dyDescent="0.3">
      <c r="A439">
        <v>438</v>
      </c>
      <c r="B439" s="7">
        <v>45137</v>
      </c>
      <c r="C439" t="s">
        <v>12</v>
      </c>
      <c r="D439">
        <v>199</v>
      </c>
      <c r="E439">
        <v>0.5</v>
      </c>
      <c r="F439">
        <v>6</v>
      </c>
      <c r="G439">
        <v>5</v>
      </c>
      <c r="H439">
        <v>22</v>
      </c>
      <c r="I439">
        <v>46</v>
      </c>
      <c r="J439" t="s">
        <v>11</v>
      </c>
      <c r="K439">
        <f>IF(J439="Yes", 1, 0)</f>
        <v>1</v>
      </c>
      <c r="L439" t="str">
        <f>IF(G439=0,"0 Failures","1+ Failures")</f>
        <v>1+ Failures</v>
      </c>
      <c r="M439" t="str">
        <f t="shared" si="20"/>
        <v>0-5 hrs</v>
      </c>
      <c r="N439" t="str">
        <f t="shared" si="18"/>
        <v>12+ months</v>
      </c>
      <c r="O439" t="str">
        <f t="shared" si="19"/>
        <v>Basic</v>
      </c>
      <c r="P439" s="7">
        <v>45657</v>
      </c>
    </row>
    <row r="440" spans="1:16" x14ac:dyDescent="0.3">
      <c r="A440">
        <v>439</v>
      </c>
      <c r="B440" s="7">
        <v>44971</v>
      </c>
      <c r="C440" t="s">
        <v>10</v>
      </c>
      <c r="D440">
        <v>699</v>
      </c>
      <c r="E440">
        <v>10.8</v>
      </c>
      <c r="F440">
        <v>0</v>
      </c>
      <c r="G440">
        <v>1</v>
      </c>
      <c r="H440">
        <v>16</v>
      </c>
      <c r="I440">
        <v>45</v>
      </c>
      <c r="J440" t="s">
        <v>11</v>
      </c>
      <c r="K440">
        <f>IF(J440="Yes", 1, 0)</f>
        <v>1</v>
      </c>
      <c r="L440" t="str">
        <f>IF(G440=0,"0 Failures","1+ Failures")</f>
        <v>1+ Failures</v>
      </c>
      <c r="M440" t="str">
        <f t="shared" si="20"/>
        <v>10-20hrs</v>
      </c>
      <c r="N440" t="str">
        <f t="shared" si="18"/>
        <v>12+ months</v>
      </c>
      <c r="O440" t="str">
        <f t="shared" si="19"/>
        <v>Premium</v>
      </c>
      <c r="P440" s="7">
        <v>45657</v>
      </c>
    </row>
    <row r="441" spans="1:16" x14ac:dyDescent="0.3">
      <c r="A441">
        <v>440</v>
      </c>
      <c r="B441" s="7">
        <v>45024</v>
      </c>
      <c r="C441" t="s">
        <v>12</v>
      </c>
      <c r="D441">
        <v>199</v>
      </c>
      <c r="E441">
        <v>10.6</v>
      </c>
      <c r="F441">
        <v>5</v>
      </c>
      <c r="G441">
        <v>3</v>
      </c>
      <c r="H441">
        <v>34</v>
      </c>
      <c r="I441">
        <v>47</v>
      </c>
      <c r="J441" t="s">
        <v>11</v>
      </c>
      <c r="K441">
        <f>IF(J441="Yes", 1, 0)</f>
        <v>1</v>
      </c>
      <c r="L441" t="str">
        <f>IF(G441=0,"0 Failures","1+ Failures")</f>
        <v>1+ Failures</v>
      </c>
      <c r="M441" t="str">
        <f t="shared" si="20"/>
        <v>10-20hrs</v>
      </c>
      <c r="N441" t="str">
        <f t="shared" si="18"/>
        <v>12+ months</v>
      </c>
      <c r="O441" t="str">
        <f t="shared" si="19"/>
        <v>Basic</v>
      </c>
      <c r="P441" s="7">
        <v>45657</v>
      </c>
    </row>
    <row r="442" spans="1:16" x14ac:dyDescent="0.3">
      <c r="A442">
        <v>441</v>
      </c>
      <c r="B442" s="7">
        <v>45372</v>
      </c>
      <c r="C442" t="s">
        <v>10</v>
      </c>
      <c r="D442">
        <v>699</v>
      </c>
      <c r="E442">
        <v>16.100000000000001</v>
      </c>
      <c r="F442">
        <v>6</v>
      </c>
      <c r="G442">
        <v>0</v>
      </c>
      <c r="H442">
        <v>9</v>
      </c>
      <c r="I442">
        <v>37</v>
      </c>
      <c r="J442" t="s">
        <v>13</v>
      </c>
      <c r="K442">
        <f>IF(J442="Yes", 1, 0)</f>
        <v>0</v>
      </c>
      <c r="L442" t="str">
        <f>IF(G442=0,"0 Failures","1+ Failures")</f>
        <v>0 Failures</v>
      </c>
      <c r="M442" t="str">
        <f t="shared" si="20"/>
        <v>10-20hrs</v>
      </c>
      <c r="N442" t="str">
        <f t="shared" si="18"/>
        <v>6-12months</v>
      </c>
      <c r="O442" t="str">
        <f t="shared" si="19"/>
        <v>Premium</v>
      </c>
      <c r="P442" s="7">
        <v>45657</v>
      </c>
    </row>
    <row r="443" spans="1:16" x14ac:dyDescent="0.3">
      <c r="A443">
        <v>442</v>
      </c>
      <c r="B443" s="7">
        <v>45644</v>
      </c>
      <c r="C443" t="s">
        <v>10</v>
      </c>
      <c r="D443">
        <v>699</v>
      </c>
      <c r="E443">
        <v>6.3</v>
      </c>
      <c r="F443">
        <v>4</v>
      </c>
      <c r="G443">
        <v>2</v>
      </c>
      <c r="H443">
        <v>9</v>
      </c>
      <c r="I443">
        <v>59</v>
      </c>
      <c r="J443" t="s">
        <v>13</v>
      </c>
      <c r="K443">
        <f>IF(J443="Yes", 1, 0)</f>
        <v>0</v>
      </c>
      <c r="L443" t="str">
        <f>IF(G443=0,"0 Failures","1+ Failures")</f>
        <v>1+ Failures</v>
      </c>
      <c r="M443" t="str">
        <f t="shared" si="20"/>
        <v>5-10 hrs</v>
      </c>
      <c r="N443" t="str">
        <f t="shared" si="18"/>
        <v>6-12months</v>
      </c>
      <c r="O443" t="str">
        <f t="shared" si="19"/>
        <v>Premium</v>
      </c>
      <c r="P443" s="7">
        <v>45657</v>
      </c>
    </row>
    <row r="444" spans="1:16" x14ac:dyDescent="0.3">
      <c r="A444">
        <v>443</v>
      </c>
      <c r="B444" s="7">
        <v>45066</v>
      </c>
      <c r="C444" t="s">
        <v>10</v>
      </c>
      <c r="D444">
        <v>699</v>
      </c>
      <c r="E444">
        <v>8.3000000000000007</v>
      </c>
      <c r="F444">
        <v>4</v>
      </c>
      <c r="G444">
        <v>1</v>
      </c>
      <c r="H444">
        <v>21</v>
      </c>
      <c r="I444">
        <v>4</v>
      </c>
      <c r="J444" t="s">
        <v>13</v>
      </c>
      <c r="K444">
        <f>IF(J444="Yes", 1, 0)</f>
        <v>0</v>
      </c>
      <c r="L444" t="str">
        <f>IF(G444=0,"0 Failures","1+ Failures")</f>
        <v>1+ Failures</v>
      </c>
      <c r="M444" t="str">
        <f t="shared" si="20"/>
        <v>5-10 hrs</v>
      </c>
      <c r="N444" t="str">
        <f t="shared" si="18"/>
        <v>12+ months</v>
      </c>
      <c r="O444" t="str">
        <f t="shared" si="19"/>
        <v>Premium</v>
      </c>
      <c r="P444" s="7">
        <v>45657</v>
      </c>
    </row>
    <row r="445" spans="1:16" x14ac:dyDescent="0.3">
      <c r="A445">
        <v>444</v>
      </c>
      <c r="B445" s="7">
        <v>45050</v>
      </c>
      <c r="C445" t="s">
        <v>10</v>
      </c>
      <c r="D445">
        <v>699</v>
      </c>
      <c r="E445">
        <v>4.3</v>
      </c>
      <c r="F445">
        <v>2</v>
      </c>
      <c r="G445">
        <v>3</v>
      </c>
      <c r="H445">
        <v>7</v>
      </c>
      <c r="I445">
        <v>29</v>
      </c>
      <c r="J445" t="s">
        <v>11</v>
      </c>
      <c r="K445">
        <f>IF(J445="Yes", 1, 0)</f>
        <v>1</v>
      </c>
      <c r="L445" t="str">
        <f>IF(G445=0,"0 Failures","1+ Failures")</f>
        <v>1+ Failures</v>
      </c>
      <c r="M445" t="str">
        <f t="shared" si="20"/>
        <v>0-5 hrs</v>
      </c>
      <c r="N445" t="str">
        <f t="shared" si="18"/>
        <v>6-12months</v>
      </c>
      <c r="O445" t="str">
        <f t="shared" si="19"/>
        <v>Premium</v>
      </c>
      <c r="P445" s="7">
        <v>45657</v>
      </c>
    </row>
    <row r="446" spans="1:16" x14ac:dyDescent="0.3">
      <c r="A446">
        <v>445</v>
      </c>
      <c r="B446" s="7">
        <v>45049</v>
      </c>
      <c r="C446" t="s">
        <v>10</v>
      </c>
      <c r="D446">
        <v>699</v>
      </c>
      <c r="E446">
        <v>24.1</v>
      </c>
      <c r="F446">
        <v>3</v>
      </c>
      <c r="G446">
        <v>3</v>
      </c>
      <c r="H446">
        <v>23</v>
      </c>
      <c r="I446">
        <v>19</v>
      </c>
      <c r="J446" t="s">
        <v>13</v>
      </c>
      <c r="K446">
        <f>IF(J446="Yes", 1, 0)</f>
        <v>0</v>
      </c>
      <c r="L446" t="str">
        <f>IF(G446=0,"0 Failures","1+ Failures")</f>
        <v>1+ Failures</v>
      </c>
      <c r="M446" t="str">
        <f t="shared" si="20"/>
        <v>20+ hrs</v>
      </c>
      <c r="N446" t="str">
        <f t="shared" si="18"/>
        <v>12+ months</v>
      </c>
      <c r="O446" t="str">
        <f t="shared" si="19"/>
        <v>Premium</v>
      </c>
      <c r="P446" s="7">
        <v>45657</v>
      </c>
    </row>
    <row r="447" spans="1:16" x14ac:dyDescent="0.3">
      <c r="A447">
        <v>446</v>
      </c>
      <c r="B447" s="7">
        <v>45147</v>
      </c>
      <c r="C447" t="s">
        <v>12</v>
      </c>
      <c r="D447">
        <v>199</v>
      </c>
      <c r="E447">
        <v>20.3</v>
      </c>
      <c r="F447">
        <v>4</v>
      </c>
      <c r="G447">
        <v>5</v>
      </c>
      <c r="H447">
        <v>11</v>
      </c>
      <c r="I447">
        <v>44</v>
      </c>
      <c r="J447" t="s">
        <v>11</v>
      </c>
      <c r="K447">
        <f>IF(J447="Yes", 1, 0)</f>
        <v>1</v>
      </c>
      <c r="L447" t="str">
        <f>IF(G447=0,"0 Failures","1+ Failures")</f>
        <v>1+ Failures</v>
      </c>
      <c r="M447" t="str">
        <f t="shared" si="20"/>
        <v>20+ hrs</v>
      </c>
      <c r="N447" t="str">
        <f t="shared" si="18"/>
        <v>6-12months</v>
      </c>
      <c r="O447" t="str">
        <f t="shared" si="19"/>
        <v>Basic</v>
      </c>
      <c r="P447" s="7">
        <v>45657</v>
      </c>
    </row>
    <row r="448" spans="1:16" x14ac:dyDescent="0.3">
      <c r="A448">
        <v>447</v>
      </c>
      <c r="B448" s="7">
        <v>45620</v>
      </c>
      <c r="C448" t="s">
        <v>14</v>
      </c>
      <c r="D448">
        <v>399</v>
      </c>
      <c r="E448">
        <v>2.7</v>
      </c>
      <c r="F448">
        <v>3</v>
      </c>
      <c r="G448">
        <v>2</v>
      </c>
      <c r="H448">
        <v>10</v>
      </c>
      <c r="I448">
        <v>25</v>
      </c>
      <c r="J448" t="s">
        <v>11</v>
      </c>
      <c r="K448">
        <f>IF(J448="Yes", 1, 0)</f>
        <v>1</v>
      </c>
      <c r="L448" t="str">
        <f>IF(G448=0,"0 Failures","1+ Failures")</f>
        <v>1+ Failures</v>
      </c>
      <c r="M448" t="str">
        <f t="shared" si="20"/>
        <v>0-5 hrs</v>
      </c>
      <c r="N448" t="str">
        <f t="shared" si="18"/>
        <v>6-12months</v>
      </c>
      <c r="O448" t="str">
        <f t="shared" si="19"/>
        <v>Basic</v>
      </c>
      <c r="P448" s="7">
        <v>45657</v>
      </c>
    </row>
    <row r="449" spans="1:16" x14ac:dyDescent="0.3">
      <c r="A449">
        <v>448</v>
      </c>
      <c r="B449" s="7">
        <v>45390</v>
      </c>
      <c r="C449" t="s">
        <v>14</v>
      </c>
      <c r="D449">
        <v>399</v>
      </c>
      <c r="E449">
        <v>20.6</v>
      </c>
      <c r="F449">
        <v>2</v>
      </c>
      <c r="G449">
        <v>0</v>
      </c>
      <c r="H449">
        <v>17</v>
      </c>
      <c r="I449">
        <v>60</v>
      </c>
      <c r="J449" t="s">
        <v>13</v>
      </c>
      <c r="K449">
        <f>IF(J449="Yes", 1, 0)</f>
        <v>0</v>
      </c>
      <c r="L449" t="str">
        <f>IF(G449=0,"0 Failures","1+ Failures")</f>
        <v>0 Failures</v>
      </c>
      <c r="M449" t="str">
        <f t="shared" si="20"/>
        <v>20+ hrs</v>
      </c>
      <c r="N449" t="str">
        <f t="shared" si="18"/>
        <v>12+ months</v>
      </c>
      <c r="O449" t="str">
        <f t="shared" si="19"/>
        <v>Basic</v>
      </c>
      <c r="P449" s="7">
        <v>45657</v>
      </c>
    </row>
    <row r="450" spans="1:16" x14ac:dyDescent="0.3">
      <c r="A450">
        <v>449</v>
      </c>
      <c r="B450" s="7">
        <v>45051</v>
      </c>
      <c r="C450" t="s">
        <v>10</v>
      </c>
      <c r="D450">
        <v>699</v>
      </c>
      <c r="E450">
        <v>6.6</v>
      </c>
      <c r="F450">
        <v>7</v>
      </c>
      <c r="G450">
        <v>0</v>
      </c>
      <c r="H450">
        <v>36</v>
      </c>
      <c r="I450">
        <v>51</v>
      </c>
      <c r="J450" t="s">
        <v>13</v>
      </c>
      <c r="K450">
        <f>IF(J450="Yes", 1, 0)</f>
        <v>0</v>
      </c>
      <c r="L450" t="str">
        <f>IF(G450=0,"0 Failures","1+ Failures")</f>
        <v>0 Failures</v>
      </c>
      <c r="M450" t="str">
        <f t="shared" si="20"/>
        <v>5-10 hrs</v>
      </c>
      <c r="N450" t="str">
        <f t="shared" si="18"/>
        <v>12+ months</v>
      </c>
      <c r="O450" t="str">
        <f t="shared" si="19"/>
        <v>Premium</v>
      </c>
      <c r="P450" s="7">
        <v>45657</v>
      </c>
    </row>
    <row r="451" spans="1:16" x14ac:dyDescent="0.3">
      <c r="A451">
        <v>450</v>
      </c>
      <c r="B451" s="7">
        <v>45308</v>
      </c>
      <c r="C451" t="s">
        <v>12</v>
      </c>
      <c r="D451">
        <v>199</v>
      </c>
      <c r="E451">
        <v>20.8</v>
      </c>
      <c r="F451">
        <v>3</v>
      </c>
      <c r="G451">
        <v>1</v>
      </c>
      <c r="H451">
        <v>4</v>
      </c>
      <c r="I451">
        <v>12</v>
      </c>
      <c r="J451" t="s">
        <v>13</v>
      </c>
      <c r="K451">
        <f>IF(J451="Yes", 1, 0)</f>
        <v>0</v>
      </c>
      <c r="L451" t="str">
        <f>IF(G451=0,"0 Failures","1+ Failures")</f>
        <v>1+ Failures</v>
      </c>
      <c r="M451" t="str">
        <f t="shared" si="20"/>
        <v>20+ hrs</v>
      </c>
      <c r="N451" t="str">
        <f t="shared" ref="N451:N514" si="21">IF(H451&lt;=3, "0-3months", IF(H451&lt;=6, "3-6months", IF(H451&lt;=12, "6-12months", "12+ months")))</f>
        <v>3-6months</v>
      </c>
      <c r="O451" t="str">
        <f t="shared" ref="O451:O514" si="22">IF(C451="premium", "Premium", "Basic")</f>
        <v>Basic</v>
      </c>
      <c r="P451" s="7">
        <v>45657</v>
      </c>
    </row>
    <row r="452" spans="1:16" x14ac:dyDescent="0.3">
      <c r="A452">
        <v>451</v>
      </c>
      <c r="B452" s="7">
        <v>45129</v>
      </c>
      <c r="C452" t="s">
        <v>10</v>
      </c>
      <c r="D452">
        <v>699</v>
      </c>
      <c r="E452">
        <v>14.8</v>
      </c>
      <c r="F452">
        <v>4</v>
      </c>
      <c r="G452">
        <v>0</v>
      </c>
      <c r="H452">
        <v>6</v>
      </c>
      <c r="I452">
        <v>1</v>
      </c>
      <c r="J452" t="s">
        <v>13</v>
      </c>
      <c r="K452">
        <f>IF(J452="Yes", 1, 0)</f>
        <v>0</v>
      </c>
      <c r="L452" t="str">
        <f>IF(G452=0,"0 Failures","1+ Failures")</f>
        <v>0 Failures</v>
      </c>
      <c r="M452" t="str">
        <f t="shared" si="20"/>
        <v>10-20hrs</v>
      </c>
      <c r="N452" t="str">
        <f t="shared" si="21"/>
        <v>3-6months</v>
      </c>
      <c r="O452" t="str">
        <f t="shared" si="22"/>
        <v>Premium</v>
      </c>
      <c r="P452" s="7">
        <v>45657</v>
      </c>
    </row>
    <row r="453" spans="1:16" x14ac:dyDescent="0.3">
      <c r="A453">
        <v>452</v>
      </c>
      <c r="B453" s="7">
        <v>45399</v>
      </c>
      <c r="C453" t="s">
        <v>10</v>
      </c>
      <c r="D453">
        <v>699</v>
      </c>
      <c r="E453">
        <v>20.3</v>
      </c>
      <c r="F453">
        <v>1</v>
      </c>
      <c r="G453">
        <v>2</v>
      </c>
      <c r="H453">
        <v>29</v>
      </c>
      <c r="I453">
        <v>7</v>
      </c>
      <c r="J453" t="s">
        <v>11</v>
      </c>
      <c r="K453">
        <f>IF(J453="Yes", 1, 0)</f>
        <v>1</v>
      </c>
      <c r="L453" t="str">
        <f>IF(G453=0,"0 Failures","1+ Failures")</f>
        <v>1+ Failures</v>
      </c>
      <c r="M453" t="str">
        <f t="shared" si="20"/>
        <v>20+ hrs</v>
      </c>
      <c r="N453" t="str">
        <f t="shared" si="21"/>
        <v>12+ months</v>
      </c>
      <c r="O453" t="str">
        <f t="shared" si="22"/>
        <v>Premium</v>
      </c>
      <c r="P453" s="7">
        <v>45657</v>
      </c>
    </row>
    <row r="454" spans="1:16" x14ac:dyDescent="0.3">
      <c r="A454">
        <v>453</v>
      </c>
      <c r="B454" s="7">
        <v>45318</v>
      </c>
      <c r="C454" t="s">
        <v>12</v>
      </c>
      <c r="D454">
        <v>199</v>
      </c>
      <c r="E454">
        <v>23.1</v>
      </c>
      <c r="F454">
        <v>6</v>
      </c>
      <c r="G454">
        <v>5</v>
      </c>
      <c r="H454">
        <v>11</v>
      </c>
      <c r="I454">
        <v>25</v>
      </c>
      <c r="J454" t="s">
        <v>11</v>
      </c>
      <c r="K454">
        <f>IF(J454="Yes", 1, 0)</f>
        <v>1</v>
      </c>
      <c r="L454" t="str">
        <f>IF(G454=0,"0 Failures","1+ Failures")</f>
        <v>1+ Failures</v>
      </c>
      <c r="M454" t="str">
        <f t="shared" si="20"/>
        <v>20+ hrs</v>
      </c>
      <c r="N454" t="str">
        <f t="shared" si="21"/>
        <v>6-12months</v>
      </c>
      <c r="O454" t="str">
        <f t="shared" si="22"/>
        <v>Basic</v>
      </c>
      <c r="P454" s="7">
        <v>45657</v>
      </c>
    </row>
    <row r="455" spans="1:16" x14ac:dyDescent="0.3">
      <c r="A455">
        <v>454</v>
      </c>
      <c r="B455" s="7">
        <v>45079</v>
      </c>
      <c r="C455" t="s">
        <v>10</v>
      </c>
      <c r="D455">
        <v>699</v>
      </c>
      <c r="E455">
        <v>4.7</v>
      </c>
      <c r="F455">
        <v>3</v>
      </c>
      <c r="G455">
        <v>1</v>
      </c>
      <c r="H455">
        <v>28</v>
      </c>
      <c r="I455">
        <v>17</v>
      </c>
      <c r="J455" t="s">
        <v>11</v>
      </c>
      <c r="K455">
        <f>IF(J455="Yes", 1, 0)</f>
        <v>1</v>
      </c>
      <c r="L455" t="str">
        <f>IF(G455=0,"0 Failures","1+ Failures")</f>
        <v>1+ Failures</v>
      </c>
      <c r="M455" t="str">
        <f t="shared" si="20"/>
        <v>0-5 hrs</v>
      </c>
      <c r="N455" t="str">
        <f t="shared" si="21"/>
        <v>12+ months</v>
      </c>
      <c r="O455" t="str">
        <f t="shared" si="22"/>
        <v>Premium</v>
      </c>
      <c r="P455" s="7">
        <v>45657</v>
      </c>
    </row>
    <row r="456" spans="1:16" x14ac:dyDescent="0.3">
      <c r="A456">
        <v>455</v>
      </c>
      <c r="B456" s="7">
        <v>44989</v>
      </c>
      <c r="C456" t="s">
        <v>12</v>
      </c>
      <c r="D456">
        <v>199</v>
      </c>
      <c r="E456">
        <v>16.399999999999999</v>
      </c>
      <c r="F456">
        <v>7</v>
      </c>
      <c r="G456">
        <v>3</v>
      </c>
      <c r="H456">
        <v>16</v>
      </c>
      <c r="I456">
        <v>56</v>
      </c>
      <c r="J456" t="s">
        <v>11</v>
      </c>
      <c r="K456">
        <f>IF(J456="Yes", 1, 0)</f>
        <v>1</v>
      </c>
      <c r="L456" t="str">
        <f>IF(G456=0,"0 Failures","1+ Failures")</f>
        <v>1+ Failures</v>
      </c>
      <c r="M456" t="str">
        <f t="shared" si="20"/>
        <v>10-20hrs</v>
      </c>
      <c r="N456" t="str">
        <f t="shared" si="21"/>
        <v>12+ months</v>
      </c>
      <c r="O456" t="str">
        <f t="shared" si="22"/>
        <v>Basic</v>
      </c>
      <c r="P456" s="7">
        <v>45657</v>
      </c>
    </row>
    <row r="457" spans="1:16" x14ac:dyDescent="0.3">
      <c r="A457">
        <v>456</v>
      </c>
      <c r="B457" s="7">
        <v>45465</v>
      </c>
      <c r="C457" t="s">
        <v>12</v>
      </c>
      <c r="D457">
        <v>199</v>
      </c>
      <c r="E457">
        <v>9.9</v>
      </c>
      <c r="F457">
        <v>6</v>
      </c>
      <c r="G457">
        <v>1</v>
      </c>
      <c r="H457">
        <v>18</v>
      </c>
      <c r="I457">
        <v>41</v>
      </c>
      <c r="J457" t="s">
        <v>13</v>
      </c>
      <c r="K457">
        <f>IF(J457="Yes", 1, 0)</f>
        <v>0</v>
      </c>
      <c r="L457" t="str">
        <f>IF(G457=0,"0 Failures","1+ Failures")</f>
        <v>1+ Failures</v>
      </c>
      <c r="M457" t="str">
        <f t="shared" si="20"/>
        <v>5-10 hrs</v>
      </c>
      <c r="N457" t="str">
        <f t="shared" si="21"/>
        <v>12+ months</v>
      </c>
      <c r="O457" t="str">
        <f t="shared" si="22"/>
        <v>Basic</v>
      </c>
      <c r="P457" s="7">
        <v>45657</v>
      </c>
    </row>
    <row r="458" spans="1:16" x14ac:dyDescent="0.3">
      <c r="A458">
        <v>457</v>
      </c>
      <c r="B458" s="7">
        <v>45423</v>
      </c>
      <c r="C458" t="s">
        <v>12</v>
      </c>
      <c r="D458">
        <v>199</v>
      </c>
      <c r="E458">
        <v>20</v>
      </c>
      <c r="F458">
        <v>6</v>
      </c>
      <c r="G458">
        <v>5</v>
      </c>
      <c r="H458">
        <v>35</v>
      </c>
      <c r="I458">
        <v>22</v>
      </c>
      <c r="J458" t="s">
        <v>11</v>
      </c>
      <c r="K458">
        <f>IF(J458="Yes", 1, 0)</f>
        <v>1</v>
      </c>
      <c r="L458" t="str">
        <f>IF(G458=0,"0 Failures","1+ Failures")</f>
        <v>1+ Failures</v>
      </c>
      <c r="M458" t="str">
        <f t="shared" si="20"/>
        <v>10-20hrs</v>
      </c>
      <c r="N458" t="str">
        <f t="shared" si="21"/>
        <v>12+ months</v>
      </c>
      <c r="O458" t="str">
        <f t="shared" si="22"/>
        <v>Basic</v>
      </c>
      <c r="P458" s="7">
        <v>45657</v>
      </c>
    </row>
    <row r="459" spans="1:16" x14ac:dyDescent="0.3">
      <c r="A459">
        <v>458</v>
      </c>
      <c r="B459" s="7">
        <v>45151</v>
      </c>
      <c r="C459" t="s">
        <v>14</v>
      </c>
      <c r="D459">
        <v>399</v>
      </c>
      <c r="E459">
        <v>8.4</v>
      </c>
      <c r="F459">
        <v>4</v>
      </c>
      <c r="G459">
        <v>1</v>
      </c>
      <c r="H459">
        <v>33</v>
      </c>
      <c r="I459">
        <v>1</v>
      </c>
      <c r="J459" t="s">
        <v>13</v>
      </c>
      <c r="K459">
        <f>IF(J459="Yes", 1, 0)</f>
        <v>0</v>
      </c>
      <c r="L459" t="str">
        <f>IF(G459=0,"0 Failures","1+ Failures")</f>
        <v>1+ Failures</v>
      </c>
      <c r="M459" t="str">
        <f t="shared" ref="M459:M522" si="23">IF(E459&lt;=5, "0-5 hrs",    IF(E459&lt;=10, "5-10 hrs",    IF(E459&lt;=20, "10-20hrs", "20+ hrs")))</f>
        <v>5-10 hrs</v>
      </c>
      <c r="N459" t="str">
        <f t="shared" si="21"/>
        <v>12+ months</v>
      </c>
      <c r="O459" t="str">
        <f t="shared" si="22"/>
        <v>Basic</v>
      </c>
      <c r="P459" s="7">
        <v>45657</v>
      </c>
    </row>
    <row r="460" spans="1:16" x14ac:dyDescent="0.3">
      <c r="A460">
        <v>459</v>
      </c>
      <c r="B460" s="7">
        <v>45165</v>
      </c>
      <c r="C460" t="s">
        <v>12</v>
      </c>
      <c r="D460">
        <v>199</v>
      </c>
      <c r="E460">
        <v>1.9</v>
      </c>
      <c r="F460">
        <v>7</v>
      </c>
      <c r="G460">
        <v>4</v>
      </c>
      <c r="H460">
        <v>18</v>
      </c>
      <c r="I460">
        <v>22</v>
      </c>
      <c r="J460" t="s">
        <v>11</v>
      </c>
      <c r="K460">
        <f>IF(J460="Yes", 1, 0)</f>
        <v>1</v>
      </c>
      <c r="L460" t="str">
        <f>IF(G460=0,"0 Failures","1+ Failures")</f>
        <v>1+ Failures</v>
      </c>
      <c r="M460" t="str">
        <f t="shared" si="23"/>
        <v>0-5 hrs</v>
      </c>
      <c r="N460" t="str">
        <f t="shared" si="21"/>
        <v>12+ months</v>
      </c>
      <c r="O460" t="str">
        <f t="shared" si="22"/>
        <v>Basic</v>
      </c>
      <c r="P460" s="7">
        <v>45657</v>
      </c>
    </row>
    <row r="461" spans="1:16" x14ac:dyDescent="0.3">
      <c r="A461">
        <v>460</v>
      </c>
      <c r="B461" s="7">
        <v>44984</v>
      </c>
      <c r="C461" t="s">
        <v>12</v>
      </c>
      <c r="D461">
        <v>199</v>
      </c>
      <c r="E461">
        <v>6.6</v>
      </c>
      <c r="F461">
        <v>3</v>
      </c>
      <c r="G461">
        <v>2</v>
      </c>
      <c r="H461">
        <v>7</v>
      </c>
      <c r="I461">
        <v>34</v>
      </c>
      <c r="J461" t="s">
        <v>13</v>
      </c>
      <c r="K461">
        <f>IF(J461="Yes", 1, 0)</f>
        <v>0</v>
      </c>
      <c r="L461" t="str">
        <f>IF(G461=0,"0 Failures","1+ Failures")</f>
        <v>1+ Failures</v>
      </c>
      <c r="M461" t="str">
        <f t="shared" si="23"/>
        <v>5-10 hrs</v>
      </c>
      <c r="N461" t="str">
        <f t="shared" si="21"/>
        <v>6-12months</v>
      </c>
      <c r="O461" t="str">
        <f t="shared" si="22"/>
        <v>Basic</v>
      </c>
      <c r="P461" s="7">
        <v>45657</v>
      </c>
    </row>
    <row r="462" spans="1:16" x14ac:dyDescent="0.3">
      <c r="A462">
        <v>461</v>
      </c>
      <c r="B462" s="7">
        <v>45641</v>
      </c>
      <c r="C462" t="s">
        <v>12</v>
      </c>
      <c r="D462">
        <v>199</v>
      </c>
      <c r="E462">
        <v>9.1999999999999993</v>
      </c>
      <c r="F462">
        <v>2</v>
      </c>
      <c r="G462">
        <v>1</v>
      </c>
      <c r="H462">
        <v>25</v>
      </c>
      <c r="I462">
        <v>15</v>
      </c>
      <c r="J462" t="s">
        <v>13</v>
      </c>
      <c r="K462">
        <f>IF(J462="Yes", 1, 0)</f>
        <v>0</v>
      </c>
      <c r="L462" t="str">
        <f>IF(G462=0,"0 Failures","1+ Failures")</f>
        <v>1+ Failures</v>
      </c>
      <c r="M462" t="str">
        <f t="shared" si="23"/>
        <v>5-10 hrs</v>
      </c>
      <c r="N462" t="str">
        <f t="shared" si="21"/>
        <v>12+ months</v>
      </c>
      <c r="O462" t="str">
        <f t="shared" si="22"/>
        <v>Basic</v>
      </c>
      <c r="P462" s="7">
        <v>45657</v>
      </c>
    </row>
    <row r="463" spans="1:16" x14ac:dyDescent="0.3">
      <c r="A463">
        <v>462</v>
      </c>
      <c r="B463" s="7">
        <v>45119</v>
      </c>
      <c r="C463" t="s">
        <v>14</v>
      </c>
      <c r="D463">
        <v>399</v>
      </c>
      <c r="E463">
        <v>17.7</v>
      </c>
      <c r="F463">
        <v>5</v>
      </c>
      <c r="G463">
        <v>4</v>
      </c>
      <c r="H463">
        <v>2</v>
      </c>
      <c r="I463">
        <v>36</v>
      </c>
      <c r="J463" t="s">
        <v>11</v>
      </c>
      <c r="K463">
        <f>IF(J463="Yes", 1, 0)</f>
        <v>1</v>
      </c>
      <c r="L463" t="str">
        <f>IF(G463=0,"0 Failures","1+ Failures")</f>
        <v>1+ Failures</v>
      </c>
      <c r="M463" t="str">
        <f t="shared" si="23"/>
        <v>10-20hrs</v>
      </c>
      <c r="N463" t="str">
        <f t="shared" si="21"/>
        <v>0-3months</v>
      </c>
      <c r="O463" t="str">
        <f t="shared" si="22"/>
        <v>Basic</v>
      </c>
      <c r="P463" s="7">
        <v>45657</v>
      </c>
    </row>
    <row r="464" spans="1:16" x14ac:dyDescent="0.3">
      <c r="A464">
        <v>463</v>
      </c>
      <c r="B464" s="7">
        <v>45543</v>
      </c>
      <c r="C464" t="s">
        <v>14</v>
      </c>
      <c r="D464">
        <v>399</v>
      </c>
      <c r="E464">
        <v>8.1</v>
      </c>
      <c r="F464">
        <v>7</v>
      </c>
      <c r="G464">
        <v>0</v>
      </c>
      <c r="H464">
        <v>35</v>
      </c>
      <c r="I464">
        <v>5</v>
      </c>
      <c r="J464" t="s">
        <v>11</v>
      </c>
      <c r="K464">
        <f>IF(J464="Yes", 1, 0)</f>
        <v>1</v>
      </c>
      <c r="L464" t="str">
        <f>IF(G464=0,"0 Failures","1+ Failures")</f>
        <v>0 Failures</v>
      </c>
      <c r="M464" t="str">
        <f t="shared" si="23"/>
        <v>5-10 hrs</v>
      </c>
      <c r="N464" t="str">
        <f t="shared" si="21"/>
        <v>12+ months</v>
      </c>
      <c r="O464" t="str">
        <f t="shared" si="22"/>
        <v>Basic</v>
      </c>
      <c r="P464" s="7">
        <v>45657</v>
      </c>
    </row>
    <row r="465" spans="1:16" x14ac:dyDescent="0.3">
      <c r="A465">
        <v>464</v>
      </c>
      <c r="B465" s="7">
        <v>45060</v>
      </c>
      <c r="C465" t="s">
        <v>12</v>
      </c>
      <c r="D465">
        <v>199</v>
      </c>
      <c r="E465">
        <v>13.4</v>
      </c>
      <c r="F465">
        <v>0</v>
      </c>
      <c r="G465">
        <v>2</v>
      </c>
      <c r="H465">
        <v>2</v>
      </c>
      <c r="I465">
        <v>58</v>
      </c>
      <c r="J465" t="s">
        <v>13</v>
      </c>
      <c r="K465">
        <f>IF(J465="Yes", 1, 0)</f>
        <v>0</v>
      </c>
      <c r="L465" t="str">
        <f>IF(G465=0,"0 Failures","1+ Failures")</f>
        <v>1+ Failures</v>
      </c>
      <c r="M465" t="str">
        <f t="shared" si="23"/>
        <v>10-20hrs</v>
      </c>
      <c r="N465" t="str">
        <f t="shared" si="21"/>
        <v>0-3months</v>
      </c>
      <c r="O465" t="str">
        <f t="shared" si="22"/>
        <v>Basic</v>
      </c>
      <c r="P465" s="7">
        <v>45657</v>
      </c>
    </row>
    <row r="466" spans="1:16" x14ac:dyDescent="0.3">
      <c r="A466">
        <v>465</v>
      </c>
      <c r="B466" s="7">
        <v>45648</v>
      </c>
      <c r="C466" t="s">
        <v>14</v>
      </c>
      <c r="D466">
        <v>399</v>
      </c>
      <c r="E466">
        <v>23</v>
      </c>
      <c r="F466">
        <v>5</v>
      </c>
      <c r="G466">
        <v>0</v>
      </c>
      <c r="H466">
        <v>12</v>
      </c>
      <c r="I466">
        <v>1</v>
      </c>
      <c r="J466" t="s">
        <v>11</v>
      </c>
      <c r="K466">
        <f>IF(J466="Yes", 1, 0)</f>
        <v>1</v>
      </c>
      <c r="L466" t="str">
        <f>IF(G466=0,"0 Failures","1+ Failures")</f>
        <v>0 Failures</v>
      </c>
      <c r="M466" t="str">
        <f t="shared" si="23"/>
        <v>20+ hrs</v>
      </c>
      <c r="N466" t="str">
        <f t="shared" si="21"/>
        <v>6-12months</v>
      </c>
      <c r="O466" t="str">
        <f t="shared" si="22"/>
        <v>Basic</v>
      </c>
      <c r="P466" s="7">
        <v>45657</v>
      </c>
    </row>
    <row r="467" spans="1:16" x14ac:dyDescent="0.3">
      <c r="A467">
        <v>466</v>
      </c>
      <c r="B467" s="7">
        <v>45605</v>
      </c>
      <c r="C467" t="s">
        <v>12</v>
      </c>
      <c r="D467">
        <v>199</v>
      </c>
      <c r="E467">
        <v>21.2</v>
      </c>
      <c r="F467">
        <v>5</v>
      </c>
      <c r="G467">
        <v>0</v>
      </c>
      <c r="H467">
        <v>8</v>
      </c>
      <c r="I467">
        <v>23</v>
      </c>
      <c r="J467" t="s">
        <v>13</v>
      </c>
      <c r="K467">
        <f>IF(J467="Yes", 1, 0)</f>
        <v>0</v>
      </c>
      <c r="L467" t="str">
        <f>IF(G467=0,"0 Failures","1+ Failures")</f>
        <v>0 Failures</v>
      </c>
      <c r="M467" t="str">
        <f t="shared" si="23"/>
        <v>20+ hrs</v>
      </c>
      <c r="N467" t="str">
        <f t="shared" si="21"/>
        <v>6-12months</v>
      </c>
      <c r="O467" t="str">
        <f t="shared" si="22"/>
        <v>Basic</v>
      </c>
      <c r="P467" s="7">
        <v>45657</v>
      </c>
    </row>
    <row r="468" spans="1:16" x14ac:dyDescent="0.3">
      <c r="A468">
        <v>467</v>
      </c>
      <c r="B468" s="7">
        <v>45374</v>
      </c>
      <c r="C468" t="s">
        <v>14</v>
      </c>
      <c r="D468">
        <v>399</v>
      </c>
      <c r="E468">
        <v>8.6999999999999993</v>
      </c>
      <c r="F468">
        <v>5</v>
      </c>
      <c r="G468">
        <v>1</v>
      </c>
      <c r="H468">
        <v>7</v>
      </c>
      <c r="I468">
        <v>10</v>
      </c>
      <c r="J468" t="s">
        <v>13</v>
      </c>
      <c r="K468">
        <f>IF(J468="Yes", 1, 0)</f>
        <v>0</v>
      </c>
      <c r="L468" t="str">
        <f>IF(G468=0,"0 Failures","1+ Failures")</f>
        <v>1+ Failures</v>
      </c>
      <c r="M468" t="str">
        <f t="shared" si="23"/>
        <v>5-10 hrs</v>
      </c>
      <c r="N468" t="str">
        <f t="shared" si="21"/>
        <v>6-12months</v>
      </c>
      <c r="O468" t="str">
        <f t="shared" si="22"/>
        <v>Basic</v>
      </c>
      <c r="P468" s="7">
        <v>45657</v>
      </c>
    </row>
    <row r="469" spans="1:16" x14ac:dyDescent="0.3">
      <c r="A469">
        <v>468</v>
      </c>
      <c r="B469" s="7">
        <v>45555</v>
      </c>
      <c r="C469" t="s">
        <v>10</v>
      </c>
      <c r="D469">
        <v>699</v>
      </c>
      <c r="E469">
        <v>16.399999999999999</v>
      </c>
      <c r="F469">
        <v>2</v>
      </c>
      <c r="G469">
        <v>5</v>
      </c>
      <c r="H469">
        <v>32</v>
      </c>
      <c r="I469">
        <v>35</v>
      </c>
      <c r="J469" t="s">
        <v>13</v>
      </c>
      <c r="K469">
        <f>IF(J469="Yes", 1, 0)</f>
        <v>0</v>
      </c>
      <c r="L469" t="str">
        <f>IF(G469=0,"0 Failures","1+ Failures")</f>
        <v>1+ Failures</v>
      </c>
      <c r="M469" t="str">
        <f t="shared" si="23"/>
        <v>10-20hrs</v>
      </c>
      <c r="N469" t="str">
        <f t="shared" si="21"/>
        <v>12+ months</v>
      </c>
      <c r="O469" t="str">
        <f t="shared" si="22"/>
        <v>Premium</v>
      </c>
      <c r="P469" s="7">
        <v>45657</v>
      </c>
    </row>
    <row r="470" spans="1:16" x14ac:dyDescent="0.3">
      <c r="A470">
        <v>469</v>
      </c>
      <c r="B470" s="7">
        <v>45228</v>
      </c>
      <c r="C470" t="s">
        <v>14</v>
      </c>
      <c r="D470">
        <v>399</v>
      </c>
      <c r="E470">
        <v>16.8</v>
      </c>
      <c r="F470">
        <v>2</v>
      </c>
      <c r="G470">
        <v>3</v>
      </c>
      <c r="H470">
        <v>15</v>
      </c>
      <c r="I470">
        <v>19</v>
      </c>
      <c r="J470" t="s">
        <v>13</v>
      </c>
      <c r="K470">
        <f>IF(J470="Yes", 1, 0)</f>
        <v>0</v>
      </c>
      <c r="L470" t="str">
        <f>IF(G470=0,"0 Failures","1+ Failures")</f>
        <v>1+ Failures</v>
      </c>
      <c r="M470" t="str">
        <f t="shared" si="23"/>
        <v>10-20hrs</v>
      </c>
      <c r="N470" t="str">
        <f t="shared" si="21"/>
        <v>12+ months</v>
      </c>
      <c r="O470" t="str">
        <f t="shared" si="22"/>
        <v>Basic</v>
      </c>
      <c r="P470" s="7">
        <v>45657</v>
      </c>
    </row>
    <row r="471" spans="1:16" x14ac:dyDescent="0.3">
      <c r="A471">
        <v>470</v>
      </c>
      <c r="B471" s="7">
        <v>45252</v>
      </c>
      <c r="C471" t="s">
        <v>12</v>
      </c>
      <c r="D471">
        <v>199</v>
      </c>
      <c r="E471">
        <v>18.399999999999999</v>
      </c>
      <c r="F471">
        <v>6</v>
      </c>
      <c r="G471">
        <v>4</v>
      </c>
      <c r="H471">
        <v>12</v>
      </c>
      <c r="I471">
        <v>2</v>
      </c>
      <c r="J471" t="s">
        <v>11</v>
      </c>
      <c r="K471">
        <f>IF(J471="Yes", 1, 0)</f>
        <v>1</v>
      </c>
      <c r="L471" t="str">
        <f>IF(G471=0,"0 Failures","1+ Failures")</f>
        <v>1+ Failures</v>
      </c>
      <c r="M471" t="str">
        <f t="shared" si="23"/>
        <v>10-20hrs</v>
      </c>
      <c r="N471" t="str">
        <f t="shared" si="21"/>
        <v>6-12months</v>
      </c>
      <c r="O471" t="str">
        <f t="shared" si="22"/>
        <v>Basic</v>
      </c>
      <c r="P471" s="7">
        <v>45657</v>
      </c>
    </row>
    <row r="472" spans="1:16" x14ac:dyDescent="0.3">
      <c r="A472">
        <v>471</v>
      </c>
      <c r="B472" s="7">
        <v>45006</v>
      </c>
      <c r="C472" t="s">
        <v>10</v>
      </c>
      <c r="D472">
        <v>699</v>
      </c>
      <c r="E472">
        <v>16.2</v>
      </c>
      <c r="F472">
        <v>1</v>
      </c>
      <c r="G472">
        <v>3</v>
      </c>
      <c r="H472">
        <v>15</v>
      </c>
      <c r="I472">
        <v>9</v>
      </c>
      <c r="J472" t="s">
        <v>11</v>
      </c>
      <c r="K472">
        <f>IF(J472="Yes", 1, 0)</f>
        <v>1</v>
      </c>
      <c r="L472" t="str">
        <f>IF(G472=0,"0 Failures","1+ Failures")</f>
        <v>1+ Failures</v>
      </c>
      <c r="M472" t="str">
        <f t="shared" si="23"/>
        <v>10-20hrs</v>
      </c>
      <c r="N472" t="str">
        <f t="shared" si="21"/>
        <v>12+ months</v>
      </c>
      <c r="O472" t="str">
        <f t="shared" si="22"/>
        <v>Premium</v>
      </c>
      <c r="P472" s="7">
        <v>45657</v>
      </c>
    </row>
    <row r="473" spans="1:16" x14ac:dyDescent="0.3">
      <c r="A473">
        <v>472</v>
      </c>
      <c r="B473" s="7">
        <v>45652</v>
      </c>
      <c r="C473" t="s">
        <v>12</v>
      </c>
      <c r="D473">
        <v>199</v>
      </c>
      <c r="E473">
        <v>24.6</v>
      </c>
      <c r="F473">
        <v>2</v>
      </c>
      <c r="G473">
        <v>5</v>
      </c>
      <c r="H473">
        <v>23</v>
      </c>
      <c r="I473">
        <v>56</v>
      </c>
      <c r="J473" t="s">
        <v>13</v>
      </c>
      <c r="K473">
        <f>IF(J473="Yes", 1, 0)</f>
        <v>0</v>
      </c>
      <c r="L473" t="str">
        <f>IF(G473=0,"0 Failures","1+ Failures")</f>
        <v>1+ Failures</v>
      </c>
      <c r="M473" t="str">
        <f t="shared" si="23"/>
        <v>20+ hrs</v>
      </c>
      <c r="N473" t="str">
        <f t="shared" si="21"/>
        <v>12+ months</v>
      </c>
      <c r="O473" t="str">
        <f t="shared" si="22"/>
        <v>Basic</v>
      </c>
      <c r="P473" s="7">
        <v>45657</v>
      </c>
    </row>
    <row r="474" spans="1:16" x14ac:dyDescent="0.3">
      <c r="A474">
        <v>473</v>
      </c>
      <c r="B474" s="7">
        <v>45285</v>
      </c>
      <c r="C474" t="s">
        <v>10</v>
      </c>
      <c r="D474">
        <v>699</v>
      </c>
      <c r="E474">
        <v>11.4</v>
      </c>
      <c r="F474">
        <v>4</v>
      </c>
      <c r="G474">
        <v>1</v>
      </c>
      <c r="H474">
        <v>22</v>
      </c>
      <c r="I474">
        <v>15</v>
      </c>
      <c r="J474" t="s">
        <v>13</v>
      </c>
      <c r="K474">
        <f>IF(J474="Yes", 1, 0)</f>
        <v>0</v>
      </c>
      <c r="L474" t="str">
        <f>IF(G474=0,"0 Failures","1+ Failures")</f>
        <v>1+ Failures</v>
      </c>
      <c r="M474" t="str">
        <f t="shared" si="23"/>
        <v>10-20hrs</v>
      </c>
      <c r="N474" t="str">
        <f t="shared" si="21"/>
        <v>12+ months</v>
      </c>
      <c r="O474" t="str">
        <f t="shared" si="22"/>
        <v>Premium</v>
      </c>
      <c r="P474" s="7">
        <v>45657</v>
      </c>
    </row>
    <row r="475" spans="1:16" x14ac:dyDescent="0.3">
      <c r="A475">
        <v>474</v>
      </c>
      <c r="B475" s="7">
        <v>45097</v>
      </c>
      <c r="C475" t="s">
        <v>14</v>
      </c>
      <c r="D475">
        <v>399</v>
      </c>
      <c r="E475">
        <v>18.2</v>
      </c>
      <c r="F475">
        <v>0</v>
      </c>
      <c r="G475">
        <v>3</v>
      </c>
      <c r="H475">
        <v>7</v>
      </c>
      <c r="I475">
        <v>28</v>
      </c>
      <c r="J475" t="s">
        <v>13</v>
      </c>
      <c r="K475">
        <f>IF(J475="Yes", 1, 0)</f>
        <v>0</v>
      </c>
      <c r="L475" t="str">
        <f>IF(G475=0,"0 Failures","1+ Failures")</f>
        <v>1+ Failures</v>
      </c>
      <c r="M475" t="str">
        <f t="shared" si="23"/>
        <v>10-20hrs</v>
      </c>
      <c r="N475" t="str">
        <f t="shared" si="21"/>
        <v>6-12months</v>
      </c>
      <c r="O475" t="str">
        <f t="shared" si="22"/>
        <v>Basic</v>
      </c>
      <c r="P475" s="7">
        <v>45657</v>
      </c>
    </row>
    <row r="476" spans="1:16" x14ac:dyDescent="0.3">
      <c r="A476">
        <v>475</v>
      </c>
      <c r="B476" s="7">
        <v>45417</v>
      </c>
      <c r="C476" t="s">
        <v>14</v>
      </c>
      <c r="D476">
        <v>399</v>
      </c>
      <c r="E476">
        <v>22.1</v>
      </c>
      <c r="F476">
        <v>5</v>
      </c>
      <c r="G476">
        <v>4</v>
      </c>
      <c r="H476">
        <v>32</v>
      </c>
      <c r="I476">
        <v>24</v>
      </c>
      <c r="J476" t="s">
        <v>11</v>
      </c>
      <c r="K476">
        <f>IF(J476="Yes", 1, 0)</f>
        <v>1</v>
      </c>
      <c r="L476" t="str">
        <f>IF(G476=0,"0 Failures","1+ Failures")</f>
        <v>1+ Failures</v>
      </c>
      <c r="M476" t="str">
        <f t="shared" si="23"/>
        <v>20+ hrs</v>
      </c>
      <c r="N476" t="str">
        <f t="shared" si="21"/>
        <v>12+ months</v>
      </c>
      <c r="O476" t="str">
        <f t="shared" si="22"/>
        <v>Basic</v>
      </c>
      <c r="P476" s="7">
        <v>45657</v>
      </c>
    </row>
    <row r="477" spans="1:16" x14ac:dyDescent="0.3">
      <c r="A477">
        <v>476</v>
      </c>
      <c r="B477" s="7">
        <v>45194</v>
      </c>
      <c r="C477" t="s">
        <v>10</v>
      </c>
      <c r="D477">
        <v>699</v>
      </c>
      <c r="E477">
        <v>4.5</v>
      </c>
      <c r="F477">
        <v>1</v>
      </c>
      <c r="G477">
        <v>0</v>
      </c>
      <c r="H477">
        <v>15</v>
      </c>
      <c r="I477">
        <v>18</v>
      </c>
      <c r="J477" t="s">
        <v>11</v>
      </c>
      <c r="K477">
        <f>IF(J477="Yes", 1, 0)</f>
        <v>1</v>
      </c>
      <c r="L477" t="str">
        <f>IF(G477=0,"0 Failures","1+ Failures")</f>
        <v>0 Failures</v>
      </c>
      <c r="M477" t="str">
        <f t="shared" si="23"/>
        <v>0-5 hrs</v>
      </c>
      <c r="N477" t="str">
        <f t="shared" si="21"/>
        <v>12+ months</v>
      </c>
      <c r="O477" t="str">
        <f t="shared" si="22"/>
        <v>Premium</v>
      </c>
      <c r="P477" s="7">
        <v>45657</v>
      </c>
    </row>
    <row r="478" spans="1:16" x14ac:dyDescent="0.3">
      <c r="A478">
        <v>477</v>
      </c>
      <c r="B478" s="7">
        <v>45022</v>
      </c>
      <c r="C478" t="s">
        <v>12</v>
      </c>
      <c r="D478">
        <v>199</v>
      </c>
      <c r="E478">
        <v>8.9</v>
      </c>
      <c r="F478">
        <v>6</v>
      </c>
      <c r="G478">
        <v>1</v>
      </c>
      <c r="H478">
        <v>5</v>
      </c>
      <c r="I478">
        <v>46</v>
      </c>
      <c r="J478" t="s">
        <v>11</v>
      </c>
      <c r="K478">
        <f>IF(J478="Yes", 1, 0)</f>
        <v>1</v>
      </c>
      <c r="L478" t="str">
        <f>IF(G478=0,"0 Failures","1+ Failures")</f>
        <v>1+ Failures</v>
      </c>
      <c r="M478" t="str">
        <f t="shared" si="23"/>
        <v>5-10 hrs</v>
      </c>
      <c r="N478" t="str">
        <f t="shared" si="21"/>
        <v>3-6months</v>
      </c>
      <c r="O478" t="str">
        <f t="shared" si="22"/>
        <v>Basic</v>
      </c>
      <c r="P478" s="7">
        <v>45657</v>
      </c>
    </row>
    <row r="479" spans="1:16" x14ac:dyDescent="0.3">
      <c r="A479">
        <v>478</v>
      </c>
      <c r="B479" s="7">
        <v>45371</v>
      </c>
      <c r="C479" t="s">
        <v>14</v>
      </c>
      <c r="D479">
        <v>399</v>
      </c>
      <c r="E479">
        <v>17.8</v>
      </c>
      <c r="F479">
        <v>6</v>
      </c>
      <c r="G479">
        <v>5</v>
      </c>
      <c r="H479">
        <v>31</v>
      </c>
      <c r="I479">
        <v>10</v>
      </c>
      <c r="J479" t="s">
        <v>13</v>
      </c>
      <c r="K479">
        <f>IF(J479="Yes", 1, 0)</f>
        <v>0</v>
      </c>
      <c r="L479" t="str">
        <f>IF(G479=0,"0 Failures","1+ Failures")</f>
        <v>1+ Failures</v>
      </c>
      <c r="M479" t="str">
        <f t="shared" si="23"/>
        <v>10-20hrs</v>
      </c>
      <c r="N479" t="str">
        <f t="shared" si="21"/>
        <v>12+ months</v>
      </c>
      <c r="O479" t="str">
        <f t="shared" si="22"/>
        <v>Basic</v>
      </c>
      <c r="P479" s="7">
        <v>45657</v>
      </c>
    </row>
    <row r="480" spans="1:16" x14ac:dyDescent="0.3">
      <c r="A480">
        <v>479</v>
      </c>
      <c r="B480" s="7">
        <v>45480</v>
      </c>
      <c r="C480" t="s">
        <v>12</v>
      </c>
      <c r="D480">
        <v>199</v>
      </c>
      <c r="E480">
        <v>3</v>
      </c>
      <c r="F480">
        <v>3</v>
      </c>
      <c r="G480">
        <v>1</v>
      </c>
      <c r="H480">
        <v>4</v>
      </c>
      <c r="I480">
        <v>26</v>
      </c>
      <c r="J480" t="s">
        <v>13</v>
      </c>
      <c r="K480">
        <f>IF(J480="Yes", 1, 0)</f>
        <v>0</v>
      </c>
      <c r="L480" t="str">
        <f>IF(G480=0,"0 Failures","1+ Failures")</f>
        <v>1+ Failures</v>
      </c>
      <c r="M480" t="str">
        <f t="shared" si="23"/>
        <v>0-5 hrs</v>
      </c>
      <c r="N480" t="str">
        <f t="shared" si="21"/>
        <v>3-6months</v>
      </c>
      <c r="O480" t="str">
        <f t="shared" si="22"/>
        <v>Basic</v>
      </c>
      <c r="P480" s="7">
        <v>45657</v>
      </c>
    </row>
    <row r="481" spans="1:16" x14ac:dyDescent="0.3">
      <c r="A481">
        <v>480</v>
      </c>
      <c r="B481" s="7">
        <v>45429</v>
      </c>
      <c r="C481" t="s">
        <v>14</v>
      </c>
      <c r="D481">
        <v>399</v>
      </c>
      <c r="E481">
        <v>7.8</v>
      </c>
      <c r="F481">
        <v>1</v>
      </c>
      <c r="G481">
        <v>0</v>
      </c>
      <c r="H481">
        <v>19</v>
      </c>
      <c r="I481">
        <v>25</v>
      </c>
      <c r="J481" t="s">
        <v>13</v>
      </c>
      <c r="K481">
        <f>IF(J481="Yes", 1, 0)</f>
        <v>0</v>
      </c>
      <c r="L481" t="str">
        <f>IF(G481=0,"0 Failures","1+ Failures")</f>
        <v>0 Failures</v>
      </c>
      <c r="M481" t="str">
        <f t="shared" si="23"/>
        <v>5-10 hrs</v>
      </c>
      <c r="N481" t="str">
        <f t="shared" si="21"/>
        <v>12+ months</v>
      </c>
      <c r="O481" t="str">
        <f t="shared" si="22"/>
        <v>Basic</v>
      </c>
      <c r="P481" s="7">
        <v>45657</v>
      </c>
    </row>
    <row r="482" spans="1:16" x14ac:dyDescent="0.3">
      <c r="A482">
        <v>481</v>
      </c>
      <c r="B482" s="7">
        <v>45567</v>
      </c>
      <c r="C482" t="s">
        <v>12</v>
      </c>
      <c r="D482">
        <v>199</v>
      </c>
      <c r="E482">
        <v>9.3000000000000007</v>
      </c>
      <c r="F482">
        <v>6</v>
      </c>
      <c r="G482">
        <v>0</v>
      </c>
      <c r="H482">
        <v>4</v>
      </c>
      <c r="I482">
        <v>18</v>
      </c>
      <c r="J482" t="s">
        <v>13</v>
      </c>
      <c r="K482">
        <f>IF(J482="Yes", 1, 0)</f>
        <v>0</v>
      </c>
      <c r="L482" t="str">
        <f>IF(G482=0,"0 Failures","1+ Failures")</f>
        <v>0 Failures</v>
      </c>
      <c r="M482" t="str">
        <f t="shared" si="23"/>
        <v>5-10 hrs</v>
      </c>
      <c r="N482" t="str">
        <f t="shared" si="21"/>
        <v>3-6months</v>
      </c>
      <c r="O482" t="str">
        <f t="shared" si="22"/>
        <v>Basic</v>
      </c>
      <c r="P482" s="7">
        <v>45657</v>
      </c>
    </row>
    <row r="483" spans="1:16" x14ac:dyDescent="0.3">
      <c r="A483">
        <v>482</v>
      </c>
      <c r="B483" s="7">
        <v>45010</v>
      </c>
      <c r="C483" t="s">
        <v>10</v>
      </c>
      <c r="D483">
        <v>699</v>
      </c>
      <c r="E483">
        <v>5.4</v>
      </c>
      <c r="F483">
        <v>0</v>
      </c>
      <c r="G483">
        <v>1</v>
      </c>
      <c r="H483">
        <v>31</v>
      </c>
      <c r="I483">
        <v>10</v>
      </c>
      <c r="J483" t="s">
        <v>13</v>
      </c>
      <c r="K483">
        <f>IF(J483="Yes", 1, 0)</f>
        <v>0</v>
      </c>
      <c r="L483" t="str">
        <f>IF(G483=0,"0 Failures","1+ Failures")</f>
        <v>1+ Failures</v>
      </c>
      <c r="M483" t="str">
        <f t="shared" si="23"/>
        <v>5-10 hrs</v>
      </c>
      <c r="N483" t="str">
        <f t="shared" si="21"/>
        <v>12+ months</v>
      </c>
      <c r="O483" t="str">
        <f t="shared" si="22"/>
        <v>Premium</v>
      </c>
      <c r="P483" s="7">
        <v>45657</v>
      </c>
    </row>
    <row r="484" spans="1:16" x14ac:dyDescent="0.3">
      <c r="A484">
        <v>483</v>
      </c>
      <c r="B484" s="7">
        <v>45198</v>
      </c>
      <c r="C484" t="s">
        <v>14</v>
      </c>
      <c r="D484">
        <v>399</v>
      </c>
      <c r="E484">
        <v>8.1</v>
      </c>
      <c r="F484">
        <v>6</v>
      </c>
      <c r="G484">
        <v>3</v>
      </c>
      <c r="H484">
        <v>8</v>
      </c>
      <c r="I484">
        <v>31</v>
      </c>
      <c r="J484" t="s">
        <v>13</v>
      </c>
      <c r="K484">
        <f>IF(J484="Yes", 1, 0)</f>
        <v>0</v>
      </c>
      <c r="L484" t="str">
        <f>IF(G484=0,"0 Failures","1+ Failures")</f>
        <v>1+ Failures</v>
      </c>
      <c r="M484" t="str">
        <f t="shared" si="23"/>
        <v>5-10 hrs</v>
      </c>
      <c r="N484" t="str">
        <f t="shared" si="21"/>
        <v>6-12months</v>
      </c>
      <c r="O484" t="str">
        <f t="shared" si="22"/>
        <v>Basic</v>
      </c>
      <c r="P484" s="7">
        <v>45657</v>
      </c>
    </row>
    <row r="485" spans="1:16" x14ac:dyDescent="0.3">
      <c r="A485">
        <v>484</v>
      </c>
      <c r="B485" s="7">
        <v>44972</v>
      </c>
      <c r="C485" t="s">
        <v>12</v>
      </c>
      <c r="D485">
        <v>199</v>
      </c>
      <c r="E485">
        <v>10</v>
      </c>
      <c r="F485">
        <v>5</v>
      </c>
      <c r="G485">
        <v>3</v>
      </c>
      <c r="H485">
        <v>35</v>
      </c>
      <c r="I485">
        <v>23</v>
      </c>
      <c r="J485" t="s">
        <v>11</v>
      </c>
      <c r="K485">
        <f>IF(J485="Yes", 1, 0)</f>
        <v>1</v>
      </c>
      <c r="L485" t="str">
        <f>IF(G485=0,"0 Failures","1+ Failures")</f>
        <v>1+ Failures</v>
      </c>
      <c r="M485" t="str">
        <f t="shared" si="23"/>
        <v>5-10 hrs</v>
      </c>
      <c r="N485" t="str">
        <f t="shared" si="21"/>
        <v>12+ months</v>
      </c>
      <c r="O485" t="str">
        <f t="shared" si="22"/>
        <v>Basic</v>
      </c>
      <c r="P485" s="7">
        <v>45657</v>
      </c>
    </row>
    <row r="486" spans="1:16" x14ac:dyDescent="0.3">
      <c r="A486">
        <v>485</v>
      </c>
      <c r="B486" s="7">
        <v>45640</v>
      </c>
      <c r="C486" t="s">
        <v>14</v>
      </c>
      <c r="D486">
        <v>399</v>
      </c>
      <c r="E486">
        <v>11.9</v>
      </c>
      <c r="F486">
        <v>3</v>
      </c>
      <c r="G486">
        <v>2</v>
      </c>
      <c r="H486">
        <v>29</v>
      </c>
      <c r="I486">
        <v>36</v>
      </c>
      <c r="J486" t="s">
        <v>11</v>
      </c>
      <c r="K486">
        <f>IF(J486="Yes", 1, 0)</f>
        <v>1</v>
      </c>
      <c r="L486" t="str">
        <f>IF(G486=0,"0 Failures","1+ Failures")</f>
        <v>1+ Failures</v>
      </c>
      <c r="M486" t="str">
        <f t="shared" si="23"/>
        <v>10-20hrs</v>
      </c>
      <c r="N486" t="str">
        <f t="shared" si="21"/>
        <v>12+ months</v>
      </c>
      <c r="O486" t="str">
        <f t="shared" si="22"/>
        <v>Basic</v>
      </c>
      <c r="P486" s="7">
        <v>45657</v>
      </c>
    </row>
    <row r="487" spans="1:16" x14ac:dyDescent="0.3">
      <c r="A487">
        <v>486</v>
      </c>
      <c r="B487" s="7">
        <v>45530</v>
      </c>
      <c r="C487" t="s">
        <v>10</v>
      </c>
      <c r="D487">
        <v>699</v>
      </c>
      <c r="E487">
        <v>2.6</v>
      </c>
      <c r="F487">
        <v>5</v>
      </c>
      <c r="G487">
        <v>4</v>
      </c>
      <c r="H487">
        <v>7</v>
      </c>
      <c r="I487">
        <v>26</v>
      </c>
      <c r="J487" t="s">
        <v>11</v>
      </c>
      <c r="K487">
        <f>IF(J487="Yes", 1, 0)</f>
        <v>1</v>
      </c>
      <c r="L487" t="str">
        <f>IF(G487=0,"0 Failures","1+ Failures")</f>
        <v>1+ Failures</v>
      </c>
      <c r="M487" t="str">
        <f t="shared" si="23"/>
        <v>0-5 hrs</v>
      </c>
      <c r="N487" t="str">
        <f t="shared" si="21"/>
        <v>6-12months</v>
      </c>
      <c r="O487" t="str">
        <f t="shared" si="22"/>
        <v>Premium</v>
      </c>
      <c r="P487" s="7">
        <v>45657</v>
      </c>
    </row>
    <row r="488" spans="1:16" x14ac:dyDescent="0.3">
      <c r="A488">
        <v>487</v>
      </c>
      <c r="B488" s="7">
        <v>45630</v>
      </c>
      <c r="C488" t="s">
        <v>12</v>
      </c>
      <c r="D488">
        <v>199</v>
      </c>
      <c r="E488">
        <v>2</v>
      </c>
      <c r="F488">
        <v>6</v>
      </c>
      <c r="G488">
        <v>4</v>
      </c>
      <c r="H488">
        <v>36</v>
      </c>
      <c r="I488">
        <v>26</v>
      </c>
      <c r="J488" t="s">
        <v>11</v>
      </c>
      <c r="K488">
        <f>IF(J488="Yes", 1, 0)</f>
        <v>1</v>
      </c>
      <c r="L488" t="str">
        <f>IF(G488=0,"0 Failures","1+ Failures")</f>
        <v>1+ Failures</v>
      </c>
      <c r="M488" t="str">
        <f t="shared" si="23"/>
        <v>0-5 hrs</v>
      </c>
      <c r="N488" t="str">
        <f t="shared" si="21"/>
        <v>12+ months</v>
      </c>
      <c r="O488" t="str">
        <f t="shared" si="22"/>
        <v>Basic</v>
      </c>
      <c r="P488" s="7">
        <v>45657</v>
      </c>
    </row>
    <row r="489" spans="1:16" x14ac:dyDescent="0.3">
      <c r="A489">
        <v>488</v>
      </c>
      <c r="B489" s="7">
        <v>44962</v>
      </c>
      <c r="C489" t="s">
        <v>14</v>
      </c>
      <c r="D489">
        <v>399</v>
      </c>
      <c r="E489">
        <v>12.2</v>
      </c>
      <c r="F489">
        <v>1</v>
      </c>
      <c r="G489">
        <v>3</v>
      </c>
      <c r="H489">
        <v>16</v>
      </c>
      <c r="I489">
        <v>57</v>
      </c>
      <c r="J489" t="s">
        <v>13</v>
      </c>
      <c r="K489">
        <f>IF(J489="Yes", 1, 0)</f>
        <v>0</v>
      </c>
      <c r="L489" t="str">
        <f>IF(G489=0,"0 Failures","1+ Failures")</f>
        <v>1+ Failures</v>
      </c>
      <c r="M489" t="str">
        <f t="shared" si="23"/>
        <v>10-20hrs</v>
      </c>
      <c r="N489" t="str">
        <f t="shared" si="21"/>
        <v>12+ months</v>
      </c>
      <c r="O489" t="str">
        <f t="shared" si="22"/>
        <v>Basic</v>
      </c>
      <c r="P489" s="7">
        <v>45657</v>
      </c>
    </row>
    <row r="490" spans="1:16" x14ac:dyDescent="0.3">
      <c r="A490">
        <v>489</v>
      </c>
      <c r="B490" s="7">
        <v>45104</v>
      </c>
      <c r="C490" t="s">
        <v>10</v>
      </c>
      <c r="D490">
        <v>699</v>
      </c>
      <c r="E490">
        <v>20.100000000000001</v>
      </c>
      <c r="F490">
        <v>2</v>
      </c>
      <c r="G490">
        <v>0</v>
      </c>
      <c r="H490">
        <v>34</v>
      </c>
      <c r="I490">
        <v>60</v>
      </c>
      <c r="J490" t="s">
        <v>13</v>
      </c>
      <c r="K490">
        <f>IF(J490="Yes", 1, 0)</f>
        <v>0</v>
      </c>
      <c r="L490" t="str">
        <f>IF(G490=0,"0 Failures","1+ Failures")</f>
        <v>0 Failures</v>
      </c>
      <c r="M490" t="str">
        <f t="shared" si="23"/>
        <v>20+ hrs</v>
      </c>
      <c r="N490" t="str">
        <f t="shared" si="21"/>
        <v>12+ months</v>
      </c>
      <c r="O490" t="str">
        <f t="shared" si="22"/>
        <v>Premium</v>
      </c>
      <c r="P490" s="7">
        <v>45657</v>
      </c>
    </row>
    <row r="491" spans="1:16" x14ac:dyDescent="0.3">
      <c r="A491">
        <v>490</v>
      </c>
      <c r="B491" s="7">
        <v>45626</v>
      </c>
      <c r="C491" t="s">
        <v>12</v>
      </c>
      <c r="D491">
        <v>199</v>
      </c>
      <c r="E491">
        <v>20.3</v>
      </c>
      <c r="F491">
        <v>2</v>
      </c>
      <c r="G491">
        <v>0</v>
      </c>
      <c r="H491">
        <v>14</v>
      </c>
      <c r="I491">
        <v>27</v>
      </c>
      <c r="J491" t="s">
        <v>11</v>
      </c>
      <c r="K491">
        <f>IF(J491="Yes", 1, 0)</f>
        <v>1</v>
      </c>
      <c r="L491" t="str">
        <f>IF(G491=0,"0 Failures","1+ Failures")</f>
        <v>0 Failures</v>
      </c>
      <c r="M491" t="str">
        <f t="shared" si="23"/>
        <v>20+ hrs</v>
      </c>
      <c r="N491" t="str">
        <f t="shared" si="21"/>
        <v>12+ months</v>
      </c>
      <c r="O491" t="str">
        <f t="shared" si="22"/>
        <v>Basic</v>
      </c>
      <c r="P491" s="7">
        <v>45657</v>
      </c>
    </row>
    <row r="492" spans="1:16" x14ac:dyDescent="0.3">
      <c r="A492">
        <v>491</v>
      </c>
      <c r="B492" s="7">
        <v>44995</v>
      </c>
      <c r="C492" t="s">
        <v>14</v>
      </c>
      <c r="D492">
        <v>399</v>
      </c>
      <c r="E492">
        <v>24.9</v>
      </c>
      <c r="F492">
        <v>2</v>
      </c>
      <c r="G492">
        <v>4</v>
      </c>
      <c r="H492">
        <v>13</v>
      </c>
      <c r="I492">
        <v>16</v>
      </c>
      <c r="J492" t="s">
        <v>11</v>
      </c>
      <c r="K492">
        <f>IF(J492="Yes", 1, 0)</f>
        <v>1</v>
      </c>
      <c r="L492" t="str">
        <f>IF(G492=0,"0 Failures","1+ Failures")</f>
        <v>1+ Failures</v>
      </c>
      <c r="M492" t="str">
        <f t="shared" si="23"/>
        <v>20+ hrs</v>
      </c>
      <c r="N492" t="str">
        <f t="shared" si="21"/>
        <v>12+ months</v>
      </c>
      <c r="O492" t="str">
        <f t="shared" si="22"/>
        <v>Basic</v>
      </c>
      <c r="P492" s="7">
        <v>45657</v>
      </c>
    </row>
    <row r="493" spans="1:16" x14ac:dyDescent="0.3">
      <c r="A493">
        <v>492</v>
      </c>
      <c r="B493" s="7">
        <v>45396</v>
      </c>
      <c r="C493" t="s">
        <v>12</v>
      </c>
      <c r="D493">
        <v>199</v>
      </c>
      <c r="E493">
        <v>14.1</v>
      </c>
      <c r="F493">
        <v>8</v>
      </c>
      <c r="G493">
        <v>2</v>
      </c>
      <c r="H493">
        <v>25</v>
      </c>
      <c r="I493">
        <v>54</v>
      </c>
      <c r="J493" t="s">
        <v>11</v>
      </c>
      <c r="K493">
        <f>IF(J493="Yes", 1, 0)</f>
        <v>1</v>
      </c>
      <c r="L493" t="str">
        <f>IF(G493=0,"0 Failures","1+ Failures")</f>
        <v>1+ Failures</v>
      </c>
      <c r="M493" t="str">
        <f t="shared" si="23"/>
        <v>10-20hrs</v>
      </c>
      <c r="N493" t="str">
        <f t="shared" si="21"/>
        <v>12+ months</v>
      </c>
      <c r="O493" t="str">
        <f t="shared" si="22"/>
        <v>Basic</v>
      </c>
      <c r="P493" s="7">
        <v>45657</v>
      </c>
    </row>
    <row r="494" spans="1:16" x14ac:dyDescent="0.3">
      <c r="A494">
        <v>493</v>
      </c>
      <c r="B494" s="7">
        <v>45529</v>
      </c>
      <c r="C494" t="s">
        <v>12</v>
      </c>
      <c r="D494">
        <v>199</v>
      </c>
      <c r="E494">
        <v>19.7</v>
      </c>
      <c r="F494">
        <v>1</v>
      </c>
      <c r="G494">
        <v>3</v>
      </c>
      <c r="H494">
        <v>34</v>
      </c>
      <c r="I494">
        <v>9</v>
      </c>
      <c r="J494" t="s">
        <v>11</v>
      </c>
      <c r="K494">
        <f>IF(J494="Yes", 1, 0)</f>
        <v>1</v>
      </c>
      <c r="L494" t="str">
        <f>IF(G494=0,"0 Failures","1+ Failures")</f>
        <v>1+ Failures</v>
      </c>
      <c r="M494" t="str">
        <f t="shared" si="23"/>
        <v>10-20hrs</v>
      </c>
      <c r="N494" t="str">
        <f t="shared" si="21"/>
        <v>12+ months</v>
      </c>
      <c r="O494" t="str">
        <f t="shared" si="22"/>
        <v>Basic</v>
      </c>
      <c r="P494" s="7">
        <v>45657</v>
      </c>
    </row>
    <row r="495" spans="1:16" x14ac:dyDescent="0.3">
      <c r="A495">
        <v>494</v>
      </c>
      <c r="B495" s="7">
        <v>45279</v>
      </c>
      <c r="C495" t="s">
        <v>10</v>
      </c>
      <c r="D495">
        <v>699</v>
      </c>
      <c r="E495">
        <v>23.2</v>
      </c>
      <c r="F495">
        <v>1</v>
      </c>
      <c r="G495">
        <v>2</v>
      </c>
      <c r="H495">
        <v>7</v>
      </c>
      <c r="I495">
        <v>55</v>
      </c>
      <c r="J495" t="s">
        <v>11</v>
      </c>
      <c r="K495">
        <f>IF(J495="Yes", 1, 0)</f>
        <v>1</v>
      </c>
      <c r="L495" t="str">
        <f>IF(G495=0,"0 Failures","1+ Failures")</f>
        <v>1+ Failures</v>
      </c>
      <c r="M495" t="str">
        <f t="shared" si="23"/>
        <v>20+ hrs</v>
      </c>
      <c r="N495" t="str">
        <f t="shared" si="21"/>
        <v>6-12months</v>
      </c>
      <c r="O495" t="str">
        <f t="shared" si="22"/>
        <v>Premium</v>
      </c>
      <c r="P495" s="7">
        <v>45657</v>
      </c>
    </row>
    <row r="496" spans="1:16" x14ac:dyDescent="0.3">
      <c r="A496">
        <v>495</v>
      </c>
      <c r="B496" s="7">
        <v>45103</v>
      </c>
      <c r="C496" t="s">
        <v>14</v>
      </c>
      <c r="D496">
        <v>399</v>
      </c>
      <c r="E496">
        <v>9.9</v>
      </c>
      <c r="F496">
        <v>7</v>
      </c>
      <c r="G496">
        <v>4</v>
      </c>
      <c r="H496">
        <v>17</v>
      </c>
      <c r="I496">
        <v>38</v>
      </c>
      <c r="J496" t="s">
        <v>11</v>
      </c>
      <c r="K496">
        <f>IF(J496="Yes", 1, 0)</f>
        <v>1</v>
      </c>
      <c r="L496" t="str">
        <f>IF(G496=0,"0 Failures","1+ Failures")</f>
        <v>1+ Failures</v>
      </c>
      <c r="M496" t="str">
        <f t="shared" si="23"/>
        <v>5-10 hrs</v>
      </c>
      <c r="N496" t="str">
        <f t="shared" si="21"/>
        <v>12+ months</v>
      </c>
      <c r="O496" t="str">
        <f t="shared" si="22"/>
        <v>Basic</v>
      </c>
      <c r="P496" s="7">
        <v>45657</v>
      </c>
    </row>
    <row r="497" spans="1:16" x14ac:dyDescent="0.3">
      <c r="A497">
        <v>496</v>
      </c>
      <c r="B497" s="7">
        <v>45266</v>
      </c>
      <c r="C497" t="s">
        <v>14</v>
      </c>
      <c r="D497">
        <v>399</v>
      </c>
      <c r="E497">
        <v>4</v>
      </c>
      <c r="F497">
        <v>6</v>
      </c>
      <c r="G497">
        <v>0</v>
      </c>
      <c r="H497">
        <v>26</v>
      </c>
      <c r="I497">
        <v>25</v>
      </c>
      <c r="J497" t="s">
        <v>13</v>
      </c>
      <c r="K497">
        <f>IF(J497="Yes", 1, 0)</f>
        <v>0</v>
      </c>
      <c r="L497" t="str">
        <f>IF(G497=0,"0 Failures","1+ Failures")</f>
        <v>0 Failures</v>
      </c>
      <c r="M497" t="str">
        <f t="shared" si="23"/>
        <v>0-5 hrs</v>
      </c>
      <c r="N497" t="str">
        <f t="shared" si="21"/>
        <v>12+ months</v>
      </c>
      <c r="O497" t="str">
        <f t="shared" si="22"/>
        <v>Basic</v>
      </c>
      <c r="P497" s="7">
        <v>45657</v>
      </c>
    </row>
    <row r="498" spans="1:16" x14ac:dyDescent="0.3">
      <c r="A498">
        <v>497</v>
      </c>
      <c r="B498" s="7">
        <v>45272</v>
      </c>
      <c r="C498" t="s">
        <v>10</v>
      </c>
      <c r="D498">
        <v>699</v>
      </c>
      <c r="E498">
        <v>1.7</v>
      </c>
      <c r="F498">
        <v>7</v>
      </c>
      <c r="G498">
        <v>2</v>
      </c>
      <c r="H498">
        <v>16</v>
      </c>
      <c r="I498">
        <v>57</v>
      </c>
      <c r="J498" t="s">
        <v>11</v>
      </c>
      <c r="K498">
        <f>IF(J498="Yes", 1, 0)</f>
        <v>1</v>
      </c>
      <c r="L498" t="str">
        <f>IF(G498=0,"0 Failures","1+ Failures")</f>
        <v>1+ Failures</v>
      </c>
      <c r="M498" t="str">
        <f t="shared" si="23"/>
        <v>0-5 hrs</v>
      </c>
      <c r="N498" t="str">
        <f t="shared" si="21"/>
        <v>12+ months</v>
      </c>
      <c r="O498" t="str">
        <f t="shared" si="22"/>
        <v>Premium</v>
      </c>
      <c r="P498" s="7">
        <v>45657</v>
      </c>
    </row>
    <row r="499" spans="1:16" x14ac:dyDescent="0.3">
      <c r="A499">
        <v>498</v>
      </c>
      <c r="B499" s="7">
        <v>45160</v>
      </c>
      <c r="C499" t="s">
        <v>14</v>
      </c>
      <c r="D499">
        <v>399</v>
      </c>
      <c r="E499">
        <v>7.4</v>
      </c>
      <c r="F499">
        <v>7</v>
      </c>
      <c r="G499">
        <v>5</v>
      </c>
      <c r="H499">
        <v>20</v>
      </c>
      <c r="I499">
        <v>43</v>
      </c>
      <c r="J499" t="s">
        <v>11</v>
      </c>
      <c r="K499">
        <f>IF(J499="Yes", 1, 0)</f>
        <v>1</v>
      </c>
      <c r="L499" t="str">
        <f>IF(G499=0,"0 Failures","1+ Failures")</f>
        <v>1+ Failures</v>
      </c>
      <c r="M499" t="str">
        <f t="shared" si="23"/>
        <v>5-10 hrs</v>
      </c>
      <c r="N499" t="str">
        <f t="shared" si="21"/>
        <v>12+ months</v>
      </c>
      <c r="O499" t="str">
        <f t="shared" si="22"/>
        <v>Basic</v>
      </c>
      <c r="P499" s="7">
        <v>45657</v>
      </c>
    </row>
    <row r="500" spans="1:16" x14ac:dyDescent="0.3">
      <c r="A500">
        <v>499</v>
      </c>
      <c r="B500" s="7">
        <v>45546</v>
      </c>
      <c r="C500" t="s">
        <v>12</v>
      </c>
      <c r="D500">
        <v>199</v>
      </c>
      <c r="E500">
        <v>24.4</v>
      </c>
      <c r="F500">
        <v>7</v>
      </c>
      <c r="G500">
        <v>2</v>
      </c>
      <c r="H500">
        <v>20</v>
      </c>
      <c r="I500">
        <v>17</v>
      </c>
      <c r="J500" t="s">
        <v>13</v>
      </c>
      <c r="K500">
        <f>IF(J500="Yes", 1, 0)</f>
        <v>0</v>
      </c>
      <c r="L500" t="str">
        <f>IF(G500=0,"0 Failures","1+ Failures")</f>
        <v>1+ Failures</v>
      </c>
      <c r="M500" t="str">
        <f t="shared" si="23"/>
        <v>20+ hrs</v>
      </c>
      <c r="N500" t="str">
        <f t="shared" si="21"/>
        <v>12+ months</v>
      </c>
      <c r="O500" t="str">
        <f t="shared" si="22"/>
        <v>Basic</v>
      </c>
      <c r="P500" s="7">
        <v>45657</v>
      </c>
    </row>
    <row r="501" spans="1:16" x14ac:dyDescent="0.3">
      <c r="A501">
        <v>500</v>
      </c>
      <c r="B501" s="7">
        <v>45455</v>
      </c>
      <c r="C501" t="s">
        <v>10</v>
      </c>
      <c r="D501">
        <v>699</v>
      </c>
      <c r="E501">
        <v>5.0999999999999996</v>
      </c>
      <c r="F501">
        <v>3</v>
      </c>
      <c r="G501">
        <v>3</v>
      </c>
      <c r="H501">
        <v>6</v>
      </c>
      <c r="I501">
        <v>47</v>
      </c>
      <c r="J501" t="s">
        <v>11</v>
      </c>
      <c r="K501">
        <f>IF(J501="Yes", 1, 0)</f>
        <v>1</v>
      </c>
      <c r="L501" t="str">
        <f>IF(G501=0,"0 Failures","1+ Failures")</f>
        <v>1+ Failures</v>
      </c>
      <c r="M501" t="str">
        <f t="shared" si="23"/>
        <v>5-10 hrs</v>
      </c>
      <c r="N501" t="str">
        <f t="shared" si="21"/>
        <v>3-6months</v>
      </c>
      <c r="O501" t="str">
        <f t="shared" si="22"/>
        <v>Premium</v>
      </c>
      <c r="P501" s="7">
        <v>45657</v>
      </c>
    </row>
    <row r="502" spans="1:16" x14ac:dyDescent="0.3">
      <c r="A502">
        <v>501</v>
      </c>
      <c r="B502" s="7">
        <v>45340</v>
      </c>
      <c r="C502" t="s">
        <v>14</v>
      </c>
      <c r="D502">
        <v>399</v>
      </c>
      <c r="E502">
        <v>13.1</v>
      </c>
      <c r="F502">
        <v>2</v>
      </c>
      <c r="G502">
        <v>0</v>
      </c>
      <c r="H502">
        <v>4</v>
      </c>
      <c r="I502">
        <v>19</v>
      </c>
      <c r="J502" t="s">
        <v>13</v>
      </c>
      <c r="K502">
        <f>IF(J502="Yes", 1, 0)</f>
        <v>0</v>
      </c>
      <c r="L502" t="str">
        <f>IF(G502=0,"0 Failures","1+ Failures")</f>
        <v>0 Failures</v>
      </c>
      <c r="M502" t="str">
        <f t="shared" si="23"/>
        <v>10-20hrs</v>
      </c>
      <c r="N502" t="str">
        <f t="shared" si="21"/>
        <v>3-6months</v>
      </c>
      <c r="O502" t="str">
        <f t="shared" si="22"/>
        <v>Basic</v>
      </c>
      <c r="P502" s="7">
        <v>45657</v>
      </c>
    </row>
    <row r="503" spans="1:16" x14ac:dyDescent="0.3">
      <c r="A503">
        <v>502</v>
      </c>
      <c r="B503" s="7">
        <v>45132</v>
      </c>
      <c r="C503" t="s">
        <v>12</v>
      </c>
      <c r="D503">
        <v>199</v>
      </c>
      <c r="E503">
        <v>22</v>
      </c>
      <c r="F503">
        <v>0</v>
      </c>
      <c r="G503">
        <v>1</v>
      </c>
      <c r="H503">
        <v>34</v>
      </c>
      <c r="I503">
        <v>12</v>
      </c>
      <c r="J503" t="s">
        <v>13</v>
      </c>
      <c r="K503">
        <f>IF(J503="Yes", 1, 0)</f>
        <v>0</v>
      </c>
      <c r="L503" t="str">
        <f>IF(G503=0,"0 Failures","1+ Failures")</f>
        <v>1+ Failures</v>
      </c>
      <c r="M503" t="str">
        <f t="shared" si="23"/>
        <v>20+ hrs</v>
      </c>
      <c r="N503" t="str">
        <f t="shared" si="21"/>
        <v>12+ months</v>
      </c>
      <c r="O503" t="str">
        <f t="shared" si="22"/>
        <v>Basic</v>
      </c>
      <c r="P503" s="7">
        <v>45657</v>
      </c>
    </row>
    <row r="504" spans="1:16" x14ac:dyDescent="0.3">
      <c r="A504">
        <v>503</v>
      </c>
      <c r="B504" s="7">
        <v>45304</v>
      </c>
      <c r="C504" t="s">
        <v>12</v>
      </c>
      <c r="D504">
        <v>199</v>
      </c>
      <c r="E504">
        <v>1.3</v>
      </c>
      <c r="F504">
        <v>0</v>
      </c>
      <c r="G504">
        <v>2</v>
      </c>
      <c r="H504">
        <v>16</v>
      </c>
      <c r="I504">
        <v>45</v>
      </c>
      <c r="J504" t="s">
        <v>11</v>
      </c>
      <c r="K504">
        <f>IF(J504="Yes", 1, 0)</f>
        <v>1</v>
      </c>
      <c r="L504" t="str">
        <f>IF(G504=0,"0 Failures","1+ Failures")</f>
        <v>1+ Failures</v>
      </c>
      <c r="M504" t="str">
        <f t="shared" si="23"/>
        <v>0-5 hrs</v>
      </c>
      <c r="N504" t="str">
        <f t="shared" si="21"/>
        <v>12+ months</v>
      </c>
      <c r="O504" t="str">
        <f t="shared" si="22"/>
        <v>Basic</v>
      </c>
      <c r="P504" s="7">
        <v>45657</v>
      </c>
    </row>
    <row r="505" spans="1:16" x14ac:dyDescent="0.3">
      <c r="A505">
        <v>504</v>
      </c>
      <c r="B505" s="7">
        <v>45427</v>
      </c>
      <c r="C505" t="s">
        <v>14</v>
      </c>
      <c r="D505">
        <v>399</v>
      </c>
      <c r="E505">
        <v>10.199999999999999</v>
      </c>
      <c r="F505">
        <v>1</v>
      </c>
      <c r="G505">
        <v>5</v>
      </c>
      <c r="H505">
        <v>33</v>
      </c>
      <c r="I505">
        <v>1</v>
      </c>
      <c r="J505" t="s">
        <v>11</v>
      </c>
      <c r="K505">
        <f>IF(J505="Yes", 1, 0)</f>
        <v>1</v>
      </c>
      <c r="L505" t="str">
        <f>IF(G505=0,"0 Failures","1+ Failures")</f>
        <v>1+ Failures</v>
      </c>
      <c r="M505" t="str">
        <f t="shared" si="23"/>
        <v>10-20hrs</v>
      </c>
      <c r="N505" t="str">
        <f t="shared" si="21"/>
        <v>12+ months</v>
      </c>
      <c r="O505" t="str">
        <f t="shared" si="22"/>
        <v>Basic</v>
      </c>
      <c r="P505" s="7">
        <v>45657</v>
      </c>
    </row>
    <row r="506" spans="1:16" x14ac:dyDescent="0.3">
      <c r="A506">
        <v>505</v>
      </c>
      <c r="B506" s="7">
        <v>45094</v>
      </c>
      <c r="C506" t="s">
        <v>10</v>
      </c>
      <c r="D506">
        <v>699</v>
      </c>
      <c r="E506">
        <v>4.9000000000000004</v>
      </c>
      <c r="F506">
        <v>7</v>
      </c>
      <c r="G506">
        <v>4</v>
      </c>
      <c r="H506">
        <v>29</v>
      </c>
      <c r="I506">
        <v>35</v>
      </c>
      <c r="J506" t="s">
        <v>11</v>
      </c>
      <c r="K506">
        <f>IF(J506="Yes", 1, 0)</f>
        <v>1</v>
      </c>
      <c r="L506" t="str">
        <f>IF(G506=0,"0 Failures","1+ Failures")</f>
        <v>1+ Failures</v>
      </c>
      <c r="M506" t="str">
        <f t="shared" si="23"/>
        <v>0-5 hrs</v>
      </c>
      <c r="N506" t="str">
        <f t="shared" si="21"/>
        <v>12+ months</v>
      </c>
      <c r="O506" t="str">
        <f t="shared" si="22"/>
        <v>Premium</v>
      </c>
      <c r="P506" s="7">
        <v>45657</v>
      </c>
    </row>
    <row r="507" spans="1:16" x14ac:dyDescent="0.3">
      <c r="A507">
        <v>506</v>
      </c>
      <c r="B507" s="7">
        <v>45146</v>
      </c>
      <c r="C507" t="s">
        <v>14</v>
      </c>
      <c r="D507">
        <v>399</v>
      </c>
      <c r="E507">
        <v>7.5</v>
      </c>
      <c r="F507">
        <v>6</v>
      </c>
      <c r="G507">
        <v>0</v>
      </c>
      <c r="H507">
        <v>6</v>
      </c>
      <c r="I507">
        <v>10</v>
      </c>
      <c r="J507" t="s">
        <v>13</v>
      </c>
      <c r="K507">
        <f>IF(J507="Yes", 1, 0)</f>
        <v>0</v>
      </c>
      <c r="L507" t="str">
        <f>IF(G507=0,"0 Failures","1+ Failures")</f>
        <v>0 Failures</v>
      </c>
      <c r="M507" t="str">
        <f t="shared" si="23"/>
        <v>5-10 hrs</v>
      </c>
      <c r="N507" t="str">
        <f t="shared" si="21"/>
        <v>3-6months</v>
      </c>
      <c r="O507" t="str">
        <f t="shared" si="22"/>
        <v>Basic</v>
      </c>
      <c r="P507" s="7">
        <v>45657</v>
      </c>
    </row>
    <row r="508" spans="1:16" x14ac:dyDescent="0.3">
      <c r="A508">
        <v>507</v>
      </c>
      <c r="B508" s="7">
        <v>45625</v>
      </c>
      <c r="C508" t="s">
        <v>12</v>
      </c>
      <c r="D508">
        <v>199</v>
      </c>
      <c r="E508">
        <v>17.100000000000001</v>
      </c>
      <c r="F508">
        <v>4</v>
      </c>
      <c r="G508">
        <v>5</v>
      </c>
      <c r="H508">
        <v>15</v>
      </c>
      <c r="I508">
        <v>26</v>
      </c>
      <c r="J508" t="s">
        <v>11</v>
      </c>
      <c r="K508">
        <f>IF(J508="Yes", 1, 0)</f>
        <v>1</v>
      </c>
      <c r="L508" t="str">
        <f>IF(G508=0,"0 Failures","1+ Failures")</f>
        <v>1+ Failures</v>
      </c>
      <c r="M508" t="str">
        <f t="shared" si="23"/>
        <v>10-20hrs</v>
      </c>
      <c r="N508" t="str">
        <f t="shared" si="21"/>
        <v>12+ months</v>
      </c>
      <c r="O508" t="str">
        <f t="shared" si="22"/>
        <v>Basic</v>
      </c>
      <c r="P508" s="7">
        <v>45657</v>
      </c>
    </row>
    <row r="509" spans="1:16" x14ac:dyDescent="0.3">
      <c r="A509">
        <v>508</v>
      </c>
      <c r="B509" s="7">
        <v>45185</v>
      </c>
      <c r="C509" t="s">
        <v>12</v>
      </c>
      <c r="D509">
        <v>199</v>
      </c>
      <c r="E509">
        <v>22.8</v>
      </c>
      <c r="F509">
        <v>2</v>
      </c>
      <c r="G509">
        <v>4</v>
      </c>
      <c r="H509">
        <v>31</v>
      </c>
      <c r="I509">
        <v>51</v>
      </c>
      <c r="J509" t="s">
        <v>11</v>
      </c>
      <c r="K509">
        <f>IF(J509="Yes", 1, 0)</f>
        <v>1</v>
      </c>
      <c r="L509" t="str">
        <f>IF(G509=0,"0 Failures","1+ Failures")</f>
        <v>1+ Failures</v>
      </c>
      <c r="M509" t="str">
        <f t="shared" si="23"/>
        <v>20+ hrs</v>
      </c>
      <c r="N509" t="str">
        <f t="shared" si="21"/>
        <v>12+ months</v>
      </c>
      <c r="O509" t="str">
        <f t="shared" si="22"/>
        <v>Basic</v>
      </c>
      <c r="P509" s="7">
        <v>45657</v>
      </c>
    </row>
    <row r="510" spans="1:16" x14ac:dyDescent="0.3">
      <c r="A510">
        <v>509</v>
      </c>
      <c r="B510" s="7">
        <v>45284</v>
      </c>
      <c r="C510" t="s">
        <v>10</v>
      </c>
      <c r="D510">
        <v>699</v>
      </c>
      <c r="E510">
        <v>18</v>
      </c>
      <c r="F510">
        <v>4</v>
      </c>
      <c r="G510">
        <v>3</v>
      </c>
      <c r="H510">
        <v>20</v>
      </c>
      <c r="I510">
        <v>57</v>
      </c>
      <c r="J510" t="s">
        <v>11</v>
      </c>
      <c r="K510">
        <f>IF(J510="Yes", 1, 0)</f>
        <v>1</v>
      </c>
      <c r="L510" t="str">
        <f>IF(G510=0,"0 Failures","1+ Failures")</f>
        <v>1+ Failures</v>
      </c>
      <c r="M510" t="str">
        <f t="shared" si="23"/>
        <v>10-20hrs</v>
      </c>
      <c r="N510" t="str">
        <f t="shared" si="21"/>
        <v>12+ months</v>
      </c>
      <c r="O510" t="str">
        <f t="shared" si="22"/>
        <v>Premium</v>
      </c>
      <c r="P510" s="7">
        <v>45657</v>
      </c>
    </row>
    <row r="511" spans="1:16" x14ac:dyDescent="0.3">
      <c r="A511">
        <v>510</v>
      </c>
      <c r="B511" s="7">
        <v>45333</v>
      </c>
      <c r="C511" t="s">
        <v>14</v>
      </c>
      <c r="D511">
        <v>399</v>
      </c>
      <c r="E511">
        <v>5.8</v>
      </c>
      <c r="F511">
        <v>4</v>
      </c>
      <c r="G511">
        <v>5</v>
      </c>
      <c r="H511">
        <v>17</v>
      </c>
      <c r="I511">
        <v>33</v>
      </c>
      <c r="J511" t="s">
        <v>13</v>
      </c>
      <c r="K511">
        <f>IF(J511="Yes", 1, 0)</f>
        <v>0</v>
      </c>
      <c r="L511" t="str">
        <f>IF(G511=0,"0 Failures","1+ Failures")</f>
        <v>1+ Failures</v>
      </c>
      <c r="M511" t="str">
        <f t="shared" si="23"/>
        <v>5-10 hrs</v>
      </c>
      <c r="N511" t="str">
        <f t="shared" si="21"/>
        <v>12+ months</v>
      </c>
      <c r="O511" t="str">
        <f t="shared" si="22"/>
        <v>Basic</v>
      </c>
      <c r="P511" s="7">
        <v>45657</v>
      </c>
    </row>
    <row r="512" spans="1:16" x14ac:dyDescent="0.3">
      <c r="A512">
        <v>511</v>
      </c>
      <c r="B512" s="7">
        <v>45216</v>
      </c>
      <c r="C512" t="s">
        <v>10</v>
      </c>
      <c r="D512">
        <v>699</v>
      </c>
      <c r="E512">
        <v>0.7</v>
      </c>
      <c r="F512">
        <v>5</v>
      </c>
      <c r="G512">
        <v>4</v>
      </c>
      <c r="H512">
        <v>7</v>
      </c>
      <c r="I512">
        <v>41</v>
      </c>
      <c r="J512" t="s">
        <v>11</v>
      </c>
      <c r="K512">
        <f>IF(J512="Yes", 1, 0)</f>
        <v>1</v>
      </c>
      <c r="L512" t="str">
        <f>IF(G512=0,"0 Failures","1+ Failures")</f>
        <v>1+ Failures</v>
      </c>
      <c r="M512" t="str">
        <f t="shared" si="23"/>
        <v>0-5 hrs</v>
      </c>
      <c r="N512" t="str">
        <f t="shared" si="21"/>
        <v>6-12months</v>
      </c>
      <c r="O512" t="str">
        <f t="shared" si="22"/>
        <v>Premium</v>
      </c>
      <c r="P512" s="7">
        <v>45657</v>
      </c>
    </row>
    <row r="513" spans="1:16" x14ac:dyDescent="0.3">
      <c r="A513">
        <v>512</v>
      </c>
      <c r="B513" s="7">
        <v>45210</v>
      </c>
      <c r="C513" t="s">
        <v>14</v>
      </c>
      <c r="D513">
        <v>399</v>
      </c>
      <c r="E513">
        <v>12.3</v>
      </c>
      <c r="F513">
        <v>5</v>
      </c>
      <c r="G513">
        <v>2</v>
      </c>
      <c r="H513">
        <v>7</v>
      </c>
      <c r="I513">
        <v>40</v>
      </c>
      <c r="J513" t="s">
        <v>11</v>
      </c>
      <c r="K513">
        <f>IF(J513="Yes", 1, 0)</f>
        <v>1</v>
      </c>
      <c r="L513" t="str">
        <f>IF(G513=0,"0 Failures","1+ Failures")</f>
        <v>1+ Failures</v>
      </c>
      <c r="M513" t="str">
        <f t="shared" si="23"/>
        <v>10-20hrs</v>
      </c>
      <c r="N513" t="str">
        <f t="shared" si="21"/>
        <v>6-12months</v>
      </c>
      <c r="O513" t="str">
        <f t="shared" si="22"/>
        <v>Basic</v>
      </c>
      <c r="P513" s="7">
        <v>45657</v>
      </c>
    </row>
    <row r="514" spans="1:16" x14ac:dyDescent="0.3">
      <c r="A514">
        <v>513</v>
      </c>
      <c r="B514" s="7">
        <v>45541</v>
      </c>
      <c r="C514" t="s">
        <v>14</v>
      </c>
      <c r="D514">
        <v>399</v>
      </c>
      <c r="E514">
        <v>5.0999999999999996</v>
      </c>
      <c r="F514">
        <v>8</v>
      </c>
      <c r="G514">
        <v>1</v>
      </c>
      <c r="H514">
        <v>20</v>
      </c>
      <c r="I514">
        <v>57</v>
      </c>
      <c r="J514" t="s">
        <v>11</v>
      </c>
      <c r="K514">
        <f>IF(J514="Yes", 1, 0)</f>
        <v>1</v>
      </c>
      <c r="L514" t="str">
        <f>IF(G514=0,"0 Failures","1+ Failures")</f>
        <v>1+ Failures</v>
      </c>
      <c r="M514" t="str">
        <f t="shared" si="23"/>
        <v>5-10 hrs</v>
      </c>
      <c r="N514" t="str">
        <f t="shared" si="21"/>
        <v>12+ months</v>
      </c>
      <c r="O514" t="str">
        <f t="shared" si="22"/>
        <v>Basic</v>
      </c>
      <c r="P514" s="7">
        <v>45657</v>
      </c>
    </row>
    <row r="515" spans="1:16" x14ac:dyDescent="0.3">
      <c r="A515">
        <v>514</v>
      </c>
      <c r="B515" s="7">
        <v>45192</v>
      </c>
      <c r="C515" t="s">
        <v>14</v>
      </c>
      <c r="D515">
        <v>399</v>
      </c>
      <c r="E515">
        <v>17.2</v>
      </c>
      <c r="F515">
        <v>0</v>
      </c>
      <c r="G515">
        <v>5</v>
      </c>
      <c r="H515">
        <v>21</v>
      </c>
      <c r="I515">
        <v>31</v>
      </c>
      <c r="J515" t="s">
        <v>13</v>
      </c>
      <c r="K515">
        <f>IF(J515="Yes", 1, 0)</f>
        <v>0</v>
      </c>
      <c r="L515" t="str">
        <f>IF(G515=0,"0 Failures","1+ Failures")</f>
        <v>1+ Failures</v>
      </c>
      <c r="M515" t="str">
        <f t="shared" si="23"/>
        <v>10-20hrs</v>
      </c>
      <c r="N515" t="str">
        <f t="shared" ref="N515:N578" si="24">IF(H515&lt;=3, "0-3months", IF(H515&lt;=6, "3-6months", IF(H515&lt;=12, "6-12months", "12+ months")))</f>
        <v>12+ months</v>
      </c>
      <c r="O515" t="str">
        <f t="shared" ref="O515:O578" si="25">IF(C515="premium", "Premium", "Basic")</f>
        <v>Basic</v>
      </c>
      <c r="P515" s="7">
        <v>45657</v>
      </c>
    </row>
    <row r="516" spans="1:16" x14ac:dyDescent="0.3">
      <c r="A516">
        <v>515</v>
      </c>
      <c r="B516" s="7">
        <v>45121</v>
      </c>
      <c r="C516" t="s">
        <v>14</v>
      </c>
      <c r="D516">
        <v>399</v>
      </c>
      <c r="E516">
        <v>10</v>
      </c>
      <c r="F516">
        <v>0</v>
      </c>
      <c r="G516">
        <v>4</v>
      </c>
      <c r="H516">
        <v>26</v>
      </c>
      <c r="I516">
        <v>45</v>
      </c>
      <c r="J516" t="s">
        <v>13</v>
      </c>
      <c r="K516">
        <f>IF(J516="Yes", 1, 0)</f>
        <v>0</v>
      </c>
      <c r="L516" t="str">
        <f>IF(G516=0,"0 Failures","1+ Failures")</f>
        <v>1+ Failures</v>
      </c>
      <c r="M516" t="str">
        <f t="shared" si="23"/>
        <v>5-10 hrs</v>
      </c>
      <c r="N516" t="str">
        <f t="shared" si="24"/>
        <v>12+ months</v>
      </c>
      <c r="O516" t="str">
        <f t="shared" si="25"/>
        <v>Basic</v>
      </c>
      <c r="P516" s="7">
        <v>45657</v>
      </c>
    </row>
    <row r="517" spans="1:16" x14ac:dyDescent="0.3">
      <c r="A517">
        <v>516</v>
      </c>
      <c r="B517" s="7">
        <v>45101</v>
      </c>
      <c r="C517" t="s">
        <v>14</v>
      </c>
      <c r="D517">
        <v>399</v>
      </c>
      <c r="E517">
        <v>17.3</v>
      </c>
      <c r="F517">
        <v>7</v>
      </c>
      <c r="G517">
        <v>5</v>
      </c>
      <c r="H517">
        <v>15</v>
      </c>
      <c r="I517">
        <v>22</v>
      </c>
      <c r="J517" t="s">
        <v>11</v>
      </c>
      <c r="K517">
        <f>IF(J517="Yes", 1, 0)</f>
        <v>1</v>
      </c>
      <c r="L517" t="str">
        <f>IF(G517=0,"0 Failures","1+ Failures")</f>
        <v>1+ Failures</v>
      </c>
      <c r="M517" t="str">
        <f t="shared" si="23"/>
        <v>10-20hrs</v>
      </c>
      <c r="N517" t="str">
        <f t="shared" si="24"/>
        <v>12+ months</v>
      </c>
      <c r="O517" t="str">
        <f t="shared" si="25"/>
        <v>Basic</v>
      </c>
      <c r="P517" s="7">
        <v>45657</v>
      </c>
    </row>
    <row r="518" spans="1:16" x14ac:dyDescent="0.3">
      <c r="A518">
        <v>517</v>
      </c>
      <c r="B518" s="7">
        <v>45499</v>
      </c>
      <c r="C518" t="s">
        <v>10</v>
      </c>
      <c r="D518">
        <v>699</v>
      </c>
      <c r="E518">
        <v>4.9000000000000004</v>
      </c>
      <c r="F518">
        <v>1</v>
      </c>
      <c r="G518">
        <v>3</v>
      </c>
      <c r="H518">
        <v>36</v>
      </c>
      <c r="I518">
        <v>8</v>
      </c>
      <c r="J518" t="s">
        <v>13</v>
      </c>
      <c r="K518">
        <f>IF(J518="Yes", 1, 0)</f>
        <v>0</v>
      </c>
      <c r="L518" t="str">
        <f>IF(G518=0,"0 Failures","1+ Failures")</f>
        <v>1+ Failures</v>
      </c>
      <c r="M518" t="str">
        <f t="shared" si="23"/>
        <v>0-5 hrs</v>
      </c>
      <c r="N518" t="str">
        <f t="shared" si="24"/>
        <v>12+ months</v>
      </c>
      <c r="O518" t="str">
        <f t="shared" si="25"/>
        <v>Premium</v>
      </c>
      <c r="P518" s="7">
        <v>45657</v>
      </c>
    </row>
    <row r="519" spans="1:16" x14ac:dyDescent="0.3">
      <c r="A519">
        <v>518</v>
      </c>
      <c r="B519" s="7">
        <v>45241</v>
      </c>
      <c r="C519" t="s">
        <v>12</v>
      </c>
      <c r="D519">
        <v>199</v>
      </c>
      <c r="E519">
        <v>16.5</v>
      </c>
      <c r="F519">
        <v>3</v>
      </c>
      <c r="G519">
        <v>2</v>
      </c>
      <c r="H519">
        <v>22</v>
      </c>
      <c r="I519">
        <v>14</v>
      </c>
      <c r="J519" t="s">
        <v>13</v>
      </c>
      <c r="K519">
        <f>IF(J519="Yes", 1, 0)</f>
        <v>0</v>
      </c>
      <c r="L519" t="str">
        <f>IF(G519=0,"0 Failures","1+ Failures")</f>
        <v>1+ Failures</v>
      </c>
      <c r="M519" t="str">
        <f t="shared" si="23"/>
        <v>10-20hrs</v>
      </c>
      <c r="N519" t="str">
        <f t="shared" si="24"/>
        <v>12+ months</v>
      </c>
      <c r="O519" t="str">
        <f t="shared" si="25"/>
        <v>Basic</v>
      </c>
      <c r="P519" s="7">
        <v>45657</v>
      </c>
    </row>
    <row r="520" spans="1:16" x14ac:dyDescent="0.3">
      <c r="A520">
        <v>519</v>
      </c>
      <c r="B520" s="7">
        <v>44981</v>
      </c>
      <c r="C520" t="s">
        <v>14</v>
      </c>
      <c r="D520">
        <v>399</v>
      </c>
      <c r="E520">
        <v>9.6</v>
      </c>
      <c r="F520">
        <v>4</v>
      </c>
      <c r="G520">
        <v>3</v>
      </c>
      <c r="H520">
        <v>22</v>
      </c>
      <c r="I520">
        <v>54</v>
      </c>
      <c r="J520" t="s">
        <v>11</v>
      </c>
      <c r="K520">
        <f>IF(J520="Yes", 1, 0)</f>
        <v>1</v>
      </c>
      <c r="L520" t="str">
        <f>IF(G520=0,"0 Failures","1+ Failures")</f>
        <v>1+ Failures</v>
      </c>
      <c r="M520" t="str">
        <f t="shared" si="23"/>
        <v>5-10 hrs</v>
      </c>
      <c r="N520" t="str">
        <f t="shared" si="24"/>
        <v>12+ months</v>
      </c>
      <c r="O520" t="str">
        <f t="shared" si="25"/>
        <v>Basic</v>
      </c>
      <c r="P520" s="7">
        <v>45657</v>
      </c>
    </row>
    <row r="521" spans="1:16" x14ac:dyDescent="0.3">
      <c r="A521">
        <v>520</v>
      </c>
      <c r="B521" s="7">
        <v>45317</v>
      </c>
      <c r="C521" t="s">
        <v>10</v>
      </c>
      <c r="D521">
        <v>699</v>
      </c>
      <c r="E521">
        <v>12.1</v>
      </c>
      <c r="F521">
        <v>3</v>
      </c>
      <c r="G521">
        <v>4</v>
      </c>
      <c r="H521">
        <v>5</v>
      </c>
      <c r="I521">
        <v>7</v>
      </c>
      <c r="J521" t="s">
        <v>13</v>
      </c>
      <c r="K521">
        <f>IF(J521="Yes", 1, 0)</f>
        <v>0</v>
      </c>
      <c r="L521" t="str">
        <f>IF(G521=0,"0 Failures","1+ Failures")</f>
        <v>1+ Failures</v>
      </c>
      <c r="M521" t="str">
        <f t="shared" si="23"/>
        <v>10-20hrs</v>
      </c>
      <c r="N521" t="str">
        <f t="shared" si="24"/>
        <v>3-6months</v>
      </c>
      <c r="O521" t="str">
        <f t="shared" si="25"/>
        <v>Premium</v>
      </c>
      <c r="P521" s="7">
        <v>45657</v>
      </c>
    </row>
    <row r="522" spans="1:16" x14ac:dyDescent="0.3">
      <c r="A522">
        <v>521</v>
      </c>
      <c r="B522" s="7">
        <v>45510</v>
      </c>
      <c r="C522" t="s">
        <v>10</v>
      </c>
      <c r="D522">
        <v>699</v>
      </c>
      <c r="E522">
        <v>10.6</v>
      </c>
      <c r="F522">
        <v>2</v>
      </c>
      <c r="G522">
        <v>1</v>
      </c>
      <c r="H522">
        <v>20</v>
      </c>
      <c r="I522">
        <v>12</v>
      </c>
      <c r="J522" t="s">
        <v>13</v>
      </c>
      <c r="K522">
        <f>IF(J522="Yes", 1, 0)</f>
        <v>0</v>
      </c>
      <c r="L522" t="str">
        <f>IF(G522=0,"0 Failures","1+ Failures")</f>
        <v>1+ Failures</v>
      </c>
      <c r="M522" t="str">
        <f t="shared" si="23"/>
        <v>10-20hrs</v>
      </c>
      <c r="N522" t="str">
        <f t="shared" si="24"/>
        <v>12+ months</v>
      </c>
      <c r="O522" t="str">
        <f t="shared" si="25"/>
        <v>Premium</v>
      </c>
      <c r="P522" s="7">
        <v>45657</v>
      </c>
    </row>
    <row r="523" spans="1:16" x14ac:dyDescent="0.3">
      <c r="A523">
        <v>522</v>
      </c>
      <c r="B523" s="7">
        <v>45108</v>
      </c>
      <c r="C523" t="s">
        <v>14</v>
      </c>
      <c r="D523">
        <v>399</v>
      </c>
      <c r="E523">
        <v>8.3000000000000007</v>
      </c>
      <c r="F523">
        <v>2</v>
      </c>
      <c r="G523">
        <v>0</v>
      </c>
      <c r="H523">
        <v>10</v>
      </c>
      <c r="I523">
        <v>31</v>
      </c>
      <c r="J523" t="s">
        <v>11</v>
      </c>
      <c r="K523">
        <f>IF(J523="Yes", 1, 0)</f>
        <v>1</v>
      </c>
      <c r="L523" t="str">
        <f>IF(G523=0,"0 Failures","1+ Failures")</f>
        <v>0 Failures</v>
      </c>
      <c r="M523" t="str">
        <f t="shared" ref="M523:M586" si="26">IF(E523&lt;=5, "0-5 hrs",    IF(E523&lt;=10, "5-10 hrs",    IF(E523&lt;=20, "10-20hrs", "20+ hrs")))</f>
        <v>5-10 hrs</v>
      </c>
      <c r="N523" t="str">
        <f t="shared" si="24"/>
        <v>6-12months</v>
      </c>
      <c r="O523" t="str">
        <f t="shared" si="25"/>
        <v>Basic</v>
      </c>
      <c r="P523" s="7">
        <v>45657</v>
      </c>
    </row>
    <row r="524" spans="1:16" x14ac:dyDescent="0.3">
      <c r="A524">
        <v>523</v>
      </c>
      <c r="B524" s="7">
        <v>45517</v>
      </c>
      <c r="C524" t="s">
        <v>14</v>
      </c>
      <c r="D524">
        <v>399</v>
      </c>
      <c r="E524">
        <v>0.6</v>
      </c>
      <c r="F524">
        <v>4</v>
      </c>
      <c r="G524">
        <v>1</v>
      </c>
      <c r="H524">
        <v>4</v>
      </c>
      <c r="I524">
        <v>48</v>
      </c>
      <c r="J524" t="s">
        <v>13</v>
      </c>
      <c r="K524">
        <f>IF(J524="Yes", 1, 0)</f>
        <v>0</v>
      </c>
      <c r="L524" t="str">
        <f>IF(G524=0,"0 Failures","1+ Failures")</f>
        <v>1+ Failures</v>
      </c>
      <c r="M524" t="str">
        <f t="shared" si="26"/>
        <v>0-5 hrs</v>
      </c>
      <c r="N524" t="str">
        <f t="shared" si="24"/>
        <v>3-6months</v>
      </c>
      <c r="O524" t="str">
        <f t="shared" si="25"/>
        <v>Basic</v>
      </c>
      <c r="P524" s="7">
        <v>45657</v>
      </c>
    </row>
    <row r="525" spans="1:16" x14ac:dyDescent="0.3">
      <c r="A525">
        <v>524</v>
      </c>
      <c r="B525" s="7">
        <v>45366</v>
      </c>
      <c r="C525" t="s">
        <v>12</v>
      </c>
      <c r="D525">
        <v>199</v>
      </c>
      <c r="E525">
        <v>19.7</v>
      </c>
      <c r="F525">
        <v>1</v>
      </c>
      <c r="G525">
        <v>1</v>
      </c>
      <c r="H525">
        <v>32</v>
      </c>
      <c r="I525">
        <v>39</v>
      </c>
      <c r="J525" t="s">
        <v>13</v>
      </c>
      <c r="K525">
        <f>IF(J525="Yes", 1, 0)</f>
        <v>0</v>
      </c>
      <c r="L525" t="str">
        <f>IF(G525=0,"0 Failures","1+ Failures")</f>
        <v>1+ Failures</v>
      </c>
      <c r="M525" t="str">
        <f t="shared" si="26"/>
        <v>10-20hrs</v>
      </c>
      <c r="N525" t="str">
        <f t="shared" si="24"/>
        <v>12+ months</v>
      </c>
      <c r="O525" t="str">
        <f t="shared" si="25"/>
        <v>Basic</v>
      </c>
      <c r="P525" s="7">
        <v>45657</v>
      </c>
    </row>
    <row r="526" spans="1:16" x14ac:dyDescent="0.3">
      <c r="A526">
        <v>525</v>
      </c>
      <c r="B526" s="7">
        <v>45309</v>
      </c>
      <c r="C526" t="s">
        <v>14</v>
      </c>
      <c r="D526">
        <v>399</v>
      </c>
      <c r="E526">
        <v>24.2</v>
      </c>
      <c r="F526">
        <v>6</v>
      </c>
      <c r="G526">
        <v>0</v>
      </c>
      <c r="H526">
        <v>28</v>
      </c>
      <c r="I526">
        <v>2</v>
      </c>
      <c r="J526" t="s">
        <v>13</v>
      </c>
      <c r="K526">
        <f>IF(J526="Yes", 1, 0)</f>
        <v>0</v>
      </c>
      <c r="L526" t="str">
        <f>IF(G526=0,"0 Failures","1+ Failures")</f>
        <v>0 Failures</v>
      </c>
      <c r="M526" t="str">
        <f t="shared" si="26"/>
        <v>20+ hrs</v>
      </c>
      <c r="N526" t="str">
        <f t="shared" si="24"/>
        <v>12+ months</v>
      </c>
      <c r="O526" t="str">
        <f t="shared" si="25"/>
        <v>Basic</v>
      </c>
      <c r="P526" s="7">
        <v>45657</v>
      </c>
    </row>
    <row r="527" spans="1:16" x14ac:dyDescent="0.3">
      <c r="A527">
        <v>526</v>
      </c>
      <c r="B527" s="7">
        <v>45568</v>
      </c>
      <c r="C527" t="s">
        <v>12</v>
      </c>
      <c r="D527">
        <v>199</v>
      </c>
      <c r="E527">
        <v>19</v>
      </c>
      <c r="F527">
        <v>8</v>
      </c>
      <c r="G527">
        <v>1</v>
      </c>
      <c r="H527">
        <v>21</v>
      </c>
      <c r="I527">
        <v>1</v>
      </c>
      <c r="J527" t="s">
        <v>13</v>
      </c>
      <c r="K527">
        <f>IF(J527="Yes", 1, 0)</f>
        <v>0</v>
      </c>
      <c r="L527" t="str">
        <f>IF(G527=0,"0 Failures","1+ Failures")</f>
        <v>1+ Failures</v>
      </c>
      <c r="M527" t="str">
        <f t="shared" si="26"/>
        <v>10-20hrs</v>
      </c>
      <c r="N527" t="str">
        <f t="shared" si="24"/>
        <v>12+ months</v>
      </c>
      <c r="O527" t="str">
        <f t="shared" si="25"/>
        <v>Basic</v>
      </c>
      <c r="P527" s="7">
        <v>45657</v>
      </c>
    </row>
    <row r="528" spans="1:16" x14ac:dyDescent="0.3">
      <c r="A528">
        <v>527</v>
      </c>
      <c r="B528" s="7">
        <v>45442</v>
      </c>
      <c r="C528" t="s">
        <v>10</v>
      </c>
      <c r="D528">
        <v>699</v>
      </c>
      <c r="E528">
        <v>6</v>
      </c>
      <c r="F528">
        <v>5</v>
      </c>
      <c r="G528">
        <v>2</v>
      </c>
      <c r="H528">
        <v>16</v>
      </c>
      <c r="I528">
        <v>8</v>
      </c>
      <c r="J528" t="s">
        <v>11</v>
      </c>
      <c r="K528">
        <f>IF(J528="Yes", 1, 0)</f>
        <v>1</v>
      </c>
      <c r="L528" t="str">
        <f>IF(G528=0,"0 Failures","1+ Failures")</f>
        <v>1+ Failures</v>
      </c>
      <c r="M528" t="str">
        <f t="shared" si="26"/>
        <v>5-10 hrs</v>
      </c>
      <c r="N528" t="str">
        <f t="shared" si="24"/>
        <v>12+ months</v>
      </c>
      <c r="O528" t="str">
        <f t="shared" si="25"/>
        <v>Premium</v>
      </c>
      <c r="P528" s="7">
        <v>45657</v>
      </c>
    </row>
    <row r="529" spans="1:16" x14ac:dyDescent="0.3">
      <c r="A529">
        <v>528</v>
      </c>
      <c r="B529" s="7">
        <v>45459</v>
      </c>
      <c r="C529" t="s">
        <v>10</v>
      </c>
      <c r="D529">
        <v>699</v>
      </c>
      <c r="E529">
        <v>4.5999999999999996</v>
      </c>
      <c r="F529">
        <v>0</v>
      </c>
      <c r="G529">
        <v>2</v>
      </c>
      <c r="H529">
        <v>20</v>
      </c>
      <c r="I529">
        <v>60</v>
      </c>
      <c r="J529" t="s">
        <v>11</v>
      </c>
      <c r="K529">
        <f>IF(J529="Yes", 1, 0)</f>
        <v>1</v>
      </c>
      <c r="L529" t="str">
        <f>IF(G529=0,"0 Failures","1+ Failures")</f>
        <v>1+ Failures</v>
      </c>
      <c r="M529" t="str">
        <f t="shared" si="26"/>
        <v>0-5 hrs</v>
      </c>
      <c r="N529" t="str">
        <f t="shared" si="24"/>
        <v>12+ months</v>
      </c>
      <c r="O529" t="str">
        <f t="shared" si="25"/>
        <v>Premium</v>
      </c>
      <c r="P529" s="7">
        <v>45657</v>
      </c>
    </row>
    <row r="530" spans="1:16" x14ac:dyDescent="0.3">
      <c r="A530">
        <v>529</v>
      </c>
      <c r="B530" s="7">
        <v>45119</v>
      </c>
      <c r="C530" t="s">
        <v>10</v>
      </c>
      <c r="D530">
        <v>699</v>
      </c>
      <c r="E530">
        <v>8.8000000000000007</v>
      </c>
      <c r="F530">
        <v>2</v>
      </c>
      <c r="G530">
        <v>2</v>
      </c>
      <c r="H530">
        <v>34</v>
      </c>
      <c r="I530">
        <v>57</v>
      </c>
      <c r="J530" t="s">
        <v>11</v>
      </c>
      <c r="K530">
        <f>IF(J530="Yes", 1, 0)</f>
        <v>1</v>
      </c>
      <c r="L530" t="str">
        <f>IF(G530=0,"0 Failures","1+ Failures")</f>
        <v>1+ Failures</v>
      </c>
      <c r="M530" t="str">
        <f t="shared" si="26"/>
        <v>5-10 hrs</v>
      </c>
      <c r="N530" t="str">
        <f t="shared" si="24"/>
        <v>12+ months</v>
      </c>
      <c r="O530" t="str">
        <f t="shared" si="25"/>
        <v>Premium</v>
      </c>
      <c r="P530" s="7">
        <v>45657</v>
      </c>
    </row>
    <row r="531" spans="1:16" x14ac:dyDescent="0.3">
      <c r="A531">
        <v>530</v>
      </c>
      <c r="B531" s="7">
        <v>44949</v>
      </c>
      <c r="C531" t="s">
        <v>12</v>
      </c>
      <c r="D531">
        <v>199</v>
      </c>
      <c r="E531">
        <v>1</v>
      </c>
      <c r="F531">
        <v>3</v>
      </c>
      <c r="G531">
        <v>5</v>
      </c>
      <c r="H531">
        <v>26</v>
      </c>
      <c r="I531">
        <v>8</v>
      </c>
      <c r="J531" t="s">
        <v>11</v>
      </c>
      <c r="K531">
        <f>IF(J531="Yes", 1, 0)</f>
        <v>1</v>
      </c>
      <c r="L531" t="str">
        <f>IF(G531=0,"0 Failures","1+ Failures")</f>
        <v>1+ Failures</v>
      </c>
      <c r="M531" t="str">
        <f t="shared" si="26"/>
        <v>0-5 hrs</v>
      </c>
      <c r="N531" t="str">
        <f t="shared" si="24"/>
        <v>12+ months</v>
      </c>
      <c r="O531" t="str">
        <f t="shared" si="25"/>
        <v>Basic</v>
      </c>
      <c r="P531" s="7">
        <v>45657</v>
      </c>
    </row>
    <row r="532" spans="1:16" x14ac:dyDescent="0.3">
      <c r="A532">
        <v>531</v>
      </c>
      <c r="B532" s="7">
        <v>45311</v>
      </c>
      <c r="C532" t="s">
        <v>10</v>
      </c>
      <c r="D532">
        <v>699</v>
      </c>
      <c r="E532">
        <v>4.5999999999999996</v>
      </c>
      <c r="F532">
        <v>5</v>
      </c>
      <c r="G532">
        <v>5</v>
      </c>
      <c r="H532">
        <v>33</v>
      </c>
      <c r="I532">
        <v>41</v>
      </c>
      <c r="J532" t="s">
        <v>11</v>
      </c>
      <c r="K532">
        <f>IF(J532="Yes", 1, 0)</f>
        <v>1</v>
      </c>
      <c r="L532" t="str">
        <f>IF(G532=0,"0 Failures","1+ Failures")</f>
        <v>1+ Failures</v>
      </c>
      <c r="M532" t="str">
        <f t="shared" si="26"/>
        <v>0-5 hrs</v>
      </c>
      <c r="N532" t="str">
        <f t="shared" si="24"/>
        <v>12+ months</v>
      </c>
      <c r="O532" t="str">
        <f t="shared" si="25"/>
        <v>Premium</v>
      </c>
      <c r="P532" s="7">
        <v>45657</v>
      </c>
    </row>
    <row r="533" spans="1:16" x14ac:dyDescent="0.3">
      <c r="A533">
        <v>532</v>
      </c>
      <c r="B533" s="7">
        <v>45596</v>
      </c>
      <c r="C533" t="s">
        <v>10</v>
      </c>
      <c r="D533">
        <v>699</v>
      </c>
      <c r="E533">
        <v>19.399999999999999</v>
      </c>
      <c r="F533">
        <v>0</v>
      </c>
      <c r="G533">
        <v>4</v>
      </c>
      <c r="H533">
        <v>17</v>
      </c>
      <c r="I533">
        <v>3</v>
      </c>
      <c r="J533" t="s">
        <v>13</v>
      </c>
      <c r="K533">
        <f>IF(J533="Yes", 1, 0)</f>
        <v>0</v>
      </c>
      <c r="L533" t="str">
        <f>IF(G533=0,"0 Failures","1+ Failures")</f>
        <v>1+ Failures</v>
      </c>
      <c r="M533" t="str">
        <f t="shared" si="26"/>
        <v>10-20hrs</v>
      </c>
      <c r="N533" t="str">
        <f t="shared" si="24"/>
        <v>12+ months</v>
      </c>
      <c r="O533" t="str">
        <f t="shared" si="25"/>
        <v>Premium</v>
      </c>
      <c r="P533" s="7">
        <v>45657</v>
      </c>
    </row>
    <row r="534" spans="1:16" x14ac:dyDescent="0.3">
      <c r="A534">
        <v>533</v>
      </c>
      <c r="B534" s="7">
        <v>45185</v>
      </c>
      <c r="C534" t="s">
        <v>12</v>
      </c>
      <c r="D534">
        <v>199</v>
      </c>
      <c r="E534">
        <v>17.399999999999999</v>
      </c>
      <c r="F534">
        <v>6</v>
      </c>
      <c r="G534">
        <v>3</v>
      </c>
      <c r="H534">
        <v>4</v>
      </c>
      <c r="I534">
        <v>24</v>
      </c>
      <c r="J534" t="s">
        <v>11</v>
      </c>
      <c r="K534">
        <f>IF(J534="Yes", 1, 0)</f>
        <v>1</v>
      </c>
      <c r="L534" t="str">
        <f>IF(G534=0,"0 Failures","1+ Failures")</f>
        <v>1+ Failures</v>
      </c>
      <c r="M534" t="str">
        <f t="shared" si="26"/>
        <v>10-20hrs</v>
      </c>
      <c r="N534" t="str">
        <f t="shared" si="24"/>
        <v>3-6months</v>
      </c>
      <c r="O534" t="str">
        <f t="shared" si="25"/>
        <v>Basic</v>
      </c>
      <c r="P534" s="7">
        <v>45657</v>
      </c>
    </row>
    <row r="535" spans="1:16" x14ac:dyDescent="0.3">
      <c r="A535">
        <v>534</v>
      </c>
      <c r="B535" s="7">
        <v>45605</v>
      </c>
      <c r="C535" t="s">
        <v>14</v>
      </c>
      <c r="D535">
        <v>399</v>
      </c>
      <c r="E535">
        <v>5.5</v>
      </c>
      <c r="F535">
        <v>0</v>
      </c>
      <c r="G535">
        <v>2</v>
      </c>
      <c r="H535">
        <v>10</v>
      </c>
      <c r="I535">
        <v>26</v>
      </c>
      <c r="J535" t="s">
        <v>13</v>
      </c>
      <c r="K535">
        <f>IF(J535="Yes", 1, 0)</f>
        <v>0</v>
      </c>
      <c r="L535" t="str">
        <f>IF(G535=0,"0 Failures","1+ Failures")</f>
        <v>1+ Failures</v>
      </c>
      <c r="M535" t="str">
        <f t="shared" si="26"/>
        <v>5-10 hrs</v>
      </c>
      <c r="N535" t="str">
        <f t="shared" si="24"/>
        <v>6-12months</v>
      </c>
      <c r="O535" t="str">
        <f t="shared" si="25"/>
        <v>Basic</v>
      </c>
      <c r="P535" s="7">
        <v>45657</v>
      </c>
    </row>
    <row r="536" spans="1:16" x14ac:dyDescent="0.3">
      <c r="A536">
        <v>535</v>
      </c>
      <c r="B536" s="7">
        <v>45450</v>
      </c>
      <c r="C536" t="s">
        <v>10</v>
      </c>
      <c r="D536">
        <v>699</v>
      </c>
      <c r="E536">
        <v>15.8</v>
      </c>
      <c r="F536">
        <v>2</v>
      </c>
      <c r="G536">
        <v>3</v>
      </c>
      <c r="H536">
        <v>18</v>
      </c>
      <c r="I536">
        <v>53</v>
      </c>
      <c r="J536" t="s">
        <v>13</v>
      </c>
      <c r="K536">
        <f>IF(J536="Yes", 1, 0)</f>
        <v>0</v>
      </c>
      <c r="L536" t="str">
        <f>IF(G536=0,"0 Failures","1+ Failures")</f>
        <v>1+ Failures</v>
      </c>
      <c r="M536" t="str">
        <f t="shared" si="26"/>
        <v>10-20hrs</v>
      </c>
      <c r="N536" t="str">
        <f t="shared" si="24"/>
        <v>12+ months</v>
      </c>
      <c r="O536" t="str">
        <f t="shared" si="25"/>
        <v>Premium</v>
      </c>
      <c r="P536" s="7">
        <v>45657</v>
      </c>
    </row>
    <row r="537" spans="1:16" x14ac:dyDescent="0.3">
      <c r="A537">
        <v>536</v>
      </c>
      <c r="B537" s="7">
        <v>45196</v>
      </c>
      <c r="C537" t="s">
        <v>10</v>
      </c>
      <c r="D537">
        <v>699</v>
      </c>
      <c r="E537">
        <v>7.4</v>
      </c>
      <c r="F537">
        <v>1</v>
      </c>
      <c r="G537">
        <v>3</v>
      </c>
      <c r="H537">
        <v>8</v>
      </c>
      <c r="I537">
        <v>12</v>
      </c>
      <c r="J537" t="s">
        <v>13</v>
      </c>
      <c r="K537">
        <f>IF(J537="Yes", 1, 0)</f>
        <v>0</v>
      </c>
      <c r="L537" t="str">
        <f>IF(G537=0,"0 Failures","1+ Failures")</f>
        <v>1+ Failures</v>
      </c>
      <c r="M537" t="str">
        <f t="shared" si="26"/>
        <v>5-10 hrs</v>
      </c>
      <c r="N537" t="str">
        <f t="shared" si="24"/>
        <v>6-12months</v>
      </c>
      <c r="O537" t="str">
        <f t="shared" si="25"/>
        <v>Premium</v>
      </c>
      <c r="P537" s="7">
        <v>45657</v>
      </c>
    </row>
    <row r="538" spans="1:16" x14ac:dyDescent="0.3">
      <c r="A538">
        <v>537</v>
      </c>
      <c r="B538" s="7">
        <v>45435</v>
      </c>
      <c r="C538" t="s">
        <v>10</v>
      </c>
      <c r="D538">
        <v>699</v>
      </c>
      <c r="E538">
        <v>9.3000000000000007</v>
      </c>
      <c r="F538">
        <v>6</v>
      </c>
      <c r="G538">
        <v>2</v>
      </c>
      <c r="H538">
        <v>13</v>
      </c>
      <c r="I538">
        <v>10</v>
      </c>
      <c r="J538" t="s">
        <v>11</v>
      </c>
      <c r="K538">
        <f>IF(J538="Yes", 1, 0)</f>
        <v>1</v>
      </c>
      <c r="L538" t="str">
        <f>IF(G538=0,"0 Failures","1+ Failures")</f>
        <v>1+ Failures</v>
      </c>
      <c r="M538" t="str">
        <f t="shared" si="26"/>
        <v>5-10 hrs</v>
      </c>
      <c r="N538" t="str">
        <f t="shared" si="24"/>
        <v>12+ months</v>
      </c>
      <c r="O538" t="str">
        <f t="shared" si="25"/>
        <v>Premium</v>
      </c>
      <c r="P538" s="7">
        <v>45657</v>
      </c>
    </row>
    <row r="539" spans="1:16" x14ac:dyDescent="0.3">
      <c r="A539">
        <v>538</v>
      </c>
      <c r="B539" s="7">
        <v>45040</v>
      </c>
      <c r="C539" t="s">
        <v>12</v>
      </c>
      <c r="D539">
        <v>199</v>
      </c>
      <c r="E539">
        <v>8.6</v>
      </c>
      <c r="F539">
        <v>0</v>
      </c>
      <c r="G539">
        <v>0</v>
      </c>
      <c r="H539">
        <v>31</v>
      </c>
      <c r="I539">
        <v>42</v>
      </c>
      <c r="J539" t="s">
        <v>11</v>
      </c>
      <c r="K539">
        <f>IF(J539="Yes", 1, 0)</f>
        <v>1</v>
      </c>
      <c r="L539" t="str">
        <f>IF(G539=0,"0 Failures","1+ Failures")</f>
        <v>0 Failures</v>
      </c>
      <c r="M539" t="str">
        <f t="shared" si="26"/>
        <v>5-10 hrs</v>
      </c>
      <c r="N539" t="str">
        <f t="shared" si="24"/>
        <v>12+ months</v>
      </c>
      <c r="O539" t="str">
        <f t="shared" si="25"/>
        <v>Basic</v>
      </c>
      <c r="P539" s="7">
        <v>45657</v>
      </c>
    </row>
    <row r="540" spans="1:16" x14ac:dyDescent="0.3">
      <c r="A540">
        <v>539</v>
      </c>
      <c r="B540" s="7">
        <v>45030</v>
      </c>
      <c r="C540" t="s">
        <v>10</v>
      </c>
      <c r="D540">
        <v>699</v>
      </c>
      <c r="E540">
        <v>4.2</v>
      </c>
      <c r="F540">
        <v>1</v>
      </c>
      <c r="G540">
        <v>4</v>
      </c>
      <c r="H540">
        <v>32</v>
      </c>
      <c r="I540">
        <v>4</v>
      </c>
      <c r="J540" t="s">
        <v>13</v>
      </c>
      <c r="K540">
        <f>IF(J540="Yes", 1, 0)</f>
        <v>0</v>
      </c>
      <c r="L540" t="str">
        <f>IF(G540=0,"0 Failures","1+ Failures")</f>
        <v>1+ Failures</v>
      </c>
      <c r="M540" t="str">
        <f t="shared" si="26"/>
        <v>0-5 hrs</v>
      </c>
      <c r="N540" t="str">
        <f t="shared" si="24"/>
        <v>12+ months</v>
      </c>
      <c r="O540" t="str">
        <f t="shared" si="25"/>
        <v>Premium</v>
      </c>
      <c r="P540" s="7">
        <v>45657</v>
      </c>
    </row>
    <row r="541" spans="1:16" x14ac:dyDescent="0.3">
      <c r="A541">
        <v>540</v>
      </c>
      <c r="B541" s="7">
        <v>45105</v>
      </c>
      <c r="C541" t="s">
        <v>14</v>
      </c>
      <c r="D541">
        <v>399</v>
      </c>
      <c r="E541">
        <v>11.7</v>
      </c>
      <c r="F541">
        <v>4</v>
      </c>
      <c r="G541">
        <v>2</v>
      </c>
      <c r="H541">
        <v>15</v>
      </c>
      <c r="I541">
        <v>29</v>
      </c>
      <c r="J541" t="s">
        <v>11</v>
      </c>
      <c r="K541">
        <f>IF(J541="Yes", 1, 0)</f>
        <v>1</v>
      </c>
      <c r="L541" t="str">
        <f>IF(G541=0,"0 Failures","1+ Failures")</f>
        <v>1+ Failures</v>
      </c>
      <c r="M541" t="str">
        <f t="shared" si="26"/>
        <v>10-20hrs</v>
      </c>
      <c r="N541" t="str">
        <f t="shared" si="24"/>
        <v>12+ months</v>
      </c>
      <c r="O541" t="str">
        <f t="shared" si="25"/>
        <v>Basic</v>
      </c>
      <c r="P541" s="7">
        <v>45657</v>
      </c>
    </row>
    <row r="542" spans="1:16" x14ac:dyDescent="0.3">
      <c r="A542">
        <v>541</v>
      </c>
      <c r="B542" s="7">
        <v>44973</v>
      </c>
      <c r="C542" t="s">
        <v>12</v>
      </c>
      <c r="D542">
        <v>199</v>
      </c>
      <c r="E542">
        <v>9.3000000000000007</v>
      </c>
      <c r="F542">
        <v>5</v>
      </c>
      <c r="G542">
        <v>3</v>
      </c>
      <c r="H542">
        <v>19</v>
      </c>
      <c r="I542">
        <v>47</v>
      </c>
      <c r="J542" t="s">
        <v>11</v>
      </c>
      <c r="K542">
        <f>IF(J542="Yes", 1, 0)</f>
        <v>1</v>
      </c>
      <c r="L542" t="str">
        <f>IF(G542=0,"0 Failures","1+ Failures")</f>
        <v>1+ Failures</v>
      </c>
      <c r="M542" t="str">
        <f t="shared" si="26"/>
        <v>5-10 hrs</v>
      </c>
      <c r="N542" t="str">
        <f t="shared" si="24"/>
        <v>12+ months</v>
      </c>
      <c r="O542" t="str">
        <f t="shared" si="25"/>
        <v>Basic</v>
      </c>
      <c r="P542" s="7">
        <v>45657</v>
      </c>
    </row>
    <row r="543" spans="1:16" x14ac:dyDescent="0.3">
      <c r="A543">
        <v>542</v>
      </c>
      <c r="B543" s="7">
        <v>45563</v>
      </c>
      <c r="C543" t="s">
        <v>12</v>
      </c>
      <c r="D543">
        <v>199</v>
      </c>
      <c r="E543">
        <v>16.8</v>
      </c>
      <c r="F543">
        <v>2</v>
      </c>
      <c r="G543">
        <v>2</v>
      </c>
      <c r="H543">
        <v>9</v>
      </c>
      <c r="I543">
        <v>22</v>
      </c>
      <c r="J543" t="s">
        <v>13</v>
      </c>
      <c r="K543">
        <f>IF(J543="Yes", 1, 0)</f>
        <v>0</v>
      </c>
      <c r="L543" t="str">
        <f>IF(G543=0,"0 Failures","1+ Failures")</f>
        <v>1+ Failures</v>
      </c>
      <c r="M543" t="str">
        <f t="shared" si="26"/>
        <v>10-20hrs</v>
      </c>
      <c r="N543" t="str">
        <f t="shared" si="24"/>
        <v>6-12months</v>
      </c>
      <c r="O543" t="str">
        <f t="shared" si="25"/>
        <v>Basic</v>
      </c>
      <c r="P543" s="7">
        <v>45657</v>
      </c>
    </row>
    <row r="544" spans="1:16" x14ac:dyDescent="0.3">
      <c r="A544">
        <v>543</v>
      </c>
      <c r="B544" s="7">
        <v>45394</v>
      </c>
      <c r="C544" t="s">
        <v>14</v>
      </c>
      <c r="D544">
        <v>399</v>
      </c>
      <c r="E544">
        <v>9.6</v>
      </c>
      <c r="F544">
        <v>5</v>
      </c>
      <c r="G544">
        <v>1</v>
      </c>
      <c r="H544">
        <v>6</v>
      </c>
      <c r="I544">
        <v>7</v>
      </c>
      <c r="J544" t="s">
        <v>13</v>
      </c>
      <c r="K544">
        <f>IF(J544="Yes", 1, 0)</f>
        <v>0</v>
      </c>
      <c r="L544" t="str">
        <f>IF(G544=0,"0 Failures","1+ Failures")</f>
        <v>1+ Failures</v>
      </c>
      <c r="M544" t="str">
        <f t="shared" si="26"/>
        <v>5-10 hrs</v>
      </c>
      <c r="N544" t="str">
        <f t="shared" si="24"/>
        <v>3-6months</v>
      </c>
      <c r="O544" t="str">
        <f t="shared" si="25"/>
        <v>Basic</v>
      </c>
      <c r="P544" s="7">
        <v>45657</v>
      </c>
    </row>
    <row r="545" spans="1:16" x14ac:dyDescent="0.3">
      <c r="A545">
        <v>544</v>
      </c>
      <c r="B545" s="7">
        <v>45097</v>
      </c>
      <c r="C545" t="s">
        <v>14</v>
      </c>
      <c r="D545">
        <v>399</v>
      </c>
      <c r="E545">
        <v>17.399999999999999</v>
      </c>
      <c r="F545">
        <v>7</v>
      </c>
      <c r="G545">
        <v>3</v>
      </c>
      <c r="H545">
        <v>25</v>
      </c>
      <c r="I545">
        <v>41</v>
      </c>
      <c r="J545" t="s">
        <v>13</v>
      </c>
      <c r="K545">
        <f>IF(J545="Yes", 1, 0)</f>
        <v>0</v>
      </c>
      <c r="L545" t="str">
        <f>IF(G545=0,"0 Failures","1+ Failures")</f>
        <v>1+ Failures</v>
      </c>
      <c r="M545" t="str">
        <f t="shared" si="26"/>
        <v>10-20hrs</v>
      </c>
      <c r="N545" t="str">
        <f t="shared" si="24"/>
        <v>12+ months</v>
      </c>
      <c r="O545" t="str">
        <f t="shared" si="25"/>
        <v>Basic</v>
      </c>
      <c r="P545" s="7">
        <v>45657</v>
      </c>
    </row>
    <row r="546" spans="1:16" x14ac:dyDescent="0.3">
      <c r="A546">
        <v>545</v>
      </c>
      <c r="B546" s="7">
        <v>45531</v>
      </c>
      <c r="C546" t="s">
        <v>12</v>
      </c>
      <c r="D546">
        <v>199</v>
      </c>
      <c r="E546">
        <v>17.600000000000001</v>
      </c>
      <c r="F546">
        <v>0</v>
      </c>
      <c r="G546">
        <v>1</v>
      </c>
      <c r="H546">
        <v>9</v>
      </c>
      <c r="I546">
        <v>6</v>
      </c>
      <c r="J546" t="s">
        <v>13</v>
      </c>
      <c r="K546">
        <f>IF(J546="Yes", 1, 0)</f>
        <v>0</v>
      </c>
      <c r="L546" t="str">
        <f>IF(G546=0,"0 Failures","1+ Failures")</f>
        <v>1+ Failures</v>
      </c>
      <c r="M546" t="str">
        <f t="shared" si="26"/>
        <v>10-20hrs</v>
      </c>
      <c r="N546" t="str">
        <f t="shared" si="24"/>
        <v>6-12months</v>
      </c>
      <c r="O546" t="str">
        <f t="shared" si="25"/>
        <v>Basic</v>
      </c>
      <c r="P546" s="7">
        <v>45657</v>
      </c>
    </row>
    <row r="547" spans="1:16" x14ac:dyDescent="0.3">
      <c r="A547">
        <v>546</v>
      </c>
      <c r="B547" s="7">
        <v>45627</v>
      </c>
      <c r="C547" t="s">
        <v>14</v>
      </c>
      <c r="D547">
        <v>399</v>
      </c>
      <c r="E547">
        <v>4.9000000000000004</v>
      </c>
      <c r="F547">
        <v>6</v>
      </c>
      <c r="G547">
        <v>2</v>
      </c>
      <c r="H547">
        <v>29</v>
      </c>
      <c r="I547">
        <v>39</v>
      </c>
      <c r="J547" t="s">
        <v>11</v>
      </c>
      <c r="K547">
        <f>IF(J547="Yes", 1, 0)</f>
        <v>1</v>
      </c>
      <c r="L547" t="str">
        <f>IF(G547=0,"0 Failures","1+ Failures")</f>
        <v>1+ Failures</v>
      </c>
      <c r="M547" t="str">
        <f t="shared" si="26"/>
        <v>0-5 hrs</v>
      </c>
      <c r="N547" t="str">
        <f t="shared" si="24"/>
        <v>12+ months</v>
      </c>
      <c r="O547" t="str">
        <f t="shared" si="25"/>
        <v>Basic</v>
      </c>
      <c r="P547" s="7">
        <v>45657</v>
      </c>
    </row>
    <row r="548" spans="1:16" x14ac:dyDescent="0.3">
      <c r="A548">
        <v>547</v>
      </c>
      <c r="B548" s="7">
        <v>44974</v>
      </c>
      <c r="C548" t="s">
        <v>10</v>
      </c>
      <c r="D548">
        <v>699</v>
      </c>
      <c r="E548">
        <v>12.3</v>
      </c>
      <c r="F548">
        <v>7</v>
      </c>
      <c r="G548">
        <v>0</v>
      </c>
      <c r="H548">
        <v>9</v>
      </c>
      <c r="I548">
        <v>56</v>
      </c>
      <c r="J548" t="s">
        <v>11</v>
      </c>
      <c r="K548">
        <f>IF(J548="Yes", 1, 0)</f>
        <v>1</v>
      </c>
      <c r="L548" t="str">
        <f>IF(G548=0,"0 Failures","1+ Failures")</f>
        <v>0 Failures</v>
      </c>
      <c r="M548" t="str">
        <f t="shared" si="26"/>
        <v>10-20hrs</v>
      </c>
      <c r="N548" t="str">
        <f t="shared" si="24"/>
        <v>6-12months</v>
      </c>
      <c r="O548" t="str">
        <f t="shared" si="25"/>
        <v>Premium</v>
      </c>
      <c r="P548" s="7">
        <v>45657</v>
      </c>
    </row>
    <row r="549" spans="1:16" x14ac:dyDescent="0.3">
      <c r="A549">
        <v>548</v>
      </c>
      <c r="B549" s="7">
        <v>45517</v>
      </c>
      <c r="C549" t="s">
        <v>12</v>
      </c>
      <c r="D549">
        <v>199</v>
      </c>
      <c r="E549">
        <v>16.5</v>
      </c>
      <c r="F549">
        <v>0</v>
      </c>
      <c r="G549">
        <v>5</v>
      </c>
      <c r="H549">
        <v>17</v>
      </c>
      <c r="I549">
        <v>55</v>
      </c>
      <c r="J549" t="s">
        <v>13</v>
      </c>
      <c r="K549">
        <f>IF(J549="Yes", 1, 0)</f>
        <v>0</v>
      </c>
      <c r="L549" t="str">
        <f>IF(G549=0,"0 Failures","1+ Failures")</f>
        <v>1+ Failures</v>
      </c>
      <c r="M549" t="str">
        <f t="shared" si="26"/>
        <v>10-20hrs</v>
      </c>
      <c r="N549" t="str">
        <f t="shared" si="24"/>
        <v>12+ months</v>
      </c>
      <c r="O549" t="str">
        <f t="shared" si="25"/>
        <v>Basic</v>
      </c>
      <c r="P549" s="7">
        <v>45657</v>
      </c>
    </row>
    <row r="550" spans="1:16" x14ac:dyDescent="0.3">
      <c r="A550">
        <v>549</v>
      </c>
      <c r="B550" s="7">
        <v>45560</v>
      </c>
      <c r="C550" t="s">
        <v>10</v>
      </c>
      <c r="D550">
        <v>699</v>
      </c>
      <c r="E550">
        <v>24.5</v>
      </c>
      <c r="F550">
        <v>5</v>
      </c>
      <c r="G550">
        <v>4</v>
      </c>
      <c r="H550">
        <v>15</v>
      </c>
      <c r="I550">
        <v>33</v>
      </c>
      <c r="J550" t="s">
        <v>11</v>
      </c>
      <c r="K550">
        <f>IF(J550="Yes", 1, 0)</f>
        <v>1</v>
      </c>
      <c r="L550" t="str">
        <f>IF(G550=0,"0 Failures","1+ Failures")</f>
        <v>1+ Failures</v>
      </c>
      <c r="M550" t="str">
        <f t="shared" si="26"/>
        <v>20+ hrs</v>
      </c>
      <c r="N550" t="str">
        <f t="shared" si="24"/>
        <v>12+ months</v>
      </c>
      <c r="O550" t="str">
        <f t="shared" si="25"/>
        <v>Premium</v>
      </c>
      <c r="P550" s="7">
        <v>45657</v>
      </c>
    </row>
    <row r="551" spans="1:16" x14ac:dyDescent="0.3">
      <c r="A551">
        <v>550</v>
      </c>
      <c r="B551" s="7">
        <v>45583</v>
      </c>
      <c r="C551" t="s">
        <v>12</v>
      </c>
      <c r="D551">
        <v>199</v>
      </c>
      <c r="E551">
        <v>16.7</v>
      </c>
      <c r="F551">
        <v>3</v>
      </c>
      <c r="G551">
        <v>3</v>
      </c>
      <c r="H551">
        <v>28</v>
      </c>
      <c r="I551">
        <v>22</v>
      </c>
      <c r="J551" t="s">
        <v>13</v>
      </c>
      <c r="K551">
        <f>IF(J551="Yes", 1, 0)</f>
        <v>0</v>
      </c>
      <c r="L551" t="str">
        <f>IF(G551=0,"0 Failures","1+ Failures")</f>
        <v>1+ Failures</v>
      </c>
      <c r="M551" t="str">
        <f t="shared" si="26"/>
        <v>10-20hrs</v>
      </c>
      <c r="N551" t="str">
        <f t="shared" si="24"/>
        <v>12+ months</v>
      </c>
      <c r="O551" t="str">
        <f t="shared" si="25"/>
        <v>Basic</v>
      </c>
      <c r="P551" s="7">
        <v>45657</v>
      </c>
    </row>
    <row r="552" spans="1:16" x14ac:dyDescent="0.3">
      <c r="A552">
        <v>551</v>
      </c>
      <c r="B552" s="7">
        <v>45087</v>
      </c>
      <c r="C552" t="s">
        <v>14</v>
      </c>
      <c r="D552">
        <v>399</v>
      </c>
      <c r="E552">
        <v>21.1</v>
      </c>
      <c r="F552">
        <v>8</v>
      </c>
      <c r="G552">
        <v>4</v>
      </c>
      <c r="H552">
        <v>10</v>
      </c>
      <c r="I552">
        <v>3</v>
      </c>
      <c r="J552" t="s">
        <v>11</v>
      </c>
      <c r="K552">
        <f>IF(J552="Yes", 1, 0)</f>
        <v>1</v>
      </c>
      <c r="L552" t="str">
        <f>IF(G552=0,"0 Failures","1+ Failures")</f>
        <v>1+ Failures</v>
      </c>
      <c r="M552" t="str">
        <f t="shared" si="26"/>
        <v>20+ hrs</v>
      </c>
      <c r="N552" t="str">
        <f t="shared" si="24"/>
        <v>6-12months</v>
      </c>
      <c r="O552" t="str">
        <f t="shared" si="25"/>
        <v>Basic</v>
      </c>
      <c r="P552" s="7">
        <v>45657</v>
      </c>
    </row>
    <row r="553" spans="1:16" x14ac:dyDescent="0.3">
      <c r="A553">
        <v>552</v>
      </c>
      <c r="B553" s="7">
        <v>45173</v>
      </c>
      <c r="C553" t="s">
        <v>10</v>
      </c>
      <c r="D553">
        <v>699</v>
      </c>
      <c r="E553">
        <v>21.4</v>
      </c>
      <c r="F553">
        <v>2</v>
      </c>
      <c r="G553">
        <v>0</v>
      </c>
      <c r="H553">
        <v>31</v>
      </c>
      <c r="I553">
        <v>48</v>
      </c>
      <c r="J553" t="s">
        <v>13</v>
      </c>
      <c r="K553">
        <f>IF(J553="Yes", 1, 0)</f>
        <v>0</v>
      </c>
      <c r="L553" t="str">
        <f>IF(G553=0,"0 Failures","1+ Failures")</f>
        <v>0 Failures</v>
      </c>
      <c r="M553" t="str">
        <f t="shared" si="26"/>
        <v>20+ hrs</v>
      </c>
      <c r="N553" t="str">
        <f t="shared" si="24"/>
        <v>12+ months</v>
      </c>
      <c r="O553" t="str">
        <f t="shared" si="25"/>
        <v>Premium</v>
      </c>
      <c r="P553" s="7">
        <v>45657</v>
      </c>
    </row>
    <row r="554" spans="1:16" x14ac:dyDescent="0.3">
      <c r="A554">
        <v>553</v>
      </c>
      <c r="B554" s="7">
        <v>45167</v>
      </c>
      <c r="C554" t="s">
        <v>14</v>
      </c>
      <c r="D554">
        <v>399</v>
      </c>
      <c r="E554">
        <v>1.7</v>
      </c>
      <c r="F554">
        <v>3</v>
      </c>
      <c r="G554">
        <v>4</v>
      </c>
      <c r="H554">
        <v>18</v>
      </c>
      <c r="I554">
        <v>41</v>
      </c>
      <c r="J554" t="s">
        <v>11</v>
      </c>
      <c r="K554">
        <f>IF(J554="Yes", 1, 0)</f>
        <v>1</v>
      </c>
      <c r="L554" t="str">
        <f>IF(G554=0,"0 Failures","1+ Failures")</f>
        <v>1+ Failures</v>
      </c>
      <c r="M554" t="str">
        <f t="shared" si="26"/>
        <v>0-5 hrs</v>
      </c>
      <c r="N554" t="str">
        <f t="shared" si="24"/>
        <v>12+ months</v>
      </c>
      <c r="O554" t="str">
        <f t="shared" si="25"/>
        <v>Basic</v>
      </c>
      <c r="P554" s="7">
        <v>45657</v>
      </c>
    </row>
    <row r="555" spans="1:16" x14ac:dyDescent="0.3">
      <c r="A555">
        <v>554</v>
      </c>
      <c r="B555" s="7">
        <v>45250</v>
      </c>
      <c r="C555" t="s">
        <v>12</v>
      </c>
      <c r="D555">
        <v>199</v>
      </c>
      <c r="E555">
        <v>11.4</v>
      </c>
      <c r="F555">
        <v>7</v>
      </c>
      <c r="G555">
        <v>0</v>
      </c>
      <c r="H555">
        <v>30</v>
      </c>
      <c r="I555">
        <v>54</v>
      </c>
      <c r="J555" t="s">
        <v>11</v>
      </c>
      <c r="K555">
        <f>IF(J555="Yes", 1, 0)</f>
        <v>1</v>
      </c>
      <c r="L555" t="str">
        <f>IF(G555=0,"0 Failures","1+ Failures")</f>
        <v>0 Failures</v>
      </c>
      <c r="M555" t="str">
        <f t="shared" si="26"/>
        <v>10-20hrs</v>
      </c>
      <c r="N555" t="str">
        <f t="shared" si="24"/>
        <v>12+ months</v>
      </c>
      <c r="O555" t="str">
        <f t="shared" si="25"/>
        <v>Basic</v>
      </c>
      <c r="P555" s="7">
        <v>45657</v>
      </c>
    </row>
    <row r="556" spans="1:16" x14ac:dyDescent="0.3">
      <c r="A556">
        <v>555</v>
      </c>
      <c r="B556" s="7">
        <v>45497</v>
      </c>
      <c r="C556" t="s">
        <v>12</v>
      </c>
      <c r="D556">
        <v>199</v>
      </c>
      <c r="E556">
        <v>18.8</v>
      </c>
      <c r="F556">
        <v>0</v>
      </c>
      <c r="G556">
        <v>0</v>
      </c>
      <c r="H556">
        <v>32</v>
      </c>
      <c r="I556">
        <v>25</v>
      </c>
      <c r="J556" t="s">
        <v>13</v>
      </c>
      <c r="K556">
        <f>IF(J556="Yes", 1, 0)</f>
        <v>0</v>
      </c>
      <c r="L556" t="str">
        <f>IF(G556=0,"0 Failures","1+ Failures")</f>
        <v>0 Failures</v>
      </c>
      <c r="M556" t="str">
        <f t="shared" si="26"/>
        <v>10-20hrs</v>
      </c>
      <c r="N556" t="str">
        <f t="shared" si="24"/>
        <v>12+ months</v>
      </c>
      <c r="O556" t="str">
        <f t="shared" si="25"/>
        <v>Basic</v>
      </c>
      <c r="P556" s="7">
        <v>45657</v>
      </c>
    </row>
    <row r="557" spans="1:16" x14ac:dyDescent="0.3">
      <c r="A557">
        <v>556</v>
      </c>
      <c r="B557" s="7">
        <v>45614</v>
      </c>
      <c r="C557" t="s">
        <v>10</v>
      </c>
      <c r="D557">
        <v>699</v>
      </c>
      <c r="E557">
        <v>20.7</v>
      </c>
      <c r="F557">
        <v>4</v>
      </c>
      <c r="G557">
        <v>4</v>
      </c>
      <c r="H557">
        <v>1</v>
      </c>
      <c r="I557">
        <v>35</v>
      </c>
      <c r="J557" t="s">
        <v>11</v>
      </c>
      <c r="K557">
        <f>IF(J557="Yes", 1, 0)</f>
        <v>1</v>
      </c>
      <c r="L557" t="str">
        <f>IF(G557=0,"0 Failures","1+ Failures")</f>
        <v>1+ Failures</v>
      </c>
      <c r="M557" t="str">
        <f t="shared" si="26"/>
        <v>20+ hrs</v>
      </c>
      <c r="N557" t="str">
        <f t="shared" si="24"/>
        <v>0-3months</v>
      </c>
      <c r="O557" t="str">
        <f t="shared" si="25"/>
        <v>Premium</v>
      </c>
      <c r="P557" s="7">
        <v>45657</v>
      </c>
    </row>
    <row r="558" spans="1:16" x14ac:dyDescent="0.3">
      <c r="A558">
        <v>557</v>
      </c>
      <c r="B558" s="7">
        <v>45500</v>
      </c>
      <c r="C558" t="s">
        <v>14</v>
      </c>
      <c r="D558">
        <v>399</v>
      </c>
      <c r="E558">
        <v>9.4</v>
      </c>
      <c r="F558">
        <v>0</v>
      </c>
      <c r="G558">
        <v>1</v>
      </c>
      <c r="H558">
        <v>22</v>
      </c>
      <c r="I558">
        <v>54</v>
      </c>
      <c r="J558" t="s">
        <v>13</v>
      </c>
      <c r="K558">
        <f>IF(J558="Yes", 1, 0)</f>
        <v>0</v>
      </c>
      <c r="L558" t="str">
        <f>IF(G558=0,"0 Failures","1+ Failures")</f>
        <v>1+ Failures</v>
      </c>
      <c r="M558" t="str">
        <f t="shared" si="26"/>
        <v>5-10 hrs</v>
      </c>
      <c r="N558" t="str">
        <f t="shared" si="24"/>
        <v>12+ months</v>
      </c>
      <c r="O558" t="str">
        <f t="shared" si="25"/>
        <v>Basic</v>
      </c>
      <c r="P558" s="7">
        <v>45657</v>
      </c>
    </row>
    <row r="559" spans="1:16" x14ac:dyDescent="0.3">
      <c r="A559">
        <v>558</v>
      </c>
      <c r="B559" s="7">
        <v>45601</v>
      </c>
      <c r="C559" t="s">
        <v>10</v>
      </c>
      <c r="D559">
        <v>699</v>
      </c>
      <c r="E559">
        <v>18.100000000000001</v>
      </c>
      <c r="F559">
        <v>5</v>
      </c>
      <c r="G559">
        <v>5</v>
      </c>
      <c r="H559">
        <v>31</v>
      </c>
      <c r="I559">
        <v>28</v>
      </c>
      <c r="J559" t="s">
        <v>11</v>
      </c>
      <c r="K559">
        <f>IF(J559="Yes", 1, 0)</f>
        <v>1</v>
      </c>
      <c r="L559" t="str">
        <f>IF(G559=0,"0 Failures","1+ Failures")</f>
        <v>1+ Failures</v>
      </c>
      <c r="M559" t="str">
        <f t="shared" si="26"/>
        <v>10-20hrs</v>
      </c>
      <c r="N559" t="str">
        <f t="shared" si="24"/>
        <v>12+ months</v>
      </c>
      <c r="O559" t="str">
        <f t="shared" si="25"/>
        <v>Premium</v>
      </c>
      <c r="P559" s="7">
        <v>45657</v>
      </c>
    </row>
    <row r="560" spans="1:16" x14ac:dyDescent="0.3">
      <c r="A560">
        <v>559</v>
      </c>
      <c r="B560" s="7">
        <v>45035</v>
      </c>
      <c r="C560" t="s">
        <v>12</v>
      </c>
      <c r="D560">
        <v>199</v>
      </c>
      <c r="E560">
        <v>8.9</v>
      </c>
      <c r="F560">
        <v>4</v>
      </c>
      <c r="G560">
        <v>4</v>
      </c>
      <c r="H560">
        <v>1</v>
      </c>
      <c r="I560">
        <v>33</v>
      </c>
      <c r="J560" t="s">
        <v>11</v>
      </c>
      <c r="K560">
        <f>IF(J560="Yes", 1, 0)</f>
        <v>1</v>
      </c>
      <c r="L560" t="str">
        <f>IF(G560=0,"0 Failures","1+ Failures")</f>
        <v>1+ Failures</v>
      </c>
      <c r="M560" t="str">
        <f t="shared" si="26"/>
        <v>5-10 hrs</v>
      </c>
      <c r="N560" t="str">
        <f t="shared" si="24"/>
        <v>0-3months</v>
      </c>
      <c r="O560" t="str">
        <f t="shared" si="25"/>
        <v>Basic</v>
      </c>
      <c r="P560" s="7">
        <v>45657</v>
      </c>
    </row>
    <row r="561" spans="1:16" x14ac:dyDescent="0.3">
      <c r="A561">
        <v>560</v>
      </c>
      <c r="B561" s="7">
        <v>45119</v>
      </c>
      <c r="C561" t="s">
        <v>12</v>
      </c>
      <c r="D561">
        <v>199</v>
      </c>
      <c r="E561">
        <v>12.6</v>
      </c>
      <c r="F561">
        <v>6</v>
      </c>
      <c r="G561">
        <v>0</v>
      </c>
      <c r="H561">
        <v>11</v>
      </c>
      <c r="I561">
        <v>16</v>
      </c>
      <c r="J561" t="s">
        <v>13</v>
      </c>
      <c r="K561">
        <f>IF(J561="Yes", 1, 0)</f>
        <v>0</v>
      </c>
      <c r="L561" t="str">
        <f>IF(G561=0,"0 Failures","1+ Failures")</f>
        <v>0 Failures</v>
      </c>
      <c r="M561" t="str">
        <f t="shared" si="26"/>
        <v>10-20hrs</v>
      </c>
      <c r="N561" t="str">
        <f t="shared" si="24"/>
        <v>6-12months</v>
      </c>
      <c r="O561" t="str">
        <f t="shared" si="25"/>
        <v>Basic</v>
      </c>
      <c r="P561" s="7">
        <v>45657</v>
      </c>
    </row>
    <row r="562" spans="1:16" x14ac:dyDescent="0.3">
      <c r="A562">
        <v>561</v>
      </c>
      <c r="B562" s="7">
        <v>45351</v>
      </c>
      <c r="C562" t="s">
        <v>12</v>
      </c>
      <c r="D562">
        <v>199</v>
      </c>
      <c r="E562">
        <v>5.8</v>
      </c>
      <c r="F562">
        <v>3</v>
      </c>
      <c r="G562">
        <v>5</v>
      </c>
      <c r="H562">
        <v>26</v>
      </c>
      <c r="I562">
        <v>21</v>
      </c>
      <c r="J562" t="s">
        <v>11</v>
      </c>
      <c r="K562">
        <f>IF(J562="Yes", 1, 0)</f>
        <v>1</v>
      </c>
      <c r="L562" t="str">
        <f>IF(G562=0,"0 Failures","1+ Failures")</f>
        <v>1+ Failures</v>
      </c>
      <c r="M562" t="str">
        <f t="shared" si="26"/>
        <v>5-10 hrs</v>
      </c>
      <c r="N562" t="str">
        <f t="shared" si="24"/>
        <v>12+ months</v>
      </c>
      <c r="O562" t="str">
        <f t="shared" si="25"/>
        <v>Basic</v>
      </c>
      <c r="P562" s="7">
        <v>45657</v>
      </c>
    </row>
    <row r="563" spans="1:16" x14ac:dyDescent="0.3">
      <c r="A563">
        <v>562</v>
      </c>
      <c r="B563" s="7">
        <v>45443</v>
      </c>
      <c r="C563" t="s">
        <v>12</v>
      </c>
      <c r="D563">
        <v>199</v>
      </c>
      <c r="E563">
        <v>19.399999999999999</v>
      </c>
      <c r="F563">
        <v>7</v>
      </c>
      <c r="G563">
        <v>3</v>
      </c>
      <c r="H563">
        <v>8</v>
      </c>
      <c r="I563">
        <v>42</v>
      </c>
      <c r="J563" t="s">
        <v>11</v>
      </c>
      <c r="K563">
        <f>IF(J563="Yes", 1, 0)</f>
        <v>1</v>
      </c>
      <c r="L563" t="str">
        <f>IF(G563=0,"0 Failures","1+ Failures")</f>
        <v>1+ Failures</v>
      </c>
      <c r="M563" t="str">
        <f t="shared" si="26"/>
        <v>10-20hrs</v>
      </c>
      <c r="N563" t="str">
        <f t="shared" si="24"/>
        <v>6-12months</v>
      </c>
      <c r="O563" t="str">
        <f t="shared" si="25"/>
        <v>Basic</v>
      </c>
      <c r="P563" s="7">
        <v>45657</v>
      </c>
    </row>
    <row r="564" spans="1:16" x14ac:dyDescent="0.3">
      <c r="A564">
        <v>563</v>
      </c>
      <c r="B564" s="7">
        <v>45526</v>
      </c>
      <c r="C564" t="s">
        <v>12</v>
      </c>
      <c r="D564">
        <v>199</v>
      </c>
      <c r="E564">
        <v>0.6</v>
      </c>
      <c r="F564">
        <v>0</v>
      </c>
      <c r="G564">
        <v>4</v>
      </c>
      <c r="H564">
        <v>32</v>
      </c>
      <c r="I564">
        <v>59</v>
      </c>
      <c r="J564" t="s">
        <v>11</v>
      </c>
      <c r="K564">
        <f>IF(J564="Yes", 1, 0)</f>
        <v>1</v>
      </c>
      <c r="L564" t="str">
        <f>IF(G564=0,"0 Failures","1+ Failures")</f>
        <v>1+ Failures</v>
      </c>
      <c r="M564" t="str">
        <f t="shared" si="26"/>
        <v>0-5 hrs</v>
      </c>
      <c r="N564" t="str">
        <f t="shared" si="24"/>
        <v>12+ months</v>
      </c>
      <c r="O564" t="str">
        <f t="shared" si="25"/>
        <v>Basic</v>
      </c>
      <c r="P564" s="7">
        <v>45657</v>
      </c>
    </row>
    <row r="565" spans="1:16" x14ac:dyDescent="0.3">
      <c r="A565">
        <v>564</v>
      </c>
      <c r="B565" s="7">
        <v>45058</v>
      </c>
      <c r="C565" t="s">
        <v>14</v>
      </c>
      <c r="D565">
        <v>399</v>
      </c>
      <c r="E565">
        <v>19.600000000000001</v>
      </c>
      <c r="F565">
        <v>2</v>
      </c>
      <c r="G565">
        <v>5</v>
      </c>
      <c r="H565">
        <v>33</v>
      </c>
      <c r="I565">
        <v>37</v>
      </c>
      <c r="J565" t="s">
        <v>11</v>
      </c>
      <c r="K565">
        <f>IF(J565="Yes", 1, 0)</f>
        <v>1</v>
      </c>
      <c r="L565" t="str">
        <f>IF(G565=0,"0 Failures","1+ Failures")</f>
        <v>1+ Failures</v>
      </c>
      <c r="M565" t="str">
        <f t="shared" si="26"/>
        <v>10-20hrs</v>
      </c>
      <c r="N565" t="str">
        <f t="shared" si="24"/>
        <v>12+ months</v>
      </c>
      <c r="O565" t="str">
        <f t="shared" si="25"/>
        <v>Basic</v>
      </c>
      <c r="P565" s="7">
        <v>45657</v>
      </c>
    </row>
    <row r="566" spans="1:16" x14ac:dyDescent="0.3">
      <c r="A566">
        <v>565</v>
      </c>
      <c r="B566" s="7">
        <v>45550</v>
      </c>
      <c r="C566" t="s">
        <v>12</v>
      </c>
      <c r="D566">
        <v>199</v>
      </c>
      <c r="E566">
        <v>16.600000000000001</v>
      </c>
      <c r="F566">
        <v>5</v>
      </c>
      <c r="G566">
        <v>4</v>
      </c>
      <c r="H566">
        <v>25</v>
      </c>
      <c r="I566">
        <v>56</v>
      </c>
      <c r="J566" t="s">
        <v>11</v>
      </c>
      <c r="K566">
        <f>IF(J566="Yes", 1, 0)</f>
        <v>1</v>
      </c>
      <c r="L566" t="str">
        <f>IF(G566=0,"0 Failures","1+ Failures")</f>
        <v>1+ Failures</v>
      </c>
      <c r="M566" t="str">
        <f t="shared" si="26"/>
        <v>10-20hrs</v>
      </c>
      <c r="N566" t="str">
        <f t="shared" si="24"/>
        <v>12+ months</v>
      </c>
      <c r="O566" t="str">
        <f t="shared" si="25"/>
        <v>Basic</v>
      </c>
      <c r="P566" s="7">
        <v>45657</v>
      </c>
    </row>
    <row r="567" spans="1:16" x14ac:dyDescent="0.3">
      <c r="A567">
        <v>566</v>
      </c>
      <c r="B567" s="7">
        <v>45068</v>
      </c>
      <c r="C567" t="s">
        <v>10</v>
      </c>
      <c r="D567">
        <v>699</v>
      </c>
      <c r="E567">
        <v>7.2</v>
      </c>
      <c r="F567">
        <v>5</v>
      </c>
      <c r="G567">
        <v>2</v>
      </c>
      <c r="H567">
        <v>16</v>
      </c>
      <c r="I567">
        <v>28</v>
      </c>
      <c r="J567" t="s">
        <v>13</v>
      </c>
      <c r="K567">
        <f>IF(J567="Yes", 1, 0)</f>
        <v>0</v>
      </c>
      <c r="L567" t="str">
        <f>IF(G567=0,"0 Failures","1+ Failures")</f>
        <v>1+ Failures</v>
      </c>
      <c r="M567" t="str">
        <f t="shared" si="26"/>
        <v>5-10 hrs</v>
      </c>
      <c r="N567" t="str">
        <f t="shared" si="24"/>
        <v>12+ months</v>
      </c>
      <c r="O567" t="str">
        <f t="shared" si="25"/>
        <v>Premium</v>
      </c>
      <c r="P567" s="7">
        <v>45657</v>
      </c>
    </row>
    <row r="568" spans="1:16" x14ac:dyDescent="0.3">
      <c r="A568">
        <v>567</v>
      </c>
      <c r="B568" s="7">
        <v>45493</v>
      </c>
      <c r="C568" t="s">
        <v>14</v>
      </c>
      <c r="D568">
        <v>399</v>
      </c>
      <c r="E568">
        <v>7.8</v>
      </c>
      <c r="F568">
        <v>8</v>
      </c>
      <c r="G568">
        <v>2</v>
      </c>
      <c r="H568">
        <v>33</v>
      </c>
      <c r="I568">
        <v>45</v>
      </c>
      <c r="J568" t="s">
        <v>11</v>
      </c>
      <c r="K568">
        <f>IF(J568="Yes", 1, 0)</f>
        <v>1</v>
      </c>
      <c r="L568" t="str">
        <f>IF(G568=0,"0 Failures","1+ Failures")</f>
        <v>1+ Failures</v>
      </c>
      <c r="M568" t="str">
        <f t="shared" si="26"/>
        <v>5-10 hrs</v>
      </c>
      <c r="N568" t="str">
        <f t="shared" si="24"/>
        <v>12+ months</v>
      </c>
      <c r="O568" t="str">
        <f t="shared" si="25"/>
        <v>Basic</v>
      </c>
      <c r="P568" s="7">
        <v>45657</v>
      </c>
    </row>
    <row r="569" spans="1:16" x14ac:dyDescent="0.3">
      <c r="A569">
        <v>568</v>
      </c>
      <c r="B569" s="7">
        <v>45062</v>
      </c>
      <c r="C569" t="s">
        <v>10</v>
      </c>
      <c r="D569">
        <v>699</v>
      </c>
      <c r="E569">
        <v>5.4</v>
      </c>
      <c r="F569">
        <v>4</v>
      </c>
      <c r="G569">
        <v>5</v>
      </c>
      <c r="H569">
        <v>14</v>
      </c>
      <c r="I569">
        <v>22</v>
      </c>
      <c r="J569" t="s">
        <v>13</v>
      </c>
      <c r="K569">
        <f>IF(J569="Yes", 1, 0)</f>
        <v>0</v>
      </c>
      <c r="L569" t="str">
        <f>IF(G569=0,"0 Failures","1+ Failures")</f>
        <v>1+ Failures</v>
      </c>
      <c r="M569" t="str">
        <f t="shared" si="26"/>
        <v>5-10 hrs</v>
      </c>
      <c r="N569" t="str">
        <f t="shared" si="24"/>
        <v>12+ months</v>
      </c>
      <c r="O569" t="str">
        <f t="shared" si="25"/>
        <v>Premium</v>
      </c>
      <c r="P569" s="7">
        <v>45657</v>
      </c>
    </row>
    <row r="570" spans="1:16" x14ac:dyDescent="0.3">
      <c r="A570">
        <v>569</v>
      </c>
      <c r="B570" s="7">
        <v>45502</v>
      </c>
      <c r="C570" t="s">
        <v>10</v>
      </c>
      <c r="D570">
        <v>699</v>
      </c>
      <c r="E570">
        <v>12.8</v>
      </c>
      <c r="F570">
        <v>5</v>
      </c>
      <c r="G570">
        <v>5</v>
      </c>
      <c r="H570">
        <v>12</v>
      </c>
      <c r="I570">
        <v>7</v>
      </c>
      <c r="J570" t="s">
        <v>13</v>
      </c>
      <c r="K570">
        <f>IF(J570="Yes", 1, 0)</f>
        <v>0</v>
      </c>
      <c r="L570" t="str">
        <f>IF(G570=0,"0 Failures","1+ Failures")</f>
        <v>1+ Failures</v>
      </c>
      <c r="M570" t="str">
        <f t="shared" si="26"/>
        <v>10-20hrs</v>
      </c>
      <c r="N570" t="str">
        <f t="shared" si="24"/>
        <v>6-12months</v>
      </c>
      <c r="O570" t="str">
        <f t="shared" si="25"/>
        <v>Premium</v>
      </c>
      <c r="P570" s="7">
        <v>45657</v>
      </c>
    </row>
    <row r="571" spans="1:16" x14ac:dyDescent="0.3">
      <c r="A571">
        <v>570</v>
      </c>
      <c r="B571" s="7">
        <v>44940</v>
      </c>
      <c r="C571" t="s">
        <v>14</v>
      </c>
      <c r="D571">
        <v>399</v>
      </c>
      <c r="E571">
        <v>17</v>
      </c>
      <c r="F571">
        <v>8</v>
      </c>
      <c r="G571">
        <v>2</v>
      </c>
      <c r="H571">
        <v>27</v>
      </c>
      <c r="I571">
        <v>56</v>
      </c>
      <c r="J571" t="s">
        <v>13</v>
      </c>
      <c r="K571">
        <f>IF(J571="Yes", 1, 0)</f>
        <v>0</v>
      </c>
      <c r="L571" t="str">
        <f>IF(G571=0,"0 Failures","1+ Failures")</f>
        <v>1+ Failures</v>
      </c>
      <c r="M571" t="str">
        <f t="shared" si="26"/>
        <v>10-20hrs</v>
      </c>
      <c r="N571" t="str">
        <f t="shared" si="24"/>
        <v>12+ months</v>
      </c>
      <c r="O571" t="str">
        <f t="shared" si="25"/>
        <v>Basic</v>
      </c>
      <c r="P571" s="7">
        <v>45657</v>
      </c>
    </row>
    <row r="572" spans="1:16" x14ac:dyDescent="0.3">
      <c r="A572">
        <v>571</v>
      </c>
      <c r="B572" s="7">
        <v>45200</v>
      </c>
      <c r="C572" t="s">
        <v>10</v>
      </c>
      <c r="D572">
        <v>699</v>
      </c>
      <c r="E572">
        <v>1.1000000000000001</v>
      </c>
      <c r="F572">
        <v>2</v>
      </c>
      <c r="G572">
        <v>0</v>
      </c>
      <c r="H572">
        <v>7</v>
      </c>
      <c r="I572">
        <v>42</v>
      </c>
      <c r="J572" t="s">
        <v>11</v>
      </c>
      <c r="K572">
        <f>IF(J572="Yes", 1, 0)</f>
        <v>1</v>
      </c>
      <c r="L572" t="str">
        <f>IF(G572=0,"0 Failures","1+ Failures")</f>
        <v>0 Failures</v>
      </c>
      <c r="M572" t="str">
        <f t="shared" si="26"/>
        <v>0-5 hrs</v>
      </c>
      <c r="N572" t="str">
        <f t="shared" si="24"/>
        <v>6-12months</v>
      </c>
      <c r="O572" t="str">
        <f t="shared" si="25"/>
        <v>Premium</v>
      </c>
      <c r="P572" s="7">
        <v>45657</v>
      </c>
    </row>
    <row r="573" spans="1:16" x14ac:dyDescent="0.3">
      <c r="A573">
        <v>572</v>
      </c>
      <c r="B573" s="7">
        <v>45135</v>
      </c>
      <c r="C573" t="s">
        <v>12</v>
      </c>
      <c r="D573">
        <v>199</v>
      </c>
      <c r="E573">
        <v>17.2</v>
      </c>
      <c r="F573">
        <v>2</v>
      </c>
      <c r="G573">
        <v>0</v>
      </c>
      <c r="H573">
        <v>19</v>
      </c>
      <c r="I573">
        <v>44</v>
      </c>
      <c r="J573" t="s">
        <v>13</v>
      </c>
      <c r="K573">
        <f>IF(J573="Yes", 1, 0)</f>
        <v>0</v>
      </c>
      <c r="L573" t="str">
        <f>IF(G573=0,"0 Failures","1+ Failures")</f>
        <v>0 Failures</v>
      </c>
      <c r="M573" t="str">
        <f t="shared" si="26"/>
        <v>10-20hrs</v>
      </c>
      <c r="N573" t="str">
        <f t="shared" si="24"/>
        <v>12+ months</v>
      </c>
      <c r="O573" t="str">
        <f t="shared" si="25"/>
        <v>Basic</v>
      </c>
      <c r="P573" s="7">
        <v>45657</v>
      </c>
    </row>
    <row r="574" spans="1:16" x14ac:dyDescent="0.3">
      <c r="A574">
        <v>573</v>
      </c>
      <c r="B574" s="7">
        <v>45502</v>
      </c>
      <c r="C574" t="s">
        <v>10</v>
      </c>
      <c r="D574">
        <v>699</v>
      </c>
      <c r="E574">
        <v>9.3000000000000007</v>
      </c>
      <c r="F574">
        <v>7</v>
      </c>
      <c r="G574">
        <v>0</v>
      </c>
      <c r="H574">
        <v>3</v>
      </c>
      <c r="I574">
        <v>39</v>
      </c>
      <c r="J574" t="s">
        <v>13</v>
      </c>
      <c r="K574">
        <f>IF(J574="Yes", 1, 0)</f>
        <v>0</v>
      </c>
      <c r="L574" t="str">
        <f>IF(G574=0,"0 Failures","1+ Failures")</f>
        <v>0 Failures</v>
      </c>
      <c r="M574" t="str">
        <f t="shared" si="26"/>
        <v>5-10 hrs</v>
      </c>
      <c r="N574" t="str">
        <f t="shared" si="24"/>
        <v>0-3months</v>
      </c>
      <c r="O574" t="str">
        <f t="shared" si="25"/>
        <v>Premium</v>
      </c>
      <c r="P574" s="7">
        <v>45657</v>
      </c>
    </row>
    <row r="575" spans="1:16" x14ac:dyDescent="0.3">
      <c r="A575">
        <v>574</v>
      </c>
      <c r="B575" s="7">
        <v>44975</v>
      </c>
      <c r="C575" t="s">
        <v>12</v>
      </c>
      <c r="D575">
        <v>199</v>
      </c>
      <c r="E575">
        <v>10</v>
      </c>
      <c r="F575">
        <v>8</v>
      </c>
      <c r="G575">
        <v>5</v>
      </c>
      <c r="H575">
        <v>36</v>
      </c>
      <c r="I575">
        <v>18</v>
      </c>
      <c r="J575" t="s">
        <v>13</v>
      </c>
      <c r="K575">
        <f>IF(J575="Yes", 1, 0)</f>
        <v>0</v>
      </c>
      <c r="L575" t="str">
        <f>IF(G575=0,"0 Failures","1+ Failures")</f>
        <v>1+ Failures</v>
      </c>
      <c r="M575" t="str">
        <f t="shared" si="26"/>
        <v>5-10 hrs</v>
      </c>
      <c r="N575" t="str">
        <f t="shared" si="24"/>
        <v>12+ months</v>
      </c>
      <c r="O575" t="str">
        <f t="shared" si="25"/>
        <v>Basic</v>
      </c>
      <c r="P575" s="7">
        <v>45657</v>
      </c>
    </row>
    <row r="576" spans="1:16" x14ac:dyDescent="0.3">
      <c r="A576">
        <v>575</v>
      </c>
      <c r="B576" s="7">
        <v>45184</v>
      </c>
      <c r="C576" t="s">
        <v>14</v>
      </c>
      <c r="D576">
        <v>399</v>
      </c>
      <c r="E576">
        <v>10.7</v>
      </c>
      <c r="F576">
        <v>5</v>
      </c>
      <c r="G576">
        <v>4</v>
      </c>
      <c r="H576">
        <v>25</v>
      </c>
      <c r="I576">
        <v>3</v>
      </c>
      <c r="J576" t="s">
        <v>11</v>
      </c>
      <c r="K576">
        <f>IF(J576="Yes", 1, 0)</f>
        <v>1</v>
      </c>
      <c r="L576" t="str">
        <f>IF(G576=0,"0 Failures","1+ Failures")</f>
        <v>1+ Failures</v>
      </c>
      <c r="M576" t="str">
        <f t="shared" si="26"/>
        <v>10-20hrs</v>
      </c>
      <c r="N576" t="str">
        <f t="shared" si="24"/>
        <v>12+ months</v>
      </c>
      <c r="O576" t="str">
        <f t="shared" si="25"/>
        <v>Basic</v>
      </c>
      <c r="P576" s="7">
        <v>45657</v>
      </c>
    </row>
    <row r="577" spans="1:16" x14ac:dyDescent="0.3">
      <c r="A577">
        <v>576</v>
      </c>
      <c r="B577" s="7">
        <v>45128</v>
      </c>
      <c r="C577" t="s">
        <v>12</v>
      </c>
      <c r="D577">
        <v>199</v>
      </c>
      <c r="E577">
        <v>20.8</v>
      </c>
      <c r="F577">
        <v>5</v>
      </c>
      <c r="G577">
        <v>4</v>
      </c>
      <c r="H577">
        <v>29</v>
      </c>
      <c r="I577">
        <v>34</v>
      </c>
      <c r="J577" t="s">
        <v>11</v>
      </c>
      <c r="K577">
        <f>IF(J577="Yes", 1, 0)</f>
        <v>1</v>
      </c>
      <c r="L577" t="str">
        <f>IF(G577=0,"0 Failures","1+ Failures")</f>
        <v>1+ Failures</v>
      </c>
      <c r="M577" t="str">
        <f t="shared" si="26"/>
        <v>20+ hrs</v>
      </c>
      <c r="N577" t="str">
        <f t="shared" si="24"/>
        <v>12+ months</v>
      </c>
      <c r="O577" t="str">
        <f t="shared" si="25"/>
        <v>Basic</v>
      </c>
      <c r="P577" s="7">
        <v>45657</v>
      </c>
    </row>
    <row r="578" spans="1:16" x14ac:dyDescent="0.3">
      <c r="A578">
        <v>577</v>
      </c>
      <c r="B578" s="7">
        <v>45104</v>
      </c>
      <c r="C578" t="s">
        <v>10</v>
      </c>
      <c r="D578">
        <v>699</v>
      </c>
      <c r="E578">
        <v>7.7</v>
      </c>
      <c r="F578">
        <v>2</v>
      </c>
      <c r="G578">
        <v>5</v>
      </c>
      <c r="H578">
        <v>13</v>
      </c>
      <c r="I578">
        <v>4</v>
      </c>
      <c r="J578" t="s">
        <v>11</v>
      </c>
      <c r="K578">
        <f>IF(J578="Yes", 1, 0)</f>
        <v>1</v>
      </c>
      <c r="L578" t="str">
        <f>IF(G578=0,"0 Failures","1+ Failures")</f>
        <v>1+ Failures</v>
      </c>
      <c r="M578" t="str">
        <f t="shared" si="26"/>
        <v>5-10 hrs</v>
      </c>
      <c r="N578" t="str">
        <f t="shared" si="24"/>
        <v>12+ months</v>
      </c>
      <c r="O578" t="str">
        <f t="shared" si="25"/>
        <v>Premium</v>
      </c>
      <c r="P578" s="7">
        <v>45657</v>
      </c>
    </row>
    <row r="579" spans="1:16" x14ac:dyDescent="0.3">
      <c r="A579">
        <v>578</v>
      </c>
      <c r="B579" s="7">
        <v>45060</v>
      </c>
      <c r="C579" t="s">
        <v>10</v>
      </c>
      <c r="D579">
        <v>699</v>
      </c>
      <c r="E579">
        <v>3.4</v>
      </c>
      <c r="F579">
        <v>0</v>
      </c>
      <c r="G579">
        <v>3</v>
      </c>
      <c r="H579">
        <v>33</v>
      </c>
      <c r="I579">
        <v>17</v>
      </c>
      <c r="J579" t="s">
        <v>11</v>
      </c>
      <c r="K579">
        <f>IF(J579="Yes", 1, 0)</f>
        <v>1</v>
      </c>
      <c r="L579" t="str">
        <f>IF(G579=0,"0 Failures","1+ Failures")</f>
        <v>1+ Failures</v>
      </c>
      <c r="M579" t="str">
        <f t="shared" si="26"/>
        <v>0-5 hrs</v>
      </c>
      <c r="N579" t="str">
        <f t="shared" ref="N579:N642" si="27">IF(H579&lt;=3, "0-3months", IF(H579&lt;=6, "3-6months", IF(H579&lt;=12, "6-12months", "12+ months")))</f>
        <v>12+ months</v>
      </c>
      <c r="O579" t="str">
        <f t="shared" ref="O579:O642" si="28">IF(C579="premium", "Premium", "Basic")</f>
        <v>Premium</v>
      </c>
      <c r="P579" s="7">
        <v>45657</v>
      </c>
    </row>
    <row r="580" spans="1:16" x14ac:dyDescent="0.3">
      <c r="A580">
        <v>579</v>
      </c>
      <c r="B580" s="7">
        <v>45084</v>
      </c>
      <c r="C580" t="s">
        <v>12</v>
      </c>
      <c r="D580">
        <v>199</v>
      </c>
      <c r="E580">
        <v>0.6</v>
      </c>
      <c r="F580">
        <v>7</v>
      </c>
      <c r="G580">
        <v>5</v>
      </c>
      <c r="H580">
        <v>17</v>
      </c>
      <c r="I580">
        <v>59</v>
      </c>
      <c r="J580" t="s">
        <v>11</v>
      </c>
      <c r="K580">
        <f>IF(J580="Yes", 1, 0)</f>
        <v>1</v>
      </c>
      <c r="L580" t="str">
        <f>IF(G580=0,"0 Failures","1+ Failures")</f>
        <v>1+ Failures</v>
      </c>
      <c r="M580" t="str">
        <f t="shared" si="26"/>
        <v>0-5 hrs</v>
      </c>
      <c r="N580" t="str">
        <f t="shared" si="27"/>
        <v>12+ months</v>
      </c>
      <c r="O580" t="str">
        <f t="shared" si="28"/>
        <v>Basic</v>
      </c>
      <c r="P580" s="7">
        <v>45657</v>
      </c>
    </row>
    <row r="581" spans="1:16" x14ac:dyDescent="0.3">
      <c r="A581">
        <v>580</v>
      </c>
      <c r="B581" s="7">
        <v>45293</v>
      </c>
      <c r="C581" t="s">
        <v>14</v>
      </c>
      <c r="D581">
        <v>399</v>
      </c>
      <c r="E581">
        <v>19.5</v>
      </c>
      <c r="F581">
        <v>4</v>
      </c>
      <c r="G581">
        <v>3</v>
      </c>
      <c r="H581">
        <v>4</v>
      </c>
      <c r="I581">
        <v>50</v>
      </c>
      <c r="J581" t="s">
        <v>11</v>
      </c>
      <c r="K581">
        <f>IF(J581="Yes", 1, 0)</f>
        <v>1</v>
      </c>
      <c r="L581" t="str">
        <f>IF(G581=0,"0 Failures","1+ Failures")</f>
        <v>1+ Failures</v>
      </c>
      <c r="M581" t="str">
        <f t="shared" si="26"/>
        <v>10-20hrs</v>
      </c>
      <c r="N581" t="str">
        <f t="shared" si="27"/>
        <v>3-6months</v>
      </c>
      <c r="O581" t="str">
        <f t="shared" si="28"/>
        <v>Basic</v>
      </c>
      <c r="P581" s="7">
        <v>45657</v>
      </c>
    </row>
    <row r="582" spans="1:16" x14ac:dyDescent="0.3">
      <c r="A582">
        <v>581</v>
      </c>
      <c r="B582" s="7">
        <v>45090</v>
      </c>
      <c r="C582" t="s">
        <v>12</v>
      </c>
      <c r="D582">
        <v>199</v>
      </c>
      <c r="E582">
        <v>13.4</v>
      </c>
      <c r="F582">
        <v>2</v>
      </c>
      <c r="G582">
        <v>4</v>
      </c>
      <c r="H582">
        <v>21</v>
      </c>
      <c r="I582">
        <v>4</v>
      </c>
      <c r="J582" t="s">
        <v>13</v>
      </c>
      <c r="K582">
        <f>IF(J582="Yes", 1, 0)</f>
        <v>0</v>
      </c>
      <c r="L582" t="str">
        <f>IF(G582=0,"0 Failures","1+ Failures")</f>
        <v>1+ Failures</v>
      </c>
      <c r="M582" t="str">
        <f t="shared" si="26"/>
        <v>10-20hrs</v>
      </c>
      <c r="N582" t="str">
        <f t="shared" si="27"/>
        <v>12+ months</v>
      </c>
      <c r="O582" t="str">
        <f t="shared" si="28"/>
        <v>Basic</v>
      </c>
      <c r="P582" s="7">
        <v>45657</v>
      </c>
    </row>
    <row r="583" spans="1:16" x14ac:dyDescent="0.3">
      <c r="A583">
        <v>582</v>
      </c>
      <c r="B583" s="7">
        <v>45606</v>
      </c>
      <c r="C583" t="s">
        <v>14</v>
      </c>
      <c r="D583">
        <v>399</v>
      </c>
      <c r="E583">
        <v>13.7</v>
      </c>
      <c r="F583">
        <v>1</v>
      </c>
      <c r="G583">
        <v>2</v>
      </c>
      <c r="H583">
        <v>35</v>
      </c>
      <c r="I583">
        <v>14</v>
      </c>
      <c r="J583" t="s">
        <v>13</v>
      </c>
      <c r="K583">
        <f>IF(J583="Yes", 1, 0)</f>
        <v>0</v>
      </c>
      <c r="L583" t="str">
        <f>IF(G583=0,"0 Failures","1+ Failures")</f>
        <v>1+ Failures</v>
      </c>
      <c r="M583" t="str">
        <f t="shared" si="26"/>
        <v>10-20hrs</v>
      </c>
      <c r="N583" t="str">
        <f t="shared" si="27"/>
        <v>12+ months</v>
      </c>
      <c r="O583" t="str">
        <f t="shared" si="28"/>
        <v>Basic</v>
      </c>
      <c r="P583" s="7">
        <v>45657</v>
      </c>
    </row>
    <row r="584" spans="1:16" x14ac:dyDescent="0.3">
      <c r="A584">
        <v>583</v>
      </c>
      <c r="B584" s="7">
        <v>45501</v>
      </c>
      <c r="C584" t="s">
        <v>14</v>
      </c>
      <c r="D584">
        <v>399</v>
      </c>
      <c r="E584">
        <v>9.3000000000000007</v>
      </c>
      <c r="F584">
        <v>3</v>
      </c>
      <c r="G584">
        <v>4</v>
      </c>
      <c r="H584">
        <v>22</v>
      </c>
      <c r="I584">
        <v>33</v>
      </c>
      <c r="J584" t="s">
        <v>11</v>
      </c>
      <c r="K584">
        <f>IF(J584="Yes", 1, 0)</f>
        <v>1</v>
      </c>
      <c r="L584" t="str">
        <f>IF(G584=0,"0 Failures","1+ Failures")</f>
        <v>1+ Failures</v>
      </c>
      <c r="M584" t="str">
        <f t="shared" si="26"/>
        <v>5-10 hrs</v>
      </c>
      <c r="N584" t="str">
        <f t="shared" si="27"/>
        <v>12+ months</v>
      </c>
      <c r="O584" t="str">
        <f t="shared" si="28"/>
        <v>Basic</v>
      </c>
      <c r="P584" s="7">
        <v>45657</v>
      </c>
    </row>
    <row r="585" spans="1:16" x14ac:dyDescent="0.3">
      <c r="A585">
        <v>584</v>
      </c>
      <c r="B585" s="7">
        <v>45555</v>
      </c>
      <c r="C585" t="s">
        <v>10</v>
      </c>
      <c r="D585">
        <v>699</v>
      </c>
      <c r="E585">
        <v>3.3</v>
      </c>
      <c r="F585">
        <v>5</v>
      </c>
      <c r="G585">
        <v>3</v>
      </c>
      <c r="H585">
        <v>1</v>
      </c>
      <c r="I585">
        <v>15</v>
      </c>
      <c r="J585" t="s">
        <v>13</v>
      </c>
      <c r="K585">
        <f>IF(J585="Yes", 1, 0)</f>
        <v>0</v>
      </c>
      <c r="L585" t="str">
        <f>IF(G585=0,"0 Failures","1+ Failures")</f>
        <v>1+ Failures</v>
      </c>
      <c r="M585" t="str">
        <f t="shared" si="26"/>
        <v>0-5 hrs</v>
      </c>
      <c r="N585" t="str">
        <f t="shared" si="27"/>
        <v>0-3months</v>
      </c>
      <c r="O585" t="str">
        <f t="shared" si="28"/>
        <v>Premium</v>
      </c>
      <c r="P585" s="7">
        <v>45657</v>
      </c>
    </row>
    <row r="586" spans="1:16" x14ac:dyDescent="0.3">
      <c r="A586">
        <v>585</v>
      </c>
      <c r="B586" s="7">
        <v>45043</v>
      </c>
      <c r="C586" t="s">
        <v>10</v>
      </c>
      <c r="D586">
        <v>699</v>
      </c>
      <c r="E586">
        <v>24</v>
      </c>
      <c r="F586">
        <v>5</v>
      </c>
      <c r="G586">
        <v>3</v>
      </c>
      <c r="H586">
        <v>16</v>
      </c>
      <c r="I586">
        <v>58</v>
      </c>
      <c r="J586" t="s">
        <v>13</v>
      </c>
      <c r="K586">
        <f>IF(J586="Yes", 1, 0)</f>
        <v>0</v>
      </c>
      <c r="L586" t="str">
        <f>IF(G586=0,"0 Failures","1+ Failures")</f>
        <v>1+ Failures</v>
      </c>
      <c r="M586" t="str">
        <f t="shared" si="26"/>
        <v>20+ hrs</v>
      </c>
      <c r="N586" t="str">
        <f t="shared" si="27"/>
        <v>12+ months</v>
      </c>
      <c r="O586" t="str">
        <f t="shared" si="28"/>
        <v>Premium</v>
      </c>
      <c r="P586" s="7">
        <v>45657</v>
      </c>
    </row>
    <row r="587" spans="1:16" x14ac:dyDescent="0.3">
      <c r="A587">
        <v>586</v>
      </c>
      <c r="B587" s="7">
        <v>45310</v>
      </c>
      <c r="C587" t="s">
        <v>14</v>
      </c>
      <c r="D587">
        <v>399</v>
      </c>
      <c r="E587">
        <v>13.7</v>
      </c>
      <c r="F587">
        <v>4</v>
      </c>
      <c r="G587">
        <v>0</v>
      </c>
      <c r="H587">
        <v>17</v>
      </c>
      <c r="I587">
        <v>58</v>
      </c>
      <c r="J587" t="s">
        <v>13</v>
      </c>
      <c r="K587">
        <f>IF(J587="Yes", 1, 0)</f>
        <v>0</v>
      </c>
      <c r="L587" t="str">
        <f>IF(G587=0,"0 Failures","1+ Failures")</f>
        <v>0 Failures</v>
      </c>
      <c r="M587" t="str">
        <f t="shared" ref="M587:M650" si="29">IF(E587&lt;=5, "0-5 hrs",    IF(E587&lt;=10, "5-10 hrs",    IF(E587&lt;=20, "10-20hrs", "20+ hrs")))</f>
        <v>10-20hrs</v>
      </c>
      <c r="N587" t="str">
        <f t="shared" si="27"/>
        <v>12+ months</v>
      </c>
      <c r="O587" t="str">
        <f t="shared" si="28"/>
        <v>Basic</v>
      </c>
      <c r="P587" s="7">
        <v>45657</v>
      </c>
    </row>
    <row r="588" spans="1:16" x14ac:dyDescent="0.3">
      <c r="A588">
        <v>587</v>
      </c>
      <c r="B588" s="7">
        <v>45255</v>
      </c>
      <c r="C588" t="s">
        <v>10</v>
      </c>
      <c r="D588">
        <v>699</v>
      </c>
      <c r="E588">
        <v>11.4</v>
      </c>
      <c r="F588">
        <v>0</v>
      </c>
      <c r="G588">
        <v>2</v>
      </c>
      <c r="H588">
        <v>33</v>
      </c>
      <c r="I588">
        <v>57</v>
      </c>
      <c r="J588" t="s">
        <v>13</v>
      </c>
      <c r="K588">
        <f>IF(J588="Yes", 1, 0)</f>
        <v>0</v>
      </c>
      <c r="L588" t="str">
        <f>IF(G588=0,"0 Failures","1+ Failures")</f>
        <v>1+ Failures</v>
      </c>
      <c r="M588" t="str">
        <f t="shared" si="29"/>
        <v>10-20hrs</v>
      </c>
      <c r="N588" t="str">
        <f t="shared" si="27"/>
        <v>12+ months</v>
      </c>
      <c r="O588" t="str">
        <f t="shared" si="28"/>
        <v>Premium</v>
      </c>
      <c r="P588" s="7">
        <v>45657</v>
      </c>
    </row>
    <row r="589" spans="1:16" x14ac:dyDescent="0.3">
      <c r="A589">
        <v>588</v>
      </c>
      <c r="B589" s="7">
        <v>44994</v>
      </c>
      <c r="C589" t="s">
        <v>10</v>
      </c>
      <c r="D589">
        <v>699</v>
      </c>
      <c r="E589">
        <v>23.7</v>
      </c>
      <c r="F589">
        <v>2</v>
      </c>
      <c r="G589">
        <v>4</v>
      </c>
      <c r="H589">
        <v>6</v>
      </c>
      <c r="I589">
        <v>34</v>
      </c>
      <c r="J589" t="s">
        <v>11</v>
      </c>
      <c r="K589">
        <f>IF(J589="Yes", 1, 0)</f>
        <v>1</v>
      </c>
      <c r="L589" t="str">
        <f>IF(G589=0,"0 Failures","1+ Failures")</f>
        <v>1+ Failures</v>
      </c>
      <c r="M589" t="str">
        <f t="shared" si="29"/>
        <v>20+ hrs</v>
      </c>
      <c r="N589" t="str">
        <f t="shared" si="27"/>
        <v>3-6months</v>
      </c>
      <c r="O589" t="str">
        <f t="shared" si="28"/>
        <v>Premium</v>
      </c>
      <c r="P589" s="7">
        <v>45657</v>
      </c>
    </row>
    <row r="590" spans="1:16" x14ac:dyDescent="0.3">
      <c r="A590">
        <v>589</v>
      </c>
      <c r="B590" s="7">
        <v>45646</v>
      </c>
      <c r="C590" t="s">
        <v>12</v>
      </c>
      <c r="D590">
        <v>199</v>
      </c>
      <c r="E590">
        <v>21.7</v>
      </c>
      <c r="F590">
        <v>6</v>
      </c>
      <c r="G590">
        <v>0</v>
      </c>
      <c r="H590">
        <v>14</v>
      </c>
      <c r="I590">
        <v>13</v>
      </c>
      <c r="J590" t="s">
        <v>13</v>
      </c>
      <c r="K590">
        <f>IF(J590="Yes", 1, 0)</f>
        <v>0</v>
      </c>
      <c r="L590" t="str">
        <f>IF(G590=0,"0 Failures","1+ Failures")</f>
        <v>0 Failures</v>
      </c>
      <c r="M590" t="str">
        <f t="shared" si="29"/>
        <v>20+ hrs</v>
      </c>
      <c r="N590" t="str">
        <f t="shared" si="27"/>
        <v>12+ months</v>
      </c>
      <c r="O590" t="str">
        <f t="shared" si="28"/>
        <v>Basic</v>
      </c>
      <c r="P590" s="7">
        <v>45657</v>
      </c>
    </row>
    <row r="591" spans="1:16" x14ac:dyDescent="0.3">
      <c r="A591">
        <v>590</v>
      </c>
      <c r="B591" s="7">
        <v>45397</v>
      </c>
      <c r="C591" t="s">
        <v>10</v>
      </c>
      <c r="D591">
        <v>699</v>
      </c>
      <c r="E591">
        <v>16.3</v>
      </c>
      <c r="F591">
        <v>1</v>
      </c>
      <c r="G591">
        <v>5</v>
      </c>
      <c r="H591">
        <v>28</v>
      </c>
      <c r="I591">
        <v>43</v>
      </c>
      <c r="J591" t="s">
        <v>11</v>
      </c>
      <c r="K591">
        <f>IF(J591="Yes", 1, 0)</f>
        <v>1</v>
      </c>
      <c r="L591" t="str">
        <f>IF(G591=0,"0 Failures","1+ Failures")</f>
        <v>1+ Failures</v>
      </c>
      <c r="M591" t="str">
        <f t="shared" si="29"/>
        <v>10-20hrs</v>
      </c>
      <c r="N591" t="str">
        <f t="shared" si="27"/>
        <v>12+ months</v>
      </c>
      <c r="O591" t="str">
        <f t="shared" si="28"/>
        <v>Premium</v>
      </c>
      <c r="P591" s="7">
        <v>45657</v>
      </c>
    </row>
    <row r="592" spans="1:16" x14ac:dyDescent="0.3">
      <c r="A592">
        <v>591</v>
      </c>
      <c r="B592" s="7">
        <v>45498</v>
      </c>
      <c r="C592" t="s">
        <v>10</v>
      </c>
      <c r="D592">
        <v>699</v>
      </c>
      <c r="E592">
        <v>1.4</v>
      </c>
      <c r="F592">
        <v>1</v>
      </c>
      <c r="G592">
        <v>0</v>
      </c>
      <c r="H592">
        <v>22</v>
      </c>
      <c r="I592">
        <v>11</v>
      </c>
      <c r="J592" t="s">
        <v>13</v>
      </c>
      <c r="K592">
        <f>IF(J592="Yes", 1, 0)</f>
        <v>0</v>
      </c>
      <c r="L592" t="str">
        <f>IF(G592=0,"0 Failures","1+ Failures")</f>
        <v>0 Failures</v>
      </c>
      <c r="M592" t="str">
        <f t="shared" si="29"/>
        <v>0-5 hrs</v>
      </c>
      <c r="N592" t="str">
        <f t="shared" si="27"/>
        <v>12+ months</v>
      </c>
      <c r="O592" t="str">
        <f t="shared" si="28"/>
        <v>Premium</v>
      </c>
      <c r="P592" s="7">
        <v>45657</v>
      </c>
    </row>
    <row r="593" spans="1:16" x14ac:dyDescent="0.3">
      <c r="A593">
        <v>592</v>
      </c>
      <c r="B593" s="7">
        <v>45370</v>
      </c>
      <c r="C593" t="s">
        <v>12</v>
      </c>
      <c r="D593">
        <v>199</v>
      </c>
      <c r="E593">
        <v>22.8</v>
      </c>
      <c r="F593">
        <v>6</v>
      </c>
      <c r="G593">
        <v>3</v>
      </c>
      <c r="H593">
        <v>15</v>
      </c>
      <c r="I593">
        <v>28</v>
      </c>
      <c r="J593" t="s">
        <v>11</v>
      </c>
      <c r="K593">
        <f>IF(J593="Yes", 1, 0)</f>
        <v>1</v>
      </c>
      <c r="L593" t="str">
        <f>IF(G593=0,"0 Failures","1+ Failures")</f>
        <v>1+ Failures</v>
      </c>
      <c r="M593" t="str">
        <f t="shared" si="29"/>
        <v>20+ hrs</v>
      </c>
      <c r="N593" t="str">
        <f t="shared" si="27"/>
        <v>12+ months</v>
      </c>
      <c r="O593" t="str">
        <f t="shared" si="28"/>
        <v>Basic</v>
      </c>
      <c r="P593" s="7">
        <v>45657</v>
      </c>
    </row>
    <row r="594" spans="1:16" x14ac:dyDescent="0.3">
      <c r="A594">
        <v>593</v>
      </c>
      <c r="B594" s="7">
        <v>45560</v>
      </c>
      <c r="C594" t="s">
        <v>14</v>
      </c>
      <c r="D594">
        <v>399</v>
      </c>
      <c r="E594">
        <v>10</v>
      </c>
      <c r="F594">
        <v>1</v>
      </c>
      <c r="G594">
        <v>4</v>
      </c>
      <c r="H594">
        <v>2</v>
      </c>
      <c r="I594">
        <v>0</v>
      </c>
      <c r="J594" t="s">
        <v>13</v>
      </c>
      <c r="K594">
        <f>IF(J594="Yes", 1, 0)</f>
        <v>0</v>
      </c>
      <c r="L594" t="str">
        <f>IF(G594=0,"0 Failures","1+ Failures")</f>
        <v>1+ Failures</v>
      </c>
      <c r="M594" t="str">
        <f t="shared" si="29"/>
        <v>5-10 hrs</v>
      </c>
      <c r="N594" t="str">
        <f t="shared" si="27"/>
        <v>0-3months</v>
      </c>
      <c r="O594" t="str">
        <f t="shared" si="28"/>
        <v>Basic</v>
      </c>
      <c r="P594" s="7">
        <v>45657</v>
      </c>
    </row>
    <row r="595" spans="1:16" x14ac:dyDescent="0.3">
      <c r="A595">
        <v>594</v>
      </c>
      <c r="B595" s="7">
        <v>45223</v>
      </c>
      <c r="C595" t="s">
        <v>12</v>
      </c>
      <c r="D595">
        <v>199</v>
      </c>
      <c r="E595">
        <v>17.7</v>
      </c>
      <c r="F595">
        <v>1</v>
      </c>
      <c r="G595">
        <v>2</v>
      </c>
      <c r="H595">
        <v>3</v>
      </c>
      <c r="I595">
        <v>59</v>
      </c>
      <c r="J595" t="s">
        <v>11</v>
      </c>
      <c r="K595">
        <f>IF(J595="Yes", 1, 0)</f>
        <v>1</v>
      </c>
      <c r="L595" t="str">
        <f>IF(G595=0,"0 Failures","1+ Failures")</f>
        <v>1+ Failures</v>
      </c>
      <c r="M595" t="str">
        <f t="shared" si="29"/>
        <v>10-20hrs</v>
      </c>
      <c r="N595" t="str">
        <f t="shared" si="27"/>
        <v>0-3months</v>
      </c>
      <c r="O595" t="str">
        <f t="shared" si="28"/>
        <v>Basic</v>
      </c>
      <c r="P595" s="7">
        <v>45657</v>
      </c>
    </row>
    <row r="596" spans="1:16" x14ac:dyDescent="0.3">
      <c r="A596">
        <v>595</v>
      </c>
      <c r="B596" s="7">
        <v>45603</v>
      </c>
      <c r="C596" t="s">
        <v>10</v>
      </c>
      <c r="D596">
        <v>699</v>
      </c>
      <c r="E596">
        <v>15.4</v>
      </c>
      <c r="F596">
        <v>4</v>
      </c>
      <c r="G596">
        <v>3</v>
      </c>
      <c r="H596">
        <v>20</v>
      </c>
      <c r="I596">
        <v>24</v>
      </c>
      <c r="J596" t="s">
        <v>11</v>
      </c>
      <c r="K596">
        <f>IF(J596="Yes", 1, 0)</f>
        <v>1</v>
      </c>
      <c r="L596" t="str">
        <f>IF(G596=0,"0 Failures","1+ Failures")</f>
        <v>1+ Failures</v>
      </c>
      <c r="M596" t="str">
        <f t="shared" si="29"/>
        <v>10-20hrs</v>
      </c>
      <c r="N596" t="str">
        <f t="shared" si="27"/>
        <v>12+ months</v>
      </c>
      <c r="O596" t="str">
        <f t="shared" si="28"/>
        <v>Premium</v>
      </c>
      <c r="P596" s="7">
        <v>45657</v>
      </c>
    </row>
    <row r="597" spans="1:16" x14ac:dyDescent="0.3">
      <c r="A597">
        <v>596</v>
      </c>
      <c r="B597" s="7">
        <v>45485</v>
      </c>
      <c r="C597" t="s">
        <v>12</v>
      </c>
      <c r="D597">
        <v>199</v>
      </c>
      <c r="E597">
        <v>4.3</v>
      </c>
      <c r="F597">
        <v>3</v>
      </c>
      <c r="G597">
        <v>1</v>
      </c>
      <c r="H597">
        <v>31</v>
      </c>
      <c r="I597">
        <v>47</v>
      </c>
      <c r="J597" t="s">
        <v>11</v>
      </c>
      <c r="K597">
        <f>IF(J597="Yes", 1, 0)</f>
        <v>1</v>
      </c>
      <c r="L597" t="str">
        <f>IF(G597=0,"0 Failures","1+ Failures")</f>
        <v>1+ Failures</v>
      </c>
      <c r="M597" t="str">
        <f t="shared" si="29"/>
        <v>0-5 hrs</v>
      </c>
      <c r="N597" t="str">
        <f t="shared" si="27"/>
        <v>12+ months</v>
      </c>
      <c r="O597" t="str">
        <f t="shared" si="28"/>
        <v>Basic</v>
      </c>
      <c r="P597" s="7">
        <v>45657</v>
      </c>
    </row>
    <row r="598" spans="1:16" x14ac:dyDescent="0.3">
      <c r="A598">
        <v>597</v>
      </c>
      <c r="B598" s="7">
        <v>45071</v>
      </c>
      <c r="C598" t="s">
        <v>14</v>
      </c>
      <c r="D598">
        <v>399</v>
      </c>
      <c r="E598">
        <v>7.8</v>
      </c>
      <c r="F598">
        <v>5</v>
      </c>
      <c r="G598">
        <v>0</v>
      </c>
      <c r="H598">
        <v>10</v>
      </c>
      <c r="I598">
        <v>35</v>
      </c>
      <c r="J598" t="s">
        <v>13</v>
      </c>
      <c r="K598">
        <f>IF(J598="Yes", 1, 0)</f>
        <v>0</v>
      </c>
      <c r="L598" t="str">
        <f>IF(G598=0,"0 Failures","1+ Failures")</f>
        <v>0 Failures</v>
      </c>
      <c r="M598" t="str">
        <f t="shared" si="29"/>
        <v>5-10 hrs</v>
      </c>
      <c r="N598" t="str">
        <f t="shared" si="27"/>
        <v>6-12months</v>
      </c>
      <c r="O598" t="str">
        <f t="shared" si="28"/>
        <v>Basic</v>
      </c>
      <c r="P598" s="7">
        <v>45657</v>
      </c>
    </row>
    <row r="599" spans="1:16" x14ac:dyDescent="0.3">
      <c r="A599">
        <v>598</v>
      </c>
      <c r="B599" s="7">
        <v>45239</v>
      </c>
      <c r="C599" t="s">
        <v>12</v>
      </c>
      <c r="D599">
        <v>199</v>
      </c>
      <c r="E599">
        <v>0.6</v>
      </c>
      <c r="F599">
        <v>6</v>
      </c>
      <c r="G599">
        <v>4</v>
      </c>
      <c r="H599">
        <v>3</v>
      </c>
      <c r="I599">
        <v>35</v>
      </c>
      <c r="J599" t="s">
        <v>11</v>
      </c>
      <c r="K599">
        <f>IF(J599="Yes", 1, 0)</f>
        <v>1</v>
      </c>
      <c r="L599" t="str">
        <f>IF(G599=0,"0 Failures","1+ Failures")</f>
        <v>1+ Failures</v>
      </c>
      <c r="M599" t="str">
        <f t="shared" si="29"/>
        <v>0-5 hrs</v>
      </c>
      <c r="N599" t="str">
        <f t="shared" si="27"/>
        <v>0-3months</v>
      </c>
      <c r="O599" t="str">
        <f t="shared" si="28"/>
        <v>Basic</v>
      </c>
      <c r="P599" s="7">
        <v>45657</v>
      </c>
    </row>
    <row r="600" spans="1:16" x14ac:dyDescent="0.3">
      <c r="A600">
        <v>599</v>
      </c>
      <c r="B600" s="7">
        <v>45558</v>
      </c>
      <c r="C600" t="s">
        <v>12</v>
      </c>
      <c r="D600">
        <v>199</v>
      </c>
      <c r="E600">
        <v>5.7</v>
      </c>
      <c r="F600">
        <v>8</v>
      </c>
      <c r="G600">
        <v>1</v>
      </c>
      <c r="H600">
        <v>23</v>
      </c>
      <c r="I600">
        <v>10</v>
      </c>
      <c r="J600" t="s">
        <v>11</v>
      </c>
      <c r="K600">
        <f>IF(J600="Yes", 1, 0)</f>
        <v>1</v>
      </c>
      <c r="L600" t="str">
        <f>IF(G600=0,"0 Failures","1+ Failures")</f>
        <v>1+ Failures</v>
      </c>
      <c r="M600" t="str">
        <f t="shared" si="29"/>
        <v>5-10 hrs</v>
      </c>
      <c r="N600" t="str">
        <f t="shared" si="27"/>
        <v>12+ months</v>
      </c>
      <c r="O600" t="str">
        <f t="shared" si="28"/>
        <v>Basic</v>
      </c>
      <c r="P600" s="7">
        <v>45657</v>
      </c>
    </row>
    <row r="601" spans="1:16" x14ac:dyDescent="0.3">
      <c r="A601">
        <v>600</v>
      </c>
      <c r="B601" s="7">
        <v>45001</v>
      </c>
      <c r="C601" t="s">
        <v>14</v>
      </c>
      <c r="D601">
        <v>399</v>
      </c>
      <c r="E601">
        <v>3.3</v>
      </c>
      <c r="F601">
        <v>0</v>
      </c>
      <c r="G601">
        <v>4</v>
      </c>
      <c r="H601">
        <v>13</v>
      </c>
      <c r="I601">
        <v>29</v>
      </c>
      <c r="J601" t="s">
        <v>11</v>
      </c>
      <c r="K601">
        <f>IF(J601="Yes", 1, 0)</f>
        <v>1</v>
      </c>
      <c r="L601" t="str">
        <f>IF(G601=0,"0 Failures","1+ Failures")</f>
        <v>1+ Failures</v>
      </c>
      <c r="M601" t="str">
        <f t="shared" si="29"/>
        <v>0-5 hrs</v>
      </c>
      <c r="N601" t="str">
        <f t="shared" si="27"/>
        <v>12+ months</v>
      </c>
      <c r="O601" t="str">
        <f t="shared" si="28"/>
        <v>Basic</v>
      </c>
      <c r="P601" s="7">
        <v>45657</v>
      </c>
    </row>
    <row r="602" spans="1:16" x14ac:dyDescent="0.3">
      <c r="A602">
        <v>601</v>
      </c>
      <c r="B602" s="7">
        <v>45265</v>
      </c>
      <c r="C602" t="s">
        <v>14</v>
      </c>
      <c r="D602">
        <v>399</v>
      </c>
      <c r="E602">
        <v>6.6</v>
      </c>
      <c r="F602">
        <v>3</v>
      </c>
      <c r="G602">
        <v>5</v>
      </c>
      <c r="H602">
        <v>5</v>
      </c>
      <c r="I602">
        <v>37</v>
      </c>
      <c r="J602" t="s">
        <v>11</v>
      </c>
      <c r="K602">
        <f>IF(J602="Yes", 1, 0)</f>
        <v>1</v>
      </c>
      <c r="L602" t="str">
        <f>IF(G602=0,"0 Failures","1+ Failures")</f>
        <v>1+ Failures</v>
      </c>
      <c r="M602" t="str">
        <f t="shared" si="29"/>
        <v>5-10 hrs</v>
      </c>
      <c r="N602" t="str">
        <f t="shared" si="27"/>
        <v>3-6months</v>
      </c>
      <c r="O602" t="str">
        <f t="shared" si="28"/>
        <v>Basic</v>
      </c>
      <c r="P602" s="7">
        <v>45657</v>
      </c>
    </row>
    <row r="603" spans="1:16" x14ac:dyDescent="0.3">
      <c r="A603">
        <v>602</v>
      </c>
      <c r="B603" s="7">
        <v>45125</v>
      </c>
      <c r="C603" t="s">
        <v>14</v>
      </c>
      <c r="D603">
        <v>399</v>
      </c>
      <c r="E603">
        <v>16.899999999999999</v>
      </c>
      <c r="F603">
        <v>3</v>
      </c>
      <c r="G603">
        <v>0</v>
      </c>
      <c r="H603">
        <v>9</v>
      </c>
      <c r="I603">
        <v>18</v>
      </c>
      <c r="J603" t="s">
        <v>13</v>
      </c>
      <c r="K603">
        <f>IF(J603="Yes", 1, 0)</f>
        <v>0</v>
      </c>
      <c r="L603" t="str">
        <f>IF(G603=0,"0 Failures","1+ Failures")</f>
        <v>0 Failures</v>
      </c>
      <c r="M603" t="str">
        <f t="shared" si="29"/>
        <v>10-20hrs</v>
      </c>
      <c r="N603" t="str">
        <f t="shared" si="27"/>
        <v>6-12months</v>
      </c>
      <c r="O603" t="str">
        <f t="shared" si="28"/>
        <v>Basic</v>
      </c>
      <c r="P603" s="7">
        <v>45657</v>
      </c>
    </row>
    <row r="604" spans="1:16" x14ac:dyDescent="0.3">
      <c r="A604">
        <v>603</v>
      </c>
      <c r="B604" s="7">
        <v>45507</v>
      </c>
      <c r="C604" t="s">
        <v>14</v>
      </c>
      <c r="D604">
        <v>399</v>
      </c>
      <c r="E604">
        <v>11.5</v>
      </c>
      <c r="F604">
        <v>4</v>
      </c>
      <c r="G604">
        <v>5</v>
      </c>
      <c r="H604">
        <v>32</v>
      </c>
      <c r="I604">
        <v>37</v>
      </c>
      <c r="J604" t="s">
        <v>11</v>
      </c>
      <c r="K604">
        <f>IF(J604="Yes", 1, 0)</f>
        <v>1</v>
      </c>
      <c r="L604" t="str">
        <f>IF(G604=0,"0 Failures","1+ Failures")</f>
        <v>1+ Failures</v>
      </c>
      <c r="M604" t="str">
        <f t="shared" si="29"/>
        <v>10-20hrs</v>
      </c>
      <c r="N604" t="str">
        <f t="shared" si="27"/>
        <v>12+ months</v>
      </c>
      <c r="O604" t="str">
        <f t="shared" si="28"/>
        <v>Basic</v>
      </c>
      <c r="P604" s="7">
        <v>45657</v>
      </c>
    </row>
    <row r="605" spans="1:16" x14ac:dyDescent="0.3">
      <c r="A605">
        <v>604</v>
      </c>
      <c r="B605" s="7">
        <v>45153</v>
      </c>
      <c r="C605" t="s">
        <v>14</v>
      </c>
      <c r="D605">
        <v>399</v>
      </c>
      <c r="E605">
        <v>24</v>
      </c>
      <c r="F605">
        <v>2</v>
      </c>
      <c r="G605">
        <v>0</v>
      </c>
      <c r="H605">
        <v>21</v>
      </c>
      <c r="I605">
        <v>20</v>
      </c>
      <c r="J605" t="s">
        <v>13</v>
      </c>
      <c r="K605">
        <f>IF(J605="Yes", 1, 0)</f>
        <v>0</v>
      </c>
      <c r="L605" t="str">
        <f>IF(G605=0,"0 Failures","1+ Failures")</f>
        <v>0 Failures</v>
      </c>
      <c r="M605" t="str">
        <f t="shared" si="29"/>
        <v>20+ hrs</v>
      </c>
      <c r="N605" t="str">
        <f t="shared" si="27"/>
        <v>12+ months</v>
      </c>
      <c r="O605" t="str">
        <f t="shared" si="28"/>
        <v>Basic</v>
      </c>
      <c r="P605" s="7">
        <v>45657</v>
      </c>
    </row>
    <row r="606" spans="1:16" x14ac:dyDescent="0.3">
      <c r="A606">
        <v>605</v>
      </c>
      <c r="B606" s="7">
        <v>45418</v>
      </c>
      <c r="C606" t="s">
        <v>10</v>
      </c>
      <c r="D606">
        <v>699</v>
      </c>
      <c r="E606">
        <v>7.3</v>
      </c>
      <c r="F606">
        <v>5</v>
      </c>
      <c r="G606">
        <v>1</v>
      </c>
      <c r="H606">
        <v>28</v>
      </c>
      <c r="I606">
        <v>43</v>
      </c>
      <c r="J606" t="s">
        <v>13</v>
      </c>
      <c r="K606">
        <f>IF(J606="Yes", 1, 0)</f>
        <v>0</v>
      </c>
      <c r="L606" t="str">
        <f>IF(G606=0,"0 Failures","1+ Failures")</f>
        <v>1+ Failures</v>
      </c>
      <c r="M606" t="str">
        <f t="shared" si="29"/>
        <v>5-10 hrs</v>
      </c>
      <c r="N606" t="str">
        <f t="shared" si="27"/>
        <v>12+ months</v>
      </c>
      <c r="O606" t="str">
        <f t="shared" si="28"/>
        <v>Premium</v>
      </c>
      <c r="P606" s="7">
        <v>45657</v>
      </c>
    </row>
    <row r="607" spans="1:16" x14ac:dyDescent="0.3">
      <c r="A607">
        <v>606</v>
      </c>
      <c r="B607" s="7">
        <v>45588</v>
      </c>
      <c r="C607" t="s">
        <v>14</v>
      </c>
      <c r="D607">
        <v>399</v>
      </c>
      <c r="E607">
        <v>9.3000000000000007</v>
      </c>
      <c r="F607">
        <v>4</v>
      </c>
      <c r="G607">
        <v>3</v>
      </c>
      <c r="H607">
        <v>29</v>
      </c>
      <c r="I607">
        <v>35</v>
      </c>
      <c r="J607" t="s">
        <v>11</v>
      </c>
      <c r="K607">
        <f>IF(J607="Yes", 1, 0)</f>
        <v>1</v>
      </c>
      <c r="L607" t="str">
        <f>IF(G607=0,"0 Failures","1+ Failures")</f>
        <v>1+ Failures</v>
      </c>
      <c r="M607" t="str">
        <f t="shared" si="29"/>
        <v>5-10 hrs</v>
      </c>
      <c r="N607" t="str">
        <f t="shared" si="27"/>
        <v>12+ months</v>
      </c>
      <c r="O607" t="str">
        <f t="shared" si="28"/>
        <v>Basic</v>
      </c>
      <c r="P607" s="7">
        <v>45657</v>
      </c>
    </row>
    <row r="608" spans="1:16" x14ac:dyDescent="0.3">
      <c r="A608">
        <v>607</v>
      </c>
      <c r="B608" s="7">
        <v>45568</v>
      </c>
      <c r="C608" t="s">
        <v>10</v>
      </c>
      <c r="D608">
        <v>699</v>
      </c>
      <c r="E608">
        <v>21.1</v>
      </c>
      <c r="F608">
        <v>2</v>
      </c>
      <c r="G608">
        <v>4</v>
      </c>
      <c r="H608">
        <v>6</v>
      </c>
      <c r="I608">
        <v>12</v>
      </c>
      <c r="J608" t="s">
        <v>11</v>
      </c>
      <c r="K608">
        <f>IF(J608="Yes", 1, 0)</f>
        <v>1</v>
      </c>
      <c r="L608" t="str">
        <f>IF(G608=0,"0 Failures","1+ Failures")</f>
        <v>1+ Failures</v>
      </c>
      <c r="M608" t="str">
        <f t="shared" si="29"/>
        <v>20+ hrs</v>
      </c>
      <c r="N608" t="str">
        <f t="shared" si="27"/>
        <v>3-6months</v>
      </c>
      <c r="O608" t="str">
        <f t="shared" si="28"/>
        <v>Premium</v>
      </c>
      <c r="P608" s="7">
        <v>45657</v>
      </c>
    </row>
    <row r="609" spans="1:16" x14ac:dyDescent="0.3">
      <c r="A609">
        <v>608</v>
      </c>
      <c r="B609" s="7">
        <v>45519</v>
      </c>
      <c r="C609" t="s">
        <v>12</v>
      </c>
      <c r="D609">
        <v>199</v>
      </c>
      <c r="E609">
        <v>22.4</v>
      </c>
      <c r="F609">
        <v>8</v>
      </c>
      <c r="G609">
        <v>5</v>
      </c>
      <c r="H609">
        <v>5</v>
      </c>
      <c r="I609">
        <v>1</v>
      </c>
      <c r="J609" t="s">
        <v>13</v>
      </c>
      <c r="K609">
        <f>IF(J609="Yes", 1, 0)</f>
        <v>0</v>
      </c>
      <c r="L609" t="str">
        <f>IF(G609=0,"0 Failures","1+ Failures")</f>
        <v>1+ Failures</v>
      </c>
      <c r="M609" t="str">
        <f t="shared" si="29"/>
        <v>20+ hrs</v>
      </c>
      <c r="N609" t="str">
        <f t="shared" si="27"/>
        <v>3-6months</v>
      </c>
      <c r="O609" t="str">
        <f t="shared" si="28"/>
        <v>Basic</v>
      </c>
      <c r="P609" s="7">
        <v>45657</v>
      </c>
    </row>
    <row r="610" spans="1:16" x14ac:dyDescent="0.3">
      <c r="A610">
        <v>609</v>
      </c>
      <c r="B610" s="7">
        <v>45479</v>
      </c>
      <c r="C610" t="s">
        <v>14</v>
      </c>
      <c r="D610">
        <v>399</v>
      </c>
      <c r="E610">
        <v>22.7</v>
      </c>
      <c r="F610">
        <v>8</v>
      </c>
      <c r="G610">
        <v>2</v>
      </c>
      <c r="H610">
        <v>14</v>
      </c>
      <c r="I610">
        <v>34</v>
      </c>
      <c r="J610" t="s">
        <v>13</v>
      </c>
      <c r="K610">
        <f>IF(J610="Yes", 1, 0)</f>
        <v>0</v>
      </c>
      <c r="L610" t="str">
        <f>IF(G610=0,"0 Failures","1+ Failures")</f>
        <v>1+ Failures</v>
      </c>
      <c r="M610" t="str">
        <f t="shared" si="29"/>
        <v>20+ hrs</v>
      </c>
      <c r="N610" t="str">
        <f t="shared" si="27"/>
        <v>12+ months</v>
      </c>
      <c r="O610" t="str">
        <f t="shared" si="28"/>
        <v>Basic</v>
      </c>
      <c r="P610" s="7">
        <v>45657</v>
      </c>
    </row>
    <row r="611" spans="1:16" x14ac:dyDescent="0.3">
      <c r="A611">
        <v>610</v>
      </c>
      <c r="B611" s="7">
        <v>45064</v>
      </c>
      <c r="C611" t="s">
        <v>14</v>
      </c>
      <c r="D611">
        <v>399</v>
      </c>
      <c r="E611">
        <v>9.5</v>
      </c>
      <c r="F611">
        <v>3</v>
      </c>
      <c r="G611">
        <v>4</v>
      </c>
      <c r="H611">
        <v>10</v>
      </c>
      <c r="I611">
        <v>46</v>
      </c>
      <c r="J611" t="s">
        <v>13</v>
      </c>
      <c r="K611">
        <f>IF(J611="Yes", 1, 0)</f>
        <v>0</v>
      </c>
      <c r="L611" t="str">
        <f>IF(G611=0,"0 Failures","1+ Failures")</f>
        <v>1+ Failures</v>
      </c>
      <c r="M611" t="str">
        <f t="shared" si="29"/>
        <v>5-10 hrs</v>
      </c>
      <c r="N611" t="str">
        <f t="shared" si="27"/>
        <v>6-12months</v>
      </c>
      <c r="O611" t="str">
        <f t="shared" si="28"/>
        <v>Basic</v>
      </c>
      <c r="P611" s="7">
        <v>45657</v>
      </c>
    </row>
    <row r="612" spans="1:16" x14ac:dyDescent="0.3">
      <c r="A612">
        <v>611</v>
      </c>
      <c r="B612" s="7">
        <v>45171</v>
      </c>
      <c r="C612" t="s">
        <v>14</v>
      </c>
      <c r="D612">
        <v>399</v>
      </c>
      <c r="E612">
        <v>13</v>
      </c>
      <c r="F612">
        <v>6</v>
      </c>
      <c r="G612">
        <v>2</v>
      </c>
      <c r="H612">
        <v>33</v>
      </c>
      <c r="I612">
        <v>32</v>
      </c>
      <c r="J612" t="s">
        <v>11</v>
      </c>
      <c r="K612">
        <f>IF(J612="Yes", 1, 0)</f>
        <v>1</v>
      </c>
      <c r="L612" t="str">
        <f>IF(G612=0,"0 Failures","1+ Failures")</f>
        <v>1+ Failures</v>
      </c>
      <c r="M612" t="str">
        <f t="shared" si="29"/>
        <v>10-20hrs</v>
      </c>
      <c r="N612" t="str">
        <f t="shared" si="27"/>
        <v>12+ months</v>
      </c>
      <c r="O612" t="str">
        <f t="shared" si="28"/>
        <v>Basic</v>
      </c>
      <c r="P612" s="7">
        <v>45657</v>
      </c>
    </row>
    <row r="613" spans="1:16" x14ac:dyDescent="0.3">
      <c r="A613">
        <v>612</v>
      </c>
      <c r="B613" s="7">
        <v>45506</v>
      </c>
      <c r="C613" t="s">
        <v>10</v>
      </c>
      <c r="D613">
        <v>699</v>
      </c>
      <c r="E613">
        <v>19.100000000000001</v>
      </c>
      <c r="F613">
        <v>2</v>
      </c>
      <c r="G613">
        <v>3</v>
      </c>
      <c r="H613">
        <v>11</v>
      </c>
      <c r="I613">
        <v>10</v>
      </c>
      <c r="J613" t="s">
        <v>11</v>
      </c>
      <c r="K613">
        <f>IF(J613="Yes", 1, 0)</f>
        <v>1</v>
      </c>
      <c r="L613" t="str">
        <f>IF(G613=0,"0 Failures","1+ Failures")</f>
        <v>1+ Failures</v>
      </c>
      <c r="M613" t="str">
        <f t="shared" si="29"/>
        <v>10-20hrs</v>
      </c>
      <c r="N613" t="str">
        <f t="shared" si="27"/>
        <v>6-12months</v>
      </c>
      <c r="O613" t="str">
        <f t="shared" si="28"/>
        <v>Premium</v>
      </c>
      <c r="P613" s="7">
        <v>45657</v>
      </c>
    </row>
    <row r="614" spans="1:16" x14ac:dyDescent="0.3">
      <c r="A614">
        <v>613</v>
      </c>
      <c r="B614" s="7">
        <v>45426</v>
      </c>
      <c r="C614" t="s">
        <v>10</v>
      </c>
      <c r="D614">
        <v>699</v>
      </c>
      <c r="E614">
        <v>18.5</v>
      </c>
      <c r="F614">
        <v>7</v>
      </c>
      <c r="G614">
        <v>2</v>
      </c>
      <c r="H614">
        <v>10</v>
      </c>
      <c r="I614">
        <v>2</v>
      </c>
      <c r="J614" t="s">
        <v>11</v>
      </c>
      <c r="K614">
        <f>IF(J614="Yes", 1, 0)</f>
        <v>1</v>
      </c>
      <c r="L614" t="str">
        <f>IF(G614=0,"0 Failures","1+ Failures")</f>
        <v>1+ Failures</v>
      </c>
      <c r="M614" t="str">
        <f t="shared" si="29"/>
        <v>10-20hrs</v>
      </c>
      <c r="N614" t="str">
        <f t="shared" si="27"/>
        <v>6-12months</v>
      </c>
      <c r="O614" t="str">
        <f t="shared" si="28"/>
        <v>Premium</v>
      </c>
      <c r="P614" s="7">
        <v>45657</v>
      </c>
    </row>
    <row r="615" spans="1:16" x14ac:dyDescent="0.3">
      <c r="A615">
        <v>614</v>
      </c>
      <c r="B615" s="7">
        <v>45296</v>
      </c>
      <c r="C615" t="s">
        <v>12</v>
      </c>
      <c r="D615">
        <v>199</v>
      </c>
      <c r="E615">
        <v>7</v>
      </c>
      <c r="F615">
        <v>3</v>
      </c>
      <c r="G615">
        <v>0</v>
      </c>
      <c r="H615">
        <v>5</v>
      </c>
      <c r="I615">
        <v>42</v>
      </c>
      <c r="J615" t="s">
        <v>11</v>
      </c>
      <c r="K615">
        <f>IF(J615="Yes", 1, 0)</f>
        <v>1</v>
      </c>
      <c r="L615" t="str">
        <f>IF(G615=0,"0 Failures","1+ Failures")</f>
        <v>0 Failures</v>
      </c>
      <c r="M615" t="str">
        <f t="shared" si="29"/>
        <v>5-10 hrs</v>
      </c>
      <c r="N615" t="str">
        <f t="shared" si="27"/>
        <v>3-6months</v>
      </c>
      <c r="O615" t="str">
        <f t="shared" si="28"/>
        <v>Basic</v>
      </c>
      <c r="P615" s="7">
        <v>45657</v>
      </c>
    </row>
    <row r="616" spans="1:16" x14ac:dyDescent="0.3">
      <c r="A616">
        <v>615</v>
      </c>
      <c r="B616" s="7">
        <v>45647</v>
      </c>
      <c r="C616" t="s">
        <v>14</v>
      </c>
      <c r="D616">
        <v>399</v>
      </c>
      <c r="E616">
        <v>23</v>
      </c>
      <c r="F616">
        <v>0</v>
      </c>
      <c r="G616">
        <v>0</v>
      </c>
      <c r="H616">
        <v>31</v>
      </c>
      <c r="I616">
        <v>41</v>
      </c>
      <c r="J616" t="s">
        <v>11</v>
      </c>
      <c r="K616">
        <f>IF(J616="Yes", 1, 0)</f>
        <v>1</v>
      </c>
      <c r="L616" t="str">
        <f>IF(G616=0,"0 Failures","1+ Failures")</f>
        <v>0 Failures</v>
      </c>
      <c r="M616" t="str">
        <f t="shared" si="29"/>
        <v>20+ hrs</v>
      </c>
      <c r="N616" t="str">
        <f t="shared" si="27"/>
        <v>12+ months</v>
      </c>
      <c r="O616" t="str">
        <f t="shared" si="28"/>
        <v>Basic</v>
      </c>
      <c r="P616" s="7">
        <v>45657</v>
      </c>
    </row>
    <row r="617" spans="1:16" x14ac:dyDescent="0.3">
      <c r="A617">
        <v>616</v>
      </c>
      <c r="B617" s="7">
        <v>45312</v>
      </c>
      <c r="C617" t="s">
        <v>10</v>
      </c>
      <c r="D617">
        <v>699</v>
      </c>
      <c r="E617">
        <v>21</v>
      </c>
      <c r="F617">
        <v>4</v>
      </c>
      <c r="G617">
        <v>4</v>
      </c>
      <c r="H617">
        <v>18</v>
      </c>
      <c r="I617">
        <v>34</v>
      </c>
      <c r="J617" t="s">
        <v>11</v>
      </c>
      <c r="K617">
        <f>IF(J617="Yes", 1, 0)</f>
        <v>1</v>
      </c>
      <c r="L617" t="str">
        <f>IF(G617=0,"0 Failures","1+ Failures")</f>
        <v>1+ Failures</v>
      </c>
      <c r="M617" t="str">
        <f t="shared" si="29"/>
        <v>20+ hrs</v>
      </c>
      <c r="N617" t="str">
        <f t="shared" si="27"/>
        <v>12+ months</v>
      </c>
      <c r="O617" t="str">
        <f t="shared" si="28"/>
        <v>Premium</v>
      </c>
      <c r="P617" s="7">
        <v>45657</v>
      </c>
    </row>
    <row r="618" spans="1:16" x14ac:dyDescent="0.3">
      <c r="A618">
        <v>617</v>
      </c>
      <c r="B618" s="7">
        <v>45155</v>
      </c>
      <c r="C618" t="s">
        <v>10</v>
      </c>
      <c r="D618">
        <v>699</v>
      </c>
      <c r="E618">
        <v>9.4</v>
      </c>
      <c r="F618">
        <v>1</v>
      </c>
      <c r="G618">
        <v>4</v>
      </c>
      <c r="H618">
        <v>25</v>
      </c>
      <c r="I618">
        <v>16</v>
      </c>
      <c r="J618" t="s">
        <v>13</v>
      </c>
      <c r="K618">
        <f>IF(J618="Yes", 1, 0)</f>
        <v>0</v>
      </c>
      <c r="L618" t="str">
        <f>IF(G618=0,"0 Failures","1+ Failures")</f>
        <v>1+ Failures</v>
      </c>
      <c r="M618" t="str">
        <f t="shared" si="29"/>
        <v>5-10 hrs</v>
      </c>
      <c r="N618" t="str">
        <f t="shared" si="27"/>
        <v>12+ months</v>
      </c>
      <c r="O618" t="str">
        <f t="shared" si="28"/>
        <v>Premium</v>
      </c>
      <c r="P618" s="7">
        <v>45657</v>
      </c>
    </row>
    <row r="619" spans="1:16" x14ac:dyDescent="0.3">
      <c r="A619">
        <v>618</v>
      </c>
      <c r="B619" s="7">
        <v>45545</v>
      </c>
      <c r="C619" t="s">
        <v>10</v>
      </c>
      <c r="D619">
        <v>699</v>
      </c>
      <c r="E619">
        <v>9.1</v>
      </c>
      <c r="F619">
        <v>5</v>
      </c>
      <c r="G619">
        <v>3</v>
      </c>
      <c r="H619">
        <v>26</v>
      </c>
      <c r="I619">
        <v>50</v>
      </c>
      <c r="J619" t="s">
        <v>11</v>
      </c>
      <c r="K619">
        <f>IF(J619="Yes", 1, 0)</f>
        <v>1</v>
      </c>
      <c r="L619" t="str">
        <f>IF(G619=0,"0 Failures","1+ Failures")</f>
        <v>1+ Failures</v>
      </c>
      <c r="M619" t="str">
        <f t="shared" si="29"/>
        <v>5-10 hrs</v>
      </c>
      <c r="N619" t="str">
        <f t="shared" si="27"/>
        <v>12+ months</v>
      </c>
      <c r="O619" t="str">
        <f t="shared" si="28"/>
        <v>Premium</v>
      </c>
      <c r="P619" s="7">
        <v>45657</v>
      </c>
    </row>
    <row r="620" spans="1:16" x14ac:dyDescent="0.3">
      <c r="A620">
        <v>619</v>
      </c>
      <c r="B620" s="7">
        <v>45585</v>
      </c>
      <c r="C620" t="s">
        <v>12</v>
      </c>
      <c r="D620">
        <v>199</v>
      </c>
      <c r="E620">
        <v>22.1</v>
      </c>
      <c r="F620">
        <v>7</v>
      </c>
      <c r="G620">
        <v>1</v>
      </c>
      <c r="H620">
        <v>33</v>
      </c>
      <c r="I620">
        <v>14</v>
      </c>
      <c r="J620" t="s">
        <v>11</v>
      </c>
      <c r="K620">
        <f>IF(J620="Yes", 1, 0)</f>
        <v>1</v>
      </c>
      <c r="L620" t="str">
        <f>IF(G620=0,"0 Failures","1+ Failures")</f>
        <v>1+ Failures</v>
      </c>
      <c r="M620" t="str">
        <f t="shared" si="29"/>
        <v>20+ hrs</v>
      </c>
      <c r="N620" t="str">
        <f t="shared" si="27"/>
        <v>12+ months</v>
      </c>
      <c r="O620" t="str">
        <f t="shared" si="28"/>
        <v>Basic</v>
      </c>
      <c r="P620" s="7">
        <v>45657</v>
      </c>
    </row>
    <row r="621" spans="1:16" x14ac:dyDescent="0.3">
      <c r="A621">
        <v>620</v>
      </c>
      <c r="B621" s="7">
        <v>45048</v>
      </c>
      <c r="C621" t="s">
        <v>14</v>
      </c>
      <c r="D621">
        <v>399</v>
      </c>
      <c r="E621">
        <v>4.2</v>
      </c>
      <c r="F621">
        <v>2</v>
      </c>
      <c r="G621">
        <v>2</v>
      </c>
      <c r="H621">
        <v>14</v>
      </c>
      <c r="I621">
        <v>38</v>
      </c>
      <c r="J621" t="s">
        <v>11</v>
      </c>
      <c r="K621">
        <f>IF(J621="Yes", 1, 0)</f>
        <v>1</v>
      </c>
      <c r="L621" t="str">
        <f>IF(G621=0,"0 Failures","1+ Failures")</f>
        <v>1+ Failures</v>
      </c>
      <c r="M621" t="str">
        <f t="shared" si="29"/>
        <v>0-5 hrs</v>
      </c>
      <c r="N621" t="str">
        <f t="shared" si="27"/>
        <v>12+ months</v>
      </c>
      <c r="O621" t="str">
        <f t="shared" si="28"/>
        <v>Basic</v>
      </c>
      <c r="P621" s="7">
        <v>45657</v>
      </c>
    </row>
    <row r="622" spans="1:16" x14ac:dyDescent="0.3">
      <c r="A622">
        <v>621</v>
      </c>
      <c r="B622" s="7">
        <v>45417</v>
      </c>
      <c r="C622" t="s">
        <v>10</v>
      </c>
      <c r="D622">
        <v>699</v>
      </c>
      <c r="E622">
        <v>10.7</v>
      </c>
      <c r="F622">
        <v>5</v>
      </c>
      <c r="G622">
        <v>5</v>
      </c>
      <c r="H622">
        <v>15</v>
      </c>
      <c r="I622">
        <v>7</v>
      </c>
      <c r="J622" t="s">
        <v>11</v>
      </c>
      <c r="K622">
        <f>IF(J622="Yes", 1, 0)</f>
        <v>1</v>
      </c>
      <c r="L622" t="str">
        <f>IF(G622=0,"0 Failures","1+ Failures")</f>
        <v>1+ Failures</v>
      </c>
      <c r="M622" t="str">
        <f t="shared" si="29"/>
        <v>10-20hrs</v>
      </c>
      <c r="N622" t="str">
        <f t="shared" si="27"/>
        <v>12+ months</v>
      </c>
      <c r="O622" t="str">
        <f t="shared" si="28"/>
        <v>Premium</v>
      </c>
      <c r="P622" s="7">
        <v>45657</v>
      </c>
    </row>
    <row r="623" spans="1:16" x14ac:dyDescent="0.3">
      <c r="A623">
        <v>622</v>
      </c>
      <c r="B623" s="7">
        <v>45514</v>
      </c>
      <c r="C623" t="s">
        <v>14</v>
      </c>
      <c r="D623">
        <v>399</v>
      </c>
      <c r="E623">
        <v>15</v>
      </c>
      <c r="F623">
        <v>6</v>
      </c>
      <c r="G623">
        <v>0</v>
      </c>
      <c r="H623">
        <v>14</v>
      </c>
      <c r="I623">
        <v>15</v>
      </c>
      <c r="J623" t="s">
        <v>11</v>
      </c>
      <c r="K623">
        <f>IF(J623="Yes", 1, 0)</f>
        <v>1</v>
      </c>
      <c r="L623" t="str">
        <f>IF(G623=0,"0 Failures","1+ Failures")</f>
        <v>0 Failures</v>
      </c>
      <c r="M623" t="str">
        <f t="shared" si="29"/>
        <v>10-20hrs</v>
      </c>
      <c r="N623" t="str">
        <f t="shared" si="27"/>
        <v>12+ months</v>
      </c>
      <c r="O623" t="str">
        <f t="shared" si="28"/>
        <v>Basic</v>
      </c>
      <c r="P623" s="7">
        <v>45657</v>
      </c>
    </row>
    <row r="624" spans="1:16" x14ac:dyDescent="0.3">
      <c r="A624">
        <v>623</v>
      </c>
      <c r="B624" s="7">
        <v>44984</v>
      </c>
      <c r="C624" t="s">
        <v>10</v>
      </c>
      <c r="D624">
        <v>699</v>
      </c>
      <c r="E624">
        <v>3.8</v>
      </c>
      <c r="F624">
        <v>8</v>
      </c>
      <c r="G624">
        <v>0</v>
      </c>
      <c r="H624">
        <v>11</v>
      </c>
      <c r="I624">
        <v>57</v>
      </c>
      <c r="J624" t="s">
        <v>11</v>
      </c>
      <c r="K624">
        <f>IF(J624="Yes", 1, 0)</f>
        <v>1</v>
      </c>
      <c r="L624" t="str">
        <f>IF(G624=0,"0 Failures","1+ Failures")</f>
        <v>0 Failures</v>
      </c>
      <c r="M624" t="str">
        <f t="shared" si="29"/>
        <v>0-5 hrs</v>
      </c>
      <c r="N624" t="str">
        <f t="shared" si="27"/>
        <v>6-12months</v>
      </c>
      <c r="O624" t="str">
        <f t="shared" si="28"/>
        <v>Premium</v>
      </c>
      <c r="P624" s="7">
        <v>45657</v>
      </c>
    </row>
    <row r="625" spans="1:16" x14ac:dyDescent="0.3">
      <c r="A625">
        <v>624</v>
      </c>
      <c r="B625" s="7">
        <v>45579</v>
      </c>
      <c r="C625" t="s">
        <v>12</v>
      </c>
      <c r="D625">
        <v>199</v>
      </c>
      <c r="E625">
        <v>23.1</v>
      </c>
      <c r="F625">
        <v>8</v>
      </c>
      <c r="G625">
        <v>3</v>
      </c>
      <c r="H625">
        <v>17</v>
      </c>
      <c r="I625">
        <v>38</v>
      </c>
      <c r="J625" t="s">
        <v>13</v>
      </c>
      <c r="K625">
        <f>IF(J625="Yes", 1, 0)</f>
        <v>0</v>
      </c>
      <c r="L625" t="str">
        <f>IF(G625=0,"0 Failures","1+ Failures")</f>
        <v>1+ Failures</v>
      </c>
      <c r="M625" t="str">
        <f t="shared" si="29"/>
        <v>20+ hrs</v>
      </c>
      <c r="N625" t="str">
        <f t="shared" si="27"/>
        <v>12+ months</v>
      </c>
      <c r="O625" t="str">
        <f t="shared" si="28"/>
        <v>Basic</v>
      </c>
      <c r="P625" s="7">
        <v>45657</v>
      </c>
    </row>
    <row r="626" spans="1:16" x14ac:dyDescent="0.3">
      <c r="A626">
        <v>625</v>
      </c>
      <c r="B626" s="7">
        <v>45420</v>
      </c>
      <c r="C626" t="s">
        <v>12</v>
      </c>
      <c r="D626">
        <v>199</v>
      </c>
      <c r="E626">
        <v>23.7</v>
      </c>
      <c r="F626">
        <v>3</v>
      </c>
      <c r="G626">
        <v>3</v>
      </c>
      <c r="H626">
        <v>19</v>
      </c>
      <c r="I626">
        <v>38</v>
      </c>
      <c r="J626" t="s">
        <v>13</v>
      </c>
      <c r="K626">
        <f>IF(J626="Yes", 1, 0)</f>
        <v>0</v>
      </c>
      <c r="L626" t="str">
        <f>IF(G626=0,"0 Failures","1+ Failures")</f>
        <v>1+ Failures</v>
      </c>
      <c r="M626" t="str">
        <f t="shared" si="29"/>
        <v>20+ hrs</v>
      </c>
      <c r="N626" t="str">
        <f t="shared" si="27"/>
        <v>12+ months</v>
      </c>
      <c r="O626" t="str">
        <f t="shared" si="28"/>
        <v>Basic</v>
      </c>
      <c r="P626" s="7">
        <v>45657</v>
      </c>
    </row>
    <row r="627" spans="1:16" x14ac:dyDescent="0.3">
      <c r="A627">
        <v>626</v>
      </c>
      <c r="B627" s="7">
        <v>45565</v>
      </c>
      <c r="C627" t="s">
        <v>12</v>
      </c>
      <c r="D627">
        <v>199</v>
      </c>
      <c r="E627">
        <v>20.8</v>
      </c>
      <c r="F627">
        <v>2</v>
      </c>
      <c r="G627">
        <v>4</v>
      </c>
      <c r="H627">
        <v>15</v>
      </c>
      <c r="I627">
        <v>52</v>
      </c>
      <c r="J627" t="s">
        <v>13</v>
      </c>
      <c r="K627">
        <f>IF(J627="Yes", 1, 0)</f>
        <v>0</v>
      </c>
      <c r="L627" t="str">
        <f>IF(G627=0,"0 Failures","1+ Failures")</f>
        <v>1+ Failures</v>
      </c>
      <c r="M627" t="str">
        <f t="shared" si="29"/>
        <v>20+ hrs</v>
      </c>
      <c r="N627" t="str">
        <f t="shared" si="27"/>
        <v>12+ months</v>
      </c>
      <c r="O627" t="str">
        <f t="shared" si="28"/>
        <v>Basic</v>
      </c>
      <c r="P627" s="7">
        <v>45657</v>
      </c>
    </row>
    <row r="628" spans="1:16" x14ac:dyDescent="0.3">
      <c r="A628">
        <v>627</v>
      </c>
      <c r="B628" s="7">
        <v>45162</v>
      </c>
      <c r="C628" t="s">
        <v>10</v>
      </c>
      <c r="D628">
        <v>699</v>
      </c>
      <c r="E628">
        <v>7</v>
      </c>
      <c r="F628">
        <v>5</v>
      </c>
      <c r="G628">
        <v>3</v>
      </c>
      <c r="H628">
        <v>33</v>
      </c>
      <c r="I628">
        <v>38</v>
      </c>
      <c r="J628" t="s">
        <v>11</v>
      </c>
      <c r="K628">
        <f>IF(J628="Yes", 1, 0)</f>
        <v>1</v>
      </c>
      <c r="L628" t="str">
        <f>IF(G628=0,"0 Failures","1+ Failures")</f>
        <v>1+ Failures</v>
      </c>
      <c r="M628" t="str">
        <f t="shared" si="29"/>
        <v>5-10 hrs</v>
      </c>
      <c r="N628" t="str">
        <f t="shared" si="27"/>
        <v>12+ months</v>
      </c>
      <c r="O628" t="str">
        <f t="shared" si="28"/>
        <v>Premium</v>
      </c>
      <c r="P628" s="7">
        <v>45657</v>
      </c>
    </row>
    <row r="629" spans="1:16" x14ac:dyDescent="0.3">
      <c r="A629">
        <v>628</v>
      </c>
      <c r="B629" s="7">
        <v>45443</v>
      </c>
      <c r="C629" t="s">
        <v>14</v>
      </c>
      <c r="D629">
        <v>399</v>
      </c>
      <c r="E629">
        <v>3.7</v>
      </c>
      <c r="F629">
        <v>0</v>
      </c>
      <c r="G629">
        <v>1</v>
      </c>
      <c r="H629">
        <v>25</v>
      </c>
      <c r="I629">
        <v>33</v>
      </c>
      <c r="J629" t="s">
        <v>13</v>
      </c>
      <c r="K629">
        <f>IF(J629="Yes", 1, 0)</f>
        <v>0</v>
      </c>
      <c r="L629" t="str">
        <f>IF(G629=0,"0 Failures","1+ Failures")</f>
        <v>1+ Failures</v>
      </c>
      <c r="M629" t="str">
        <f t="shared" si="29"/>
        <v>0-5 hrs</v>
      </c>
      <c r="N629" t="str">
        <f t="shared" si="27"/>
        <v>12+ months</v>
      </c>
      <c r="O629" t="str">
        <f t="shared" si="28"/>
        <v>Basic</v>
      </c>
      <c r="P629" s="7">
        <v>45657</v>
      </c>
    </row>
    <row r="630" spans="1:16" x14ac:dyDescent="0.3">
      <c r="A630">
        <v>629</v>
      </c>
      <c r="B630" s="7">
        <v>45541</v>
      </c>
      <c r="C630" t="s">
        <v>10</v>
      </c>
      <c r="D630">
        <v>699</v>
      </c>
      <c r="E630">
        <v>20.7</v>
      </c>
      <c r="F630">
        <v>1</v>
      </c>
      <c r="G630">
        <v>1</v>
      </c>
      <c r="H630">
        <v>27</v>
      </c>
      <c r="I630">
        <v>30</v>
      </c>
      <c r="J630" t="s">
        <v>13</v>
      </c>
      <c r="K630">
        <f>IF(J630="Yes", 1, 0)</f>
        <v>0</v>
      </c>
      <c r="L630" t="str">
        <f>IF(G630=0,"0 Failures","1+ Failures")</f>
        <v>1+ Failures</v>
      </c>
      <c r="M630" t="str">
        <f t="shared" si="29"/>
        <v>20+ hrs</v>
      </c>
      <c r="N630" t="str">
        <f t="shared" si="27"/>
        <v>12+ months</v>
      </c>
      <c r="O630" t="str">
        <f t="shared" si="28"/>
        <v>Premium</v>
      </c>
      <c r="P630" s="7">
        <v>45657</v>
      </c>
    </row>
    <row r="631" spans="1:16" x14ac:dyDescent="0.3">
      <c r="A631">
        <v>630</v>
      </c>
      <c r="B631" s="7">
        <v>45544</v>
      </c>
      <c r="C631" t="s">
        <v>12</v>
      </c>
      <c r="D631">
        <v>199</v>
      </c>
      <c r="E631">
        <v>12.8</v>
      </c>
      <c r="F631">
        <v>1</v>
      </c>
      <c r="G631">
        <v>0</v>
      </c>
      <c r="H631">
        <v>35</v>
      </c>
      <c r="I631">
        <v>30</v>
      </c>
      <c r="J631" t="s">
        <v>13</v>
      </c>
      <c r="K631">
        <f>IF(J631="Yes", 1, 0)</f>
        <v>0</v>
      </c>
      <c r="L631" t="str">
        <f>IF(G631=0,"0 Failures","1+ Failures")</f>
        <v>0 Failures</v>
      </c>
      <c r="M631" t="str">
        <f t="shared" si="29"/>
        <v>10-20hrs</v>
      </c>
      <c r="N631" t="str">
        <f t="shared" si="27"/>
        <v>12+ months</v>
      </c>
      <c r="O631" t="str">
        <f t="shared" si="28"/>
        <v>Basic</v>
      </c>
      <c r="P631" s="7">
        <v>45657</v>
      </c>
    </row>
    <row r="632" spans="1:16" x14ac:dyDescent="0.3">
      <c r="A632">
        <v>631</v>
      </c>
      <c r="B632" s="7">
        <v>44971</v>
      </c>
      <c r="C632" t="s">
        <v>10</v>
      </c>
      <c r="D632">
        <v>699</v>
      </c>
      <c r="E632">
        <v>22.5</v>
      </c>
      <c r="F632">
        <v>6</v>
      </c>
      <c r="G632">
        <v>4</v>
      </c>
      <c r="H632">
        <v>1</v>
      </c>
      <c r="I632">
        <v>26</v>
      </c>
      <c r="J632" t="s">
        <v>11</v>
      </c>
      <c r="K632">
        <f>IF(J632="Yes", 1, 0)</f>
        <v>1</v>
      </c>
      <c r="L632" t="str">
        <f>IF(G632=0,"0 Failures","1+ Failures")</f>
        <v>1+ Failures</v>
      </c>
      <c r="M632" t="str">
        <f t="shared" si="29"/>
        <v>20+ hrs</v>
      </c>
      <c r="N632" t="str">
        <f t="shared" si="27"/>
        <v>0-3months</v>
      </c>
      <c r="O632" t="str">
        <f t="shared" si="28"/>
        <v>Premium</v>
      </c>
      <c r="P632" s="7">
        <v>45657</v>
      </c>
    </row>
    <row r="633" spans="1:16" x14ac:dyDescent="0.3">
      <c r="A633">
        <v>632</v>
      </c>
      <c r="B633" s="7">
        <v>45640</v>
      </c>
      <c r="C633" t="s">
        <v>10</v>
      </c>
      <c r="D633">
        <v>699</v>
      </c>
      <c r="E633">
        <v>11</v>
      </c>
      <c r="F633">
        <v>7</v>
      </c>
      <c r="G633">
        <v>3</v>
      </c>
      <c r="H633">
        <v>34</v>
      </c>
      <c r="I633">
        <v>22</v>
      </c>
      <c r="J633" t="s">
        <v>11</v>
      </c>
      <c r="K633">
        <f>IF(J633="Yes", 1, 0)</f>
        <v>1</v>
      </c>
      <c r="L633" t="str">
        <f>IF(G633=0,"0 Failures","1+ Failures")</f>
        <v>1+ Failures</v>
      </c>
      <c r="M633" t="str">
        <f t="shared" si="29"/>
        <v>10-20hrs</v>
      </c>
      <c r="N633" t="str">
        <f t="shared" si="27"/>
        <v>12+ months</v>
      </c>
      <c r="O633" t="str">
        <f t="shared" si="28"/>
        <v>Premium</v>
      </c>
      <c r="P633" s="7">
        <v>45657</v>
      </c>
    </row>
    <row r="634" spans="1:16" x14ac:dyDescent="0.3">
      <c r="A634">
        <v>633</v>
      </c>
      <c r="B634" s="7">
        <v>45012</v>
      </c>
      <c r="C634" t="s">
        <v>10</v>
      </c>
      <c r="D634">
        <v>699</v>
      </c>
      <c r="E634">
        <v>10.9</v>
      </c>
      <c r="F634">
        <v>4</v>
      </c>
      <c r="G634">
        <v>3</v>
      </c>
      <c r="H634">
        <v>7</v>
      </c>
      <c r="I634">
        <v>49</v>
      </c>
      <c r="J634" t="s">
        <v>11</v>
      </c>
      <c r="K634">
        <f>IF(J634="Yes", 1, 0)</f>
        <v>1</v>
      </c>
      <c r="L634" t="str">
        <f>IF(G634=0,"0 Failures","1+ Failures")</f>
        <v>1+ Failures</v>
      </c>
      <c r="M634" t="str">
        <f t="shared" si="29"/>
        <v>10-20hrs</v>
      </c>
      <c r="N634" t="str">
        <f t="shared" si="27"/>
        <v>6-12months</v>
      </c>
      <c r="O634" t="str">
        <f t="shared" si="28"/>
        <v>Premium</v>
      </c>
      <c r="P634" s="7">
        <v>45657</v>
      </c>
    </row>
    <row r="635" spans="1:16" x14ac:dyDescent="0.3">
      <c r="A635">
        <v>634</v>
      </c>
      <c r="B635" s="7">
        <v>44934</v>
      </c>
      <c r="C635" t="s">
        <v>14</v>
      </c>
      <c r="D635">
        <v>399</v>
      </c>
      <c r="E635">
        <v>10.5</v>
      </c>
      <c r="F635">
        <v>3</v>
      </c>
      <c r="G635">
        <v>0</v>
      </c>
      <c r="H635">
        <v>35</v>
      </c>
      <c r="I635">
        <v>45</v>
      </c>
      <c r="J635" t="s">
        <v>13</v>
      </c>
      <c r="K635">
        <f>IF(J635="Yes", 1, 0)</f>
        <v>0</v>
      </c>
      <c r="L635" t="str">
        <f>IF(G635=0,"0 Failures","1+ Failures")</f>
        <v>0 Failures</v>
      </c>
      <c r="M635" t="str">
        <f t="shared" si="29"/>
        <v>10-20hrs</v>
      </c>
      <c r="N635" t="str">
        <f t="shared" si="27"/>
        <v>12+ months</v>
      </c>
      <c r="O635" t="str">
        <f t="shared" si="28"/>
        <v>Basic</v>
      </c>
      <c r="P635" s="7">
        <v>45657</v>
      </c>
    </row>
    <row r="636" spans="1:16" x14ac:dyDescent="0.3">
      <c r="A636">
        <v>635</v>
      </c>
      <c r="B636" s="7">
        <v>45250</v>
      </c>
      <c r="C636" t="s">
        <v>10</v>
      </c>
      <c r="D636">
        <v>699</v>
      </c>
      <c r="E636">
        <v>3.4</v>
      </c>
      <c r="F636">
        <v>0</v>
      </c>
      <c r="G636">
        <v>3</v>
      </c>
      <c r="H636">
        <v>34</v>
      </c>
      <c r="I636">
        <v>41</v>
      </c>
      <c r="J636" t="s">
        <v>11</v>
      </c>
      <c r="K636">
        <f>IF(J636="Yes", 1, 0)</f>
        <v>1</v>
      </c>
      <c r="L636" t="str">
        <f>IF(G636=0,"0 Failures","1+ Failures")</f>
        <v>1+ Failures</v>
      </c>
      <c r="M636" t="str">
        <f t="shared" si="29"/>
        <v>0-5 hrs</v>
      </c>
      <c r="N636" t="str">
        <f t="shared" si="27"/>
        <v>12+ months</v>
      </c>
      <c r="O636" t="str">
        <f t="shared" si="28"/>
        <v>Premium</v>
      </c>
      <c r="P636" s="7">
        <v>45657</v>
      </c>
    </row>
    <row r="637" spans="1:16" x14ac:dyDescent="0.3">
      <c r="A637">
        <v>636</v>
      </c>
      <c r="B637" s="7">
        <v>45475</v>
      </c>
      <c r="C637" t="s">
        <v>14</v>
      </c>
      <c r="D637">
        <v>399</v>
      </c>
      <c r="E637">
        <v>3.1</v>
      </c>
      <c r="F637">
        <v>6</v>
      </c>
      <c r="G637">
        <v>5</v>
      </c>
      <c r="H637">
        <v>24</v>
      </c>
      <c r="I637">
        <v>37</v>
      </c>
      <c r="J637" t="s">
        <v>11</v>
      </c>
      <c r="K637">
        <f>IF(J637="Yes", 1, 0)</f>
        <v>1</v>
      </c>
      <c r="L637" t="str">
        <f>IF(G637=0,"0 Failures","1+ Failures")</f>
        <v>1+ Failures</v>
      </c>
      <c r="M637" t="str">
        <f t="shared" si="29"/>
        <v>0-5 hrs</v>
      </c>
      <c r="N637" t="str">
        <f t="shared" si="27"/>
        <v>12+ months</v>
      </c>
      <c r="O637" t="str">
        <f t="shared" si="28"/>
        <v>Basic</v>
      </c>
      <c r="P637" s="7">
        <v>45657</v>
      </c>
    </row>
    <row r="638" spans="1:16" x14ac:dyDescent="0.3">
      <c r="A638">
        <v>637</v>
      </c>
      <c r="B638" s="7">
        <v>45497</v>
      </c>
      <c r="C638" t="s">
        <v>14</v>
      </c>
      <c r="D638">
        <v>399</v>
      </c>
      <c r="E638">
        <v>15.5</v>
      </c>
      <c r="F638">
        <v>6</v>
      </c>
      <c r="G638">
        <v>1</v>
      </c>
      <c r="H638">
        <v>24</v>
      </c>
      <c r="I638">
        <v>26</v>
      </c>
      <c r="J638" t="s">
        <v>13</v>
      </c>
      <c r="K638">
        <f>IF(J638="Yes", 1, 0)</f>
        <v>0</v>
      </c>
      <c r="L638" t="str">
        <f>IF(G638=0,"0 Failures","1+ Failures")</f>
        <v>1+ Failures</v>
      </c>
      <c r="M638" t="str">
        <f t="shared" si="29"/>
        <v>10-20hrs</v>
      </c>
      <c r="N638" t="str">
        <f t="shared" si="27"/>
        <v>12+ months</v>
      </c>
      <c r="O638" t="str">
        <f t="shared" si="28"/>
        <v>Basic</v>
      </c>
      <c r="P638" s="7">
        <v>45657</v>
      </c>
    </row>
    <row r="639" spans="1:16" x14ac:dyDescent="0.3">
      <c r="A639">
        <v>638</v>
      </c>
      <c r="B639" s="7">
        <v>45518</v>
      </c>
      <c r="C639" t="s">
        <v>14</v>
      </c>
      <c r="D639">
        <v>399</v>
      </c>
      <c r="E639">
        <v>9.6</v>
      </c>
      <c r="F639">
        <v>8</v>
      </c>
      <c r="G639">
        <v>3</v>
      </c>
      <c r="H639">
        <v>12</v>
      </c>
      <c r="I639">
        <v>16</v>
      </c>
      <c r="J639" t="s">
        <v>13</v>
      </c>
      <c r="K639">
        <f>IF(J639="Yes", 1, 0)</f>
        <v>0</v>
      </c>
      <c r="L639" t="str">
        <f>IF(G639=0,"0 Failures","1+ Failures")</f>
        <v>1+ Failures</v>
      </c>
      <c r="M639" t="str">
        <f t="shared" si="29"/>
        <v>5-10 hrs</v>
      </c>
      <c r="N639" t="str">
        <f t="shared" si="27"/>
        <v>6-12months</v>
      </c>
      <c r="O639" t="str">
        <f t="shared" si="28"/>
        <v>Basic</v>
      </c>
      <c r="P639" s="7">
        <v>45657</v>
      </c>
    </row>
    <row r="640" spans="1:16" x14ac:dyDescent="0.3">
      <c r="A640">
        <v>639</v>
      </c>
      <c r="B640" s="7">
        <v>45643</v>
      </c>
      <c r="C640" t="s">
        <v>14</v>
      </c>
      <c r="D640">
        <v>399</v>
      </c>
      <c r="E640">
        <v>18.5</v>
      </c>
      <c r="F640">
        <v>1</v>
      </c>
      <c r="G640">
        <v>5</v>
      </c>
      <c r="H640">
        <v>26</v>
      </c>
      <c r="I640">
        <v>14</v>
      </c>
      <c r="J640" t="s">
        <v>13</v>
      </c>
      <c r="K640">
        <f>IF(J640="Yes", 1, 0)</f>
        <v>0</v>
      </c>
      <c r="L640" t="str">
        <f>IF(G640=0,"0 Failures","1+ Failures")</f>
        <v>1+ Failures</v>
      </c>
      <c r="M640" t="str">
        <f t="shared" si="29"/>
        <v>10-20hrs</v>
      </c>
      <c r="N640" t="str">
        <f t="shared" si="27"/>
        <v>12+ months</v>
      </c>
      <c r="O640" t="str">
        <f t="shared" si="28"/>
        <v>Basic</v>
      </c>
      <c r="P640" s="7">
        <v>45657</v>
      </c>
    </row>
    <row r="641" spans="1:16" x14ac:dyDescent="0.3">
      <c r="A641">
        <v>640</v>
      </c>
      <c r="B641" s="7">
        <v>45640</v>
      </c>
      <c r="C641" t="s">
        <v>12</v>
      </c>
      <c r="D641">
        <v>199</v>
      </c>
      <c r="E641">
        <v>5.8</v>
      </c>
      <c r="F641">
        <v>6</v>
      </c>
      <c r="G641">
        <v>2</v>
      </c>
      <c r="H641">
        <v>7</v>
      </c>
      <c r="I641">
        <v>51</v>
      </c>
      <c r="J641" t="s">
        <v>11</v>
      </c>
      <c r="K641">
        <f>IF(J641="Yes", 1, 0)</f>
        <v>1</v>
      </c>
      <c r="L641" t="str">
        <f>IF(G641=0,"0 Failures","1+ Failures")</f>
        <v>1+ Failures</v>
      </c>
      <c r="M641" t="str">
        <f t="shared" si="29"/>
        <v>5-10 hrs</v>
      </c>
      <c r="N641" t="str">
        <f t="shared" si="27"/>
        <v>6-12months</v>
      </c>
      <c r="O641" t="str">
        <f t="shared" si="28"/>
        <v>Basic</v>
      </c>
      <c r="P641" s="7">
        <v>45657</v>
      </c>
    </row>
    <row r="642" spans="1:16" x14ac:dyDescent="0.3">
      <c r="A642">
        <v>641</v>
      </c>
      <c r="B642" s="7">
        <v>45541</v>
      </c>
      <c r="C642" t="s">
        <v>10</v>
      </c>
      <c r="D642">
        <v>699</v>
      </c>
      <c r="E642">
        <v>4.4000000000000004</v>
      </c>
      <c r="F642">
        <v>0</v>
      </c>
      <c r="G642">
        <v>0</v>
      </c>
      <c r="H642">
        <v>4</v>
      </c>
      <c r="I642">
        <v>52</v>
      </c>
      <c r="J642" t="s">
        <v>11</v>
      </c>
      <c r="K642">
        <f>IF(J642="Yes", 1, 0)</f>
        <v>1</v>
      </c>
      <c r="L642" t="str">
        <f>IF(G642=0,"0 Failures","1+ Failures")</f>
        <v>0 Failures</v>
      </c>
      <c r="M642" t="str">
        <f t="shared" si="29"/>
        <v>0-5 hrs</v>
      </c>
      <c r="N642" t="str">
        <f t="shared" si="27"/>
        <v>3-6months</v>
      </c>
      <c r="O642" t="str">
        <f t="shared" si="28"/>
        <v>Premium</v>
      </c>
      <c r="P642" s="7">
        <v>45657</v>
      </c>
    </row>
    <row r="643" spans="1:16" x14ac:dyDescent="0.3">
      <c r="A643">
        <v>642</v>
      </c>
      <c r="B643" s="7">
        <v>45320</v>
      </c>
      <c r="C643" t="s">
        <v>14</v>
      </c>
      <c r="D643">
        <v>399</v>
      </c>
      <c r="E643">
        <v>2.1</v>
      </c>
      <c r="F643">
        <v>3</v>
      </c>
      <c r="G643">
        <v>2</v>
      </c>
      <c r="H643">
        <v>6</v>
      </c>
      <c r="I643">
        <v>5</v>
      </c>
      <c r="J643" t="s">
        <v>13</v>
      </c>
      <c r="K643">
        <f>IF(J643="Yes", 1, 0)</f>
        <v>0</v>
      </c>
      <c r="L643" t="str">
        <f>IF(G643=0,"0 Failures","1+ Failures")</f>
        <v>1+ Failures</v>
      </c>
      <c r="M643" t="str">
        <f t="shared" si="29"/>
        <v>0-5 hrs</v>
      </c>
      <c r="N643" t="str">
        <f t="shared" ref="N643:N706" si="30">IF(H643&lt;=3, "0-3months", IF(H643&lt;=6, "3-6months", IF(H643&lt;=12, "6-12months", "12+ months")))</f>
        <v>3-6months</v>
      </c>
      <c r="O643" t="str">
        <f t="shared" ref="O643:O706" si="31">IF(C643="premium", "Premium", "Basic")</f>
        <v>Basic</v>
      </c>
      <c r="P643" s="7">
        <v>45657</v>
      </c>
    </row>
    <row r="644" spans="1:16" x14ac:dyDescent="0.3">
      <c r="A644">
        <v>643</v>
      </c>
      <c r="B644" s="7">
        <v>44937</v>
      </c>
      <c r="C644" t="s">
        <v>14</v>
      </c>
      <c r="D644">
        <v>399</v>
      </c>
      <c r="E644">
        <v>7.5</v>
      </c>
      <c r="F644">
        <v>0</v>
      </c>
      <c r="G644">
        <v>1</v>
      </c>
      <c r="H644">
        <v>34</v>
      </c>
      <c r="I644">
        <v>40</v>
      </c>
      <c r="J644" t="s">
        <v>13</v>
      </c>
      <c r="K644">
        <f>IF(J644="Yes", 1, 0)</f>
        <v>0</v>
      </c>
      <c r="L644" t="str">
        <f>IF(G644=0,"0 Failures","1+ Failures")</f>
        <v>1+ Failures</v>
      </c>
      <c r="M644" t="str">
        <f t="shared" si="29"/>
        <v>5-10 hrs</v>
      </c>
      <c r="N644" t="str">
        <f t="shared" si="30"/>
        <v>12+ months</v>
      </c>
      <c r="O644" t="str">
        <f t="shared" si="31"/>
        <v>Basic</v>
      </c>
      <c r="P644" s="7">
        <v>45657</v>
      </c>
    </row>
    <row r="645" spans="1:16" x14ac:dyDescent="0.3">
      <c r="A645">
        <v>644</v>
      </c>
      <c r="B645" s="7">
        <v>45164</v>
      </c>
      <c r="C645" t="s">
        <v>12</v>
      </c>
      <c r="D645">
        <v>199</v>
      </c>
      <c r="E645">
        <v>7.5</v>
      </c>
      <c r="F645">
        <v>0</v>
      </c>
      <c r="G645">
        <v>4</v>
      </c>
      <c r="H645">
        <v>34</v>
      </c>
      <c r="I645">
        <v>32</v>
      </c>
      <c r="J645" t="s">
        <v>11</v>
      </c>
      <c r="K645">
        <f>IF(J645="Yes", 1, 0)</f>
        <v>1</v>
      </c>
      <c r="L645" t="str">
        <f>IF(G645=0,"0 Failures","1+ Failures")</f>
        <v>1+ Failures</v>
      </c>
      <c r="M645" t="str">
        <f t="shared" si="29"/>
        <v>5-10 hrs</v>
      </c>
      <c r="N645" t="str">
        <f t="shared" si="30"/>
        <v>12+ months</v>
      </c>
      <c r="O645" t="str">
        <f t="shared" si="31"/>
        <v>Basic</v>
      </c>
      <c r="P645" s="7">
        <v>45657</v>
      </c>
    </row>
    <row r="646" spans="1:16" x14ac:dyDescent="0.3">
      <c r="A646">
        <v>645</v>
      </c>
      <c r="B646" s="7">
        <v>45088</v>
      </c>
      <c r="C646" t="s">
        <v>10</v>
      </c>
      <c r="D646">
        <v>699</v>
      </c>
      <c r="E646">
        <v>17</v>
      </c>
      <c r="F646">
        <v>5</v>
      </c>
      <c r="G646">
        <v>1</v>
      </c>
      <c r="H646">
        <v>11</v>
      </c>
      <c r="I646">
        <v>41</v>
      </c>
      <c r="J646" t="s">
        <v>11</v>
      </c>
      <c r="K646">
        <f>IF(J646="Yes", 1, 0)</f>
        <v>1</v>
      </c>
      <c r="L646" t="str">
        <f>IF(G646=0,"0 Failures","1+ Failures")</f>
        <v>1+ Failures</v>
      </c>
      <c r="M646" t="str">
        <f t="shared" si="29"/>
        <v>10-20hrs</v>
      </c>
      <c r="N646" t="str">
        <f t="shared" si="30"/>
        <v>6-12months</v>
      </c>
      <c r="O646" t="str">
        <f t="shared" si="31"/>
        <v>Premium</v>
      </c>
      <c r="P646" s="7">
        <v>45657</v>
      </c>
    </row>
    <row r="647" spans="1:16" x14ac:dyDescent="0.3">
      <c r="A647">
        <v>646</v>
      </c>
      <c r="B647" s="7">
        <v>45132</v>
      </c>
      <c r="C647" t="s">
        <v>12</v>
      </c>
      <c r="D647">
        <v>199</v>
      </c>
      <c r="E647">
        <v>19.600000000000001</v>
      </c>
      <c r="F647">
        <v>5</v>
      </c>
      <c r="G647">
        <v>5</v>
      </c>
      <c r="H647">
        <v>18</v>
      </c>
      <c r="I647">
        <v>25</v>
      </c>
      <c r="J647" t="s">
        <v>11</v>
      </c>
      <c r="K647">
        <f>IF(J647="Yes", 1, 0)</f>
        <v>1</v>
      </c>
      <c r="L647" t="str">
        <f>IF(G647=0,"0 Failures","1+ Failures")</f>
        <v>1+ Failures</v>
      </c>
      <c r="M647" t="str">
        <f t="shared" si="29"/>
        <v>10-20hrs</v>
      </c>
      <c r="N647" t="str">
        <f t="shared" si="30"/>
        <v>12+ months</v>
      </c>
      <c r="O647" t="str">
        <f t="shared" si="31"/>
        <v>Basic</v>
      </c>
      <c r="P647" s="7">
        <v>45657</v>
      </c>
    </row>
    <row r="648" spans="1:16" x14ac:dyDescent="0.3">
      <c r="A648">
        <v>647</v>
      </c>
      <c r="B648" s="7">
        <v>45499</v>
      </c>
      <c r="C648" t="s">
        <v>10</v>
      </c>
      <c r="D648">
        <v>699</v>
      </c>
      <c r="E648">
        <v>18.600000000000001</v>
      </c>
      <c r="F648">
        <v>1</v>
      </c>
      <c r="G648">
        <v>0</v>
      </c>
      <c r="H648">
        <v>1</v>
      </c>
      <c r="I648">
        <v>35</v>
      </c>
      <c r="J648" t="s">
        <v>11</v>
      </c>
      <c r="K648">
        <f>IF(J648="Yes", 1, 0)</f>
        <v>1</v>
      </c>
      <c r="L648" t="str">
        <f>IF(G648=0,"0 Failures","1+ Failures")</f>
        <v>0 Failures</v>
      </c>
      <c r="M648" t="str">
        <f t="shared" si="29"/>
        <v>10-20hrs</v>
      </c>
      <c r="N648" t="str">
        <f t="shared" si="30"/>
        <v>0-3months</v>
      </c>
      <c r="O648" t="str">
        <f t="shared" si="31"/>
        <v>Premium</v>
      </c>
      <c r="P648" s="7">
        <v>45657</v>
      </c>
    </row>
    <row r="649" spans="1:16" x14ac:dyDescent="0.3">
      <c r="A649">
        <v>648</v>
      </c>
      <c r="B649" s="7">
        <v>45392</v>
      </c>
      <c r="C649" t="s">
        <v>10</v>
      </c>
      <c r="D649">
        <v>699</v>
      </c>
      <c r="E649">
        <v>9</v>
      </c>
      <c r="F649">
        <v>4</v>
      </c>
      <c r="G649">
        <v>1</v>
      </c>
      <c r="H649">
        <v>23</v>
      </c>
      <c r="I649">
        <v>38</v>
      </c>
      <c r="J649" t="s">
        <v>13</v>
      </c>
      <c r="K649">
        <f>IF(J649="Yes", 1, 0)</f>
        <v>0</v>
      </c>
      <c r="L649" t="str">
        <f>IF(G649=0,"0 Failures","1+ Failures")</f>
        <v>1+ Failures</v>
      </c>
      <c r="M649" t="str">
        <f t="shared" si="29"/>
        <v>5-10 hrs</v>
      </c>
      <c r="N649" t="str">
        <f t="shared" si="30"/>
        <v>12+ months</v>
      </c>
      <c r="O649" t="str">
        <f t="shared" si="31"/>
        <v>Premium</v>
      </c>
      <c r="P649" s="7">
        <v>45657</v>
      </c>
    </row>
    <row r="650" spans="1:16" x14ac:dyDescent="0.3">
      <c r="A650">
        <v>649</v>
      </c>
      <c r="B650" s="7">
        <v>45442</v>
      </c>
      <c r="C650" t="s">
        <v>14</v>
      </c>
      <c r="D650">
        <v>399</v>
      </c>
      <c r="E650">
        <v>6.9</v>
      </c>
      <c r="F650">
        <v>6</v>
      </c>
      <c r="G650">
        <v>4</v>
      </c>
      <c r="H650">
        <v>1</v>
      </c>
      <c r="I650">
        <v>6</v>
      </c>
      <c r="J650" t="s">
        <v>13</v>
      </c>
      <c r="K650">
        <f>IF(J650="Yes", 1, 0)</f>
        <v>0</v>
      </c>
      <c r="L650" t="str">
        <f>IF(G650=0,"0 Failures","1+ Failures")</f>
        <v>1+ Failures</v>
      </c>
      <c r="M650" t="str">
        <f t="shared" si="29"/>
        <v>5-10 hrs</v>
      </c>
      <c r="N650" t="str">
        <f t="shared" si="30"/>
        <v>0-3months</v>
      </c>
      <c r="O650" t="str">
        <f t="shared" si="31"/>
        <v>Basic</v>
      </c>
      <c r="P650" s="7">
        <v>45657</v>
      </c>
    </row>
    <row r="651" spans="1:16" x14ac:dyDescent="0.3">
      <c r="A651">
        <v>650</v>
      </c>
      <c r="B651" s="7">
        <v>45515</v>
      </c>
      <c r="C651" t="s">
        <v>14</v>
      </c>
      <c r="D651">
        <v>399</v>
      </c>
      <c r="E651">
        <v>23.7</v>
      </c>
      <c r="F651">
        <v>8</v>
      </c>
      <c r="G651">
        <v>2</v>
      </c>
      <c r="H651">
        <v>22</v>
      </c>
      <c r="I651">
        <v>56</v>
      </c>
      <c r="J651" t="s">
        <v>11</v>
      </c>
      <c r="K651">
        <f>IF(J651="Yes", 1, 0)</f>
        <v>1</v>
      </c>
      <c r="L651" t="str">
        <f>IF(G651=0,"0 Failures","1+ Failures")</f>
        <v>1+ Failures</v>
      </c>
      <c r="M651" t="str">
        <f t="shared" ref="M651:M714" si="32">IF(E651&lt;=5, "0-5 hrs",    IF(E651&lt;=10, "5-10 hrs",    IF(E651&lt;=20, "10-20hrs", "20+ hrs")))</f>
        <v>20+ hrs</v>
      </c>
      <c r="N651" t="str">
        <f t="shared" si="30"/>
        <v>12+ months</v>
      </c>
      <c r="O651" t="str">
        <f t="shared" si="31"/>
        <v>Basic</v>
      </c>
      <c r="P651" s="7">
        <v>45657</v>
      </c>
    </row>
    <row r="652" spans="1:16" x14ac:dyDescent="0.3">
      <c r="A652">
        <v>651</v>
      </c>
      <c r="B652" s="7">
        <v>45396</v>
      </c>
      <c r="C652" t="s">
        <v>14</v>
      </c>
      <c r="D652">
        <v>399</v>
      </c>
      <c r="E652">
        <v>24.2</v>
      </c>
      <c r="F652">
        <v>7</v>
      </c>
      <c r="G652">
        <v>1</v>
      </c>
      <c r="H652">
        <v>29</v>
      </c>
      <c r="I652">
        <v>48</v>
      </c>
      <c r="J652" t="s">
        <v>11</v>
      </c>
      <c r="K652">
        <f>IF(J652="Yes", 1, 0)</f>
        <v>1</v>
      </c>
      <c r="L652" t="str">
        <f>IF(G652=0,"0 Failures","1+ Failures")</f>
        <v>1+ Failures</v>
      </c>
      <c r="M652" t="str">
        <f t="shared" si="32"/>
        <v>20+ hrs</v>
      </c>
      <c r="N652" t="str">
        <f t="shared" si="30"/>
        <v>12+ months</v>
      </c>
      <c r="O652" t="str">
        <f t="shared" si="31"/>
        <v>Basic</v>
      </c>
      <c r="P652" s="7">
        <v>45657</v>
      </c>
    </row>
    <row r="653" spans="1:16" x14ac:dyDescent="0.3">
      <c r="A653">
        <v>652</v>
      </c>
      <c r="B653" s="7">
        <v>45318</v>
      </c>
      <c r="C653" t="s">
        <v>10</v>
      </c>
      <c r="D653">
        <v>699</v>
      </c>
      <c r="E653">
        <v>22.5</v>
      </c>
      <c r="F653">
        <v>0</v>
      </c>
      <c r="G653">
        <v>3</v>
      </c>
      <c r="H653">
        <v>30</v>
      </c>
      <c r="I653">
        <v>7</v>
      </c>
      <c r="J653" t="s">
        <v>11</v>
      </c>
      <c r="K653">
        <f>IF(J653="Yes", 1, 0)</f>
        <v>1</v>
      </c>
      <c r="L653" t="str">
        <f>IF(G653=0,"0 Failures","1+ Failures")</f>
        <v>1+ Failures</v>
      </c>
      <c r="M653" t="str">
        <f t="shared" si="32"/>
        <v>20+ hrs</v>
      </c>
      <c r="N653" t="str">
        <f t="shared" si="30"/>
        <v>12+ months</v>
      </c>
      <c r="O653" t="str">
        <f t="shared" si="31"/>
        <v>Premium</v>
      </c>
      <c r="P653" s="7">
        <v>45657</v>
      </c>
    </row>
    <row r="654" spans="1:16" x14ac:dyDescent="0.3">
      <c r="A654">
        <v>653</v>
      </c>
      <c r="B654" s="7">
        <v>45455</v>
      </c>
      <c r="C654" t="s">
        <v>10</v>
      </c>
      <c r="D654">
        <v>699</v>
      </c>
      <c r="E654">
        <v>17.100000000000001</v>
      </c>
      <c r="F654">
        <v>3</v>
      </c>
      <c r="G654">
        <v>2</v>
      </c>
      <c r="H654">
        <v>15</v>
      </c>
      <c r="I654">
        <v>26</v>
      </c>
      <c r="J654" t="s">
        <v>13</v>
      </c>
      <c r="K654">
        <f>IF(J654="Yes", 1, 0)</f>
        <v>0</v>
      </c>
      <c r="L654" t="str">
        <f>IF(G654=0,"0 Failures","1+ Failures")</f>
        <v>1+ Failures</v>
      </c>
      <c r="M654" t="str">
        <f t="shared" si="32"/>
        <v>10-20hrs</v>
      </c>
      <c r="N654" t="str">
        <f t="shared" si="30"/>
        <v>12+ months</v>
      </c>
      <c r="O654" t="str">
        <f t="shared" si="31"/>
        <v>Premium</v>
      </c>
      <c r="P654" s="7">
        <v>45657</v>
      </c>
    </row>
    <row r="655" spans="1:16" x14ac:dyDescent="0.3">
      <c r="A655">
        <v>654</v>
      </c>
      <c r="B655" s="7">
        <v>45616</v>
      </c>
      <c r="C655" t="s">
        <v>10</v>
      </c>
      <c r="D655">
        <v>699</v>
      </c>
      <c r="E655">
        <v>17.7</v>
      </c>
      <c r="F655">
        <v>4</v>
      </c>
      <c r="G655">
        <v>1</v>
      </c>
      <c r="H655">
        <v>1</v>
      </c>
      <c r="I655">
        <v>18</v>
      </c>
      <c r="J655" t="s">
        <v>11</v>
      </c>
      <c r="K655">
        <f>IF(J655="Yes", 1, 0)</f>
        <v>1</v>
      </c>
      <c r="L655" t="str">
        <f>IF(G655=0,"0 Failures","1+ Failures")</f>
        <v>1+ Failures</v>
      </c>
      <c r="M655" t="str">
        <f t="shared" si="32"/>
        <v>10-20hrs</v>
      </c>
      <c r="N655" t="str">
        <f t="shared" si="30"/>
        <v>0-3months</v>
      </c>
      <c r="O655" t="str">
        <f t="shared" si="31"/>
        <v>Premium</v>
      </c>
      <c r="P655" s="7">
        <v>45657</v>
      </c>
    </row>
    <row r="656" spans="1:16" x14ac:dyDescent="0.3">
      <c r="A656">
        <v>655</v>
      </c>
      <c r="B656" s="7">
        <v>45514</v>
      </c>
      <c r="C656" t="s">
        <v>10</v>
      </c>
      <c r="D656">
        <v>699</v>
      </c>
      <c r="E656">
        <v>2.4</v>
      </c>
      <c r="F656">
        <v>2</v>
      </c>
      <c r="G656">
        <v>3</v>
      </c>
      <c r="H656">
        <v>22</v>
      </c>
      <c r="I656">
        <v>20</v>
      </c>
      <c r="J656" t="s">
        <v>11</v>
      </c>
      <c r="K656">
        <f>IF(J656="Yes", 1, 0)</f>
        <v>1</v>
      </c>
      <c r="L656" t="str">
        <f>IF(G656=0,"0 Failures","1+ Failures")</f>
        <v>1+ Failures</v>
      </c>
      <c r="M656" t="str">
        <f t="shared" si="32"/>
        <v>0-5 hrs</v>
      </c>
      <c r="N656" t="str">
        <f t="shared" si="30"/>
        <v>12+ months</v>
      </c>
      <c r="O656" t="str">
        <f t="shared" si="31"/>
        <v>Premium</v>
      </c>
      <c r="P656" s="7">
        <v>45657</v>
      </c>
    </row>
    <row r="657" spans="1:16" x14ac:dyDescent="0.3">
      <c r="A657">
        <v>656</v>
      </c>
      <c r="B657" s="7">
        <v>45174</v>
      </c>
      <c r="C657" t="s">
        <v>14</v>
      </c>
      <c r="D657">
        <v>399</v>
      </c>
      <c r="E657">
        <v>23.7</v>
      </c>
      <c r="F657">
        <v>3</v>
      </c>
      <c r="G657">
        <v>3</v>
      </c>
      <c r="H657">
        <v>12</v>
      </c>
      <c r="I657">
        <v>47</v>
      </c>
      <c r="J657" t="s">
        <v>11</v>
      </c>
      <c r="K657">
        <f>IF(J657="Yes", 1, 0)</f>
        <v>1</v>
      </c>
      <c r="L657" t="str">
        <f>IF(G657=0,"0 Failures","1+ Failures")</f>
        <v>1+ Failures</v>
      </c>
      <c r="M657" t="str">
        <f t="shared" si="32"/>
        <v>20+ hrs</v>
      </c>
      <c r="N657" t="str">
        <f t="shared" si="30"/>
        <v>6-12months</v>
      </c>
      <c r="O657" t="str">
        <f t="shared" si="31"/>
        <v>Basic</v>
      </c>
      <c r="P657" s="7">
        <v>45657</v>
      </c>
    </row>
    <row r="658" spans="1:16" x14ac:dyDescent="0.3">
      <c r="A658">
        <v>657</v>
      </c>
      <c r="B658" s="7">
        <v>45036</v>
      </c>
      <c r="C658" t="s">
        <v>14</v>
      </c>
      <c r="D658">
        <v>399</v>
      </c>
      <c r="E658">
        <v>6.1</v>
      </c>
      <c r="F658">
        <v>3</v>
      </c>
      <c r="G658">
        <v>4</v>
      </c>
      <c r="H658">
        <v>14</v>
      </c>
      <c r="I658">
        <v>22</v>
      </c>
      <c r="J658" t="s">
        <v>11</v>
      </c>
      <c r="K658">
        <f>IF(J658="Yes", 1, 0)</f>
        <v>1</v>
      </c>
      <c r="L658" t="str">
        <f>IF(G658=0,"0 Failures","1+ Failures")</f>
        <v>1+ Failures</v>
      </c>
      <c r="M658" t="str">
        <f t="shared" si="32"/>
        <v>5-10 hrs</v>
      </c>
      <c r="N658" t="str">
        <f t="shared" si="30"/>
        <v>12+ months</v>
      </c>
      <c r="O658" t="str">
        <f t="shared" si="31"/>
        <v>Basic</v>
      </c>
      <c r="P658" s="7">
        <v>45657</v>
      </c>
    </row>
    <row r="659" spans="1:16" x14ac:dyDescent="0.3">
      <c r="A659">
        <v>658</v>
      </c>
      <c r="B659" s="7">
        <v>45481</v>
      </c>
      <c r="C659" t="s">
        <v>12</v>
      </c>
      <c r="D659">
        <v>199</v>
      </c>
      <c r="E659">
        <v>17.100000000000001</v>
      </c>
      <c r="F659">
        <v>7</v>
      </c>
      <c r="G659">
        <v>4</v>
      </c>
      <c r="H659">
        <v>6</v>
      </c>
      <c r="I659">
        <v>0</v>
      </c>
      <c r="J659" t="s">
        <v>13</v>
      </c>
      <c r="K659">
        <f>IF(J659="Yes", 1, 0)</f>
        <v>0</v>
      </c>
      <c r="L659" t="str">
        <f>IF(G659=0,"0 Failures","1+ Failures")</f>
        <v>1+ Failures</v>
      </c>
      <c r="M659" t="str">
        <f t="shared" si="32"/>
        <v>10-20hrs</v>
      </c>
      <c r="N659" t="str">
        <f t="shared" si="30"/>
        <v>3-6months</v>
      </c>
      <c r="O659" t="str">
        <f t="shared" si="31"/>
        <v>Basic</v>
      </c>
      <c r="P659" s="7">
        <v>45657</v>
      </c>
    </row>
    <row r="660" spans="1:16" x14ac:dyDescent="0.3">
      <c r="A660">
        <v>659</v>
      </c>
      <c r="B660" s="7">
        <v>45515</v>
      </c>
      <c r="C660" t="s">
        <v>12</v>
      </c>
      <c r="D660">
        <v>199</v>
      </c>
      <c r="E660">
        <v>9.6</v>
      </c>
      <c r="F660">
        <v>5</v>
      </c>
      <c r="G660">
        <v>3</v>
      </c>
      <c r="H660">
        <v>31</v>
      </c>
      <c r="I660">
        <v>57</v>
      </c>
      <c r="J660" t="s">
        <v>13</v>
      </c>
      <c r="K660">
        <f>IF(J660="Yes", 1, 0)</f>
        <v>0</v>
      </c>
      <c r="L660" t="str">
        <f>IF(G660=0,"0 Failures","1+ Failures")</f>
        <v>1+ Failures</v>
      </c>
      <c r="M660" t="str">
        <f t="shared" si="32"/>
        <v>5-10 hrs</v>
      </c>
      <c r="N660" t="str">
        <f t="shared" si="30"/>
        <v>12+ months</v>
      </c>
      <c r="O660" t="str">
        <f t="shared" si="31"/>
        <v>Basic</v>
      </c>
      <c r="P660" s="7">
        <v>45657</v>
      </c>
    </row>
    <row r="661" spans="1:16" x14ac:dyDescent="0.3">
      <c r="A661">
        <v>660</v>
      </c>
      <c r="B661" s="7">
        <v>45517</v>
      </c>
      <c r="C661" t="s">
        <v>14</v>
      </c>
      <c r="D661">
        <v>399</v>
      </c>
      <c r="E661">
        <v>5</v>
      </c>
      <c r="F661">
        <v>8</v>
      </c>
      <c r="G661">
        <v>2</v>
      </c>
      <c r="H661">
        <v>32</v>
      </c>
      <c r="I661">
        <v>25</v>
      </c>
      <c r="J661" t="s">
        <v>11</v>
      </c>
      <c r="K661">
        <f>IF(J661="Yes", 1, 0)</f>
        <v>1</v>
      </c>
      <c r="L661" t="str">
        <f>IF(G661=0,"0 Failures","1+ Failures")</f>
        <v>1+ Failures</v>
      </c>
      <c r="M661" t="str">
        <f t="shared" si="32"/>
        <v>0-5 hrs</v>
      </c>
      <c r="N661" t="str">
        <f t="shared" si="30"/>
        <v>12+ months</v>
      </c>
      <c r="O661" t="str">
        <f t="shared" si="31"/>
        <v>Basic</v>
      </c>
      <c r="P661" s="7">
        <v>45657</v>
      </c>
    </row>
    <row r="662" spans="1:16" x14ac:dyDescent="0.3">
      <c r="A662">
        <v>661</v>
      </c>
      <c r="B662" s="7">
        <v>45441</v>
      </c>
      <c r="C662" t="s">
        <v>12</v>
      </c>
      <c r="D662">
        <v>199</v>
      </c>
      <c r="E662">
        <v>13.4</v>
      </c>
      <c r="F662">
        <v>6</v>
      </c>
      <c r="G662">
        <v>3</v>
      </c>
      <c r="H662">
        <v>4</v>
      </c>
      <c r="I662">
        <v>60</v>
      </c>
      <c r="J662" t="s">
        <v>11</v>
      </c>
      <c r="K662">
        <f>IF(J662="Yes", 1, 0)</f>
        <v>1</v>
      </c>
      <c r="L662" t="str">
        <f>IF(G662=0,"0 Failures","1+ Failures")</f>
        <v>1+ Failures</v>
      </c>
      <c r="M662" t="str">
        <f t="shared" si="32"/>
        <v>10-20hrs</v>
      </c>
      <c r="N662" t="str">
        <f t="shared" si="30"/>
        <v>3-6months</v>
      </c>
      <c r="O662" t="str">
        <f t="shared" si="31"/>
        <v>Basic</v>
      </c>
      <c r="P662" s="7">
        <v>45657</v>
      </c>
    </row>
    <row r="663" spans="1:16" x14ac:dyDescent="0.3">
      <c r="A663">
        <v>662</v>
      </c>
      <c r="B663" s="7">
        <v>45398</v>
      </c>
      <c r="C663" t="s">
        <v>14</v>
      </c>
      <c r="D663">
        <v>399</v>
      </c>
      <c r="E663">
        <v>21.6</v>
      </c>
      <c r="F663">
        <v>2</v>
      </c>
      <c r="G663">
        <v>3</v>
      </c>
      <c r="H663">
        <v>26</v>
      </c>
      <c r="I663">
        <v>7</v>
      </c>
      <c r="J663" t="s">
        <v>13</v>
      </c>
      <c r="K663">
        <f>IF(J663="Yes", 1, 0)</f>
        <v>0</v>
      </c>
      <c r="L663" t="str">
        <f>IF(G663=0,"0 Failures","1+ Failures")</f>
        <v>1+ Failures</v>
      </c>
      <c r="M663" t="str">
        <f t="shared" si="32"/>
        <v>20+ hrs</v>
      </c>
      <c r="N663" t="str">
        <f t="shared" si="30"/>
        <v>12+ months</v>
      </c>
      <c r="O663" t="str">
        <f t="shared" si="31"/>
        <v>Basic</v>
      </c>
      <c r="P663" s="7">
        <v>45657</v>
      </c>
    </row>
    <row r="664" spans="1:16" x14ac:dyDescent="0.3">
      <c r="A664">
        <v>663</v>
      </c>
      <c r="B664" s="7">
        <v>45297</v>
      </c>
      <c r="C664" t="s">
        <v>14</v>
      </c>
      <c r="D664">
        <v>399</v>
      </c>
      <c r="E664">
        <v>0.8</v>
      </c>
      <c r="F664">
        <v>3</v>
      </c>
      <c r="G664">
        <v>3</v>
      </c>
      <c r="H664">
        <v>1</v>
      </c>
      <c r="I664">
        <v>37</v>
      </c>
      <c r="J664" t="s">
        <v>11</v>
      </c>
      <c r="K664">
        <f>IF(J664="Yes", 1, 0)</f>
        <v>1</v>
      </c>
      <c r="L664" t="str">
        <f>IF(G664=0,"0 Failures","1+ Failures")</f>
        <v>1+ Failures</v>
      </c>
      <c r="M664" t="str">
        <f t="shared" si="32"/>
        <v>0-5 hrs</v>
      </c>
      <c r="N664" t="str">
        <f t="shared" si="30"/>
        <v>0-3months</v>
      </c>
      <c r="O664" t="str">
        <f t="shared" si="31"/>
        <v>Basic</v>
      </c>
      <c r="P664" s="7">
        <v>45657</v>
      </c>
    </row>
    <row r="665" spans="1:16" x14ac:dyDescent="0.3">
      <c r="A665">
        <v>664</v>
      </c>
      <c r="B665" s="7">
        <v>45554</v>
      </c>
      <c r="C665" t="s">
        <v>10</v>
      </c>
      <c r="D665">
        <v>699</v>
      </c>
      <c r="E665">
        <v>5.0999999999999996</v>
      </c>
      <c r="F665">
        <v>4</v>
      </c>
      <c r="G665">
        <v>1</v>
      </c>
      <c r="H665">
        <v>17</v>
      </c>
      <c r="I665">
        <v>17</v>
      </c>
      <c r="J665" t="s">
        <v>13</v>
      </c>
      <c r="K665">
        <f>IF(J665="Yes", 1, 0)</f>
        <v>0</v>
      </c>
      <c r="L665" t="str">
        <f>IF(G665=0,"0 Failures","1+ Failures")</f>
        <v>1+ Failures</v>
      </c>
      <c r="M665" t="str">
        <f t="shared" si="32"/>
        <v>5-10 hrs</v>
      </c>
      <c r="N665" t="str">
        <f t="shared" si="30"/>
        <v>12+ months</v>
      </c>
      <c r="O665" t="str">
        <f t="shared" si="31"/>
        <v>Premium</v>
      </c>
      <c r="P665" s="7">
        <v>45657</v>
      </c>
    </row>
    <row r="666" spans="1:16" x14ac:dyDescent="0.3">
      <c r="A666">
        <v>665</v>
      </c>
      <c r="B666" s="7">
        <v>45308</v>
      </c>
      <c r="C666" t="s">
        <v>14</v>
      </c>
      <c r="D666">
        <v>399</v>
      </c>
      <c r="E666">
        <v>5</v>
      </c>
      <c r="F666">
        <v>6</v>
      </c>
      <c r="G666">
        <v>1</v>
      </c>
      <c r="H666">
        <v>24</v>
      </c>
      <c r="I666">
        <v>26</v>
      </c>
      <c r="J666" t="s">
        <v>13</v>
      </c>
      <c r="K666">
        <f>IF(J666="Yes", 1, 0)</f>
        <v>0</v>
      </c>
      <c r="L666" t="str">
        <f>IF(G666=0,"0 Failures","1+ Failures")</f>
        <v>1+ Failures</v>
      </c>
      <c r="M666" t="str">
        <f t="shared" si="32"/>
        <v>0-5 hrs</v>
      </c>
      <c r="N666" t="str">
        <f t="shared" si="30"/>
        <v>12+ months</v>
      </c>
      <c r="O666" t="str">
        <f t="shared" si="31"/>
        <v>Basic</v>
      </c>
      <c r="P666" s="7">
        <v>45657</v>
      </c>
    </row>
    <row r="667" spans="1:16" x14ac:dyDescent="0.3">
      <c r="A667">
        <v>666</v>
      </c>
      <c r="B667" s="7">
        <v>45629</v>
      </c>
      <c r="C667" t="s">
        <v>14</v>
      </c>
      <c r="D667">
        <v>399</v>
      </c>
      <c r="E667">
        <v>7.4</v>
      </c>
      <c r="F667">
        <v>2</v>
      </c>
      <c r="G667">
        <v>4</v>
      </c>
      <c r="H667">
        <v>26</v>
      </c>
      <c r="I667">
        <v>8</v>
      </c>
      <c r="J667" t="s">
        <v>13</v>
      </c>
      <c r="K667">
        <f>IF(J667="Yes", 1, 0)</f>
        <v>0</v>
      </c>
      <c r="L667" t="str">
        <f>IF(G667=0,"0 Failures","1+ Failures")</f>
        <v>1+ Failures</v>
      </c>
      <c r="M667" t="str">
        <f t="shared" si="32"/>
        <v>5-10 hrs</v>
      </c>
      <c r="N667" t="str">
        <f t="shared" si="30"/>
        <v>12+ months</v>
      </c>
      <c r="O667" t="str">
        <f t="shared" si="31"/>
        <v>Basic</v>
      </c>
      <c r="P667" s="7">
        <v>45657</v>
      </c>
    </row>
    <row r="668" spans="1:16" x14ac:dyDescent="0.3">
      <c r="A668">
        <v>667</v>
      </c>
      <c r="B668" s="7">
        <v>45127</v>
      </c>
      <c r="C668" t="s">
        <v>12</v>
      </c>
      <c r="D668">
        <v>199</v>
      </c>
      <c r="E668">
        <v>18.2</v>
      </c>
      <c r="F668">
        <v>3</v>
      </c>
      <c r="G668">
        <v>4</v>
      </c>
      <c r="H668">
        <v>7</v>
      </c>
      <c r="I668">
        <v>27</v>
      </c>
      <c r="J668" t="s">
        <v>13</v>
      </c>
      <c r="K668">
        <f>IF(J668="Yes", 1, 0)</f>
        <v>0</v>
      </c>
      <c r="L668" t="str">
        <f>IF(G668=0,"0 Failures","1+ Failures")</f>
        <v>1+ Failures</v>
      </c>
      <c r="M668" t="str">
        <f t="shared" si="32"/>
        <v>10-20hrs</v>
      </c>
      <c r="N668" t="str">
        <f t="shared" si="30"/>
        <v>6-12months</v>
      </c>
      <c r="O668" t="str">
        <f t="shared" si="31"/>
        <v>Basic</v>
      </c>
      <c r="P668" s="7">
        <v>45657</v>
      </c>
    </row>
    <row r="669" spans="1:16" x14ac:dyDescent="0.3">
      <c r="A669">
        <v>668</v>
      </c>
      <c r="B669" s="7">
        <v>45572</v>
      </c>
      <c r="C669" t="s">
        <v>12</v>
      </c>
      <c r="D669">
        <v>199</v>
      </c>
      <c r="E669">
        <v>12.1</v>
      </c>
      <c r="F669">
        <v>0</v>
      </c>
      <c r="G669">
        <v>1</v>
      </c>
      <c r="H669">
        <v>10</v>
      </c>
      <c r="I669">
        <v>26</v>
      </c>
      <c r="J669" t="s">
        <v>13</v>
      </c>
      <c r="K669">
        <f>IF(J669="Yes", 1, 0)</f>
        <v>0</v>
      </c>
      <c r="L669" t="str">
        <f>IF(G669=0,"0 Failures","1+ Failures")</f>
        <v>1+ Failures</v>
      </c>
      <c r="M669" t="str">
        <f t="shared" si="32"/>
        <v>10-20hrs</v>
      </c>
      <c r="N669" t="str">
        <f t="shared" si="30"/>
        <v>6-12months</v>
      </c>
      <c r="O669" t="str">
        <f t="shared" si="31"/>
        <v>Basic</v>
      </c>
      <c r="P669" s="7">
        <v>45657</v>
      </c>
    </row>
    <row r="670" spans="1:16" x14ac:dyDescent="0.3">
      <c r="A670">
        <v>669</v>
      </c>
      <c r="B670" s="7">
        <v>45508</v>
      </c>
      <c r="C670" t="s">
        <v>10</v>
      </c>
      <c r="D670">
        <v>699</v>
      </c>
      <c r="E670">
        <v>18.2</v>
      </c>
      <c r="F670">
        <v>7</v>
      </c>
      <c r="G670">
        <v>2</v>
      </c>
      <c r="H670">
        <v>35</v>
      </c>
      <c r="I670">
        <v>16</v>
      </c>
      <c r="J670" t="s">
        <v>13</v>
      </c>
      <c r="K670">
        <f>IF(J670="Yes", 1, 0)</f>
        <v>0</v>
      </c>
      <c r="L670" t="str">
        <f>IF(G670=0,"0 Failures","1+ Failures")</f>
        <v>1+ Failures</v>
      </c>
      <c r="M670" t="str">
        <f t="shared" si="32"/>
        <v>10-20hrs</v>
      </c>
      <c r="N670" t="str">
        <f t="shared" si="30"/>
        <v>12+ months</v>
      </c>
      <c r="O670" t="str">
        <f t="shared" si="31"/>
        <v>Premium</v>
      </c>
      <c r="P670" s="7">
        <v>45657</v>
      </c>
    </row>
    <row r="671" spans="1:16" x14ac:dyDescent="0.3">
      <c r="A671">
        <v>670</v>
      </c>
      <c r="B671" s="7">
        <v>45414</v>
      </c>
      <c r="C671" t="s">
        <v>12</v>
      </c>
      <c r="D671">
        <v>199</v>
      </c>
      <c r="E671">
        <v>2.9</v>
      </c>
      <c r="F671">
        <v>2</v>
      </c>
      <c r="G671">
        <v>0</v>
      </c>
      <c r="H671">
        <v>26</v>
      </c>
      <c r="I671">
        <v>13</v>
      </c>
      <c r="J671" t="s">
        <v>13</v>
      </c>
      <c r="K671">
        <f>IF(J671="Yes", 1, 0)</f>
        <v>0</v>
      </c>
      <c r="L671" t="str">
        <f>IF(G671=0,"0 Failures","1+ Failures")</f>
        <v>0 Failures</v>
      </c>
      <c r="M671" t="str">
        <f t="shared" si="32"/>
        <v>0-5 hrs</v>
      </c>
      <c r="N671" t="str">
        <f t="shared" si="30"/>
        <v>12+ months</v>
      </c>
      <c r="O671" t="str">
        <f t="shared" si="31"/>
        <v>Basic</v>
      </c>
      <c r="P671" s="7">
        <v>45657</v>
      </c>
    </row>
    <row r="672" spans="1:16" x14ac:dyDescent="0.3">
      <c r="A672">
        <v>671</v>
      </c>
      <c r="B672" s="7">
        <v>45497</v>
      </c>
      <c r="C672" t="s">
        <v>10</v>
      </c>
      <c r="D672">
        <v>699</v>
      </c>
      <c r="E672">
        <v>11.5</v>
      </c>
      <c r="F672">
        <v>5</v>
      </c>
      <c r="G672">
        <v>2</v>
      </c>
      <c r="H672">
        <v>7</v>
      </c>
      <c r="I672">
        <v>23</v>
      </c>
      <c r="J672" t="s">
        <v>11</v>
      </c>
      <c r="K672">
        <f>IF(J672="Yes", 1, 0)</f>
        <v>1</v>
      </c>
      <c r="L672" t="str">
        <f>IF(G672=0,"0 Failures","1+ Failures")</f>
        <v>1+ Failures</v>
      </c>
      <c r="M672" t="str">
        <f t="shared" si="32"/>
        <v>10-20hrs</v>
      </c>
      <c r="N672" t="str">
        <f t="shared" si="30"/>
        <v>6-12months</v>
      </c>
      <c r="O672" t="str">
        <f t="shared" si="31"/>
        <v>Premium</v>
      </c>
      <c r="P672" s="7">
        <v>45657</v>
      </c>
    </row>
    <row r="673" spans="1:16" x14ac:dyDescent="0.3">
      <c r="A673">
        <v>672</v>
      </c>
      <c r="B673" s="7">
        <v>45547</v>
      </c>
      <c r="C673" t="s">
        <v>14</v>
      </c>
      <c r="D673">
        <v>399</v>
      </c>
      <c r="E673">
        <v>1</v>
      </c>
      <c r="F673">
        <v>1</v>
      </c>
      <c r="G673">
        <v>2</v>
      </c>
      <c r="H673">
        <v>23</v>
      </c>
      <c r="I673">
        <v>55</v>
      </c>
      <c r="J673" t="s">
        <v>11</v>
      </c>
      <c r="K673">
        <f>IF(J673="Yes", 1, 0)</f>
        <v>1</v>
      </c>
      <c r="L673" t="str">
        <f>IF(G673=0,"0 Failures","1+ Failures")</f>
        <v>1+ Failures</v>
      </c>
      <c r="M673" t="str">
        <f t="shared" si="32"/>
        <v>0-5 hrs</v>
      </c>
      <c r="N673" t="str">
        <f t="shared" si="30"/>
        <v>12+ months</v>
      </c>
      <c r="O673" t="str">
        <f t="shared" si="31"/>
        <v>Basic</v>
      </c>
      <c r="P673" s="7">
        <v>45657</v>
      </c>
    </row>
    <row r="674" spans="1:16" x14ac:dyDescent="0.3">
      <c r="A674">
        <v>673</v>
      </c>
      <c r="B674" s="7">
        <v>45426</v>
      </c>
      <c r="C674" t="s">
        <v>12</v>
      </c>
      <c r="D674">
        <v>199</v>
      </c>
      <c r="E674">
        <v>4.8</v>
      </c>
      <c r="F674">
        <v>4</v>
      </c>
      <c r="G674">
        <v>2</v>
      </c>
      <c r="H674">
        <v>35</v>
      </c>
      <c r="I674">
        <v>20</v>
      </c>
      <c r="J674" t="s">
        <v>11</v>
      </c>
      <c r="K674">
        <f>IF(J674="Yes", 1, 0)</f>
        <v>1</v>
      </c>
      <c r="L674" t="str">
        <f>IF(G674=0,"0 Failures","1+ Failures")</f>
        <v>1+ Failures</v>
      </c>
      <c r="M674" t="str">
        <f t="shared" si="32"/>
        <v>0-5 hrs</v>
      </c>
      <c r="N674" t="str">
        <f t="shared" si="30"/>
        <v>12+ months</v>
      </c>
      <c r="O674" t="str">
        <f t="shared" si="31"/>
        <v>Basic</v>
      </c>
      <c r="P674" s="7">
        <v>45657</v>
      </c>
    </row>
    <row r="675" spans="1:16" x14ac:dyDescent="0.3">
      <c r="A675">
        <v>674</v>
      </c>
      <c r="B675" s="7">
        <v>45075</v>
      </c>
      <c r="C675" t="s">
        <v>10</v>
      </c>
      <c r="D675">
        <v>699</v>
      </c>
      <c r="E675">
        <v>22.3</v>
      </c>
      <c r="F675">
        <v>6</v>
      </c>
      <c r="G675">
        <v>4</v>
      </c>
      <c r="H675">
        <v>29</v>
      </c>
      <c r="I675">
        <v>18</v>
      </c>
      <c r="J675" t="s">
        <v>11</v>
      </c>
      <c r="K675">
        <f>IF(J675="Yes", 1, 0)</f>
        <v>1</v>
      </c>
      <c r="L675" t="str">
        <f>IF(G675=0,"0 Failures","1+ Failures")</f>
        <v>1+ Failures</v>
      </c>
      <c r="M675" t="str">
        <f t="shared" si="32"/>
        <v>20+ hrs</v>
      </c>
      <c r="N675" t="str">
        <f t="shared" si="30"/>
        <v>12+ months</v>
      </c>
      <c r="O675" t="str">
        <f t="shared" si="31"/>
        <v>Premium</v>
      </c>
      <c r="P675" s="7">
        <v>45657</v>
      </c>
    </row>
    <row r="676" spans="1:16" x14ac:dyDescent="0.3">
      <c r="A676">
        <v>675</v>
      </c>
      <c r="B676" s="7">
        <v>45160</v>
      </c>
      <c r="C676" t="s">
        <v>12</v>
      </c>
      <c r="D676">
        <v>199</v>
      </c>
      <c r="E676">
        <v>10.8</v>
      </c>
      <c r="F676">
        <v>6</v>
      </c>
      <c r="G676">
        <v>0</v>
      </c>
      <c r="H676">
        <v>22</v>
      </c>
      <c r="I676">
        <v>5</v>
      </c>
      <c r="J676" t="s">
        <v>11</v>
      </c>
      <c r="K676">
        <f>IF(J676="Yes", 1, 0)</f>
        <v>1</v>
      </c>
      <c r="L676" t="str">
        <f>IF(G676=0,"0 Failures","1+ Failures")</f>
        <v>0 Failures</v>
      </c>
      <c r="M676" t="str">
        <f t="shared" si="32"/>
        <v>10-20hrs</v>
      </c>
      <c r="N676" t="str">
        <f t="shared" si="30"/>
        <v>12+ months</v>
      </c>
      <c r="O676" t="str">
        <f t="shared" si="31"/>
        <v>Basic</v>
      </c>
      <c r="P676" s="7">
        <v>45657</v>
      </c>
    </row>
    <row r="677" spans="1:16" x14ac:dyDescent="0.3">
      <c r="A677">
        <v>676</v>
      </c>
      <c r="B677" s="7">
        <v>45382</v>
      </c>
      <c r="C677" t="s">
        <v>14</v>
      </c>
      <c r="D677">
        <v>399</v>
      </c>
      <c r="E677">
        <v>16.5</v>
      </c>
      <c r="F677">
        <v>4</v>
      </c>
      <c r="G677">
        <v>4</v>
      </c>
      <c r="H677">
        <v>21</v>
      </c>
      <c r="I677">
        <v>41</v>
      </c>
      <c r="J677" t="s">
        <v>11</v>
      </c>
      <c r="K677">
        <f>IF(J677="Yes", 1, 0)</f>
        <v>1</v>
      </c>
      <c r="L677" t="str">
        <f>IF(G677=0,"0 Failures","1+ Failures")</f>
        <v>1+ Failures</v>
      </c>
      <c r="M677" t="str">
        <f t="shared" si="32"/>
        <v>10-20hrs</v>
      </c>
      <c r="N677" t="str">
        <f t="shared" si="30"/>
        <v>12+ months</v>
      </c>
      <c r="O677" t="str">
        <f t="shared" si="31"/>
        <v>Basic</v>
      </c>
      <c r="P677" s="7">
        <v>45657</v>
      </c>
    </row>
    <row r="678" spans="1:16" x14ac:dyDescent="0.3">
      <c r="A678">
        <v>677</v>
      </c>
      <c r="B678" s="7">
        <v>45055</v>
      </c>
      <c r="C678" t="s">
        <v>14</v>
      </c>
      <c r="D678">
        <v>399</v>
      </c>
      <c r="E678">
        <v>24.2</v>
      </c>
      <c r="F678">
        <v>6</v>
      </c>
      <c r="G678">
        <v>1</v>
      </c>
      <c r="H678">
        <v>34</v>
      </c>
      <c r="I678">
        <v>11</v>
      </c>
      <c r="J678" t="s">
        <v>13</v>
      </c>
      <c r="K678">
        <f>IF(J678="Yes", 1, 0)</f>
        <v>0</v>
      </c>
      <c r="L678" t="str">
        <f>IF(G678=0,"0 Failures","1+ Failures")</f>
        <v>1+ Failures</v>
      </c>
      <c r="M678" t="str">
        <f t="shared" si="32"/>
        <v>20+ hrs</v>
      </c>
      <c r="N678" t="str">
        <f t="shared" si="30"/>
        <v>12+ months</v>
      </c>
      <c r="O678" t="str">
        <f t="shared" si="31"/>
        <v>Basic</v>
      </c>
      <c r="P678" s="7">
        <v>45657</v>
      </c>
    </row>
    <row r="679" spans="1:16" x14ac:dyDescent="0.3">
      <c r="A679">
        <v>678</v>
      </c>
      <c r="B679" s="7">
        <v>45024</v>
      </c>
      <c r="C679" t="s">
        <v>10</v>
      </c>
      <c r="D679">
        <v>699</v>
      </c>
      <c r="E679">
        <v>16.7</v>
      </c>
      <c r="F679">
        <v>1</v>
      </c>
      <c r="G679">
        <v>1</v>
      </c>
      <c r="H679">
        <v>16</v>
      </c>
      <c r="I679">
        <v>10</v>
      </c>
      <c r="J679" t="s">
        <v>13</v>
      </c>
      <c r="K679">
        <f>IF(J679="Yes", 1, 0)</f>
        <v>0</v>
      </c>
      <c r="L679" t="str">
        <f>IF(G679=0,"0 Failures","1+ Failures")</f>
        <v>1+ Failures</v>
      </c>
      <c r="M679" t="str">
        <f t="shared" si="32"/>
        <v>10-20hrs</v>
      </c>
      <c r="N679" t="str">
        <f t="shared" si="30"/>
        <v>12+ months</v>
      </c>
      <c r="O679" t="str">
        <f t="shared" si="31"/>
        <v>Premium</v>
      </c>
      <c r="P679" s="7">
        <v>45657</v>
      </c>
    </row>
    <row r="680" spans="1:16" x14ac:dyDescent="0.3">
      <c r="A680">
        <v>679</v>
      </c>
      <c r="B680" s="7">
        <v>45012</v>
      </c>
      <c r="C680" t="s">
        <v>12</v>
      </c>
      <c r="D680">
        <v>199</v>
      </c>
      <c r="E680">
        <v>13.9</v>
      </c>
      <c r="F680">
        <v>0</v>
      </c>
      <c r="G680">
        <v>3</v>
      </c>
      <c r="H680">
        <v>31</v>
      </c>
      <c r="I680">
        <v>33</v>
      </c>
      <c r="J680" t="s">
        <v>13</v>
      </c>
      <c r="K680">
        <f>IF(J680="Yes", 1, 0)</f>
        <v>0</v>
      </c>
      <c r="L680" t="str">
        <f>IF(G680=0,"0 Failures","1+ Failures")</f>
        <v>1+ Failures</v>
      </c>
      <c r="M680" t="str">
        <f t="shared" si="32"/>
        <v>10-20hrs</v>
      </c>
      <c r="N680" t="str">
        <f t="shared" si="30"/>
        <v>12+ months</v>
      </c>
      <c r="O680" t="str">
        <f t="shared" si="31"/>
        <v>Basic</v>
      </c>
      <c r="P680" s="7">
        <v>45657</v>
      </c>
    </row>
    <row r="681" spans="1:16" x14ac:dyDescent="0.3">
      <c r="A681">
        <v>680</v>
      </c>
      <c r="B681" s="7">
        <v>45243</v>
      </c>
      <c r="C681" t="s">
        <v>12</v>
      </c>
      <c r="D681">
        <v>199</v>
      </c>
      <c r="E681">
        <v>15.6</v>
      </c>
      <c r="F681">
        <v>1</v>
      </c>
      <c r="G681">
        <v>5</v>
      </c>
      <c r="H681">
        <v>17</v>
      </c>
      <c r="I681">
        <v>59</v>
      </c>
      <c r="J681" t="s">
        <v>13</v>
      </c>
      <c r="K681">
        <f>IF(J681="Yes", 1, 0)</f>
        <v>0</v>
      </c>
      <c r="L681" t="str">
        <f>IF(G681=0,"0 Failures","1+ Failures")</f>
        <v>1+ Failures</v>
      </c>
      <c r="M681" t="str">
        <f t="shared" si="32"/>
        <v>10-20hrs</v>
      </c>
      <c r="N681" t="str">
        <f t="shared" si="30"/>
        <v>12+ months</v>
      </c>
      <c r="O681" t="str">
        <f t="shared" si="31"/>
        <v>Basic</v>
      </c>
      <c r="P681" s="7">
        <v>45657</v>
      </c>
    </row>
    <row r="682" spans="1:16" x14ac:dyDescent="0.3">
      <c r="A682">
        <v>681</v>
      </c>
      <c r="B682" s="7">
        <v>45101</v>
      </c>
      <c r="C682" t="s">
        <v>12</v>
      </c>
      <c r="D682">
        <v>199</v>
      </c>
      <c r="E682">
        <v>18.600000000000001</v>
      </c>
      <c r="F682">
        <v>7</v>
      </c>
      <c r="G682">
        <v>5</v>
      </c>
      <c r="H682">
        <v>16</v>
      </c>
      <c r="I682">
        <v>8</v>
      </c>
      <c r="J682" t="s">
        <v>11</v>
      </c>
      <c r="K682">
        <f>IF(J682="Yes", 1, 0)</f>
        <v>1</v>
      </c>
      <c r="L682" t="str">
        <f>IF(G682=0,"0 Failures","1+ Failures")</f>
        <v>1+ Failures</v>
      </c>
      <c r="M682" t="str">
        <f t="shared" si="32"/>
        <v>10-20hrs</v>
      </c>
      <c r="N682" t="str">
        <f t="shared" si="30"/>
        <v>12+ months</v>
      </c>
      <c r="O682" t="str">
        <f t="shared" si="31"/>
        <v>Basic</v>
      </c>
      <c r="P682" s="7">
        <v>45657</v>
      </c>
    </row>
    <row r="683" spans="1:16" x14ac:dyDescent="0.3">
      <c r="A683">
        <v>682</v>
      </c>
      <c r="B683" s="7">
        <v>45480</v>
      </c>
      <c r="C683" t="s">
        <v>12</v>
      </c>
      <c r="D683">
        <v>199</v>
      </c>
      <c r="E683">
        <v>16.8</v>
      </c>
      <c r="F683">
        <v>5</v>
      </c>
      <c r="G683">
        <v>3</v>
      </c>
      <c r="H683">
        <v>3</v>
      </c>
      <c r="I683">
        <v>29</v>
      </c>
      <c r="J683" t="s">
        <v>13</v>
      </c>
      <c r="K683">
        <f>IF(J683="Yes", 1, 0)</f>
        <v>0</v>
      </c>
      <c r="L683" t="str">
        <f>IF(G683=0,"0 Failures","1+ Failures")</f>
        <v>1+ Failures</v>
      </c>
      <c r="M683" t="str">
        <f t="shared" si="32"/>
        <v>10-20hrs</v>
      </c>
      <c r="N683" t="str">
        <f t="shared" si="30"/>
        <v>0-3months</v>
      </c>
      <c r="O683" t="str">
        <f t="shared" si="31"/>
        <v>Basic</v>
      </c>
      <c r="P683" s="7">
        <v>45657</v>
      </c>
    </row>
    <row r="684" spans="1:16" x14ac:dyDescent="0.3">
      <c r="A684">
        <v>683</v>
      </c>
      <c r="B684" s="7">
        <v>45573</v>
      </c>
      <c r="C684" t="s">
        <v>14</v>
      </c>
      <c r="D684">
        <v>399</v>
      </c>
      <c r="E684">
        <v>11.4</v>
      </c>
      <c r="F684">
        <v>8</v>
      </c>
      <c r="G684">
        <v>1</v>
      </c>
      <c r="H684">
        <v>36</v>
      </c>
      <c r="I684">
        <v>37</v>
      </c>
      <c r="J684" t="s">
        <v>13</v>
      </c>
      <c r="K684">
        <f>IF(J684="Yes", 1, 0)</f>
        <v>0</v>
      </c>
      <c r="L684" t="str">
        <f>IF(G684=0,"0 Failures","1+ Failures")</f>
        <v>1+ Failures</v>
      </c>
      <c r="M684" t="str">
        <f t="shared" si="32"/>
        <v>10-20hrs</v>
      </c>
      <c r="N684" t="str">
        <f t="shared" si="30"/>
        <v>12+ months</v>
      </c>
      <c r="O684" t="str">
        <f t="shared" si="31"/>
        <v>Basic</v>
      </c>
      <c r="P684" s="7">
        <v>45657</v>
      </c>
    </row>
    <row r="685" spans="1:16" x14ac:dyDescent="0.3">
      <c r="A685">
        <v>684</v>
      </c>
      <c r="B685" s="7">
        <v>45479</v>
      </c>
      <c r="C685" t="s">
        <v>10</v>
      </c>
      <c r="D685">
        <v>699</v>
      </c>
      <c r="E685">
        <v>13.3</v>
      </c>
      <c r="F685">
        <v>8</v>
      </c>
      <c r="G685">
        <v>2</v>
      </c>
      <c r="H685">
        <v>28</v>
      </c>
      <c r="I685">
        <v>58</v>
      </c>
      <c r="J685" t="s">
        <v>11</v>
      </c>
      <c r="K685">
        <f>IF(J685="Yes", 1, 0)</f>
        <v>1</v>
      </c>
      <c r="L685" t="str">
        <f>IF(G685=0,"0 Failures","1+ Failures")</f>
        <v>1+ Failures</v>
      </c>
      <c r="M685" t="str">
        <f t="shared" si="32"/>
        <v>10-20hrs</v>
      </c>
      <c r="N685" t="str">
        <f t="shared" si="30"/>
        <v>12+ months</v>
      </c>
      <c r="O685" t="str">
        <f t="shared" si="31"/>
        <v>Premium</v>
      </c>
      <c r="P685" s="7">
        <v>45657</v>
      </c>
    </row>
    <row r="686" spans="1:16" x14ac:dyDescent="0.3">
      <c r="A686">
        <v>685</v>
      </c>
      <c r="B686" s="7">
        <v>44937</v>
      </c>
      <c r="C686" t="s">
        <v>12</v>
      </c>
      <c r="D686">
        <v>199</v>
      </c>
      <c r="E686">
        <v>11.3</v>
      </c>
      <c r="F686">
        <v>5</v>
      </c>
      <c r="G686">
        <v>3</v>
      </c>
      <c r="H686">
        <v>6</v>
      </c>
      <c r="I686">
        <v>16</v>
      </c>
      <c r="J686" t="s">
        <v>11</v>
      </c>
      <c r="K686">
        <f>IF(J686="Yes", 1, 0)</f>
        <v>1</v>
      </c>
      <c r="L686" t="str">
        <f>IF(G686=0,"0 Failures","1+ Failures")</f>
        <v>1+ Failures</v>
      </c>
      <c r="M686" t="str">
        <f t="shared" si="32"/>
        <v>10-20hrs</v>
      </c>
      <c r="N686" t="str">
        <f t="shared" si="30"/>
        <v>3-6months</v>
      </c>
      <c r="O686" t="str">
        <f t="shared" si="31"/>
        <v>Basic</v>
      </c>
      <c r="P686" s="7">
        <v>45657</v>
      </c>
    </row>
    <row r="687" spans="1:16" x14ac:dyDescent="0.3">
      <c r="A687">
        <v>686</v>
      </c>
      <c r="B687" s="7">
        <v>44935</v>
      </c>
      <c r="C687" t="s">
        <v>12</v>
      </c>
      <c r="D687">
        <v>199</v>
      </c>
      <c r="E687">
        <v>20.5</v>
      </c>
      <c r="F687">
        <v>2</v>
      </c>
      <c r="G687">
        <v>2</v>
      </c>
      <c r="H687">
        <v>34</v>
      </c>
      <c r="I687">
        <v>18</v>
      </c>
      <c r="J687" t="s">
        <v>13</v>
      </c>
      <c r="K687">
        <f>IF(J687="Yes", 1, 0)</f>
        <v>0</v>
      </c>
      <c r="L687" t="str">
        <f>IF(G687=0,"0 Failures","1+ Failures")</f>
        <v>1+ Failures</v>
      </c>
      <c r="M687" t="str">
        <f t="shared" si="32"/>
        <v>20+ hrs</v>
      </c>
      <c r="N687" t="str">
        <f t="shared" si="30"/>
        <v>12+ months</v>
      </c>
      <c r="O687" t="str">
        <f t="shared" si="31"/>
        <v>Basic</v>
      </c>
      <c r="P687" s="7">
        <v>45657</v>
      </c>
    </row>
    <row r="688" spans="1:16" x14ac:dyDescent="0.3">
      <c r="A688">
        <v>687</v>
      </c>
      <c r="B688" s="7">
        <v>45226</v>
      </c>
      <c r="C688" t="s">
        <v>10</v>
      </c>
      <c r="D688">
        <v>699</v>
      </c>
      <c r="E688">
        <v>23.7</v>
      </c>
      <c r="F688">
        <v>7</v>
      </c>
      <c r="G688">
        <v>2</v>
      </c>
      <c r="H688">
        <v>32</v>
      </c>
      <c r="I688">
        <v>0</v>
      </c>
      <c r="J688" t="s">
        <v>13</v>
      </c>
      <c r="K688">
        <f>IF(J688="Yes", 1, 0)</f>
        <v>0</v>
      </c>
      <c r="L688" t="str">
        <f>IF(G688=0,"0 Failures","1+ Failures")</f>
        <v>1+ Failures</v>
      </c>
      <c r="M688" t="str">
        <f t="shared" si="32"/>
        <v>20+ hrs</v>
      </c>
      <c r="N688" t="str">
        <f t="shared" si="30"/>
        <v>12+ months</v>
      </c>
      <c r="O688" t="str">
        <f t="shared" si="31"/>
        <v>Premium</v>
      </c>
      <c r="P688" s="7">
        <v>45657</v>
      </c>
    </row>
    <row r="689" spans="1:16" x14ac:dyDescent="0.3">
      <c r="A689">
        <v>688</v>
      </c>
      <c r="B689" s="7">
        <v>45501</v>
      </c>
      <c r="C689" t="s">
        <v>10</v>
      </c>
      <c r="D689">
        <v>699</v>
      </c>
      <c r="E689">
        <v>20</v>
      </c>
      <c r="F689">
        <v>8</v>
      </c>
      <c r="G689">
        <v>2</v>
      </c>
      <c r="H689">
        <v>15</v>
      </c>
      <c r="I689">
        <v>12</v>
      </c>
      <c r="J689" t="s">
        <v>11</v>
      </c>
      <c r="K689">
        <f>IF(J689="Yes", 1, 0)</f>
        <v>1</v>
      </c>
      <c r="L689" t="str">
        <f>IF(G689=0,"0 Failures","1+ Failures")</f>
        <v>1+ Failures</v>
      </c>
      <c r="M689" t="str">
        <f t="shared" si="32"/>
        <v>10-20hrs</v>
      </c>
      <c r="N689" t="str">
        <f t="shared" si="30"/>
        <v>12+ months</v>
      </c>
      <c r="O689" t="str">
        <f t="shared" si="31"/>
        <v>Premium</v>
      </c>
      <c r="P689" s="7">
        <v>45657</v>
      </c>
    </row>
    <row r="690" spans="1:16" x14ac:dyDescent="0.3">
      <c r="A690">
        <v>689</v>
      </c>
      <c r="B690" s="7">
        <v>45359</v>
      </c>
      <c r="C690" t="s">
        <v>14</v>
      </c>
      <c r="D690">
        <v>399</v>
      </c>
      <c r="E690">
        <v>6.6</v>
      </c>
      <c r="F690">
        <v>6</v>
      </c>
      <c r="G690">
        <v>3</v>
      </c>
      <c r="H690">
        <v>26</v>
      </c>
      <c r="I690">
        <v>14</v>
      </c>
      <c r="J690" t="s">
        <v>11</v>
      </c>
      <c r="K690">
        <f>IF(J690="Yes", 1, 0)</f>
        <v>1</v>
      </c>
      <c r="L690" t="str">
        <f>IF(G690=0,"0 Failures","1+ Failures")</f>
        <v>1+ Failures</v>
      </c>
      <c r="M690" t="str">
        <f t="shared" si="32"/>
        <v>5-10 hrs</v>
      </c>
      <c r="N690" t="str">
        <f t="shared" si="30"/>
        <v>12+ months</v>
      </c>
      <c r="O690" t="str">
        <f t="shared" si="31"/>
        <v>Basic</v>
      </c>
      <c r="P690" s="7">
        <v>45657</v>
      </c>
    </row>
    <row r="691" spans="1:16" x14ac:dyDescent="0.3">
      <c r="A691">
        <v>690</v>
      </c>
      <c r="B691" s="7">
        <v>45202</v>
      </c>
      <c r="C691" t="s">
        <v>10</v>
      </c>
      <c r="D691">
        <v>699</v>
      </c>
      <c r="E691">
        <v>13.2</v>
      </c>
      <c r="F691">
        <v>4</v>
      </c>
      <c r="G691">
        <v>2</v>
      </c>
      <c r="H691">
        <v>16</v>
      </c>
      <c r="I691">
        <v>41</v>
      </c>
      <c r="J691" t="s">
        <v>11</v>
      </c>
      <c r="K691">
        <f>IF(J691="Yes", 1, 0)</f>
        <v>1</v>
      </c>
      <c r="L691" t="str">
        <f>IF(G691=0,"0 Failures","1+ Failures")</f>
        <v>1+ Failures</v>
      </c>
      <c r="M691" t="str">
        <f t="shared" si="32"/>
        <v>10-20hrs</v>
      </c>
      <c r="N691" t="str">
        <f t="shared" si="30"/>
        <v>12+ months</v>
      </c>
      <c r="O691" t="str">
        <f t="shared" si="31"/>
        <v>Premium</v>
      </c>
      <c r="P691" s="7">
        <v>45657</v>
      </c>
    </row>
    <row r="692" spans="1:16" x14ac:dyDescent="0.3">
      <c r="A692">
        <v>691</v>
      </c>
      <c r="B692" s="7">
        <v>45393</v>
      </c>
      <c r="C692" t="s">
        <v>14</v>
      </c>
      <c r="D692">
        <v>399</v>
      </c>
      <c r="E692">
        <v>21.4</v>
      </c>
      <c r="F692">
        <v>2</v>
      </c>
      <c r="G692">
        <v>1</v>
      </c>
      <c r="H692">
        <v>13</v>
      </c>
      <c r="I692">
        <v>18</v>
      </c>
      <c r="J692" t="s">
        <v>13</v>
      </c>
      <c r="K692">
        <f>IF(J692="Yes", 1, 0)</f>
        <v>0</v>
      </c>
      <c r="L692" t="str">
        <f>IF(G692=0,"0 Failures","1+ Failures")</f>
        <v>1+ Failures</v>
      </c>
      <c r="M692" t="str">
        <f t="shared" si="32"/>
        <v>20+ hrs</v>
      </c>
      <c r="N692" t="str">
        <f t="shared" si="30"/>
        <v>12+ months</v>
      </c>
      <c r="O692" t="str">
        <f t="shared" si="31"/>
        <v>Basic</v>
      </c>
      <c r="P692" s="7">
        <v>45657</v>
      </c>
    </row>
    <row r="693" spans="1:16" x14ac:dyDescent="0.3">
      <c r="A693">
        <v>692</v>
      </c>
      <c r="B693" s="7">
        <v>44977</v>
      </c>
      <c r="C693" t="s">
        <v>10</v>
      </c>
      <c r="D693">
        <v>699</v>
      </c>
      <c r="E693">
        <v>7.2</v>
      </c>
      <c r="F693">
        <v>7</v>
      </c>
      <c r="G693">
        <v>1</v>
      </c>
      <c r="H693">
        <v>29</v>
      </c>
      <c r="I693">
        <v>20</v>
      </c>
      <c r="J693" t="s">
        <v>11</v>
      </c>
      <c r="K693">
        <f>IF(J693="Yes", 1, 0)</f>
        <v>1</v>
      </c>
      <c r="L693" t="str">
        <f>IF(G693=0,"0 Failures","1+ Failures")</f>
        <v>1+ Failures</v>
      </c>
      <c r="M693" t="str">
        <f t="shared" si="32"/>
        <v>5-10 hrs</v>
      </c>
      <c r="N693" t="str">
        <f t="shared" si="30"/>
        <v>12+ months</v>
      </c>
      <c r="O693" t="str">
        <f t="shared" si="31"/>
        <v>Premium</v>
      </c>
      <c r="P693" s="7">
        <v>45657</v>
      </c>
    </row>
    <row r="694" spans="1:16" x14ac:dyDescent="0.3">
      <c r="A694">
        <v>693</v>
      </c>
      <c r="B694" s="7">
        <v>45375</v>
      </c>
      <c r="C694" t="s">
        <v>10</v>
      </c>
      <c r="D694">
        <v>699</v>
      </c>
      <c r="E694">
        <v>5.0999999999999996</v>
      </c>
      <c r="F694">
        <v>1</v>
      </c>
      <c r="G694">
        <v>2</v>
      </c>
      <c r="H694">
        <v>2</v>
      </c>
      <c r="I694">
        <v>17</v>
      </c>
      <c r="J694" t="s">
        <v>11</v>
      </c>
      <c r="K694">
        <f>IF(J694="Yes", 1, 0)</f>
        <v>1</v>
      </c>
      <c r="L694" t="str">
        <f>IF(G694=0,"0 Failures","1+ Failures")</f>
        <v>1+ Failures</v>
      </c>
      <c r="M694" t="str">
        <f t="shared" si="32"/>
        <v>5-10 hrs</v>
      </c>
      <c r="N694" t="str">
        <f t="shared" si="30"/>
        <v>0-3months</v>
      </c>
      <c r="O694" t="str">
        <f t="shared" si="31"/>
        <v>Premium</v>
      </c>
      <c r="P694" s="7">
        <v>45657</v>
      </c>
    </row>
    <row r="695" spans="1:16" x14ac:dyDescent="0.3">
      <c r="A695">
        <v>694</v>
      </c>
      <c r="B695" s="7">
        <v>45357</v>
      </c>
      <c r="C695" t="s">
        <v>10</v>
      </c>
      <c r="D695">
        <v>699</v>
      </c>
      <c r="E695">
        <v>6.2</v>
      </c>
      <c r="F695">
        <v>2</v>
      </c>
      <c r="G695">
        <v>0</v>
      </c>
      <c r="H695">
        <v>1</v>
      </c>
      <c r="I695">
        <v>31</v>
      </c>
      <c r="J695" t="s">
        <v>11</v>
      </c>
      <c r="K695">
        <f>IF(J695="Yes", 1, 0)</f>
        <v>1</v>
      </c>
      <c r="L695" t="str">
        <f>IF(G695=0,"0 Failures","1+ Failures")</f>
        <v>0 Failures</v>
      </c>
      <c r="M695" t="str">
        <f t="shared" si="32"/>
        <v>5-10 hrs</v>
      </c>
      <c r="N695" t="str">
        <f t="shared" si="30"/>
        <v>0-3months</v>
      </c>
      <c r="O695" t="str">
        <f t="shared" si="31"/>
        <v>Premium</v>
      </c>
      <c r="P695" s="7">
        <v>45657</v>
      </c>
    </row>
    <row r="696" spans="1:16" x14ac:dyDescent="0.3">
      <c r="A696">
        <v>695</v>
      </c>
      <c r="B696" s="7">
        <v>45009</v>
      </c>
      <c r="C696" t="s">
        <v>14</v>
      </c>
      <c r="D696">
        <v>399</v>
      </c>
      <c r="E696">
        <v>25</v>
      </c>
      <c r="F696">
        <v>7</v>
      </c>
      <c r="G696">
        <v>5</v>
      </c>
      <c r="H696">
        <v>32</v>
      </c>
      <c r="I696">
        <v>50</v>
      </c>
      <c r="J696" t="s">
        <v>11</v>
      </c>
      <c r="K696">
        <f>IF(J696="Yes", 1, 0)</f>
        <v>1</v>
      </c>
      <c r="L696" t="str">
        <f>IF(G696=0,"0 Failures","1+ Failures")</f>
        <v>1+ Failures</v>
      </c>
      <c r="M696" t="str">
        <f t="shared" si="32"/>
        <v>20+ hrs</v>
      </c>
      <c r="N696" t="str">
        <f t="shared" si="30"/>
        <v>12+ months</v>
      </c>
      <c r="O696" t="str">
        <f t="shared" si="31"/>
        <v>Basic</v>
      </c>
      <c r="P696" s="7">
        <v>45657</v>
      </c>
    </row>
    <row r="697" spans="1:16" x14ac:dyDescent="0.3">
      <c r="A697">
        <v>696</v>
      </c>
      <c r="B697" s="7">
        <v>45123</v>
      </c>
      <c r="C697" t="s">
        <v>12</v>
      </c>
      <c r="D697">
        <v>199</v>
      </c>
      <c r="E697">
        <v>7</v>
      </c>
      <c r="F697">
        <v>6</v>
      </c>
      <c r="G697">
        <v>0</v>
      </c>
      <c r="H697">
        <v>4</v>
      </c>
      <c r="I697">
        <v>34</v>
      </c>
      <c r="J697" t="s">
        <v>11</v>
      </c>
      <c r="K697">
        <f>IF(J697="Yes", 1, 0)</f>
        <v>1</v>
      </c>
      <c r="L697" t="str">
        <f>IF(G697=0,"0 Failures","1+ Failures")</f>
        <v>0 Failures</v>
      </c>
      <c r="M697" t="str">
        <f t="shared" si="32"/>
        <v>5-10 hrs</v>
      </c>
      <c r="N697" t="str">
        <f t="shared" si="30"/>
        <v>3-6months</v>
      </c>
      <c r="O697" t="str">
        <f t="shared" si="31"/>
        <v>Basic</v>
      </c>
      <c r="P697" s="7">
        <v>45657</v>
      </c>
    </row>
    <row r="698" spans="1:16" x14ac:dyDescent="0.3">
      <c r="A698">
        <v>697</v>
      </c>
      <c r="B698" s="7">
        <v>45380</v>
      </c>
      <c r="C698" t="s">
        <v>14</v>
      </c>
      <c r="D698">
        <v>399</v>
      </c>
      <c r="E698">
        <v>20.8</v>
      </c>
      <c r="F698">
        <v>1</v>
      </c>
      <c r="G698">
        <v>5</v>
      </c>
      <c r="H698">
        <v>25</v>
      </c>
      <c r="I698">
        <v>15</v>
      </c>
      <c r="J698" t="s">
        <v>13</v>
      </c>
      <c r="K698">
        <f>IF(J698="Yes", 1, 0)</f>
        <v>0</v>
      </c>
      <c r="L698" t="str">
        <f>IF(G698=0,"0 Failures","1+ Failures")</f>
        <v>1+ Failures</v>
      </c>
      <c r="M698" t="str">
        <f t="shared" si="32"/>
        <v>20+ hrs</v>
      </c>
      <c r="N698" t="str">
        <f t="shared" si="30"/>
        <v>12+ months</v>
      </c>
      <c r="O698" t="str">
        <f t="shared" si="31"/>
        <v>Basic</v>
      </c>
      <c r="P698" s="7">
        <v>45657</v>
      </c>
    </row>
    <row r="699" spans="1:16" x14ac:dyDescent="0.3">
      <c r="A699">
        <v>698</v>
      </c>
      <c r="B699" s="7">
        <v>45411</v>
      </c>
      <c r="C699" t="s">
        <v>12</v>
      </c>
      <c r="D699">
        <v>199</v>
      </c>
      <c r="E699">
        <v>5.4</v>
      </c>
      <c r="F699">
        <v>1</v>
      </c>
      <c r="G699">
        <v>4</v>
      </c>
      <c r="H699">
        <v>3</v>
      </c>
      <c r="I699">
        <v>42</v>
      </c>
      <c r="J699" t="s">
        <v>13</v>
      </c>
      <c r="K699">
        <f>IF(J699="Yes", 1, 0)</f>
        <v>0</v>
      </c>
      <c r="L699" t="str">
        <f>IF(G699=0,"0 Failures","1+ Failures")</f>
        <v>1+ Failures</v>
      </c>
      <c r="M699" t="str">
        <f t="shared" si="32"/>
        <v>5-10 hrs</v>
      </c>
      <c r="N699" t="str">
        <f t="shared" si="30"/>
        <v>0-3months</v>
      </c>
      <c r="O699" t="str">
        <f t="shared" si="31"/>
        <v>Basic</v>
      </c>
      <c r="P699" s="7">
        <v>45657</v>
      </c>
    </row>
    <row r="700" spans="1:16" x14ac:dyDescent="0.3">
      <c r="A700">
        <v>699</v>
      </c>
      <c r="B700" s="7">
        <v>45489</v>
      </c>
      <c r="C700" t="s">
        <v>14</v>
      </c>
      <c r="D700">
        <v>399</v>
      </c>
      <c r="E700">
        <v>23.4</v>
      </c>
      <c r="F700">
        <v>2</v>
      </c>
      <c r="G700">
        <v>5</v>
      </c>
      <c r="H700">
        <v>20</v>
      </c>
      <c r="I700">
        <v>46</v>
      </c>
      <c r="J700" t="s">
        <v>11</v>
      </c>
      <c r="K700">
        <f>IF(J700="Yes", 1, 0)</f>
        <v>1</v>
      </c>
      <c r="L700" t="str">
        <f>IF(G700=0,"0 Failures","1+ Failures")</f>
        <v>1+ Failures</v>
      </c>
      <c r="M700" t="str">
        <f t="shared" si="32"/>
        <v>20+ hrs</v>
      </c>
      <c r="N700" t="str">
        <f t="shared" si="30"/>
        <v>12+ months</v>
      </c>
      <c r="O700" t="str">
        <f t="shared" si="31"/>
        <v>Basic</v>
      </c>
      <c r="P700" s="7">
        <v>45657</v>
      </c>
    </row>
    <row r="701" spans="1:16" x14ac:dyDescent="0.3">
      <c r="A701">
        <v>700</v>
      </c>
      <c r="B701" s="7">
        <v>45609</v>
      </c>
      <c r="C701" t="s">
        <v>10</v>
      </c>
      <c r="D701">
        <v>699</v>
      </c>
      <c r="E701">
        <v>6.7</v>
      </c>
      <c r="F701">
        <v>4</v>
      </c>
      <c r="G701">
        <v>1</v>
      </c>
      <c r="H701">
        <v>8</v>
      </c>
      <c r="I701">
        <v>23</v>
      </c>
      <c r="J701" t="s">
        <v>13</v>
      </c>
      <c r="K701">
        <f>IF(J701="Yes", 1, 0)</f>
        <v>0</v>
      </c>
      <c r="L701" t="str">
        <f>IF(G701=0,"0 Failures","1+ Failures")</f>
        <v>1+ Failures</v>
      </c>
      <c r="M701" t="str">
        <f t="shared" si="32"/>
        <v>5-10 hrs</v>
      </c>
      <c r="N701" t="str">
        <f t="shared" si="30"/>
        <v>6-12months</v>
      </c>
      <c r="O701" t="str">
        <f t="shared" si="31"/>
        <v>Premium</v>
      </c>
      <c r="P701" s="7">
        <v>45657</v>
      </c>
    </row>
    <row r="702" spans="1:16" x14ac:dyDescent="0.3">
      <c r="A702">
        <v>701</v>
      </c>
      <c r="B702" s="7">
        <v>45209</v>
      </c>
      <c r="C702" t="s">
        <v>12</v>
      </c>
      <c r="D702">
        <v>199</v>
      </c>
      <c r="E702">
        <v>6.3</v>
      </c>
      <c r="F702">
        <v>6</v>
      </c>
      <c r="G702">
        <v>2</v>
      </c>
      <c r="H702">
        <v>8</v>
      </c>
      <c r="I702">
        <v>0</v>
      </c>
      <c r="J702" t="s">
        <v>11</v>
      </c>
      <c r="K702">
        <f>IF(J702="Yes", 1, 0)</f>
        <v>1</v>
      </c>
      <c r="L702" t="str">
        <f>IF(G702=0,"0 Failures","1+ Failures")</f>
        <v>1+ Failures</v>
      </c>
      <c r="M702" t="str">
        <f t="shared" si="32"/>
        <v>5-10 hrs</v>
      </c>
      <c r="N702" t="str">
        <f t="shared" si="30"/>
        <v>6-12months</v>
      </c>
      <c r="O702" t="str">
        <f t="shared" si="31"/>
        <v>Basic</v>
      </c>
      <c r="P702" s="7">
        <v>45657</v>
      </c>
    </row>
    <row r="703" spans="1:16" x14ac:dyDescent="0.3">
      <c r="A703">
        <v>702</v>
      </c>
      <c r="B703" s="7">
        <v>45634</v>
      </c>
      <c r="C703" t="s">
        <v>10</v>
      </c>
      <c r="D703">
        <v>699</v>
      </c>
      <c r="E703">
        <v>10.199999999999999</v>
      </c>
      <c r="F703">
        <v>3</v>
      </c>
      <c r="G703">
        <v>0</v>
      </c>
      <c r="H703">
        <v>8</v>
      </c>
      <c r="I703">
        <v>2</v>
      </c>
      <c r="J703" t="s">
        <v>13</v>
      </c>
      <c r="K703">
        <f>IF(J703="Yes", 1, 0)</f>
        <v>0</v>
      </c>
      <c r="L703" t="str">
        <f>IF(G703=0,"0 Failures","1+ Failures")</f>
        <v>0 Failures</v>
      </c>
      <c r="M703" t="str">
        <f t="shared" si="32"/>
        <v>10-20hrs</v>
      </c>
      <c r="N703" t="str">
        <f t="shared" si="30"/>
        <v>6-12months</v>
      </c>
      <c r="O703" t="str">
        <f t="shared" si="31"/>
        <v>Premium</v>
      </c>
      <c r="P703" s="7">
        <v>45657</v>
      </c>
    </row>
    <row r="704" spans="1:16" x14ac:dyDescent="0.3">
      <c r="A704">
        <v>703</v>
      </c>
      <c r="B704" s="7">
        <v>45629</v>
      </c>
      <c r="C704" t="s">
        <v>14</v>
      </c>
      <c r="D704">
        <v>399</v>
      </c>
      <c r="E704">
        <v>9.6</v>
      </c>
      <c r="F704">
        <v>1</v>
      </c>
      <c r="G704">
        <v>1</v>
      </c>
      <c r="H704">
        <v>10</v>
      </c>
      <c r="I704">
        <v>10</v>
      </c>
      <c r="J704" t="s">
        <v>13</v>
      </c>
      <c r="K704">
        <f>IF(J704="Yes", 1, 0)</f>
        <v>0</v>
      </c>
      <c r="L704" t="str">
        <f>IF(G704=0,"0 Failures","1+ Failures")</f>
        <v>1+ Failures</v>
      </c>
      <c r="M704" t="str">
        <f t="shared" si="32"/>
        <v>5-10 hrs</v>
      </c>
      <c r="N704" t="str">
        <f t="shared" si="30"/>
        <v>6-12months</v>
      </c>
      <c r="O704" t="str">
        <f t="shared" si="31"/>
        <v>Basic</v>
      </c>
      <c r="P704" s="7">
        <v>45657</v>
      </c>
    </row>
    <row r="705" spans="1:16" x14ac:dyDescent="0.3">
      <c r="A705">
        <v>704</v>
      </c>
      <c r="B705" s="7">
        <v>45645</v>
      </c>
      <c r="C705" t="s">
        <v>10</v>
      </c>
      <c r="D705">
        <v>699</v>
      </c>
      <c r="E705">
        <v>23.3</v>
      </c>
      <c r="F705">
        <v>0</v>
      </c>
      <c r="G705">
        <v>0</v>
      </c>
      <c r="H705">
        <v>22</v>
      </c>
      <c r="I705">
        <v>22</v>
      </c>
      <c r="J705" t="s">
        <v>13</v>
      </c>
      <c r="K705">
        <f>IF(J705="Yes", 1, 0)</f>
        <v>0</v>
      </c>
      <c r="L705" t="str">
        <f>IF(G705=0,"0 Failures","1+ Failures")</f>
        <v>0 Failures</v>
      </c>
      <c r="M705" t="str">
        <f t="shared" si="32"/>
        <v>20+ hrs</v>
      </c>
      <c r="N705" t="str">
        <f t="shared" si="30"/>
        <v>12+ months</v>
      </c>
      <c r="O705" t="str">
        <f t="shared" si="31"/>
        <v>Premium</v>
      </c>
      <c r="P705" s="7">
        <v>45657</v>
      </c>
    </row>
    <row r="706" spans="1:16" x14ac:dyDescent="0.3">
      <c r="A706">
        <v>705</v>
      </c>
      <c r="B706" s="7">
        <v>45282</v>
      </c>
      <c r="C706" t="s">
        <v>10</v>
      </c>
      <c r="D706">
        <v>699</v>
      </c>
      <c r="E706">
        <v>3.6</v>
      </c>
      <c r="F706">
        <v>3</v>
      </c>
      <c r="G706">
        <v>2</v>
      </c>
      <c r="H706">
        <v>7</v>
      </c>
      <c r="I706">
        <v>35</v>
      </c>
      <c r="J706" t="s">
        <v>11</v>
      </c>
      <c r="K706">
        <f>IF(J706="Yes", 1, 0)</f>
        <v>1</v>
      </c>
      <c r="L706" t="str">
        <f>IF(G706=0,"0 Failures","1+ Failures")</f>
        <v>1+ Failures</v>
      </c>
      <c r="M706" t="str">
        <f t="shared" si="32"/>
        <v>0-5 hrs</v>
      </c>
      <c r="N706" t="str">
        <f t="shared" si="30"/>
        <v>6-12months</v>
      </c>
      <c r="O706" t="str">
        <f t="shared" si="31"/>
        <v>Premium</v>
      </c>
      <c r="P706" s="7">
        <v>45657</v>
      </c>
    </row>
    <row r="707" spans="1:16" x14ac:dyDescent="0.3">
      <c r="A707">
        <v>706</v>
      </c>
      <c r="B707" s="7">
        <v>44967</v>
      </c>
      <c r="C707" t="s">
        <v>14</v>
      </c>
      <c r="D707">
        <v>399</v>
      </c>
      <c r="E707">
        <v>1</v>
      </c>
      <c r="F707">
        <v>6</v>
      </c>
      <c r="G707">
        <v>2</v>
      </c>
      <c r="H707">
        <v>13</v>
      </c>
      <c r="I707">
        <v>46</v>
      </c>
      <c r="J707" t="s">
        <v>11</v>
      </c>
      <c r="K707">
        <f>IF(J707="Yes", 1, 0)</f>
        <v>1</v>
      </c>
      <c r="L707" t="str">
        <f>IF(G707=0,"0 Failures","1+ Failures")</f>
        <v>1+ Failures</v>
      </c>
      <c r="M707" t="str">
        <f t="shared" si="32"/>
        <v>0-5 hrs</v>
      </c>
      <c r="N707" t="str">
        <f t="shared" ref="N707:N770" si="33">IF(H707&lt;=3, "0-3months", IF(H707&lt;=6, "3-6months", IF(H707&lt;=12, "6-12months", "12+ months")))</f>
        <v>12+ months</v>
      </c>
      <c r="O707" t="str">
        <f t="shared" ref="O707:O770" si="34">IF(C707="premium", "Premium", "Basic")</f>
        <v>Basic</v>
      </c>
      <c r="P707" s="7">
        <v>45657</v>
      </c>
    </row>
    <row r="708" spans="1:16" x14ac:dyDescent="0.3">
      <c r="A708">
        <v>707</v>
      </c>
      <c r="B708" s="7">
        <v>45118</v>
      </c>
      <c r="C708" t="s">
        <v>14</v>
      </c>
      <c r="D708">
        <v>399</v>
      </c>
      <c r="E708">
        <v>14.2</v>
      </c>
      <c r="F708">
        <v>8</v>
      </c>
      <c r="G708">
        <v>5</v>
      </c>
      <c r="H708">
        <v>29</v>
      </c>
      <c r="I708">
        <v>31</v>
      </c>
      <c r="J708" t="s">
        <v>11</v>
      </c>
      <c r="K708">
        <f>IF(J708="Yes", 1, 0)</f>
        <v>1</v>
      </c>
      <c r="L708" t="str">
        <f>IF(G708=0,"0 Failures","1+ Failures")</f>
        <v>1+ Failures</v>
      </c>
      <c r="M708" t="str">
        <f t="shared" si="32"/>
        <v>10-20hrs</v>
      </c>
      <c r="N708" t="str">
        <f t="shared" si="33"/>
        <v>12+ months</v>
      </c>
      <c r="O708" t="str">
        <f t="shared" si="34"/>
        <v>Basic</v>
      </c>
      <c r="P708" s="7">
        <v>45657</v>
      </c>
    </row>
    <row r="709" spans="1:16" x14ac:dyDescent="0.3">
      <c r="A709">
        <v>708</v>
      </c>
      <c r="B709" s="7">
        <v>45494</v>
      </c>
      <c r="C709" t="s">
        <v>10</v>
      </c>
      <c r="D709">
        <v>699</v>
      </c>
      <c r="E709">
        <v>8.4</v>
      </c>
      <c r="F709">
        <v>7</v>
      </c>
      <c r="G709">
        <v>2</v>
      </c>
      <c r="H709">
        <v>23</v>
      </c>
      <c r="I709">
        <v>55</v>
      </c>
      <c r="J709" t="s">
        <v>13</v>
      </c>
      <c r="K709">
        <f>IF(J709="Yes", 1, 0)</f>
        <v>0</v>
      </c>
      <c r="L709" t="str">
        <f>IF(G709=0,"0 Failures","1+ Failures")</f>
        <v>1+ Failures</v>
      </c>
      <c r="M709" t="str">
        <f t="shared" si="32"/>
        <v>5-10 hrs</v>
      </c>
      <c r="N709" t="str">
        <f t="shared" si="33"/>
        <v>12+ months</v>
      </c>
      <c r="O709" t="str">
        <f t="shared" si="34"/>
        <v>Premium</v>
      </c>
      <c r="P709" s="7">
        <v>45657</v>
      </c>
    </row>
    <row r="710" spans="1:16" x14ac:dyDescent="0.3">
      <c r="A710">
        <v>709</v>
      </c>
      <c r="B710" s="7">
        <v>45302</v>
      </c>
      <c r="C710" t="s">
        <v>12</v>
      </c>
      <c r="D710">
        <v>199</v>
      </c>
      <c r="E710">
        <v>13.5</v>
      </c>
      <c r="F710">
        <v>7</v>
      </c>
      <c r="G710">
        <v>2</v>
      </c>
      <c r="H710">
        <v>5</v>
      </c>
      <c r="I710">
        <v>52</v>
      </c>
      <c r="J710" t="s">
        <v>11</v>
      </c>
      <c r="K710">
        <f>IF(J710="Yes", 1, 0)</f>
        <v>1</v>
      </c>
      <c r="L710" t="str">
        <f>IF(G710=0,"0 Failures","1+ Failures")</f>
        <v>1+ Failures</v>
      </c>
      <c r="M710" t="str">
        <f t="shared" si="32"/>
        <v>10-20hrs</v>
      </c>
      <c r="N710" t="str">
        <f t="shared" si="33"/>
        <v>3-6months</v>
      </c>
      <c r="O710" t="str">
        <f t="shared" si="34"/>
        <v>Basic</v>
      </c>
      <c r="P710" s="7">
        <v>45657</v>
      </c>
    </row>
    <row r="711" spans="1:16" x14ac:dyDescent="0.3">
      <c r="A711">
        <v>710</v>
      </c>
      <c r="B711" s="7">
        <v>44946</v>
      </c>
      <c r="C711" t="s">
        <v>14</v>
      </c>
      <c r="D711">
        <v>399</v>
      </c>
      <c r="E711">
        <v>19.5</v>
      </c>
      <c r="F711">
        <v>8</v>
      </c>
      <c r="G711">
        <v>3</v>
      </c>
      <c r="H711">
        <v>1</v>
      </c>
      <c r="I711">
        <v>46</v>
      </c>
      <c r="J711" t="s">
        <v>11</v>
      </c>
      <c r="K711">
        <f>IF(J711="Yes", 1, 0)</f>
        <v>1</v>
      </c>
      <c r="L711" t="str">
        <f>IF(G711=0,"0 Failures","1+ Failures")</f>
        <v>1+ Failures</v>
      </c>
      <c r="M711" t="str">
        <f t="shared" si="32"/>
        <v>10-20hrs</v>
      </c>
      <c r="N711" t="str">
        <f t="shared" si="33"/>
        <v>0-3months</v>
      </c>
      <c r="O711" t="str">
        <f t="shared" si="34"/>
        <v>Basic</v>
      </c>
      <c r="P711" s="7">
        <v>45657</v>
      </c>
    </row>
    <row r="712" spans="1:16" x14ac:dyDescent="0.3">
      <c r="A712">
        <v>711</v>
      </c>
      <c r="B712" s="7">
        <v>45478</v>
      </c>
      <c r="C712" t="s">
        <v>10</v>
      </c>
      <c r="D712">
        <v>699</v>
      </c>
      <c r="E712">
        <v>19.5</v>
      </c>
      <c r="F712">
        <v>3</v>
      </c>
      <c r="G712">
        <v>2</v>
      </c>
      <c r="H712">
        <v>24</v>
      </c>
      <c r="I712">
        <v>46</v>
      </c>
      <c r="J712" t="s">
        <v>11</v>
      </c>
      <c r="K712">
        <f>IF(J712="Yes", 1, 0)</f>
        <v>1</v>
      </c>
      <c r="L712" t="str">
        <f>IF(G712=0,"0 Failures","1+ Failures")</f>
        <v>1+ Failures</v>
      </c>
      <c r="M712" t="str">
        <f t="shared" si="32"/>
        <v>10-20hrs</v>
      </c>
      <c r="N712" t="str">
        <f t="shared" si="33"/>
        <v>12+ months</v>
      </c>
      <c r="O712" t="str">
        <f t="shared" si="34"/>
        <v>Premium</v>
      </c>
      <c r="P712" s="7">
        <v>45657</v>
      </c>
    </row>
    <row r="713" spans="1:16" x14ac:dyDescent="0.3">
      <c r="A713">
        <v>712</v>
      </c>
      <c r="B713" s="7">
        <v>45257</v>
      </c>
      <c r="C713" t="s">
        <v>14</v>
      </c>
      <c r="D713">
        <v>399</v>
      </c>
      <c r="E713">
        <v>13.3</v>
      </c>
      <c r="F713">
        <v>7</v>
      </c>
      <c r="G713">
        <v>4</v>
      </c>
      <c r="H713">
        <v>13</v>
      </c>
      <c r="I713">
        <v>9</v>
      </c>
      <c r="J713" t="s">
        <v>13</v>
      </c>
      <c r="K713">
        <f>IF(J713="Yes", 1, 0)</f>
        <v>0</v>
      </c>
      <c r="L713" t="str">
        <f>IF(G713=0,"0 Failures","1+ Failures")</f>
        <v>1+ Failures</v>
      </c>
      <c r="M713" t="str">
        <f t="shared" si="32"/>
        <v>10-20hrs</v>
      </c>
      <c r="N713" t="str">
        <f t="shared" si="33"/>
        <v>12+ months</v>
      </c>
      <c r="O713" t="str">
        <f t="shared" si="34"/>
        <v>Basic</v>
      </c>
      <c r="P713" s="7">
        <v>45657</v>
      </c>
    </row>
    <row r="714" spans="1:16" x14ac:dyDescent="0.3">
      <c r="A714">
        <v>713</v>
      </c>
      <c r="B714" s="7">
        <v>45059</v>
      </c>
      <c r="C714" t="s">
        <v>14</v>
      </c>
      <c r="D714">
        <v>399</v>
      </c>
      <c r="E714">
        <v>3.2</v>
      </c>
      <c r="F714">
        <v>8</v>
      </c>
      <c r="G714">
        <v>5</v>
      </c>
      <c r="H714">
        <v>21</v>
      </c>
      <c r="I714">
        <v>4</v>
      </c>
      <c r="J714" t="s">
        <v>11</v>
      </c>
      <c r="K714">
        <f>IF(J714="Yes", 1, 0)</f>
        <v>1</v>
      </c>
      <c r="L714" t="str">
        <f>IF(G714=0,"0 Failures","1+ Failures")</f>
        <v>1+ Failures</v>
      </c>
      <c r="M714" t="str">
        <f t="shared" si="32"/>
        <v>0-5 hrs</v>
      </c>
      <c r="N714" t="str">
        <f t="shared" si="33"/>
        <v>12+ months</v>
      </c>
      <c r="O714" t="str">
        <f t="shared" si="34"/>
        <v>Basic</v>
      </c>
      <c r="P714" s="7">
        <v>45657</v>
      </c>
    </row>
    <row r="715" spans="1:16" x14ac:dyDescent="0.3">
      <c r="A715">
        <v>714</v>
      </c>
      <c r="B715" s="7">
        <v>45584</v>
      </c>
      <c r="C715" t="s">
        <v>12</v>
      </c>
      <c r="D715">
        <v>199</v>
      </c>
      <c r="E715">
        <v>5.5</v>
      </c>
      <c r="F715">
        <v>7</v>
      </c>
      <c r="G715">
        <v>1</v>
      </c>
      <c r="H715">
        <v>3</v>
      </c>
      <c r="I715">
        <v>6</v>
      </c>
      <c r="J715" t="s">
        <v>11</v>
      </c>
      <c r="K715">
        <f>IF(J715="Yes", 1, 0)</f>
        <v>1</v>
      </c>
      <c r="L715" t="str">
        <f>IF(G715=0,"0 Failures","1+ Failures")</f>
        <v>1+ Failures</v>
      </c>
      <c r="M715" t="str">
        <f t="shared" ref="M715:M778" si="35">IF(E715&lt;=5, "0-5 hrs",    IF(E715&lt;=10, "5-10 hrs",    IF(E715&lt;=20, "10-20hrs", "20+ hrs")))</f>
        <v>5-10 hrs</v>
      </c>
      <c r="N715" t="str">
        <f t="shared" si="33"/>
        <v>0-3months</v>
      </c>
      <c r="O715" t="str">
        <f t="shared" si="34"/>
        <v>Basic</v>
      </c>
      <c r="P715" s="7">
        <v>45657</v>
      </c>
    </row>
    <row r="716" spans="1:16" x14ac:dyDescent="0.3">
      <c r="A716">
        <v>715</v>
      </c>
      <c r="B716" s="7">
        <v>44999</v>
      </c>
      <c r="C716" t="s">
        <v>14</v>
      </c>
      <c r="D716">
        <v>399</v>
      </c>
      <c r="E716">
        <v>13.4</v>
      </c>
      <c r="F716">
        <v>4</v>
      </c>
      <c r="G716">
        <v>0</v>
      </c>
      <c r="H716">
        <v>32</v>
      </c>
      <c r="I716">
        <v>23</v>
      </c>
      <c r="J716" t="s">
        <v>11</v>
      </c>
      <c r="K716">
        <f>IF(J716="Yes", 1, 0)</f>
        <v>1</v>
      </c>
      <c r="L716" t="str">
        <f>IF(G716=0,"0 Failures","1+ Failures")</f>
        <v>0 Failures</v>
      </c>
      <c r="M716" t="str">
        <f t="shared" si="35"/>
        <v>10-20hrs</v>
      </c>
      <c r="N716" t="str">
        <f t="shared" si="33"/>
        <v>12+ months</v>
      </c>
      <c r="O716" t="str">
        <f t="shared" si="34"/>
        <v>Basic</v>
      </c>
      <c r="P716" s="7">
        <v>45657</v>
      </c>
    </row>
    <row r="717" spans="1:16" x14ac:dyDescent="0.3">
      <c r="A717">
        <v>716</v>
      </c>
      <c r="B717" s="7">
        <v>45296</v>
      </c>
      <c r="C717" t="s">
        <v>12</v>
      </c>
      <c r="D717">
        <v>199</v>
      </c>
      <c r="E717">
        <v>16.600000000000001</v>
      </c>
      <c r="F717">
        <v>1</v>
      </c>
      <c r="G717">
        <v>3</v>
      </c>
      <c r="H717">
        <v>14</v>
      </c>
      <c r="I717">
        <v>51</v>
      </c>
      <c r="J717" t="s">
        <v>13</v>
      </c>
      <c r="K717">
        <f>IF(J717="Yes", 1, 0)</f>
        <v>0</v>
      </c>
      <c r="L717" t="str">
        <f>IF(G717=0,"0 Failures","1+ Failures")</f>
        <v>1+ Failures</v>
      </c>
      <c r="M717" t="str">
        <f t="shared" si="35"/>
        <v>10-20hrs</v>
      </c>
      <c r="N717" t="str">
        <f t="shared" si="33"/>
        <v>12+ months</v>
      </c>
      <c r="O717" t="str">
        <f t="shared" si="34"/>
        <v>Basic</v>
      </c>
      <c r="P717" s="7">
        <v>45657</v>
      </c>
    </row>
    <row r="718" spans="1:16" x14ac:dyDescent="0.3">
      <c r="A718">
        <v>717</v>
      </c>
      <c r="B718" s="7">
        <v>44999</v>
      </c>
      <c r="C718" t="s">
        <v>10</v>
      </c>
      <c r="D718">
        <v>699</v>
      </c>
      <c r="E718">
        <v>20.6</v>
      </c>
      <c r="F718">
        <v>0</v>
      </c>
      <c r="G718">
        <v>4</v>
      </c>
      <c r="H718">
        <v>27</v>
      </c>
      <c r="I718">
        <v>17</v>
      </c>
      <c r="J718" t="s">
        <v>13</v>
      </c>
      <c r="K718">
        <f>IF(J718="Yes", 1, 0)</f>
        <v>0</v>
      </c>
      <c r="L718" t="str">
        <f>IF(G718=0,"0 Failures","1+ Failures")</f>
        <v>1+ Failures</v>
      </c>
      <c r="M718" t="str">
        <f t="shared" si="35"/>
        <v>20+ hrs</v>
      </c>
      <c r="N718" t="str">
        <f t="shared" si="33"/>
        <v>12+ months</v>
      </c>
      <c r="O718" t="str">
        <f t="shared" si="34"/>
        <v>Premium</v>
      </c>
      <c r="P718" s="7">
        <v>45657</v>
      </c>
    </row>
    <row r="719" spans="1:16" x14ac:dyDescent="0.3">
      <c r="A719">
        <v>718</v>
      </c>
      <c r="B719" s="7">
        <v>45471</v>
      </c>
      <c r="C719" t="s">
        <v>14</v>
      </c>
      <c r="D719">
        <v>399</v>
      </c>
      <c r="E719">
        <v>23.6</v>
      </c>
      <c r="F719">
        <v>8</v>
      </c>
      <c r="G719">
        <v>0</v>
      </c>
      <c r="H719">
        <v>5</v>
      </c>
      <c r="I719">
        <v>6</v>
      </c>
      <c r="J719" t="s">
        <v>13</v>
      </c>
      <c r="K719">
        <f>IF(J719="Yes", 1, 0)</f>
        <v>0</v>
      </c>
      <c r="L719" t="str">
        <f>IF(G719=0,"0 Failures","1+ Failures")</f>
        <v>0 Failures</v>
      </c>
      <c r="M719" t="str">
        <f t="shared" si="35"/>
        <v>20+ hrs</v>
      </c>
      <c r="N719" t="str">
        <f t="shared" si="33"/>
        <v>3-6months</v>
      </c>
      <c r="O719" t="str">
        <f t="shared" si="34"/>
        <v>Basic</v>
      </c>
      <c r="P719" s="7">
        <v>45657</v>
      </c>
    </row>
    <row r="720" spans="1:16" x14ac:dyDescent="0.3">
      <c r="A720">
        <v>719</v>
      </c>
      <c r="B720" s="7">
        <v>45498</v>
      </c>
      <c r="C720" t="s">
        <v>14</v>
      </c>
      <c r="D720">
        <v>399</v>
      </c>
      <c r="E720">
        <v>5.2</v>
      </c>
      <c r="F720">
        <v>3</v>
      </c>
      <c r="G720">
        <v>4</v>
      </c>
      <c r="H720">
        <v>13</v>
      </c>
      <c r="I720">
        <v>40</v>
      </c>
      <c r="J720" t="s">
        <v>13</v>
      </c>
      <c r="K720">
        <f>IF(J720="Yes", 1, 0)</f>
        <v>0</v>
      </c>
      <c r="L720" t="str">
        <f>IF(G720=0,"0 Failures","1+ Failures")</f>
        <v>1+ Failures</v>
      </c>
      <c r="M720" t="str">
        <f t="shared" si="35"/>
        <v>5-10 hrs</v>
      </c>
      <c r="N720" t="str">
        <f t="shared" si="33"/>
        <v>12+ months</v>
      </c>
      <c r="O720" t="str">
        <f t="shared" si="34"/>
        <v>Basic</v>
      </c>
      <c r="P720" s="7">
        <v>45657</v>
      </c>
    </row>
    <row r="721" spans="1:16" x14ac:dyDescent="0.3">
      <c r="A721">
        <v>720</v>
      </c>
      <c r="B721" s="7">
        <v>45396</v>
      </c>
      <c r="C721" t="s">
        <v>10</v>
      </c>
      <c r="D721">
        <v>699</v>
      </c>
      <c r="E721">
        <v>10.7</v>
      </c>
      <c r="F721">
        <v>1</v>
      </c>
      <c r="G721">
        <v>5</v>
      </c>
      <c r="H721">
        <v>36</v>
      </c>
      <c r="I721">
        <v>36</v>
      </c>
      <c r="J721" t="s">
        <v>11</v>
      </c>
      <c r="K721">
        <f>IF(J721="Yes", 1, 0)</f>
        <v>1</v>
      </c>
      <c r="L721" t="str">
        <f>IF(G721=0,"0 Failures","1+ Failures")</f>
        <v>1+ Failures</v>
      </c>
      <c r="M721" t="str">
        <f t="shared" si="35"/>
        <v>10-20hrs</v>
      </c>
      <c r="N721" t="str">
        <f t="shared" si="33"/>
        <v>12+ months</v>
      </c>
      <c r="O721" t="str">
        <f t="shared" si="34"/>
        <v>Premium</v>
      </c>
      <c r="P721" s="7">
        <v>45657</v>
      </c>
    </row>
    <row r="722" spans="1:16" x14ac:dyDescent="0.3">
      <c r="A722">
        <v>721</v>
      </c>
      <c r="B722" s="7">
        <v>45272</v>
      </c>
      <c r="C722" t="s">
        <v>10</v>
      </c>
      <c r="D722">
        <v>699</v>
      </c>
      <c r="E722">
        <v>22.1</v>
      </c>
      <c r="F722">
        <v>2</v>
      </c>
      <c r="G722">
        <v>1</v>
      </c>
      <c r="H722">
        <v>28</v>
      </c>
      <c r="I722">
        <v>35</v>
      </c>
      <c r="J722" t="s">
        <v>13</v>
      </c>
      <c r="K722">
        <f>IF(J722="Yes", 1, 0)</f>
        <v>0</v>
      </c>
      <c r="L722" t="str">
        <f>IF(G722=0,"0 Failures","1+ Failures")</f>
        <v>1+ Failures</v>
      </c>
      <c r="M722" t="str">
        <f t="shared" si="35"/>
        <v>20+ hrs</v>
      </c>
      <c r="N722" t="str">
        <f t="shared" si="33"/>
        <v>12+ months</v>
      </c>
      <c r="O722" t="str">
        <f t="shared" si="34"/>
        <v>Premium</v>
      </c>
      <c r="P722" s="7">
        <v>45657</v>
      </c>
    </row>
    <row r="723" spans="1:16" x14ac:dyDescent="0.3">
      <c r="A723">
        <v>722</v>
      </c>
      <c r="B723" s="7">
        <v>45259</v>
      </c>
      <c r="C723" t="s">
        <v>10</v>
      </c>
      <c r="D723">
        <v>699</v>
      </c>
      <c r="E723">
        <v>13.6</v>
      </c>
      <c r="F723">
        <v>7</v>
      </c>
      <c r="G723">
        <v>2</v>
      </c>
      <c r="H723">
        <v>11</v>
      </c>
      <c r="I723">
        <v>57</v>
      </c>
      <c r="J723" t="s">
        <v>11</v>
      </c>
      <c r="K723">
        <f>IF(J723="Yes", 1, 0)</f>
        <v>1</v>
      </c>
      <c r="L723" t="str">
        <f>IF(G723=0,"0 Failures","1+ Failures")</f>
        <v>1+ Failures</v>
      </c>
      <c r="M723" t="str">
        <f t="shared" si="35"/>
        <v>10-20hrs</v>
      </c>
      <c r="N723" t="str">
        <f t="shared" si="33"/>
        <v>6-12months</v>
      </c>
      <c r="O723" t="str">
        <f t="shared" si="34"/>
        <v>Premium</v>
      </c>
      <c r="P723" s="7">
        <v>45657</v>
      </c>
    </row>
    <row r="724" spans="1:16" x14ac:dyDescent="0.3">
      <c r="A724">
        <v>723</v>
      </c>
      <c r="B724" s="7">
        <v>45503</v>
      </c>
      <c r="C724" t="s">
        <v>14</v>
      </c>
      <c r="D724">
        <v>399</v>
      </c>
      <c r="E724">
        <v>19.2</v>
      </c>
      <c r="F724">
        <v>6</v>
      </c>
      <c r="G724">
        <v>5</v>
      </c>
      <c r="H724">
        <v>27</v>
      </c>
      <c r="I724">
        <v>20</v>
      </c>
      <c r="J724" t="s">
        <v>13</v>
      </c>
      <c r="K724">
        <f>IF(J724="Yes", 1, 0)</f>
        <v>0</v>
      </c>
      <c r="L724" t="str">
        <f>IF(G724=0,"0 Failures","1+ Failures")</f>
        <v>1+ Failures</v>
      </c>
      <c r="M724" t="str">
        <f t="shared" si="35"/>
        <v>10-20hrs</v>
      </c>
      <c r="N724" t="str">
        <f t="shared" si="33"/>
        <v>12+ months</v>
      </c>
      <c r="O724" t="str">
        <f t="shared" si="34"/>
        <v>Basic</v>
      </c>
      <c r="P724" s="7">
        <v>45657</v>
      </c>
    </row>
    <row r="725" spans="1:16" x14ac:dyDescent="0.3">
      <c r="A725">
        <v>724</v>
      </c>
      <c r="B725" s="7">
        <v>45390</v>
      </c>
      <c r="C725" t="s">
        <v>10</v>
      </c>
      <c r="D725">
        <v>699</v>
      </c>
      <c r="E725">
        <v>9.6999999999999993</v>
      </c>
      <c r="F725">
        <v>8</v>
      </c>
      <c r="G725">
        <v>5</v>
      </c>
      <c r="H725">
        <v>14</v>
      </c>
      <c r="I725">
        <v>16</v>
      </c>
      <c r="J725" t="s">
        <v>11</v>
      </c>
      <c r="K725">
        <f>IF(J725="Yes", 1, 0)</f>
        <v>1</v>
      </c>
      <c r="L725" t="str">
        <f>IF(G725=0,"0 Failures","1+ Failures")</f>
        <v>1+ Failures</v>
      </c>
      <c r="M725" t="str">
        <f t="shared" si="35"/>
        <v>5-10 hrs</v>
      </c>
      <c r="N725" t="str">
        <f t="shared" si="33"/>
        <v>12+ months</v>
      </c>
      <c r="O725" t="str">
        <f t="shared" si="34"/>
        <v>Premium</v>
      </c>
      <c r="P725" s="7">
        <v>45657</v>
      </c>
    </row>
    <row r="726" spans="1:16" x14ac:dyDescent="0.3">
      <c r="A726">
        <v>725</v>
      </c>
      <c r="B726" s="7">
        <v>45065</v>
      </c>
      <c r="C726" t="s">
        <v>14</v>
      </c>
      <c r="D726">
        <v>399</v>
      </c>
      <c r="E726">
        <v>0.5</v>
      </c>
      <c r="F726">
        <v>0</v>
      </c>
      <c r="G726">
        <v>2</v>
      </c>
      <c r="H726">
        <v>26</v>
      </c>
      <c r="I726">
        <v>38</v>
      </c>
      <c r="J726" t="s">
        <v>11</v>
      </c>
      <c r="K726">
        <f>IF(J726="Yes", 1, 0)</f>
        <v>1</v>
      </c>
      <c r="L726" t="str">
        <f>IF(G726=0,"0 Failures","1+ Failures")</f>
        <v>1+ Failures</v>
      </c>
      <c r="M726" t="str">
        <f t="shared" si="35"/>
        <v>0-5 hrs</v>
      </c>
      <c r="N726" t="str">
        <f t="shared" si="33"/>
        <v>12+ months</v>
      </c>
      <c r="O726" t="str">
        <f t="shared" si="34"/>
        <v>Basic</v>
      </c>
      <c r="P726" s="7">
        <v>45657</v>
      </c>
    </row>
    <row r="727" spans="1:16" x14ac:dyDescent="0.3">
      <c r="A727">
        <v>726</v>
      </c>
      <c r="B727" s="7">
        <v>45633</v>
      </c>
      <c r="C727" t="s">
        <v>14</v>
      </c>
      <c r="D727">
        <v>399</v>
      </c>
      <c r="E727">
        <v>7.9</v>
      </c>
      <c r="F727">
        <v>3</v>
      </c>
      <c r="G727">
        <v>1</v>
      </c>
      <c r="H727">
        <v>1</v>
      </c>
      <c r="I727">
        <v>54</v>
      </c>
      <c r="J727" t="s">
        <v>11</v>
      </c>
      <c r="K727">
        <f>IF(J727="Yes", 1, 0)</f>
        <v>1</v>
      </c>
      <c r="L727" t="str">
        <f>IF(G727=0,"0 Failures","1+ Failures")</f>
        <v>1+ Failures</v>
      </c>
      <c r="M727" t="str">
        <f t="shared" si="35"/>
        <v>5-10 hrs</v>
      </c>
      <c r="N727" t="str">
        <f t="shared" si="33"/>
        <v>0-3months</v>
      </c>
      <c r="O727" t="str">
        <f t="shared" si="34"/>
        <v>Basic</v>
      </c>
      <c r="P727" s="7">
        <v>45657</v>
      </c>
    </row>
    <row r="728" spans="1:16" x14ac:dyDescent="0.3">
      <c r="A728">
        <v>727</v>
      </c>
      <c r="B728" s="7">
        <v>45086</v>
      </c>
      <c r="C728" t="s">
        <v>14</v>
      </c>
      <c r="D728">
        <v>399</v>
      </c>
      <c r="E728">
        <v>13</v>
      </c>
      <c r="F728">
        <v>2</v>
      </c>
      <c r="G728">
        <v>0</v>
      </c>
      <c r="H728">
        <v>36</v>
      </c>
      <c r="I728">
        <v>2</v>
      </c>
      <c r="J728" t="s">
        <v>13</v>
      </c>
      <c r="K728">
        <f>IF(J728="Yes", 1, 0)</f>
        <v>0</v>
      </c>
      <c r="L728" t="str">
        <f>IF(G728=0,"0 Failures","1+ Failures")</f>
        <v>0 Failures</v>
      </c>
      <c r="M728" t="str">
        <f t="shared" si="35"/>
        <v>10-20hrs</v>
      </c>
      <c r="N728" t="str">
        <f t="shared" si="33"/>
        <v>12+ months</v>
      </c>
      <c r="O728" t="str">
        <f t="shared" si="34"/>
        <v>Basic</v>
      </c>
      <c r="P728" s="7">
        <v>45657</v>
      </c>
    </row>
    <row r="729" spans="1:16" x14ac:dyDescent="0.3">
      <c r="A729">
        <v>728</v>
      </c>
      <c r="B729" s="7">
        <v>45021</v>
      </c>
      <c r="C729" t="s">
        <v>12</v>
      </c>
      <c r="D729">
        <v>199</v>
      </c>
      <c r="E729">
        <v>9.5</v>
      </c>
      <c r="F729">
        <v>3</v>
      </c>
      <c r="G729">
        <v>1</v>
      </c>
      <c r="H729">
        <v>17</v>
      </c>
      <c r="I729">
        <v>16</v>
      </c>
      <c r="J729" t="s">
        <v>13</v>
      </c>
      <c r="K729">
        <f>IF(J729="Yes", 1, 0)</f>
        <v>0</v>
      </c>
      <c r="L729" t="str">
        <f>IF(G729=0,"0 Failures","1+ Failures")</f>
        <v>1+ Failures</v>
      </c>
      <c r="M729" t="str">
        <f t="shared" si="35"/>
        <v>5-10 hrs</v>
      </c>
      <c r="N729" t="str">
        <f t="shared" si="33"/>
        <v>12+ months</v>
      </c>
      <c r="O729" t="str">
        <f t="shared" si="34"/>
        <v>Basic</v>
      </c>
      <c r="P729" s="7">
        <v>45657</v>
      </c>
    </row>
    <row r="730" spans="1:16" x14ac:dyDescent="0.3">
      <c r="A730">
        <v>729</v>
      </c>
      <c r="B730" s="7">
        <v>45421</v>
      </c>
      <c r="C730" t="s">
        <v>10</v>
      </c>
      <c r="D730">
        <v>699</v>
      </c>
      <c r="E730">
        <v>14.4</v>
      </c>
      <c r="F730">
        <v>3</v>
      </c>
      <c r="G730">
        <v>5</v>
      </c>
      <c r="H730">
        <v>26</v>
      </c>
      <c r="I730">
        <v>4</v>
      </c>
      <c r="J730" t="s">
        <v>13</v>
      </c>
      <c r="K730">
        <f>IF(J730="Yes", 1, 0)</f>
        <v>0</v>
      </c>
      <c r="L730" t="str">
        <f>IF(G730=0,"0 Failures","1+ Failures")</f>
        <v>1+ Failures</v>
      </c>
      <c r="M730" t="str">
        <f t="shared" si="35"/>
        <v>10-20hrs</v>
      </c>
      <c r="N730" t="str">
        <f t="shared" si="33"/>
        <v>12+ months</v>
      </c>
      <c r="O730" t="str">
        <f t="shared" si="34"/>
        <v>Premium</v>
      </c>
      <c r="P730" s="7">
        <v>45657</v>
      </c>
    </row>
    <row r="731" spans="1:16" x14ac:dyDescent="0.3">
      <c r="A731">
        <v>730</v>
      </c>
      <c r="B731" s="7">
        <v>45517</v>
      </c>
      <c r="C731" t="s">
        <v>12</v>
      </c>
      <c r="D731">
        <v>199</v>
      </c>
      <c r="E731">
        <v>20.7</v>
      </c>
      <c r="F731">
        <v>1</v>
      </c>
      <c r="G731">
        <v>4</v>
      </c>
      <c r="H731">
        <v>32</v>
      </c>
      <c r="I731">
        <v>41</v>
      </c>
      <c r="J731" t="s">
        <v>11</v>
      </c>
      <c r="K731">
        <f>IF(J731="Yes", 1, 0)</f>
        <v>1</v>
      </c>
      <c r="L731" t="str">
        <f>IF(G731=0,"0 Failures","1+ Failures")</f>
        <v>1+ Failures</v>
      </c>
      <c r="M731" t="str">
        <f t="shared" si="35"/>
        <v>20+ hrs</v>
      </c>
      <c r="N731" t="str">
        <f t="shared" si="33"/>
        <v>12+ months</v>
      </c>
      <c r="O731" t="str">
        <f t="shared" si="34"/>
        <v>Basic</v>
      </c>
      <c r="P731" s="7">
        <v>45657</v>
      </c>
    </row>
    <row r="732" spans="1:16" x14ac:dyDescent="0.3">
      <c r="A732">
        <v>731</v>
      </c>
      <c r="B732" s="7">
        <v>45353</v>
      </c>
      <c r="C732" t="s">
        <v>14</v>
      </c>
      <c r="D732">
        <v>399</v>
      </c>
      <c r="E732">
        <v>19.600000000000001</v>
      </c>
      <c r="F732">
        <v>5</v>
      </c>
      <c r="G732">
        <v>2</v>
      </c>
      <c r="H732">
        <v>6</v>
      </c>
      <c r="I732">
        <v>56</v>
      </c>
      <c r="J732" t="s">
        <v>13</v>
      </c>
      <c r="K732">
        <f>IF(J732="Yes", 1, 0)</f>
        <v>0</v>
      </c>
      <c r="L732" t="str">
        <f>IF(G732=0,"0 Failures","1+ Failures")</f>
        <v>1+ Failures</v>
      </c>
      <c r="M732" t="str">
        <f t="shared" si="35"/>
        <v>10-20hrs</v>
      </c>
      <c r="N732" t="str">
        <f t="shared" si="33"/>
        <v>3-6months</v>
      </c>
      <c r="O732" t="str">
        <f t="shared" si="34"/>
        <v>Basic</v>
      </c>
      <c r="P732" s="7">
        <v>45657</v>
      </c>
    </row>
    <row r="733" spans="1:16" x14ac:dyDescent="0.3">
      <c r="A733">
        <v>732</v>
      </c>
      <c r="B733" s="7">
        <v>44982</v>
      </c>
      <c r="C733" t="s">
        <v>12</v>
      </c>
      <c r="D733">
        <v>199</v>
      </c>
      <c r="E733">
        <v>18.8</v>
      </c>
      <c r="F733">
        <v>0</v>
      </c>
      <c r="G733">
        <v>5</v>
      </c>
      <c r="H733">
        <v>15</v>
      </c>
      <c r="I733">
        <v>49</v>
      </c>
      <c r="J733" t="s">
        <v>13</v>
      </c>
      <c r="K733">
        <f>IF(J733="Yes", 1, 0)</f>
        <v>0</v>
      </c>
      <c r="L733" t="str">
        <f>IF(G733=0,"0 Failures","1+ Failures")</f>
        <v>1+ Failures</v>
      </c>
      <c r="M733" t="str">
        <f t="shared" si="35"/>
        <v>10-20hrs</v>
      </c>
      <c r="N733" t="str">
        <f t="shared" si="33"/>
        <v>12+ months</v>
      </c>
      <c r="O733" t="str">
        <f t="shared" si="34"/>
        <v>Basic</v>
      </c>
      <c r="P733" s="7">
        <v>45657</v>
      </c>
    </row>
    <row r="734" spans="1:16" x14ac:dyDescent="0.3">
      <c r="A734">
        <v>733</v>
      </c>
      <c r="B734" s="7">
        <v>45641</v>
      </c>
      <c r="C734" t="s">
        <v>14</v>
      </c>
      <c r="D734">
        <v>399</v>
      </c>
      <c r="E734">
        <v>1.5</v>
      </c>
      <c r="F734">
        <v>8</v>
      </c>
      <c r="G734">
        <v>4</v>
      </c>
      <c r="H734">
        <v>34</v>
      </c>
      <c r="I734">
        <v>9</v>
      </c>
      <c r="J734" t="s">
        <v>11</v>
      </c>
      <c r="K734">
        <f>IF(J734="Yes", 1, 0)</f>
        <v>1</v>
      </c>
      <c r="L734" t="str">
        <f>IF(G734=0,"0 Failures","1+ Failures")</f>
        <v>1+ Failures</v>
      </c>
      <c r="M734" t="str">
        <f t="shared" si="35"/>
        <v>0-5 hrs</v>
      </c>
      <c r="N734" t="str">
        <f t="shared" si="33"/>
        <v>12+ months</v>
      </c>
      <c r="O734" t="str">
        <f t="shared" si="34"/>
        <v>Basic</v>
      </c>
      <c r="P734" s="7">
        <v>45657</v>
      </c>
    </row>
    <row r="735" spans="1:16" x14ac:dyDescent="0.3">
      <c r="A735">
        <v>734</v>
      </c>
      <c r="B735" s="7">
        <v>45443</v>
      </c>
      <c r="C735" t="s">
        <v>12</v>
      </c>
      <c r="D735">
        <v>199</v>
      </c>
      <c r="E735">
        <v>1.7</v>
      </c>
      <c r="F735">
        <v>6</v>
      </c>
      <c r="G735">
        <v>3</v>
      </c>
      <c r="H735">
        <v>10</v>
      </c>
      <c r="I735">
        <v>48</v>
      </c>
      <c r="J735" t="s">
        <v>11</v>
      </c>
      <c r="K735">
        <f>IF(J735="Yes", 1, 0)</f>
        <v>1</v>
      </c>
      <c r="L735" t="str">
        <f>IF(G735=0,"0 Failures","1+ Failures")</f>
        <v>1+ Failures</v>
      </c>
      <c r="M735" t="str">
        <f t="shared" si="35"/>
        <v>0-5 hrs</v>
      </c>
      <c r="N735" t="str">
        <f t="shared" si="33"/>
        <v>6-12months</v>
      </c>
      <c r="O735" t="str">
        <f t="shared" si="34"/>
        <v>Basic</v>
      </c>
      <c r="P735" s="7">
        <v>45657</v>
      </c>
    </row>
    <row r="736" spans="1:16" x14ac:dyDescent="0.3">
      <c r="A736">
        <v>735</v>
      </c>
      <c r="B736" s="7">
        <v>45414</v>
      </c>
      <c r="C736" t="s">
        <v>12</v>
      </c>
      <c r="D736">
        <v>199</v>
      </c>
      <c r="E736">
        <v>11.1</v>
      </c>
      <c r="F736">
        <v>6</v>
      </c>
      <c r="G736">
        <v>1</v>
      </c>
      <c r="H736">
        <v>15</v>
      </c>
      <c r="I736">
        <v>8</v>
      </c>
      <c r="J736" t="s">
        <v>13</v>
      </c>
      <c r="K736">
        <f>IF(J736="Yes", 1, 0)</f>
        <v>0</v>
      </c>
      <c r="L736" t="str">
        <f>IF(G736=0,"0 Failures","1+ Failures")</f>
        <v>1+ Failures</v>
      </c>
      <c r="M736" t="str">
        <f t="shared" si="35"/>
        <v>10-20hrs</v>
      </c>
      <c r="N736" t="str">
        <f t="shared" si="33"/>
        <v>12+ months</v>
      </c>
      <c r="O736" t="str">
        <f t="shared" si="34"/>
        <v>Basic</v>
      </c>
      <c r="P736" s="7">
        <v>45657</v>
      </c>
    </row>
    <row r="737" spans="1:16" x14ac:dyDescent="0.3">
      <c r="A737">
        <v>736</v>
      </c>
      <c r="B737" s="7">
        <v>45641</v>
      </c>
      <c r="C737" t="s">
        <v>10</v>
      </c>
      <c r="D737">
        <v>699</v>
      </c>
      <c r="E737">
        <v>13.9</v>
      </c>
      <c r="F737">
        <v>4</v>
      </c>
      <c r="G737">
        <v>0</v>
      </c>
      <c r="H737">
        <v>4</v>
      </c>
      <c r="I737">
        <v>25</v>
      </c>
      <c r="J737" t="s">
        <v>13</v>
      </c>
      <c r="K737">
        <f>IF(J737="Yes", 1, 0)</f>
        <v>0</v>
      </c>
      <c r="L737" t="str">
        <f>IF(G737=0,"0 Failures","1+ Failures")</f>
        <v>0 Failures</v>
      </c>
      <c r="M737" t="str">
        <f t="shared" si="35"/>
        <v>10-20hrs</v>
      </c>
      <c r="N737" t="str">
        <f t="shared" si="33"/>
        <v>3-6months</v>
      </c>
      <c r="O737" t="str">
        <f t="shared" si="34"/>
        <v>Premium</v>
      </c>
      <c r="P737" s="7">
        <v>45657</v>
      </c>
    </row>
    <row r="738" spans="1:16" x14ac:dyDescent="0.3">
      <c r="A738">
        <v>737</v>
      </c>
      <c r="B738" s="7">
        <v>45127</v>
      </c>
      <c r="C738" t="s">
        <v>12</v>
      </c>
      <c r="D738">
        <v>199</v>
      </c>
      <c r="E738">
        <v>12.3</v>
      </c>
      <c r="F738">
        <v>3</v>
      </c>
      <c r="G738">
        <v>3</v>
      </c>
      <c r="H738">
        <v>9</v>
      </c>
      <c r="I738">
        <v>25</v>
      </c>
      <c r="J738" t="s">
        <v>13</v>
      </c>
      <c r="K738">
        <f>IF(J738="Yes", 1, 0)</f>
        <v>0</v>
      </c>
      <c r="L738" t="str">
        <f>IF(G738=0,"0 Failures","1+ Failures")</f>
        <v>1+ Failures</v>
      </c>
      <c r="M738" t="str">
        <f t="shared" si="35"/>
        <v>10-20hrs</v>
      </c>
      <c r="N738" t="str">
        <f t="shared" si="33"/>
        <v>6-12months</v>
      </c>
      <c r="O738" t="str">
        <f t="shared" si="34"/>
        <v>Basic</v>
      </c>
      <c r="P738" s="7">
        <v>45657</v>
      </c>
    </row>
    <row r="739" spans="1:16" x14ac:dyDescent="0.3">
      <c r="A739">
        <v>738</v>
      </c>
      <c r="B739" s="7">
        <v>45628</v>
      </c>
      <c r="C739" t="s">
        <v>10</v>
      </c>
      <c r="D739">
        <v>699</v>
      </c>
      <c r="E739">
        <v>6.5</v>
      </c>
      <c r="F739">
        <v>1</v>
      </c>
      <c r="G739">
        <v>2</v>
      </c>
      <c r="H739">
        <v>34</v>
      </c>
      <c r="I739">
        <v>49</v>
      </c>
      <c r="J739" t="s">
        <v>11</v>
      </c>
      <c r="K739">
        <f>IF(J739="Yes", 1, 0)</f>
        <v>1</v>
      </c>
      <c r="L739" t="str">
        <f>IF(G739=0,"0 Failures","1+ Failures")</f>
        <v>1+ Failures</v>
      </c>
      <c r="M739" t="str">
        <f t="shared" si="35"/>
        <v>5-10 hrs</v>
      </c>
      <c r="N739" t="str">
        <f t="shared" si="33"/>
        <v>12+ months</v>
      </c>
      <c r="O739" t="str">
        <f t="shared" si="34"/>
        <v>Premium</v>
      </c>
      <c r="P739" s="7">
        <v>45657</v>
      </c>
    </row>
    <row r="740" spans="1:16" x14ac:dyDescent="0.3">
      <c r="A740">
        <v>739</v>
      </c>
      <c r="B740" s="7">
        <v>45255</v>
      </c>
      <c r="C740" t="s">
        <v>10</v>
      </c>
      <c r="D740">
        <v>699</v>
      </c>
      <c r="E740">
        <v>3.3</v>
      </c>
      <c r="F740">
        <v>6</v>
      </c>
      <c r="G740">
        <v>3</v>
      </c>
      <c r="H740">
        <v>6</v>
      </c>
      <c r="I740">
        <v>23</v>
      </c>
      <c r="J740" t="s">
        <v>11</v>
      </c>
      <c r="K740">
        <f>IF(J740="Yes", 1, 0)</f>
        <v>1</v>
      </c>
      <c r="L740" t="str">
        <f>IF(G740=0,"0 Failures","1+ Failures")</f>
        <v>1+ Failures</v>
      </c>
      <c r="M740" t="str">
        <f t="shared" si="35"/>
        <v>0-5 hrs</v>
      </c>
      <c r="N740" t="str">
        <f t="shared" si="33"/>
        <v>3-6months</v>
      </c>
      <c r="O740" t="str">
        <f t="shared" si="34"/>
        <v>Premium</v>
      </c>
      <c r="P740" s="7">
        <v>45657</v>
      </c>
    </row>
    <row r="741" spans="1:16" x14ac:dyDescent="0.3">
      <c r="A741">
        <v>740</v>
      </c>
      <c r="B741" s="7">
        <v>45379</v>
      </c>
      <c r="C741" t="s">
        <v>14</v>
      </c>
      <c r="D741">
        <v>399</v>
      </c>
      <c r="E741">
        <v>19.399999999999999</v>
      </c>
      <c r="F741">
        <v>2</v>
      </c>
      <c r="G741">
        <v>2</v>
      </c>
      <c r="H741">
        <v>2</v>
      </c>
      <c r="I741">
        <v>39</v>
      </c>
      <c r="J741" t="s">
        <v>13</v>
      </c>
      <c r="K741">
        <f>IF(J741="Yes", 1, 0)</f>
        <v>0</v>
      </c>
      <c r="L741" t="str">
        <f>IF(G741=0,"0 Failures","1+ Failures")</f>
        <v>1+ Failures</v>
      </c>
      <c r="M741" t="str">
        <f t="shared" si="35"/>
        <v>10-20hrs</v>
      </c>
      <c r="N741" t="str">
        <f t="shared" si="33"/>
        <v>0-3months</v>
      </c>
      <c r="O741" t="str">
        <f t="shared" si="34"/>
        <v>Basic</v>
      </c>
      <c r="P741" s="7">
        <v>45657</v>
      </c>
    </row>
    <row r="742" spans="1:16" x14ac:dyDescent="0.3">
      <c r="A742">
        <v>741</v>
      </c>
      <c r="B742" s="7">
        <v>45014</v>
      </c>
      <c r="C742" t="s">
        <v>10</v>
      </c>
      <c r="D742">
        <v>699</v>
      </c>
      <c r="E742">
        <v>11.3</v>
      </c>
      <c r="F742">
        <v>3</v>
      </c>
      <c r="G742">
        <v>1</v>
      </c>
      <c r="H742">
        <v>10</v>
      </c>
      <c r="I742">
        <v>43</v>
      </c>
      <c r="J742" t="s">
        <v>13</v>
      </c>
      <c r="K742">
        <f>IF(J742="Yes", 1, 0)</f>
        <v>0</v>
      </c>
      <c r="L742" t="str">
        <f>IF(G742=0,"0 Failures","1+ Failures")</f>
        <v>1+ Failures</v>
      </c>
      <c r="M742" t="str">
        <f t="shared" si="35"/>
        <v>10-20hrs</v>
      </c>
      <c r="N742" t="str">
        <f t="shared" si="33"/>
        <v>6-12months</v>
      </c>
      <c r="O742" t="str">
        <f t="shared" si="34"/>
        <v>Premium</v>
      </c>
      <c r="P742" s="7">
        <v>45657</v>
      </c>
    </row>
    <row r="743" spans="1:16" x14ac:dyDescent="0.3">
      <c r="A743">
        <v>742</v>
      </c>
      <c r="B743" s="7">
        <v>45040</v>
      </c>
      <c r="C743" t="s">
        <v>12</v>
      </c>
      <c r="D743">
        <v>199</v>
      </c>
      <c r="E743">
        <v>6.5</v>
      </c>
      <c r="F743">
        <v>2</v>
      </c>
      <c r="G743">
        <v>2</v>
      </c>
      <c r="H743">
        <v>4</v>
      </c>
      <c r="I743">
        <v>0</v>
      </c>
      <c r="J743" t="s">
        <v>11</v>
      </c>
      <c r="K743">
        <f>IF(J743="Yes", 1, 0)</f>
        <v>1</v>
      </c>
      <c r="L743" t="str">
        <f>IF(G743=0,"0 Failures","1+ Failures")</f>
        <v>1+ Failures</v>
      </c>
      <c r="M743" t="str">
        <f t="shared" si="35"/>
        <v>5-10 hrs</v>
      </c>
      <c r="N743" t="str">
        <f t="shared" si="33"/>
        <v>3-6months</v>
      </c>
      <c r="O743" t="str">
        <f t="shared" si="34"/>
        <v>Basic</v>
      </c>
      <c r="P743" s="7">
        <v>45657</v>
      </c>
    </row>
    <row r="744" spans="1:16" x14ac:dyDescent="0.3">
      <c r="A744">
        <v>743</v>
      </c>
      <c r="B744" s="7">
        <v>45135</v>
      </c>
      <c r="C744" t="s">
        <v>14</v>
      </c>
      <c r="D744">
        <v>399</v>
      </c>
      <c r="E744">
        <v>12</v>
      </c>
      <c r="F744">
        <v>5</v>
      </c>
      <c r="G744">
        <v>1</v>
      </c>
      <c r="H744">
        <v>29</v>
      </c>
      <c r="I744">
        <v>47</v>
      </c>
      <c r="J744" t="s">
        <v>13</v>
      </c>
      <c r="K744">
        <f>IF(J744="Yes", 1, 0)</f>
        <v>0</v>
      </c>
      <c r="L744" t="str">
        <f>IF(G744=0,"0 Failures","1+ Failures")</f>
        <v>1+ Failures</v>
      </c>
      <c r="M744" t="str">
        <f t="shared" si="35"/>
        <v>10-20hrs</v>
      </c>
      <c r="N744" t="str">
        <f t="shared" si="33"/>
        <v>12+ months</v>
      </c>
      <c r="O744" t="str">
        <f t="shared" si="34"/>
        <v>Basic</v>
      </c>
      <c r="P744" s="7">
        <v>45657</v>
      </c>
    </row>
    <row r="745" spans="1:16" x14ac:dyDescent="0.3">
      <c r="A745">
        <v>744</v>
      </c>
      <c r="B745" s="7">
        <v>45071</v>
      </c>
      <c r="C745" t="s">
        <v>10</v>
      </c>
      <c r="D745">
        <v>699</v>
      </c>
      <c r="E745">
        <v>18.899999999999999</v>
      </c>
      <c r="F745">
        <v>8</v>
      </c>
      <c r="G745">
        <v>3</v>
      </c>
      <c r="H745">
        <v>34</v>
      </c>
      <c r="I745">
        <v>39</v>
      </c>
      <c r="J745" t="s">
        <v>11</v>
      </c>
      <c r="K745">
        <f>IF(J745="Yes", 1, 0)</f>
        <v>1</v>
      </c>
      <c r="L745" t="str">
        <f>IF(G745=0,"0 Failures","1+ Failures")</f>
        <v>1+ Failures</v>
      </c>
      <c r="M745" t="str">
        <f t="shared" si="35"/>
        <v>10-20hrs</v>
      </c>
      <c r="N745" t="str">
        <f t="shared" si="33"/>
        <v>12+ months</v>
      </c>
      <c r="O745" t="str">
        <f t="shared" si="34"/>
        <v>Premium</v>
      </c>
      <c r="P745" s="7">
        <v>45657</v>
      </c>
    </row>
    <row r="746" spans="1:16" x14ac:dyDescent="0.3">
      <c r="A746">
        <v>745</v>
      </c>
      <c r="B746" s="7">
        <v>45217</v>
      </c>
      <c r="C746" t="s">
        <v>10</v>
      </c>
      <c r="D746">
        <v>699</v>
      </c>
      <c r="E746">
        <v>9.6999999999999993</v>
      </c>
      <c r="F746">
        <v>8</v>
      </c>
      <c r="G746">
        <v>0</v>
      </c>
      <c r="H746">
        <v>2</v>
      </c>
      <c r="I746">
        <v>16</v>
      </c>
      <c r="J746" t="s">
        <v>11</v>
      </c>
      <c r="K746">
        <f>IF(J746="Yes", 1, 0)</f>
        <v>1</v>
      </c>
      <c r="L746" t="str">
        <f>IF(G746=0,"0 Failures","1+ Failures")</f>
        <v>0 Failures</v>
      </c>
      <c r="M746" t="str">
        <f t="shared" si="35"/>
        <v>5-10 hrs</v>
      </c>
      <c r="N746" t="str">
        <f t="shared" si="33"/>
        <v>0-3months</v>
      </c>
      <c r="O746" t="str">
        <f t="shared" si="34"/>
        <v>Premium</v>
      </c>
      <c r="P746" s="7">
        <v>45657</v>
      </c>
    </row>
    <row r="747" spans="1:16" x14ac:dyDescent="0.3">
      <c r="A747">
        <v>746</v>
      </c>
      <c r="B747" s="7">
        <v>45605</v>
      </c>
      <c r="C747" t="s">
        <v>12</v>
      </c>
      <c r="D747">
        <v>199</v>
      </c>
      <c r="E747">
        <v>1.8</v>
      </c>
      <c r="F747">
        <v>0</v>
      </c>
      <c r="G747">
        <v>0</v>
      </c>
      <c r="H747">
        <v>18</v>
      </c>
      <c r="I747">
        <v>24</v>
      </c>
      <c r="J747" t="s">
        <v>13</v>
      </c>
      <c r="K747">
        <f>IF(J747="Yes", 1, 0)</f>
        <v>0</v>
      </c>
      <c r="L747" t="str">
        <f>IF(G747=0,"0 Failures","1+ Failures")</f>
        <v>0 Failures</v>
      </c>
      <c r="M747" t="str">
        <f t="shared" si="35"/>
        <v>0-5 hrs</v>
      </c>
      <c r="N747" t="str">
        <f t="shared" si="33"/>
        <v>12+ months</v>
      </c>
      <c r="O747" t="str">
        <f t="shared" si="34"/>
        <v>Basic</v>
      </c>
      <c r="P747" s="7">
        <v>45657</v>
      </c>
    </row>
    <row r="748" spans="1:16" x14ac:dyDescent="0.3">
      <c r="A748">
        <v>747</v>
      </c>
      <c r="B748" s="7">
        <v>45322</v>
      </c>
      <c r="C748" t="s">
        <v>10</v>
      </c>
      <c r="D748">
        <v>699</v>
      </c>
      <c r="E748">
        <v>21.7</v>
      </c>
      <c r="F748">
        <v>0</v>
      </c>
      <c r="G748">
        <v>2</v>
      </c>
      <c r="H748">
        <v>24</v>
      </c>
      <c r="I748">
        <v>55</v>
      </c>
      <c r="J748" t="s">
        <v>13</v>
      </c>
      <c r="K748">
        <f>IF(J748="Yes", 1, 0)</f>
        <v>0</v>
      </c>
      <c r="L748" t="str">
        <f>IF(G748=0,"0 Failures","1+ Failures")</f>
        <v>1+ Failures</v>
      </c>
      <c r="M748" t="str">
        <f t="shared" si="35"/>
        <v>20+ hrs</v>
      </c>
      <c r="N748" t="str">
        <f t="shared" si="33"/>
        <v>12+ months</v>
      </c>
      <c r="O748" t="str">
        <f t="shared" si="34"/>
        <v>Premium</v>
      </c>
      <c r="P748" s="7">
        <v>45657</v>
      </c>
    </row>
    <row r="749" spans="1:16" x14ac:dyDescent="0.3">
      <c r="A749">
        <v>748</v>
      </c>
      <c r="B749" s="7">
        <v>45471</v>
      </c>
      <c r="C749" t="s">
        <v>12</v>
      </c>
      <c r="D749">
        <v>199</v>
      </c>
      <c r="E749">
        <v>13</v>
      </c>
      <c r="F749">
        <v>1</v>
      </c>
      <c r="G749">
        <v>2</v>
      </c>
      <c r="H749">
        <v>25</v>
      </c>
      <c r="I749">
        <v>31</v>
      </c>
      <c r="J749" t="s">
        <v>13</v>
      </c>
      <c r="K749">
        <f>IF(J749="Yes", 1, 0)</f>
        <v>0</v>
      </c>
      <c r="L749" t="str">
        <f>IF(G749=0,"0 Failures","1+ Failures")</f>
        <v>1+ Failures</v>
      </c>
      <c r="M749" t="str">
        <f t="shared" si="35"/>
        <v>10-20hrs</v>
      </c>
      <c r="N749" t="str">
        <f t="shared" si="33"/>
        <v>12+ months</v>
      </c>
      <c r="O749" t="str">
        <f t="shared" si="34"/>
        <v>Basic</v>
      </c>
      <c r="P749" s="7">
        <v>45657</v>
      </c>
    </row>
    <row r="750" spans="1:16" x14ac:dyDescent="0.3">
      <c r="A750">
        <v>749</v>
      </c>
      <c r="B750" s="7">
        <v>44967</v>
      </c>
      <c r="C750" t="s">
        <v>12</v>
      </c>
      <c r="D750">
        <v>199</v>
      </c>
      <c r="E750">
        <v>5.4</v>
      </c>
      <c r="F750">
        <v>7</v>
      </c>
      <c r="G750">
        <v>4</v>
      </c>
      <c r="H750">
        <v>12</v>
      </c>
      <c r="I750">
        <v>59</v>
      </c>
      <c r="J750" t="s">
        <v>11</v>
      </c>
      <c r="K750">
        <f>IF(J750="Yes", 1, 0)</f>
        <v>1</v>
      </c>
      <c r="L750" t="str">
        <f>IF(G750=0,"0 Failures","1+ Failures")</f>
        <v>1+ Failures</v>
      </c>
      <c r="M750" t="str">
        <f t="shared" si="35"/>
        <v>5-10 hrs</v>
      </c>
      <c r="N750" t="str">
        <f t="shared" si="33"/>
        <v>6-12months</v>
      </c>
      <c r="O750" t="str">
        <f t="shared" si="34"/>
        <v>Basic</v>
      </c>
      <c r="P750" s="7">
        <v>45657</v>
      </c>
    </row>
    <row r="751" spans="1:16" x14ac:dyDescent="0.3">
      <c r="A751">
        <v>750</v>
      </c>
      <c r="B751" s="7">
        <v>45282</v>
      </c>
      <c r="C751" t="s">
        <v>12</v>
      </c>
      <c r="D751">
        <v>199</v>
      </c>
      <c r="E751">
        <v>8</v>
      </c>
      <c r="F751">
        <v>7</v>
      </c>
      <c r="G751">
        <v>3</v>
      </c>
      <c r="H751">
        <v>34</v>
      </c>
      <c r="I751">
        <v>47</v>
      </c>
      <c r="J751" t="s">
        <v>11</v>
      </c>
      <c r="K751">
        <f>IF(J751="Yes", 1, 0)</f>
        <v>1</v>
      </c>
      <c r="L751" t="str">
        <f>IF(G751=0,"0 Failures","1+ Failures")</f>
        <v>1+ Failures</v>
      </c>
      <c r="M751" t="str">
        <f t="shared" si="35"/>
        <v>5-10 hrs</v>
      </c>
      <c r="N751" t="str">
        <f t="shared" si="33"/>
        <v>12+ months</v>
      </c>
      <c r="O751" t="str">
        <f t="shared" si="34"/>
        <v>Basic</v>
      </c>
      <c r="P751" s="7">
        <v>45657</v>
      </c>
    </row>
    <row r="752" spans="1:16" x14ac:dyDescent="0.3">
      <c r="A752">
        <v>751</v>
      </c>
      <c r="B752" s="7">
        <v>44990</v>
      </c>
      <c r="C752" t="s">
        <v>10</v>
      </c>
      <c r="D752">
        <v>699</v>
      </c>
      <c r="E752">
        <v>9.1999999999999993</v>
      </c>
      <c r="F752">
        <v>4</v>
      </c>
      <c r="G752">
        <v>1</v>
      </c>
      <c r="H752">
        <v>23</v>
      </c>
      <c r="I752">
        <v>32</v>
      </c>
      <c r="J752" t="s">
        <v>11</v>
      </c>
      <c r="K752">
        <f>IF(J752="Yes", 1, 0)</f>
        <v>1</v>
      </c>
      <c r="L752" t="str">
        <f>IF(G752=0,"0 Failures","1+ Failures")</f>
        <v>1+ Failures</v>
      </c>
      <c r="M752" t="str">
        <f t="shared" si="35"/>
        <v>5-10 hrs</v>
      </c>
      <c r="N752" t="str">
        <f t="shared" si="33"/>
        <v>12+ months</v>
      </c>
      <c r="O752" t="str">
        <f t="shared" si="34"/>
        <v>Premium</v>
      </c>
      <c r="P752" s="7">
        <v>45657</v>
      </c>
    </row>
    <row r="753" spans="1:16" x14ac:dyDescent="0.3">
      <c r="A753">
        <v>752</v>
      </c>
      <c r="B753" s="7">
        <v>45082</v>
      </c>
      <c r="C753" t="s">
        <v>10</v>
      </c>
      <c r="D753">
        <v>699</v>
      </c>
      <c r="E753">
        <v>22</v>
      </c>
      <c r="F753">
        <v>0</v>
      </c>
      <c r="G753">
        <v>4</v>
      </c>
      <c r="H753">
        <v>17</v>
      </c>
      <c r="I753">
        <v>60</v>
      </c>
      <c r="J753" t="s">
        <v>11</v>
      </c>
      <c r="K753">
        <f>IF(J753="Yes", 1, 0)</f>
        <v>1</v>
      </c>
      <c r="L753" t="str">
        <f>IF(G753=0,"0 Failures","1+ Failures")</f>
        <v>1+ Failures</v>
      </c>
      <c r="M753" t="str">
        <f t="shared" si="35"/>
        <v>20+ hrs</v>
      </c>
      <c r="N753" t="str">
        <f t="shared" si="33"/>
        <v>12+ months</v>
      </c>
      <c r="O753" t="str">
        <f t="shared" si="34"/>
        <v>Premium</v>
      </c>
      <c r="P753" s="7">
        <v>45657</v>
      </c>
    </row>
    <row r="754" spans="1:16" x14ac:dyDescent="0.3">
      <c r="A754">
        <v>753</v>
      </c>
      <c r="B754" s="7">
        <v>45621</v>
      </c>
      <c r="C754" t="s">
        <v>14</v>
      </c>
      <c r="D754">
        <v>399</v>
      </c>
      <c r="E754">
        <v>16.600000000000001</v>
      </c>
      <c r="F754">
        <v>1</v>
      </c>
      <c r="G754">
        <v>5</v>
      </c>
      <c r="H754">
        <v>26</v>
      </c>
      <c r="I754">
        <v>24</v>
      </c>
      <c r="J754" t="s">
        <v>11</v>
      </c>
      <c r="K754">
        <f>IF(J754="Yes", 1, 0)</f>
        <v>1</v>
      </c>
      <c r="L754" t="str">
        <f>IF(G754=0,"0 Failures","1+ Failures")</f>
        <v>1+ Failures</v>
      </c>
      <c r="M754" t="str">
        <f t="shared" si="35"/>
        <v>10-20hrs</v>
      </c>
      <c r="N754" t="str">
        <f t="shared" si="33"/>
        <v>12+ months</v>
      </c>
      <c r="O754" t="str">
        <f t="shared" si="34"/>
        <v>Basic</v>
      </c>
      <c r="P754" s="7">
        <v>45657</v>
      </c>
    </row>
    <row r="755" spans="1:16" x14ac:dyDescent="0.3">
      <c r="A755">
        <v>754</v>
      </c>
      <c r="B755" s="7">
        <v>45264</v>
      </c>
      <c r="C755" t="s">
        <v>10</v>
      </c>
      <c r="D755">
        <v>699</v>
      </c>
      <c r="E755">
        <v>10.7</v>
      </c>
      <c r="F755">
        <v>2</v>
      </c>
      <c r="G755">
        <v>3</v>
      </c>
      <c r="H755">
        <v>15</v>
      </c>
      <c r="I755">
        <v>19</v>
      </c>
      <c r="J755" t="s">
        <v>13</v>
      </c>
      <c r="K755">
        <f>IF(J755="Yes", 1, 0)</f>
        <v>0</v>
      </c>
      <c r="L755" t="str">
        <f>IF(G755=0,"0 Failures","1+ Failures")</f>
        <v>1+ Failures</v>
      </c>
      <c r="M755" t="str">
        <f t="shared" si="35"/>
        <v>10-20hrs</v>
      </c>
      <c r="N755" t="str">
        <f t="shared" si="33"/>
        <v>12+ months</v>
      </c>
      <c r="O755" t="str">
        <f t="shared" si="34"/>
        <v>Premium</v>
      </c>
      <c r="P755" s="7">
        <v>45657</v>
      </c>
    </row>
    <row r="756" spans="1:16" x14ac:dyDescent="0.3">
      <c r="A756">
        <v>755</v>
      </c>
      <c r="B756" s="7">
        <v>45134</v>
      </c>
      <c r="C756" t="s">
        <v>14</v>
      </c>
      <c r="D756">
        <v>399</v>
      </c>
      <c r="E756">
        <v>3.7</v>
      </c>
      <c r="F756">
        <v>2</v>
      </c>
      <c r="G756">
        <v>4</v>
      </c>
      <c r="H756">
        <v>35</v>
      </c>
      <c r="I756">
        <v>34</v>
      </c>
      <c r="J756" t="s">
        <v>11</v>
      </c>
      <c r="K756">
        <f>IF(J756="Yes", 1, 0)</f>
        <v>1</v>
      </c>
      <c r="L756" t="str">
        <f>IF(G756=0,"0 Failures","1+ Failures")</f>
        <v>1+ Failures</v>
      </c>
      <c r="M756" t="str">
        <f t="shared" si="35"/>
        <v>0-5 hrs</v>
      </c>
      <c r="N756" t="str">
        <f t="shared" si="33"/>
        <v>12+ months</v>
      </c>
      <c r="O756" t="str">
        <f t="shared" si="34"/>
        <v>Basic</v>
      </c>
      <c r="P756" s="7">
        <v>45657</v>
      </c>
    </row>
    <row r="757" spans="1:16" x14ac:dyDescent="0.3">
      <c r="A757">
        <v>756</v>
      </c>
      <c r="B757" s="7">
        <v>45075</v>
      </c>
      <c r="C757" t="s">
        <v>12</v>
      </c>
      <c r="D757">
        <v>199</v>
      </c>
      <c r="E757">
        <v>17.399999999999999</v>
      </c>
      <c r="F757">
        <v>8</v>
      </c>
      <c r="G757">
        <v>1</v>
      </c>
      <c r="H757">
        <v>20</v>
      </c>
      <c r="I757">
        <v>27</v>
      </c>
      <c r="J757" t="s">
        <v>13</v>
      </c>
      <c r="K757">
        <f>IF(J757="Yes", 1, 0)</f>
        <v>0</v>
      </c>
      <c r="L757" t="str">
        <f>IF(G757=0,"0 Failures","1+ Failures")</f>
        <v>1+ Failures</v>
      </c>
      <c r="M757" t="str">
        <f t="shared" si="35"/>
        <v>10-20hrs</v>
      </c>
      <c r="N757" t="str">
        <f t="shared" si="33"/>
        <v>12+ months</v>
      </c>
      <c r="O757" t="str">
        <f t="shared" si="34"/>
        <v>Basic</v>
      </c>
      <c r="P757" s="7">
        <v>45657</v>
      </c>
    </row>
    <row r="758" spans="1:16" x14ac:dyDescent="0.3">
      <c r="A758">
        <v>757</v>
      </c>
      <c r="B758" s="7">
        <v>45115</v>
      </c>
      <c r="C758" t="s">
        <v>10</v>
      </c>
      <c r="D758">
        <v>699</v>
      </c>
      <c r="E758">
        <v>8.3000000000000007</v>
      </c>
      <c r="F758">
        <v>8</v>
      </c>
      <c r="G758">
        <v>4</v>
      </c>
      <c r="H758">
        <v>11</v>
      </c>
      <c r="I758">
        <v>60</v>
      </c>
      <c r="J758" t="s">
        <v>11</v>
      </c>
      <c r="K758">
        <f>IF(J758="Yes", 1, 0)</f>
        <v>1</v>
      </c>
      <c r="L758" t="str">
        <f>IF(G758=0,"0 Failures","1+ Failures")</f>
        <v>1+ Failures</v>
      </c>
      <c r="M758" t="str">
        <f t="shared" si="35"/>
        <v>5-10 hrs</v>
      </c>
      <c r="N758" t="str">
        <f t="shared" si="33"/>
        <v>6-12months</v>
      </c>
      <c r="O758" t="str">
        <f t="shared" si="34"/>
        <v>Premium</v>
      </c>
      <c r="P758" s="7">
        <v>45657</v>
      </c>
    </row>
    <row r="759" spans="1:16" x14ac:dyDescent="0.3">
      <c r="A759">
        <v>758</v>
      </c>
      <c r="B759" s="7">
        <v>45579</v>
      </c>
      <c r="C759" t="s">
        <v>14</v>
      </c>
      <c r="D759">
        <v>399</v>
      </c>
      <c r="E759">
        <v>18.3</v>
      </c>
      <c r="F759">
        <v>5</v>
      </c>
      <c r="G759">
        <v>3</v>
      </c>
      <c r="H759">
        <v>10</v>
      </c>
      <c r="I759">
        <v>26</v>
      </c>
      <c r="J759" t="s">
        <v>11</v>
      </c>
      <c r="K759">
        <f>IF(J759="Yes", 1, 0)</f>
        <v>1</v>
      </c>
      <c r="L759" t="str">
        <f>IF(G759=0,"0 Failures","1+ Failures")</f>
        <v>1+ Failures</v>
      </c>
      <c r="M759" t="str">
        <f t="shared" si="35"/>
        <v>10-20hrs</v>
      </c>
      <c r="N759" t="str">
        <f t="shared" si="33"/>
        <v>6-12months</v>
      </c>
      <c r="O759" t="str">
        <f t="shared" si="34"/>
        <v>Basic</v>
      </c>
      <c r="P759" s="7">
        <v>45657</v>
      </c>
    </row>
    <row r="760" spans="1:16" x14ac:dyDescent="0.3">
      <c r="A760">
        <v>759</v>
      </c>
      <c r="B760" s="7">
        <v>45553</v>
      </c>
      <c r="C760" t="s">
        <v>10</v>
      </c>
      <c r="D760">
        <v>699</v>
      </c>
      <c r="E760">
        <v>4.2</v>
      </c>
      <c r="F760">
        <v>3</v>
      </c>
      <c r="G760">
        <v>0</v>
      </c>
      <c r="H760">
        <v>18</v>
      </c>
      <c r="I760">
        <v>8</v>
      </c>
      <c r="J760" t="s">
        <v>11</v>
      </c>
      <c r="K760">
        <f>IF(J760="Yes", 1, 0)</f>
        <v>1</v>
      </c>
      <c r="L760" t="str">
        <f>IF(G760=0,"0 Failures","1+ Failures")</f>
        <v>0 Failures</v>
      </c>
      <c r="M760" t="str">
        <f t="shared" si="35"/>
        <v>0-5 hrs</v>
      </c>
      <c r="N760" t="str">
        <f t="shared" si="33"/>
        <v>12+ months</v>
      </c>
      <c r="O760" t="str">
        <f t="shared" si="34"/>
        <v>Premium</v>
      </c>
      <c r="P760" s="7">
        <v>45657</v>
      </c>
    </row>
    <row r="761" spans="1:16" x14ac:dyDescent="0.3">
      <c r="A761">
        <v>760</v>
      </c>
      <c r="B761" s="7">
        <v>44953</v>
      </c>
      <c r="C761" t="s">
        <v>10</v>
      </c>
      <c r="D761">
        <v>699</v>
      </c>
      <c r="E761">
        <v>15.3</v>
      </c>
      <c r="F761">
        <v>3</v>
      </c>
      <c r="G761">
        <v>4</v>
      </c>
      <c r="H761">
        <v>18</v>
      </c>
      <c r="I761">
        <v>14</v>
      </c>
      <c r="J761" t="s">
        <v>11</v>
      </c>
      <c r="K761">
        <f>IF(J761="Yes", 1, 0)</f>
        <v>1</v>
      </c>
      <c r="L761" t="str">
        <f>IF(G761=0,"0 Failures","1+ Failures")</f>
        <v>1+ Failures</v>
      </c>
      <c r="M761" t="str">
        <f t="shared" si="35"/>
        <v>10-20hrs</v>
      </c>
      <c r="N761" t="str">
        <f t="shared" si="33"/>
        <v>12+ months</v>
      </c>
      <c r="O761" t="str">
        <f t="shared" si="34"/>
        <v>Premium</v>
      </c>
      <c r="P761" s="7">
        <v>45657</v>
      </c>
    </row>
    <row r="762" spans="1:16" x14ac:dyDescent="0.3">
      <c r="A762">
        <v>761</v>
      </c>
      <c r="B762" s="7">
        <v>45407</v>
      </c>
      <c r="C762" t="s">
        <v>14</v>
      </c>
      <c r="D762">
        <v>399</v>
      </c>
      <c r="E762">
        <v>17.399999999999999</v>
      </c>
      <c r="F762">
        <v>7</v>
      </c>
      <c r="G762">
        <v>1</v>
      </c>
      <c r="H762">
        <v>6</v>
      </c>
      <c r="I762">
        <v>32</v>
      </c>
      <c r="J762" t="s">
        <v>13</v>
      </c>
      <c r="K762">
        <f>IF(J762="Yes", 1, 0)</f>
        <v>0</v>
      </c>
      <c r="L762" t="str">
        <f>IF(G762=0,"0 Failures","1+ Failures")</f>
        <v>1+ Failures</v>
      </c>
      <c r="M762" t="str">
        <f t="shared" si="35"/>
        <v>10-20hrs</v>
      </c>
      <c r="N762" t="str">
        <f t="shared" si="33"/>
        <v>3-6months</v>
      </c>
      <c r="O762" t="str">
        <f t="shared" si="34"/>
        <v>Basic</v>
      </c>
      <c r="P762" s="7">
        <v>45657</v>
      </c>
    </row>
    <row r="763" spans="1:16" x14ac:dyDescent="0.3">
      <c r="A763">
        <v>762</v>
      </c>
      <c r="B763" s="7">
        <v>45124</v>
      </c>
      <c r="C763" t="s">
        <v>10</v>
      </c>
      <c r="D763">
        <v>699</v>
      </c>
      <c r="E763">
        <v>5</v>
      </c>
      <c r="F763">
        <v>6</v>
      </c>
      <c r="G763">
        <v>3</v>
      </c>
      <c r="H763">
        <v>24</v>
      </c>
      <c r="I763">
        <v>30</v>
      </c>
      <c r="J763" t="s">
        <v>11</v>
      </c>
      <c r="K763">
        <f>IF(J763="Yes", 1, 0)</f>
        <v>1</v>
      </c>
      <c r="L763" t="str">
        <f>IF(G763=0,"0 Failures","1+ Failures")</f>
        <v>1+ Failures</v>
      </c>
      <c r="M763" t="str">
        <f t="shared" si="35"/>
        <v>0-5 hrs</v>
      </c>
      <c r="N763" t="str">
        <f t="shared" si="33"/>
        <v>12+ months</v>
      </c>
      <c r="O763" t="str">
        <f t="shared" si="34"/>
        <v>Premium</v>
      </c>
      <c r="P763" s="7">
        <v>45657</v>
      </c>
    </row>
    <row r="764" spans="1:16" x14ac:dyDescent="0.3">
      <c r="A764">
        <v>763</v>
      </c>
      <c r="B764" s="7">
        <v>45614</v>
      </c>
      <c r="C764" t="s">
        <v>12</v>
      </c>
      <c r="D764">
        <v>199</v>
      </c>
      <c r="E764">
        <v>10.5</v>
      </c>
      <c r="F764">
        <v>0</v>
      </c>
      <c r="G764">
        <v>2</v>
      </c>
      <c r="H764">
        <v>3</v>
      </c>
      <c r="I764">
        <v>60</v>
      </c>
      <c r="J764" t="s">
        <v>11</v>
      </c>
      <c r="K764">
        <f>IF(J764="Yes", 1, 0)</f>
        <v>1</v>
      </c>
      <c r="L764" t="str">
        <f>IF(G764=0,"0 Failures","1+ Failures")</f>
        <v>1+ Failures</v>
      </c>
      <c r="M764" t="str">
        <f t="shared" si="35"/>
        <v>10-20hrs</v>
      </c>
      <c r="N764" t="str">
        <f t="shared" si="33"/>
        <v>0-3months</v>
      </c>
      <c r="O764" t="str">
        <f t="shared" si="34"/>
        <v>Basic</v>
      </c>
      <c r="P764" s="7">
        <v>45657</v>
      </c>
    </row>
    <row r="765" spans="1:16" x14ac:dyDescent="0.3">
      <c r="A765">
        <v>764</v>
      </c>
      <c r="B765" s="7">
        <v>45395</v>
      </c>
      <c r="C765" t="s">
        <v>12</v>
      </c>
      <c r="D765">
        <v>199</v>
      </c>
      <c r="E765">
        <v>2.1</v>
      </c>
      <c r="F765">
        <v>7</v>
      </c>
      <c r="G765">
        <v>4</v>
      </c>
      <c r="H765">
        <v>14</v>
      </c>
      <c r="I765">
        <v>31</v>
      </c>
      <c r="J765" t="s">
        <v>11</v>
      </c>
      <c r="K765">
        <f>IF(J765="Yes", 1, 0)</f>
        <v>1</v>
      </c>
      <c r="L765" t="str">
        <f>IF(G765=0,"0 Failures","1+ Failures")</f>
        <v>1+ Failures</v>
      </c>
      <c r="M765" t="str">
        <f t="shared" si="35"/>
        <v>0-5 hrs</v>
      </c>
      <c r="N765" t="str">
        <f t="shared" si="33"/>
        <v>12+ months</v>
      </c>
      <c r="O765" t="str">
        <f t="shared" si="34"/>
        <v>Basic</v>
      </c>
      <c r="P765" s="7">
        <v>45657</v>
      </c>
    </row>
    <row r="766" spans="1:16" x14ac:dyDescent="0.3">
      <c r="A766">
        <v>765</v>
      </c>
      <c r="B766" s="7">
        <v>45247</v>
      </c>
      <c r="C766" t="s">
        <v>12</v>
      </c>
      <c r="D766">
        <v>199</v>
      </c>
      <c r="E766">
        <v>10.4</v>
      </c>
      <c r="F766">
        <v>0</v>
      </c>
      <c r="G766">
        <v>4</v>
      </c>
      <c r="H766">
        <v>28</v>
      </c>
      <c r="I766">
        <v>47</v>
      </c>
      <c r="J766" t="s">
        <v>13</v>
      </c>
      <c r="K766">
        <f>IF(J766="Yes", 1, 0)</f>
        <v>0</v>
      </c>
      <c r="L766" t="str">
        <f>IF(G766=0,"0 Failures","1+ Failures")</f>
        <v>1+ Failures</v>
      </c>
      <c r="M766" t="str">
        <f t="shared" si="35"/>
        <v>10-20hrs</v>
      </c>
      <c r="N766" t="str">
        <f t="shared" si="33"/>
        <v>12+ months</v>
      </c>
      <c r="O766" t="str">
        <f t="shared" si="34"/>
        <v>Basic</v>
      </c>
      <c r="P766" s="7">
        <v>45657</v>
      </c>
    </row>
    <row r="767" spans="1:16" x14ac:dyDescent="0.3">
      <c r="A767">
        <v>766</v>
      </c>
      <c r="B767" s="7">
        <v>44970</v>
      </c>
      <c r="C767" t="s">
        <v>14</v>
      </c>
      <c r="D767">
        <v>399</v>
      </c>
      <c r="E767">
        <v>13.4</v>
      </c>
      <c r="F767">
        <v>0</v>
      </c>
      <c r="G767">
        <v>4</v>
      </c>
      <c r="H767">
        <v>35</v>
      </c>
      <c r="I767">
        <v>6</v>
      </c>
      <c r="J767" t="s">
        <v>13</v>
      </c>
      <c r="K767">
        <f>IF(J767="Yes", 1, 0)</f>
        <v>0</v>
      </c>
      <c r="L767" t="str">
        <f>IF(G767=0,"0 Failures","1+ Failures")</f>
        <v>1+ Failures</v>
      </c>
      <c r="M767" t="str">
        <f t="shared" si="35"/>
        <v>10-20hrs</v>
      </c>
      <c r="N767" t="str">
        <f t="shared" si="33"/>
        <v>12+ months</v>
      </c>
      <c r="O767" t="str">
        <f t="shared" si="34"/>
        <v>Basic</v>
      </c>
      <c r="P767" s="7">
        <v>45657</v>
      </c>
    </row>
    <row r="768" spans="1:16" x14ac:dyDescent="0.3">
      <c r="A768">
        <v>767</v>
      </c>
      <c r="B768" s="7">
        <v>45572</v>
      </c>
      <c r="C768" t="s">
        <v>12</v>
      </c>
      <c r="D768">
        <v>199</v>
      </c>
      <c r="E768">
        <v>13.7</v>
      </c>
      <c r="F768">
        <v>0</v>
      </c>
      <c r="G768">
        <v>4</v>
      </c>
      <c r="H768">
        <v>34</v>
      </c>
      <c r="I768">
        <v>24</v>
      </c>
      <c r="J768" t="s">
        <v>11</v>
      </c>
      <c r="K768">
        <f>IF(J768="Yes", 1, 0)</f>
        <v>1</v>
      </c>
      <c r="L768" t="str">
        <f>IF(G768=0,"0 Failures","1+ Failures")</f>
        <v>1+ Failures</v>
      </c>
      <c r="M768" t="str">
        <f t="shared" si="35"/>
        <v>10-20hrs</v>
      </c>
      <c r="N768" t="str">
        <f t="shared" si="33"/>
        <v>12+ months</v>
      </c>
      <c r="O768" t="str">
        <f t="shared" si="34"/>
        <v>Basic</v>
      </c>
      <c r="P768" s="7">
        <v>45657</v>
      </c>
    </row>
    <row r="769" spans="1:16" x14ac:dyDescent="0.3">
      <c r="A769">
        <v>768</v>
      </c>
      <c r="B769" s="7">
        <v>45399</v>
      </c>
      <c r="C769" t="s">
        <v>12</v>
      </c>
      <c r="D769">
        <v>199</v>
      </c>
      <c r="E769">
        <v>7.6</v>
      </c>
      <c r="F769">
        <v>6</v>
      </c>
      <c r="G769">
        <v>2</v>
      </c>
      <c r="H769">
        <v>13</v>
      </c>
      <c r="I769">
        <v>49</v>
      </c>
      <c r="J769" t="s">
        <v>13</v>
      </c>
      <c r="K769">
        <f>IF(J769="Yes", 1, 0)</f>
        <v>0</v>
      </c>
      <c r="L769" t="str">
        <f>IF(G769=0,"0 Failures","1+ Failures")</f>
        <v>1+ Failures</v>
      </c>
      <c r="M769" t="str">
        <f t="shared" si="35"/>
        <v>5-10 hrs</v>
      </c>
      <c r="N769" t="str">
        <f t="shared" si="33"/>
        <v>12+ months</v>
      </c>
      <c r="O769" t="str">
        <f t="shared" si="34"/>
        <v>Basic</v>
      </c>
      <c r="P769" s="7">
        <v>45657</v>
      </c>
    </row>
    <row r="770" spans="1:16" x14ac:dyDescent="0.3">
      <c r="A770">
        <v>769</v>
      </c>
      <c r="B770" s="7">
        <v>45401</v>
      </c>
      <c r="C770" t="s">
        <v>12</v>
      </c>
      <c r="D770">
        <v>199</v>
      </c>
      <c r="E770">
        <v>7.7</v>
      </c>
      <c r="F770">
        <v>0</v>
      </c>
      <c r="G770">
        <v>5</v>
      </c>
      <c r="H770">
        <v>28</v>
      </c>
      <c r="I770">
        <v>33</v>
      </c>
      <c r="J770" t="s">
        <v>13</v>
      </c>
      <c r="K770">
        <f>IF(J770="Yes", 1, 0)</f>
        <v>0</v>
      </c>
      <c r="L770" t="str">
        <f>IF(G770=0,"0 Failures","1+ Failures")</f>
        <v>1+ Failures</v>
      </c>
      <c r="M770" t="str">
        <f t="shared" si="35"/>
        <v>5-10 hrs</v>
      </c>
      <c r="N770" t="str">
        <f t="shared" si="33"/>
        <v>12+ months</v>
      </c>
      <c r="O770" t="str">
        <f t="shared" si="34"/>
        <v>Basic</v>
      </c>
      <c r="P770" s="7">
        <v>45657</v>
      </c>
    </row>
    <row r="771" spans="1:16" x14ac:dyDescent="0.3">
      <c r="A771">
        <v>770</v>
      </c>
      <c r="B771" s="7">
        <v>45639</v>
      </c>
      <c r="C771" t="s">
        <v>10</v>
      </c>
      <c r="D771">
        <v>699</v>
      </c>
      <c r="E771">
        <v>2.7</v>
      </c>
      <c r="F771">
        <v>8</v>
      </c>
      <c r="G771">
        <v>0</v>
      </c>
      <c r="H771">
        <v>29</v>
      </c>
      <c r="I771">
        <v>11</v>
      </c>
      <c r="J771" t="s">
        <v>13</v>
      </c>
      <c r="K771">
        <f>IF(J771="Yes", 1, 0)</f>
        <v>0</v>
      </c>
      <c r="L771" t="str">
        <f>IF(G771=0,"0 Failures","1+ Failures")</f>
        <v>0 Failures</v>
      </c>
      <c r="M771" t="str">
        <f t="shared" si="35"/>
        <v>0-5 hrs</v>
      </c>
      <c r="N771" t="str">
        <f t="shared" ref="N771:N834" si="36">IF(H771&lt;=3, "0-3months", IF(H771&lt;=6, "3-6months", IF(H771&lt;=12, "6-12months", "12+ months")))</f>
        <v>12+ months</v>
      </c>
      <c r="O771" t="str">
        <f t="shared" ref="O771:O834" si="37">IF(C771="premium", "Premium", "Basic")</f>
        <v>Premium</v>
      </c>
      <c r="P771" s="7">
        <v>45657</v>
      </c>
    </row>
    <row r="772" spans="1:16" x14ac:dyDescent="0.3">
      <c r="A772">
        <v>771</v>
      </c>
      <c r="B772" s="7">
        <v>45531</v>
      </c>
      <c r="C772" t="s">
        <v>10</v>
      </c>
      <c r="D772">
        <v>699</v>
      </c>
      <c r="E772">
        <v>10.1</v>
      </c>
      <c r="F772">
        <v>5</v>
      </c>
      <c r="G772">
        <v>3</v>
      </c>
      <c r="H772">
        <v>9</v>
      </c>
      <c r="I772">
        <v>1</v>
      </c>
      <c r="J772" t="s">
        <v>11</v>
      </c>
      <c r="K772">
        <f>IF(J772="Yes", 1, 0)</f>
        <v>1</v>
      </c>
      <c r="L772" t="str">
        <f>IF(G772=0,"0 Failures","1+ Failures")</f>
        <v>1+ Failures</v>
      </c>
      <c r="M772" t="str">
        <f t="shared" si="35"/>
        <v>10-20hrs</v>
      </c>
      <c r="N772" t="str">
        <f t="shared" si="36"/>
        <v>6-12months</v>
      </c>
      <c r="O772" t="str">
        <f t="shared" si="37"/>
        <v>Premium</v>
      </c>
      <c r="P772" s="7">
        <v>45657</v>
      </c>
    </row>
    <row r="773" spans="1:16" x14ac:dyDescent="0.3">
      <c r="A773">
        <v>772</v>
      </c>
      <c r="B773" s="7">
        <v>45655</v>
      </c>
      <c r="C773" t="s">
        <v>10</v>
      </c>
      <c r="D773">
        <v>699</v>
      </c>
      <c r="E773">
        <v>22.1</v>
      </c>
      <c r="F773">
        <v>1</v>
      </c>
      <c r="G773">
        <v>2</v>
      </c>
      <c r="H773">
        <v>13</v>
      </c>
      <c r="I773">
        <v>20</v>
      </c>
      <c r="J773" t="s">
        <v>13</v>
      </c>
      <c r="K773">
        <f>IF(J773="Yes", 1, 0)</f>
        <v>0</v>
      </c>
      <c r="L773" t="str">
        <f>IF(G773=0,"0 Failures","1+ Failures")</f>
        <v>1+ Failures</v>
      </c>
      <c r="M773" t="str">
        <f t="shared" si="35"/>
        <v>20+ hrs</v>
      </c>
      <c r="N773" t="str">
        <f t="shared" si="36"/>
        <v>12+ months</v>
      </c>
      <c r="O773" t="str">
        <f t="shared" si="37"/>
        <v>Premium</v>
      </c>
      <c r="P773" s="7">
        <v>45657</v>
      </c>
    </row>
    <row r="774" spans="1:16" x14ac:dyDescent="0.3">
      <c r="A774">
        <v>773</v>
      </c>
      <c r="B774" s="7">
        <v>45651</v>
      </c>
      <c r="C774" t="s">
        <v>12</v>
      </c>
      <c r="D774">
        <v>199</v>
      </c>
      <c r="E774">
        <v>2.7</v>
      </c>
      <c r="F774">
        <v>7</v>
      </c>
      <c r="G774">
        <v>5</v>
      </c>
      <c r="H774">
        <v>8</v>
      </c>
      <c r="I774">
        <v>23</v>
      </c>
      <c r="J774" t="s">
        <v>11</v>
      </c>
      <c r="K774">
        <f>IF(J774="Yes", 1, 0)</f>
        <v>1</v>
      </c>
      <c r="L774" t="str">
        <f>IF(G774=0,"0 Failures","1+ Failures")</f>
        <v>1+ Failures</v>
      </c>
      <c r="M774" t="str">
        <f t="shared" si="35"/>
        <v>0-5 hrs</v>
      </c>
      <c r="N774" t="str">
        <f t="shared" si="36"/>
        <v>6-12months</v>
      </c>
      <c r="O774" t="str">
        <f t="shared" si="37"/>
        <v>Basic</v>
      </c>
      <c r="P774" s="7">
        <v>45657</v>
      </c>
    </row>
    <row r="775" spans="1:16" x14ac:dyDescent="0.3">
      <c r="A775">
        <v>774</v>
      </c>
      <c r="B775" s="7">
        <v>45101</v>
      </c>
      <c r="C775" t="s">
        <v>14</v>
      </c>
      <c r="D775">
        <v>399</v>
      </c>
      <c r="E775">
        <v>15.5</v>
      </c>
      <c r="F775">
        <v>2</v>
      </c>
      <c r="G775">
        <v>3</v>
      </c>
      <c r="H775">
        <v>33</v>
      </c>
      <c r="I775">
        <v>35</v>
      </c>
      <c r="J775" t="s">
        <v>11</v>
      </c>
      <c r="K775">
        <f>IF(J775="Yes", 1, 0)</f>
        <v>1</v>
      </c>
      <c r="L775" t="str">
        <f>IF(G775=0,"0 Failures","1+ Failures")</f>
        <v>1+ Failures</v>
      </c>
      <c r="M775" t="str">
        <f t="shared" si="35"/>
        <v>10-20hrs</v>
      </c>
      <c r="N775" t="str">
        <f t="shared" si="36"/>
        <v>12+ months</v>
      </c>
      <c r="O775" t="str">
        <f t="shared" si="37"/>
        <v>Basic</v>
      </c>
      <c r="P775" s="7">
        <v>45657</v>
      </c>
    </row>
    <row r="776" spans="1:16" x14ac:dyDescent="0.3">
      <c r="A776">
        <v>775</v>
      </c>
      <c r="B776" s="7">
        <v>45356</v>
      </c>
      <c r="C776" t="s">
        <v>14</v>
      </c>
      <c r="D776">
        <v>399</v>
      </c>
      <c r="E776">
        <v>4.5</v>
      </c>
      <c r="F776">
        <v>2</v>
      </c>
      <c r="G776">
        <v>1</v>
      </c>
      <c r="H776">
        <v>10</v>
      </c>
      <c r="I776">
        <v>49</v>
      </c>
      <c r="J776" t="s">
        <v>13</v>
      </c>
      <c r="K776">
        <f>IF(J776="Yes", 1, 0)</f>
        <v>0</v>
      </c>
      <c r="L776" t="str">
        <f>IF(G776=0,"0 Failures","1+ Failures")</f>
        <v>1+ Failures</v>
      </c>
      <c r="M776" t="str">
        <f t="shared" si="35"/>
        <v>0-5 hrs</v>
      </c>
      <c r="N776" t="str">
        <f t="shared" si="36"/>
        <v>6-12months</v>
      </c>
      <c r="O776" t="str">
        <f t="shared" si="37"/>
        <v>Basic</v>
      </c>
      <c r="P776" s="7">
        <v>45657</v>
      </c>
    </row>
    <row r="777" spans="1:16" x14ac:dyDescent="0.3">
      <c r="A777">
        <v>776</v>
      </c>
      <c r="B777" s="7">
        <v>45061</v>
      </c>
      <c r="C777" t="s">
        <v>14</v>
      </c>
      <c r="D777">
        <v>399</v>
      </c>
      <c r="E777">
        <v>18.399999999999999</v>
      </c>
      <c r="F777">
        <v>7</v>
      </c>
      <c r="G777">
        <v>2</v>
      </c>
      <c r="H777">
        <v>20</v>
      </c>
      <c r="I777">
        <v>40</v>
      </c>
      <c r="J777" t="s">
        <v>11</v>
      </c>
      <c r="K777">
        <f>IF(J777="Yes", 1, 0)</f>
        <v>1</v>
      </c>
      <c r="L777" t="str">
        <f>IF(G777=0,"0 Failures","1+ Failures")</f>
        <v>1+ Failures</v>
      </c>
      <c r="M777" t="str">
        <f t="shared" si="35"/>
        <v>10-20hrs</v>
      </c>
      <c r="N777" t="str">
        <f t="shared" si="36"/>
        <v>12+ months</v>
      </c>
      <c r="O777" t="str">
        <f t="shared" si="37"/>
        <v>Basic</v>
      </c>
      <c r="P777" s="7">
        <v>45657</v>
      </c>
    </row>
    <row r="778" spans="1:16" x14ac:dyDescent="0.3">
      <c r="A778">
        <v>777</v>
      </c>
      <c r="B778" s="7">
        <v>45437</v>
      </c>
      <c r="C778" t="s">
        <v>12</v>
      </c>
      <c r="D778">
        <v>199</v>
      </c>
      <c r="E778">
        <v>15.8</v>
      </c>
      <c r="F778">
        <v>4</v>
      </c>
      <c r="G778">
        <v>0</v>
      </c>
      <c r="H778">
        <v>1</v>
      </c>
      <c r="I778">
        <v>29</v>
      </c>
      <c r="J778" t="s">
        <v>11</v>
      </c>
      <c r="K778">
        <f>IF(J778="Yes", 1, 0)</f>
        <v>1</v>
      </c>
      <c r="L778" t="str">
        <f>IF(G778=0,"0 Failures","1+ Failures")</f>
        <v>0 Failures</v>
      </c>
      <c r="M778" t="str">
        <f t="shared" si="35"/>
        <v>10-20hrs</v>
      </c>
      <c r="N778" t="str">
        <f t="shared" si="36"/>
        <v>0-3months</v>
      </c>
      <c r="O778" t="str">
        <f t="shared" si="37"/>
        <v>Basic</v>
      </c>
      <c r="P778" s="7">
        <v>45657</v>
      </c>
    </row>
    <row r="779" spans="1:16" x14ac:dyDescent="0.3">
      <c r="A779">
        <v>778</v>
      </c>
      <c r="B779" s="7">
        <v>45414</v>
      </c>
      <c r="C779" t="s">
        <v>10</v>
      </c>
      <c r="D779">
        <v>699</v>
      </c>
      <c r="E779">
        <v>15.4</v>
      </c>
      <c r="F779">
        <v>7</v>
      </c>
      <c r="G779">
        <v>1</v>
      </c>
      <c r="H779">
        <v>1</v>
      </c>
      <c r="I779">
        <v>13</v>
      </c>
      <c r="J779" t="s">
        <v>13</v>
      </c>
      <c r="K779">
        <f>IF(J779="Yes", 1, 0)</f>
        <v>0</v>
      </c>
      <c r="L779" t="str">
        <f>IF(G779=0,"0 Failures","1+ Failures")</f>
        <v>1+ Failures</v>
      </c>
      <c r="M779" t="str">
        <f t="shared" ref="M779:M842" si="38">IF(E779&lt;=5, "0-5 hrs",    IF(E779&lt;=10, "5-10 hrs",    IF(E779&lt;=20, "10-20hrs", "20+ hrs")))</f>
        <v>10-20hrs</v>
      </c>
      <c r="N779" t="str">
        <f t="shared" si="36"/>
        <v>0-3months</v>
      </c>
      <c r="O779" t="str">
        <f t="shared" si="37"/>
        <v>Premium</v>
      </c>
      <c r="P779" s="7">
        <v>45657</v>
      </c>
    </row>
    <row r="780" spans="1:16" x14ac:dyDescent="0.3">
      <c r="A780">
        <v>779</v>
      </c>
      <c r="B780" s="7">
        <v>45561</v>
      </c>
      <c r="C780" t="s">
        <v>14</v>
      </c>
      <c r="D780">
        <v>399</v>
      </c>
      <c r="E780">
        <v>11.3</v>
      </c>
      <c r="F780">
        <v>0</v>
      </c>
      <c r="G780">
        <v>1</v>
      </c>
      <c r="H780">
        <v>27</v>
      </c>
      <c r="I780">
        <v>56</v>
      </c>
      <c r="J780" t="s">
        <v>13</v>
      </c>
      <c r="K780">
        <f>IF(J780="Yes", 1, 0)</f>
        <v>0</v>
      </c>
      <c r="L780" t="str">
        <f>IF(G780=0,"0 Failures","1+ Failures")</f>
        <v>1+ Failures</v>
      </c>
      <c r="M780" t="str">
        <f t="shared" si="38"/>
        <v>10-20hrs</v>
      </c>
      <c r="N780" t="str">
        <f t="shared" si="36"/>
        <v>12+ months</v>
      </c>
      <c r="O780" t="str">
        <f t="shared" si="37"/>
        <v>Basic</v>
      </c>
      <c r="P780" s="7">
        <v>45657</v>
      </c>
    </row>
    <row r="781" spans="1:16" x14ac:dyDescent="0.3">
      <c r="A781">
        <v>780</v>
      </c>
      <c r="B781" s="7">
        <v>45595</v>
      </c>
      <c r="C781" t="s">
        <v>10</v>
      </c>
      <c r="D781">
        <v>699</v>
      </c>
      <c r="E781">
        <v>20.6</v>
      </c>
      <c r="F781">
        <v>3</v>
      </c>
      <c r="G781">
        <v>0</v>
      </c>
      <c r="H781">
        <v>36</v>
      </c>
      <c r="I781">
        <v>11</v>
      </c>
      <c r="J781" t="s">
        <v>13</v>
      </c>
      <c r="K781">
        <f>IF(J781="Yes", 1, 0)</f>
        <v>0</v>
      </c>
      <c r="L781" t="str">
        <f>IF(G781=0,"0 Failures","1+ Failures")</f>
        <v>0 Failures</v>
      </c>
      <c r="M781" t="str">
        <f t="shared" si="38"/>
        <v>20+ hrs</v>
      </c>
      <c r="N781" t="str">
        <f t="shared" si="36"/>
        <v>12+ months</v>
      </c>
      <c r="O781" t="str">
        <f t="shared" si="37"/>
        <v>Premium</v>
      </c>
      <c r="P781" s="7">
        <v>45657</v>
      </c>
    </row>
    <row r="782" spans="1:16" x14ac:dyDescent="0.3">
      <c r="A782">
        <v>781</v>
      </c>
      <c r="B782" s="7">
        <v>45232</v>
      </c>
      <c r="C782" t="s">
        <v>14</v>
      </c>
      <c r="D782">
        <v>399</v>
      </c>
      <c r="E782">
        <v>4.0999999999999996</v>
      </c>
      <c r="F782">
        <v>0</v>
      </c>
      <c r="G782">
        <v>5</v>
      </c>
      <c r="H782">
        <v>3</v>
      </c>
      <c r="I782">
        <v>36</v>
      </c>
      <c r="J782" t="s">
        <v>11</v>
      </c>
      <c r="K782">
        <f>IF(J782="Yes", 1, 0)</f>
        <v>1</v>
      </c>
      <c r="L782" t="str">
        <f>IF(G782=0,"0 Failures","1+ Failures")</f>
        <v>1+ Failures</v>
      </c>
      <c r="M782" t="str">
        <f t="shared" si="38"/>
        <v>0-5 hrs</v>
      </c>
      <c r="N782" t="str">
        <f t="shared" si="36"/>
        <v>0-3months</v>
      </c>
      <c r="O782" t="str">
        <f t="shared" si="37"/>
        <v>Basic</v>
      </c>
      <c r="P782" s="7">
        <v>45657</v>
      </c>
    </row>
    <row r="783" spans="1:16" x14ac:dyDescent="0.3">
      <c r="A783">
        <v>782</v>
      </c>
      <c r="B783" s="7">
        <v>45552</v>
      </c>
      <c r="C783" t="s">
        <v>14</v>
      </c>
      <c r="D783">
        <v>399</v>
      </c>
      <c r="E783">
        <v>1.7</v>
      </c>
      <c r="F783">
        <v>6</v>
      </c>
      <c r="G783">
        <v>1</v>
      </c>
      <c r="H783">
        <v>6</v>
      </c>
      <c r="I783">
        <v>10</v>
      </c>
      <c r="J783" t="s">
        <v>13</v>
      </c>
      <c r="K783">
        <f>IF(J783="Yes", 1, 0)</f>
        <v>0</v>
      </c>
      <c r="L783" t="str">
        <f>IF(G783=0,"0 Failures","1+ Failures")</f>
        <v>1+ Failures</v>
      </c>
      <c r="M783" t="str">
        <f t="shared" si="38"/>
        <v>0-5 hrs</v>
      </c>
      <c r="N783" t="str">
        <f t="shared" si="36"/>
        <v>3-6months</v>
      </c>
      <c r="O783" t="str">
        <f t="shared" si="37"/>
        <v>Basic</v>
      </c>
      <c r="P783" s="7">
        <v>45657</v>
      </c>
    </row>
    <row r="784" spans="1:16" x14ac:dyDescent="0.3">
      <c r="A784">
        <v>783</v>
      </c>
      <c r="B784" s="7">
        <v>44963</v>
      </c>
      <c r="C784" t="s">
        <v>10</v>
      </c>
      <c r="D784">
        <v>699</v>
      </c>
      <c r="E784">
        <v>4.8</v>
      </c>
      <c r="F784">
        <v>7</v>
      </c>
      <c r="G784">
        <v>5</v>
      </c>
      <c r="H784">
        <v>36</v>
      </c>
      <c r="I784">
        <v>37</v>
      </c>
      <c r="J784" t="s">
        <v>11</v>
      </c>
      <c r="K784">
        <f>IF(J784="Yes", 1, 0)</f>
        <v>1</v>
      </c>
      <c r="L784" t="str">
        <f>IF(G784=0,"0 Failures","1+ Failures")</f>
        <v>1+ Failures</v>
      </c>
      <c r="M784" t="str">
        <f t="shared" si="38"/>
        <v>0-5 hrs</v>
      </c>
      <c r="N784" t="str">
        <f t="shared" si="36"/>
        <v>12+ months</v>
      </c>
      <c r="O784" t="str">
        <f t="shared" si="37"/>
        <v>Premium</v>
      </c>
      <c r="P784" s="7">
        <v>45657</v>
      </c>
    </row>
    <row r="785" spans="1:16" x14ac:dyDescent="0.3">
      <c r="A785">
        <v>784</v>
      </c>
      <c r="B785" s="7">
        <v>45490</v>
      </c>
      <c r="C785" t="s">
        <v>12</v>
      </c>
      <c r="D785">
        <v>199</v>
      </c>
      <c r="E785">
        <v>8.4</v>
      </c>
      <c r="F785">
        <v>6</v>
      </c>
      <c r="G785">
        <v>0</v>
      </c>
      <c r="H785">
        <v>20</v>
      </c>
      <c r="I785">
        <v>48</v>
      </c>
      <c r="J785" t="s">
        <v>11</v>
      </c>
      <c r="K785">
        <f>IF(J785="Yes", 1, 0)</f>
        <v>1</v>
      </c>
      <c r="L785" t="str">
        <f>IF(G785=0,"0 Failures","1+ Failures")</f>
        <v>0 Failures</v>
      </c>
      <c r="M785" t="str">
        <f t="shared" si="38"/>
        <v>5-10 hrs</v>
      </c>
      <c r="N785" t="str">
        <f t="shared" si="36"/>
        <v>12+ months</v>
      </c>
      <c r="O785" t="str">
        <f t="shared" si="37"/>
        <v>Basic</v>
      </c>
      <c r="P785" s="7">
        <v>45657</v>
      </c>
    </row>
    <row r="786" spans="1:16" x14ac:dyDescent="0.3">
      <c r="A786">
        <v>785</v>
      </c>
      <c r="B786" s="7">
        <v>45466</v>
      </c>
      <c r="C786" t="s">
        <v>12</v>
      </c>
      <c r="D786">
        <v>199</v>
      </c>
      <c r="E786">
        <v>12</v>
      </c>
      <c r="F786">
        <v>1</v>
      </c>
      <c r="G786">
        <v>5</v>
      </c>
      <c r="H786">
        <v>19</v>
      </c>
      <c r="I786">
        <v>55</v>
      </c>
      <c r="J786" t="s">
        <v>11</v>
      </c>
      <c r="K786">
        <f>IF(J786="Yes", 1, 0)</f>
        <v>1</v>
      </c>
      <c r="L786" t="str">
        <f>IF(G786=0,"0 Failures","1+ Failures")</f>
        <v>1+ Failures</v>
      </c>
      <c r="M786" t="str">
        <f t="shared" si="38"/>
        <v>10-20hrs</v>
      </c>
      <c r="N786" t="str">
        <f t="shared" si="36"/>
        <v>12+ months</v>
      </c>
      <c r="O786" t="str">
        <f t="shared" si="37"/>
        <v>Basic</v>
      </c>
      <c r="P786" s="7">
        <v>45657</v>
      </c>
    </row>
    <row r="787" spans="1:16" x14ac:dyDescent="0.3">
      <c r="A787">
        <v>786</v>
      </c>
      <c r="B787" s="7">
        <v>45571</v>
      </c>
      <c r="C787" t="s">
        <v>14</v>
      </c>
      <c r="D787">
        <v>399</v>
      </c>
      <c r="E787">
        <v>5.6</v>
      </c>
      <c r="F787">
        <v>3</v>
      </c>
      <c r="G787">
        <v>4</v>
      </c>
      <c r="H787">
        <v>34</v>
      </c>
      <c r="I787">
        <v>3</v>
      </c>
      <c r="J787" t="s">
        <v>11</v>
      </c>
      <c r="K787">
        <f>IF(J787="Yes", 1, 0)</f>
        <v>1</v>
      </c>
      <c r="L787" t="str">
        <f>IF(G787=0,"0 Failures","1+ Failures")</f>
        <v>1+ Failures</v>
      </c>
      <c r="M787" t="str">
        <f t="shared" si="38"/>
        <v>5-10 hrs</v>
      </c>
      <c r="N787" t="str">
        <f t="shared" si="36"/>
        <v>12+ months</v>
      </c>
      <c r="O787" t="str">
        <f t="shared" si="37"/>
        <v>Basic</v>
      </c>
      <c r="P787" s="7">
        <v>45657</v>
      </c>
    </row>
    <row r="788" spans="1:16" x14ac:dyDescent="0.3">
      <c r="A788">
        <v>787</v>
      </c>
      <c r="B788" s="7">
        <v>45192</v>
      </c>
      <c r="C788" t="s">
        <v>10</v>
      </c>
      <c r="D788">
        <v>699</v>
      </c>
      <c r="E788">
        <v>12.3</v>
      </c>
      <c r="F788">
        <v>4</v>
      </c>
      <c r="G788">
        <v>3</v>
      </c>
      <c r="H788">
        <v>6</v>
      </c>
      <c r="I788">
        <v>38</v>
      </c>
      <c r="J788" t="s">
        <v>13</v>
      </c>
      <c r="K788">
        <f>IF(J788="Yes", 1, 0)</f>
        <v>0</v>
      </c>
      <c r="L788" t="str">
        <f>IF(G788=0,"0 Failures","1+ Failures")</f>
        <v>1+ Failures</v>
      </c>
      <c r="M788" t="str">
        <f t="shared" si="38"/>
        <v>10-20hrs</v>
      </c>
      <c r="N788" t="str">
        <f t="shared" si="36"/>
        <v>3-6months</v>
      </c>
      <c r="O788" t="str">
        <f t="shared" si="37"/>
        <v>Premium</v>
      </c>
      <c r="P788" s="7">
        <v>45657</v>
      </c>
    </row>
    <row r="789" spans="1:16" x14ac:dyDescent="0.3">
      <c r="A789">
        <v>788</v>
      </c>
      <c r="B789" s="7">
        <v>45431</v>
      </c>
      <c r="C789" t="s">
        <v>10</v>
      </c>
      <c r="D789">
        <v>699</v>
      </c>
      <c r="E789">
        <v>23.2</v>
      </c>
      <c r="F789">
        <v>7</v>
      </c>
      <c r="G789">
        <v>4</v>
      </c>
      <c r="H789">
        <v>23</v>
      </c>
      <c r="I789">
        <v>46</v>
      </c>
      <c r="J789" t="s">
        <v>11</v>
      </c>
      <c r="K789">
        <f>IF(J789="Yes", 1, 0)</f>
        <v>1</v>
      </c>
      <c r="L789" t="str">
        <f>IF(G789=0,"0 Failures","1+ Failures")</f>
        <v>1+ Failures</v>
      </c>
      <c r="M789" t="str">
        <f t="shared" si="38"/>
        <v>20+ hrs</v>
      </c>
      <c r="N789" t="str">
        <f t="shared" si="36"/>
        <v>12+ months</v>
      </c>
      <c r="O789" t="str">
        <f t="shared" si="37"/>
        <v>Premium</v>
      </c>
      <c r="P789" s="7">
        <v>45657</v>
      </c>
    </row>
    <row r="790" spans="1:16" x14ac:dyDescent="0.3">
      <c r="A790">
        <v>789</v>
      </c>
      <c r="B790" s="7">
        <v>45567</v>
      </c>
      <c r="C790" t="s">
        <v>12</v>
      </c>
      <c r="D790">
        <v>199</v>
      </c>
      <c r="E790">
        <v>17.899999999999999</v>
      </c>
      <c r="F790">
        <v>3</v>
      </c>
      <c r="G790">
        <v>0</v>
      </c>
      <c r="H790">
        <v>15</v>
      </c>
      <c r="I790">
        <v>7</v>
      </c>
      <c r="J790" t="s">
        <v>11</v>
      </c>
      <c r="K790">
        <f>IF(J790="Yes", 1, 0)</f>
        <v>1</v>
      </c>
      <c r="L790" t="str">
        <f>IF(G790=0,"0 Failures","1+ Failures")</f>
        <v>0 Failures</v>
      </c>
      <c r="M790" t="str">
        <f t="shared" si="38"/>
        <v>10-20hrs</v>
      </c>
      <c r="N790" t="str">
        <f t="shared" si="36"/>
        <v>12+ months</v>
      </c>
      <c r="O790" t="str">
        <f t="shared" si="37"/>
        <v>Basic</v>
      </c>
      <c r="P790" s="7">
        <v>45657</v>
      </c>
    </row>
    <row r="791" spans="1:16" x14ac:dyDescent="0.3">
      <c r="A791">
        <v>790</v>
      </c>
      <c r="B791" s="7">
        <v>45500</v>
      </c>
      <c r="C791" t="s">
        <v>12</v>
      </c>
      <c r="D791">
        <v>199</v>
      </c>
      <c r="E791">
        <v>20.100000000000001</v>
      </c>
      <c r="F791">
        <v>6</v>
      </c>
      <c r="G791">
        <v>3</v>
      </c>
      <c r="H791">
        <v>14</v>
      </c>
      <c r="I791">
        <v>2</v>
      </c>
      <c r="J791" t="s">
        <v>11</v>
      </c>
      <c r="K791">
        <f>IF(J791="Yes", 1, 0)</f>
        <v>1</v>
      </c>
      <c r="L791" t="str">
        <f>IF(G791=0,"0 Failures","1+ Failures")</f>
        <v>1+ Failures</v>
      </c>
      <c r="M791" t="str">
        <f t="shared" si="38"/>
        <v>20+ hrs</v>
      </c>
      <c r="N791" t="str">
        <f t="shared" si="36"/>
        <v>12+ months</v>
      </c>
      <c r="O791" t="str">
        <f t="shared" si="37"/>
        <v>Basic</v>
      </c>
      <c r="P791" s="7">
        <v>45657</v>
      </c>
    </row>
    <row r="792" spans="1:16" x14ac:dyDescent="0.3">
      <c r="A792">
        <v>791</v>
      </c>
      <c r="B792" s="7">
        <v>44996</v>
      </c>
      <c r="C792" t="s">
        <v>10</v>
      </c>
      <c r="D792">
        <v>699</v>
      </c>
      <c r="E792">
        <v>0.8</v>
      </c>
      <c r="F792">
        <v>3</v>
      </c>
      <c r="G792">
        <v>5</v>
      </c>
      <c r="H792">
        <v>14</v>
      </c>
      <c r="I792">
        <v>18</v>
      </c>
      <c r="J792" t="s">
        <v>11</v>
      </c>
      <c r="K792">
        <f>IF(J792="Yes", 1, 0)</f>
        <v>1</v>
      </c>
      <c r="L792" t="str">
        <f>IF(G792=0,"0 Failures","1+ Failures")</f>
        <v>1+ Failures</v>
      </c>
      <c r="M792" t="str">
        <f t="shared" si="38"/>
        <v>0-5 hrs</v>
      </c>
      <c r="N792" t="str">
        <f t="shared" si="36"/>
        <v>12+ months</v>
      </c>
      <c r="O792" t="str">
        <f t="shared" si="37"/>
        <v>Premium</v>
      </c>
      <c r="P792" s="7">
        <v>45657</v>
      </c>
    </row>
    <row r="793" spans="1:16" x14ac:dyDescent="0.3">
      <c r="A793">
        <v>792</v>
      </c>
      <c r="B793" s="7">
        <v>45276</v>
      </c>
      <c r="C793" t="s">
        <v>14</v>
      </c>
      <c r="D793">
        <v>399</v>
      </c>
      <c r="E793">
        <v>12.9</v>
      </c>
      <c r="F793">
        <v>5</v>
      </c>
      <c r="G793">
        <v>0</v>
      </c>
      <c r="H793">
        <v>20</v>
      </c>
      <c r="I793">
        <v>7</v>
      </c>
      <c r="J793" t="s">
        <v>13</v>
      </c>
      <c r="K793">
        <f>IF(J793="Yes", 1, 0)</f>
        <v>0</v>
      </c>
      <c r="L793" t="str">
        <f>IF(G793=0,"0 Failures","1+ Failures")</f>
        <v>0 Failures</v>
      </c>
      <c r="M793" t="str">
        <f t="shared" si="38"/>
        <v>10-20hrs</v>
      </c>
      <c r="N793" t="str">
        <f t="shared" si="36"/>
        <v>12+ months</v>
      </c>
      <c r="O793" t="str">
        <f t="shared" si="37"/>
        <v>Basic</v>
      </c>
      <c r="P793" s="7">
        <v>45657</v>
      </c>
    </row>
    <row r="794" spans="1:16" x14ac:dyDescent="0.3">
      <c r="A794">
        <v>793</v>
      </c>
      <c r="B794" s="7">
        <v>45615</v>
      </c>
      <c r="C794" t="s">
        <v>14</v>
      </c>
      <c r="D794">
        <v>399</v>
      </c>
      <c r="E794">
        <v>20.9</v>
      </c>
      <c r="F794">
        <v>3</v>
      </c>
      <c r="G794">
        <v>2</v>
      </c>
      <c r="H794">
        <v>2</v>
      </c>
      <c r="I794">
        <v>53</v>
      </c>
      <c r="J794" t="s">
        <v>11</v>
      </c>
      <c r="K794">
        <f>IF(J794="Yes", 1, 0)</f>
        <v>1</v>
      </c>
      <c r="L794" t="str">
        <f>IF(G794=0,"0 Failures","1+ Failures")</f>
        <v>1+ Failures</v>
      </c>
      <c r="M794" t="str">
        <f t="shared" si="38"/>
        <v>20+ hrs</v>
      </c>
      <c r="N794" t="str">
        <f t="shared" si="36"/>
        <v>0-3months</v>
      </c>
      <c r="O794" t="str">
        <f t="shared" si="37"/>
        <v>Basic</v>
      </c>
      <c r="P794" s="7">
        <v>45657</v>
      </c>
    </row>
    <row r="795" spans="1:16" x14ac:dyDescent="0.3">
      <c r="A795">
        <v>794</v>
      </c>
      <c r="B795" s="7">
        <v>45476</v>
      </c>
      <c r="C795" t="s">
        <v>14</v>
      </c>
      <c r="D795">
        <v>399</v>
      </c>
      <c r="E795">
        <v>20</v>
      </c>
      <c r="F795">
        <v>2</v>
      </c>
      <c r="G795">
        <v>3</v>
      </c>
      <c r="H795">
        <v>31</v>
      </c>
      <c r="I795">
        <v>9</v>
      </c>
      <c r="J795" t="s">
        <v>13</v>
      </c>
      <c r="K795">
        <f>IF(J795="Yes", 1, 0)</f>
        <v>0</v>
      </c>
      <c r="L795" t="str">
        <f>IF(G795=0,"0 Failures","1+ Failures")</f>
        <v>1+ Failures</v>
      </c>
      <c r="M795" t="str">
        <f t="shared" si="38"/>
        <v>10-20hrs</v>
      </c>
      <c r="N795" t="str">
        <f t="shared" si="36"/>
        <v>12+ months</v>
      </c>
      <c r="O795" t="str">
        <f t="shared" si="37"/>
        <v>Basic</v>
      </c>
      <c r="P795" s="7">
        <v>45657</v>
      </c>
    </row>
    <row r="796" spans="1:16" x14ac:dyDescent="0.3">
      <c r="A796">
        <v>795</v>
      </c>
      <c r="B796" s="7">
        <v>45233</v>
      </c>
      <c r="C796" t="s">
        <v>14</v>
      </c>
      <c r="D796">
        <v>399</v>
      </c>
      <c r="E796">
        <v>19.7</v>
      </c>
      <c r="F796">
        <v>6</v>
      </c>
      <c r="G796">
        <v>5</v>
      </c>
      <c r="H796">
        <v>30</v>
      </c>
      <c r="I796">
        <v>3</v>
      </c>
      <c r="J796" t="s">
        <v>13</v>
      </c>
      <c r="K796">
        <f>IF(J796="Yes", 1, 0)</f>
        <v>0</v>
      </c>
      <c r="L796" t="str">
        <f>IF(G796=0,"0 Failures","1+ Failures")</f>
        <v>1+ Failures</v>
      </c>
      <c r="M796" t="str">
        <f t="shared" si="38"/>
        <v>10-20hrs</v>
      </c>
      <c r="N796" t="str">
        <f t="shared" si="36"/>
        <v>12+ months</v>
      </c>
      <c r="O796" t="str">
        <f t="shared" si="37"/>
        <v>Basic</v>
      </c>
      <c r="P796" s="7">
        <v>45657</v>
      </c>
    </row>
    <row r="797" spans="1:16" x14ac:dyDescent="0.3">
      <c r="A797">
        <v>796</v>
      </c>
      <c r="B797" s="7">
        <v>45289</v>
      </c>
      <c r="C797" t="s">
        <v>10</v>
      </c>
      <c r="D797">
        <v>699</v>
      </c>
      <c r="E797">
        <v>14.1</v>
      </c>
      <c r="F797">
        <v>0</v>
      </c>
      <c r="G797">
        <v>1</v>
      </c>
      <c r="H797">
        <v>21</v>
      </c>
      <c r="I797">
        <v>36</v>
      </c>
      <c r="J797" t="s">
        <v>13</v>
      </c>
      <c r="K797">
        <f>IF(J797="Yes", 1, 0)</f>
        <v>0</v>
      </c>
      <c r="L797" t="str">
        <f>IF(G797=0,"0 Failures","1+ Failures")</f>
        <v>1+ Failures</v>
      </c>
      <c r="M797" t="str">
        <f t="shared" si="38"/>
        <v>10-20hrs</v>
      </c>
      <c r="N797" t="str">
        <f t="shared" si="36"/>
        <v>12+ months</v>
      </c>
      <c r="O797" t="str">
        <f t="shared" si="37"/>
        <v>Premium</v>
      </c>
      <c r="P797" s="7">
        <v>45657</v>
      </c>
    </row>
    <row r="798" spans="1:16" x14ac:dyDescent="0.3">
      <c r="A798">
        <v>797</v>
      </c>
      <c r="B798" s="7">
        <v>45096</v>
      </c>
      <c r="C798" t="s">
        <v>12</v>
      </c>
      <c r="D798">
        <v>199</v>
      </c>
      <c r="E798">
        <v>7.4</v>
      </c>
      <c r="F798">
        <v>0</v>
      </c>
      <c r="G798">
        <v>2</v>
      </c>
      <c r="H798">
        <v>10</v>
      </c>
      <c r="I798">
        <v>24</v>
      </c>
      <c r="J798" t="s">
        <v>13</v>
      </c>
      <c r="K798">
        <f>IF(J798="Yes", 1, 0)</f>
        <v>0</v>
      </c>
      <c r="L798" t="str">
        <f>IF(G798=0,"0 Failures","1+ Failures")</f>
        <v>1+ Failures</v>
      </c>
      <c r="M798" t="str">
        <f t="shared" si="38"/>
        <v>5-10 hrs</v>
      </c>
      <c r="N798" t="str">
        <f t="shared" si="36"/>
        <v>6-12months</v>
      </c>
      <c r="O798" t="str">
        <f t="shared" si="37"/>
        <v>Basic</v>
      </c>
      <c r="P798" s="7">
        <v>45657</v>
      </c>
    </row>
    <row r="799" spans="1:16" x14ac:dyDescent="0.3">
      <c r="A799">
        <v>798</v>
      </c>
      <c r="B799" s="7">
        <v>45653</v>
      </c>
      <c r="C799" t="s">
        <v>10</v>
      </c>
      <c r="D799">
        <v>699</v>
      </c>
      <c r="E799">
        <v>5.0999999999999996</v>
      </c>
      <c r="F799">
        <v>1</v>
      </c>
      <c r="G799">
        <v>2</v>
      </c>
      <c r="H799">
        <v>25</v>
      </c>
      <c r="I799">
        <v>45</v>
      </c>
      <c r="J799" t="s">
        <v>13</v>
      </c>
      <c r="K799">
        <f>IF(J799="Yes", 1, 0)</f>
        <v>0</v>
      </c>
      <c r="L799" t="str">
        <f>IF(G799=0,"0 Failures","1+ Failures")</f>
        <v>1+ Failures</v>
      </c>
      <c r="M799" t="str">
        <f t="shared" si="38"/>
        <v>5-10 hrs</v>
      </c>
      <c r="N799" t="str">
        <f t="shared" si="36"/>
        <v>12+ months</v>
      </c>
      <c r="O799" t="str">
        <f t="shared" si="37"/>
        <v>Premium</v>
      </c>
      <c r="P799" s="7">
        <v>45657</v>
      </c>
    </row>
    <row r="800" spans="1:16" x14ac:dyDescent="0.3">
      <c r="A800">
        <v>799</v>
      </c>
      <c r="B800" s="7">
        <v>45236</v>
      </c>
      <c r="C800" t="s">
        <v>12</v>
      </c>
      <c r="D800">
        <v>199</v>
      </c>
      <c r="E800">
        <v>10.6</v>
      </c>
      <c r="F800">
        <v>7</v>
      </c>
      <c r="G800">
        <v>1</v>
      </c>
      <c r="H800">
        <v>18</v>
      </c>
      <c r="I800">
        <v>23</v>
      </c>
      <c r="J800" t="s">
        <v>11</v>
      </c>
      <c r="K800">
        <f>IF(J800="Yes", 1, 0)</f>
        <v>1</v>
      </c>
      <c r="L800" t="str">
        <f>IF(G800=0,"0 Failures","1+ Failures")</f>
        <v>1+ Failures</v>
      </c>
      <c r="M800" t="str">
        <f t="shared" si="38"/>
        <v>10-20hrs</v>
      </c>
      <c r="N800" t="str">
        <f t="shared" si="36"/>
        <v>12+ months</v>
      </c>
      <c r="O800" t="str">
        <f t="shared" si="37"/>
        <v>Basic</v>
      </c>
      <c r="P800" s="7">
        <v>45657</v>
      </c>
    </row>
    <row r="801" spans="1:16" x14ac:dyDescent="0.3">
      <c r="A801">
        <v>800</v>
      </c>
      <c r="B801" s="7">
        <v>45133</v>
      </c>
      <c r="C801" t="s">
        <v>12</v>
      </c>
      <c r="D801">
        <v>199</v>
      </c>
      <c r="E801">
        <v>7.9</v>
      </c>
      <c r="F801">
        <v>1</v>
      </c>
      <c r="G801">
        <v>2</v>
      </c>
      <c r="H801">
        <v>34</v>
      </c>
      <c r="I801">
        <v>50</v>
      </c>
      <c r="J801" t="s">
        <v>11</v>
      </c>
      <c r="K801">
        <f>IF(J801="Yes", 1, 0)</f>
        <v>1</v>
      </c>
      <c r="L801" t="str">
        <f>IF(G801=0,"0 Failures","1+ Failures")</f>
        <v>1+ Failures</v>
      </c>
      <c r="M801" t="str">
        <f t="shared" si="38"/>
        <v>5-10 hrs</v>
      </c>
      <c r="N801" t="str">
        <f t="shared" si="36"/>
        <v>12+ months</v>
      </c>
      <c r="O801" t="str">
        <f t="shared" si="37"/>
        <v>Basic</v>
      </c>
      <c r="P801" s="7">
        <v>45657</v>
      </c>
    </row>
    <row r="802" spans="1:16" x14ac:dyDescent="0.3">
      <c r="A802">
        <v>801</v>
      </c>
      <c r="B802" s="7">
        <v>45422</v>
      </c>
      <c r="C802" t="s">
        <v>12</v>
      </c>
      <c r="D802">
        <v>199</v>
      </c>
      <c r="E802">
        <v>12.9</v>
      </c>
      <c r="F802">
        <v>7</v>
      </c>
      <c r="G802">
        <v>4</v>
      </c>
      <c r="H802">
        <v>29</v>
      </c>
      <c r="I802">
        <v>9</v>
      </c>
      <c r="J802" t="s">
        <v>11</v>
      </c>
      <c r="K802">
        <f>IF(J802="Yes", 1, 0)</f>
        <v>1</v>
      </c>
      <c r="L802" t="str">
        <f>IF(G802=0,"0 Failures","1+ Failures")</f>
        <v>1+ Failures</v>
      </c>
      <c r="M802" t="str">
        <f t="shared" si="38"/>
        <v>10-20hrs</v>
      </c>
      <c r="N802" t="str">
        <f t="shared" si="36"/>
        <v>12+ months</v>
      </c>
      <c r="O802" t="str">
        <f t="shared" si="37"/>
        <v>Basic</v>
      </c>
      <c r="P802" s="7">
        <v>45657</v>
      </c>
    </row>
    <row r="803" spans="1:16" x14ac:dyDescent="0.3">
      <c r="A803">
        <v>802</v>
      </c>
      <c r="B803" s="7">
        <v>45455</v>
      </c>
      <c r="C803" t="s">
        <v>10</v>
      </c>
      <c r="D803">
        <v>699</v>
      </c>
      <c r="E803">
        <v>8.1</v>
      </c>
      <c r="F803">
        <v>5</v>
      </c>
      <c r="G803">
        <v>1</v>
      </c>
      <c r="H803">
        <v>34</v>
      </c>
      <c r="I803">
        <v>49</v>
      </c>
      <c r="J803" t="s">
        <v>13</v>
      </c>
      <c r="K803">
        <f>IF(J803="Yes", 1, 0)</f>
        <v>0</v>
      </c>
      <c r="L803" t="str">
        <f>IF(G803=0,"0 Failures","1+ Failures")</f>
        <v>1+ Failures</v>
      </c>
      <c r="M803" t="str">
        <f t="shared" si="38"/>
        <v>5-10 hrs</v>
      </c>
      <c r="N803" t="str">
        <f t="shared" si="36"/>
        <v>12+ months</v>
      </c>
      <c r="O803" t="str">
        <f t="shared" si="37"/>
        <v>Premium</v>
      </c>
      <c r="P803" s="7">
        <v>45657</v>
      </c>
    </row>
    <row r="804" spans="1:16" x14ac:dyDescent="0.3">
      <c r="A804">
        <v>803</v>
      </c>
      <c r="B804" s="7">
        <v>45461</v>
      </c>
      <c r="C804" t="s">
        <v>10</v>
      </c>
      <c r="D804">
        <v>699</v>
      </c>
      <c r="E804">
        <v>5.5</v>
      </c>
      <c r="F804">
        <v>0</v>
      </c>
      <c r="G804">
        <v>3</v>
      </c>
      <c r="H804">
        <v>9</v>
      </c>
      <c r="I804">
        <v>24</v>
      </c>
      <c r="J804" t="s">
        <v>13</v>
      </c>
      <c r="K804">
        <f>IF(J804="Yes", 1, 0)</f>
        <v>0</v>
      </c>
      <c r="L804" t="str">
        <f>IF(G804=0,"0 Failures","1+ Failures")</f>
        <v>1+ Failures</v>
      </c>
      <c r="M804" t="str">
        <f t="shared" si="38"/>
        <v>5-10 hrs</v>
      </c>
      <c r="N804" t="str">
        <f t="shared" si="36"/>
        <v>6-12months</v>
      </c>
      <c r="O804" t="str">
        <f t="shared" si="37"/>
        <v>Premium</v>
      </c>
      <c r="P804" s="7">
        <v>45657</v>
      </c>
    </row>
    <row r="805" spans="1:16" x14ac:dyDescent="0.3">
      <c r="A805">
        <v>804</v>
      </c>
      <c r="B805" s="7">
        <v>45016</v>
      </c>
      <c r="C805" t="s">
        <v>12</v>
      </c>
      <c r="D805">
        <v>199</v>
      </c>
      <c r="E805">
        <v>8.1</v>
      </c>
      <c r="F805">
        <v>0</v>
      </c>
      <c r="G805">
        <v>5</v>
      </c>
      <c r="H805">
        <v>1</v>
      </c>
      <c r="I805">
        <v>54</v>
      </c>
      <c r="J805" t="s">
        <v>11</v>
      </c>
      <c r="K805">
        <f>IF(J805="Yes", 1, 0)</f>
        <v>1</v>
      </c>
      <c r="L805" t="str">
        <f>IF(G805=0,"0 Failures","1+ Failures")</f>
        <v>1+ Failures</v>
      </c>
      <c r="M805" t="str">
        <f t="shared" si="38"/>
        <v>5-10 hrs</v>
      </c>
      <c r="N805" t="str">
        <f t="shared" si="36"/>
        <v>0-3months</v>
      </c>
      <c r="O805" t="str">
        <f t="shared" si="37"/>
        <v>Basic</v>
      </c>
      <c r="P805" s="7">
        <v>45657</v>
      </c>
    </row>
    <row r="806" spans="1:16" x14ac:dyDescent="0.3">
      <c r="A806">
        <v>805</v>
      </c>
      <c r="B806" s="7">
        <v>45246</v>
      </c>
      <c r="C806" t="s">
        <v>14</v>
      </c>
      <c r="D806">
        <v>399</v>
      </c>
      <c r="E806">
        <v>22.3</v>
      </c>
      <c r="F806">
        <v>1</v>
      </c>
      <c r="G806">
        <v>4</v>
      </c>
      <c r="H806">
        <v>30</v>
      </c>
      <c r="I806">
        <v>49</v>
      </c>
      <c r="J806" t="s">
        <v>13</v>
      </c>
      <c r="K806">
        <f>IF(J806="Yes", 1, 0)</f>
        <v>0</v>
      </c>
      <c r="L806" t="str">
        <f>IF(G806=0,"0 Failures","1+ Failures")</f>
        <v>1+ Failures</v>
      </c>
      <c r="M806" t="str">
        <f t="shared" si="38"/>
        <v>20+ hrs</v>
      </c>
      <c r="N806" t="str">
        <f t="shared" si="36"/>
        <v>12+ months</v>
      </c>
      <c r="O806" t="str">
        <f t="shared" si="37"/>
        <v>Basic</v>
      </c>
      <c r="P806" s="7">
        <v>45657</v>
      </c>
    </row>
    <row r="807" spans="1:16" x14ac:dyDescent="0.3">
      <c r="A807">
        <v>806</v>
      </c>
      <c r="B807" s="7">
        <v>45210</v>
      </c>
      <c r="C807" t="s">
        <v>12</v>
      </c>
      <c r="D807">
        <v>199</v>
      </c>
      <c r="E807">
        <v>16.2</v>
      </c>
      <c r="F807">
        <v>3</v>
      </c>
      <c r="G807">
        <v>2</v>
      </c>
      <c r="H807">
        <v>20</v>
      </c>
      <c r="I807">
        <v>12</v>
      </c>
      <c r="J807" t="s">
        <v>11</v>
      </c>
      <c r="K807">
        <f>IF(J807="Yes", 1, 0)</f>
        <v>1</v>
      </c>
      <c r="L807" t="str">
        <f>IF(G807=0,"0 Failures","1+ Failures")</f>
        <v>1+ Failures</v>
      </c>
      <c r="M807" t="str">
        <f t="shared" si="38"/>
        <v>10-20hrs</v>
      </c>
      <c r="N807" t="str">
        <f t="shared" si="36"/>
        <v>12+ months</v>
      </c>
      <c r="O807" t="str">
        <f t="shared" si="37"/>
        <v>Basic</v>
      </c>
      <c r="P807" s="7">
        <v>45657</v>
      </c>
    </row>
    <row r="808" spans="1:16" x14ac:dyDescent="0.3">
      <c r="A808">
        <v>807</v>
      </c>
      <c r="B808" s="7">
        <v>45044</v>
      </c>
      <c r="C808" t="s">
        <v>10</v>
      </c>
      <c r="D808">
        <v>699</v>
      </c>
      <c r="E808">
        <v>19.399999999999999</v>
      </c>
      <c r="F808">
        <v>1</v>
      </c>
      <c r="G808">
        <v>2</v>
      </c>
      <c r="H808">
        <v>21</v>
      </c>
      <c r="I808">
        <v>9</v>
      </c>
      <c r="J808" t="s">
        <v>11</v>
      </c>
      <c r="K808">
        <f>IF(J808="Yes", 1, 0)</f>
        <v>1</v>
      </c>
      <c r="L808" t="str">
        <f>IF(G808=0,"0 Failures","1+ Failures")</f>
        <v>1+ Failures</v>
      </c>
      <c r="M808" t="str">
        <f t="shared" si="38"/>
        <v>10-20hrs</v>
      </c>
      <c r="N808" t="str">
        <f t="shared" si="36"/>
        <v>12+ months</v>
      </c>
      <c r="O808" t="str">
        <f t="shared" si="37"/>
        <v>Premium</v>
      </c>
      <c r="P808" s="7">
        <v>45657</v>
      </c>
    </row>
    <row r="809" spans="1:16" x14ac:dyDescent="0.3">
      <c r="A809">
        <v>808</v>
      </c>
      <c r="B809" s="7">
        <v>45204</v>
      </c>
      <c r="C809" t="s">
        <v>12</v>
      </c>
      <c r="D809">
        <v>199</v>
      </c>
      <c r="E809">
        <v>13.1</v>
      </c>
      <c r="F809">
        <v>3</v>
      </c>
      <c r="G809">
        <v>4</v>
      </c>
      <c r="H809">
        <v>36</v>
      </c>
      <c r="I809">
        <v>22</v>
      </c>
      <c r="J809" t="s">
        <v>11</v>
      </c>
      <c r="K809">
        <f>IF(J809="Yes", 1, 0)</f>
        <v>1</v>
      </c>
      <c r="L809" t="str">
        <f>IF(G809=0,"0 Failures","1+ Failures")</f>
        <v>1+ Failures</v>
      </c>
      <c r="M809" t="str">
        <f t="shared" si="38"/>
        <v>10-20hrs</v>
      </c>
      <c r="N809" t="str">
        <f t="shared" si="36"/>
        <v>12+ months</v>
      </c>
      <c r="O809" t="str">
        <f t="shared" si="37"/>
        <v>Basic</v>
      </c>
      <c r="P809" s="7">
        <v>45657</v>
      </c>
    </row>
    <row r="810" spans="1:16" x14ac:dyDescent="0.3">
      <c r="A810">
        <v>809</v>
      </c>
      <c r="B810" s="7">
        <v>45273</v>
      </c>
      <c r="C810" t="s">
        <v>12</v>
      </c>
      <c r="D810">
        <v>199</v>
      </c>
      <c r="E810">
        <v>14.6</v>
      </c>
      <c r="F810">
        <v>2</v>
      </c>
      <c r="G810">
        <v>0</v>
      </c>
      <c r="H810">
        <v>19</v>
      </c>
      <c r="I810">
        <v>19</v>
      </c>
      <c r="J810" t="s">
        <v>13</v>
      </c>
      <c r="K810">
        <f>IF(J810="Yes", 1, 0)</f>
        <v>0</v>
      </c>
      <c r="L810" t="str">
        <f>IF(G810=0,"0 Failures","1+ Failures")</f>
        <v>0 Failures</v>
      </c>
      <c r="M810" t="str">
        <f t="shared" si="38"/>
        <v>10-20hrs</v>
      </c>
      <c r="N810" t="str">
        <f t="shared" si="36"/>
        <v>12+ months</v>
      </c>
      <c r="O810" t="str">
        <f t="shared" si="37"/>
        <v>Basic</v>
      </c>
      <c r="P810" s="7">
        <v>45657</v>
      </c>
    </row>
    <row r="811" spans="1:16" x14ac:dyDescent="0.3">
      <c r="A811">
        <v>810</v>
      </c>
      <c r="B811" s="7">
        <v>45035</v>
      </c>
      <c r="C811" t="s">
        <v>10</v>
      </c>
      <c r="D811">
        <v>699</v>
      </c>
      <c r="E811">
        <v>1.7</v>
      </c>
      <c r="F811">
        <v>0</v>
      </c>
      <c r="G811">
        <v>3</v>
      </c>
      <c r="H811">
        <v>29</v>
      </c>
      <c r="I811">
        <v>57</v>
      </c>
      <c r="J811" t="s">
        <v>11</v>
      </c>
      <c r="K811">
        <f>IF(J811="Yes", 1, 0)</f>
        <v>1</v>
      </c>
      <c r="L811" t="str">
        <f>IF(G811=0,"0 Failures","1+ Failures")</f>
        <v>1+ Failures</v>
      </c>
      <c r="M811" t="str">
        <f t="shared" si="38"/>
        <v>0-5 hrs</v>
      </c>
      <c r="N811" t="str">
        <f t="shared" si="36"/>
        <v>12+ months</v>
      </c>
      <c r="O811" t="str">
        <f t="shared" si="37"/>
        <v>Premium</v>
      </c>
      <c r="P811" s="7">
        <v>45657</v>
      </c>
    </row>
    <row r="812" spans="1:16" x14ac:dyDescent="0.3">
      <c r="A812">
        <v>811</v>
      </c>
      <c r="B812" s="7">
        <v>45533</v>
      </c>
      <c r="C812" t="s">
        <v>14</v>
      </c>
      <c r="D812">
        <v>399</v>
      </c>
      <c r="E812">
        <v>2.6</v>
      </c>
      <c r="F812">
        <v>6</v>
      </c>
      <c r="G812">
        <v>1</v>
      </c>
      <c r="H812">
        <v>4</v>
      </c>
      <c r="I812">
        <v>45</v>
      </c>
      <c r="J812" t="s">
        <v>11</v>
      </c>
      <c r="K812">
        <f>IF(J812="Yes", 1, 0)</f>
        <v>1</v>
      </c>
      <c r="L812" t="str">
        <f>IF(G812=0,"0 Failures","1+ Failures")</f>
        <v>1+ Failures</v>
      </c>
      <c r="M812" t="str">
        <f t="shared" si="38"/>
        <v>0-5 hrs</v>
      </c>
      <c r="N812" t="str">
        <f t="shared" si="36"/>
        <v>3-6months</v>
      </c>
      <c r="O812" t="str">
        <f t="shared" si="37"/>
        <v>Basic</v>
      </c>
      <c r="P812" s="7">
        <v>45657</v>
      </c>
    </row>
    <row r="813" spans="1:16" x14ac:dyDescent="0.3">
      <c r="A813">
        <v>812</v>
      </c>
      <c r="B813" s="7">
        <v>45613</v>
      </c>
      <c r="C813" t="s">
        <v>10</v>
      </c>
      <c r="D813">
        <v>699</v>
      </c>
      <c r="E813">
        <v>15.6</v>
      </c>
      <c r="F813">
        <v>4</v>
      </c>
      <c r="G813">
        <v>2</v>
      </c>
      <c r="H813">
        <v>29</v>
      </c>
      <c r="I813">
        <v>52</v>
      </c>
      <c r="J813" t="s">
        <v>11</v>
      </c>
      <c r="K813">
        <f>IF(J813="Yes", 1, 0)</f>
        <v>1</v>
      </c>
      <c r="L813" t="str">
        <f>IF(G813=0,"0 Failures","1+ Failures")</f>
        <v>1+ Failures</v>
      </c>
      <c r="M813" t="str">
        <f t="shared" si="38"/>
        <v>10-20hrs</v>
      </c>
      <c r="N813" t="str">
        <f t="shared" si="36"/>
        <v>12+ months</v>
      </c>
      <c r="O813" t="str">
        <f t="shared" si="37"/>
        <v>Premium</v>
      </c>
      <c r="P813" s="7">
        <v>45657</v>
      </c>
    </row>
    <row r="814" spans="1:16" x14ac:dyDescent="0.3">
      <c r="A814">
        <v>813</v>
      </c>
      <c r="B814" s="7">
        <v>45642</v>
      </c>
      <c r="C814" t="s">
        <v>10</v>
      </c>
      <c r="D814">
        <v>699</v>
      </c>
      <c r="E814">
        <v>24.4</v>
      </c>
      <c r="F814">
        <v>7</v>
      </c>
      <c r="G814">
        <v>4</v>
      </c>
      <c r="H814">
        <v>6</v>
      </c>
      <c r="I814">
        <v>8</v>
      </c>
      <c r="J814" t="s">
        <v>11</v>
      </c>
      <c r="K814">
        <f>IF(J814="Yes", 1, 0)</f>
        <v>1</v>
      </c>
      <c r="L814" t="str">
        <f>IF(G814=0,"0 Failures","1+ Failures")</f>
        <v>1+ Failures</v>
      </c>
      <c r="M814" t="str">
        <f t="shared" si="38"/>
        <v>20+ hrs</v>
      </c>
      <c r="N814" t="str">
        <f t="shared" si="36"/>
        <v>3-6months</v>
      </c>
      <c r="O814" t="str">
        <f t="shared" si="37"/>
        <v>Premium</v>
      </c>
      <c r="P814" s="7">
        <v>45657</v>
      </c>
    </row>
    <row r="815" spans="1:16" x14ac:dyDescent="0.3">
      <c r="A815">
        <v>814</v>
      </c>
      <c r="B815" s="7">
        <v>45074</v>
      </c>
      <c r="C815" t="s">
        <v>14</v>
      </c>
      <c r="D815">
        <v>399</v>
      </c>
      <c r="E815">
        <v>11.7</v>
      </c>
      <c r="F815">
        <v>7</v>
      </c>
      <c r="G815">
        <v>3</v>
      </c>
      <c r="H815">
        <v>7</v>
      </c>
      <c r="I815">
        <v>14</v>
      </c>
      <c r="J815" t="s">
        <v>13</v>
      </c>
      <c r="K815">
        <f>IF(J815="Yes", 1, 0)</f>
        <v>0</v>
      </c>
      <c r="L815" t="str">
        <f>IF(G815=0,"0 Failures","1+ Failures")</f>
        <v>1+ Failures</v>
      </c>
      <c r="M815" t="str">
        <f t="shared" si="38"/>
        <v>10-20hrs</v>
      </c>
      <c r="N815" t="str">
        <f t="shared" si="36"/>
        <v>6-12months</v>
      </c>
      <c r="O815" t="str">
        <f t="shared" si="37"/>
        <v>Basic</v>
      </c>
      <c r="P815" s="7">
        <v>45657</v>
      </c>
    </row>
    <row r="816" spans="1:16" x14ac:dyDescent="0.3">
      <c r="A816">
        <v>815</v>
      </c>
      <c r="B816" s="7">
        <v>45265</v>
      </c>
      <c r="C816" t="s">
        <v>10</v>
      </c>
      <c r="D816">
        <v>699</v>
      </c>
      <c r="E816">
        <v>22.9</v>
      </c>
      <c r="F816">
        <v>6</v>
      </c>
      <c r="G816">
        <v>1</v>
      </c>
      <c r="H816">
        <v>17</v>
      </c>
      <c r="I816">
        <v>44</v>
      </c>
      <c r="J816" t="s">
        <v>13</v>
      </c>
      <c r="K816">
        <f>IF(J816="Yes", 1, 0)</f>
        <v>0</v>
      </c>
      <c r="L816" t="str">
        <f>IF(G816=0,"0 Failures","1+ Failures")</f>
        <v>1+ Failures</v>
      </c>
      <c r="M816" t="str">
        <f t="shared" si="38"/>
        <v>20+ hrs</v>
      </c>
      <c r="N816" t="str">
        <f t="shared" si="36"/>
        <v>12+ months</v>
      </c>
      <c r="O816" t="str">
        <f t="shared" si="37"/>
        <v>Premium</v>
      </c>
      <c r="P816" s="7">
        <v>45657</v>
      </c>
    </row>
    <row r="817" spans="1:16" x14ac:dyDescent="0.3">
      <c r="A817">
        <v>816</v>
      </c>
      <c r="B817" s="7">
        <v>45399</v>
      </c>
      <c r="C817" t="s">
        <v>14</v>
      </c>
      <c r="D817">
        <v>399</v>
      </c>
      <c r="E817">
        <v>12.4</v>
      </c>
      <c r="F817">
        <v>1</v>
      </c>
      <c r="G817">
        <v>3</v>
      </c>
      <c r="H817">
        <v>30</v>
      </c>
      <c r="I817">
        <v>7</v>
      </c>
      <c r="J817" t="s">
        <v>13</v>
      </c>
      <c r="K817">
        <f>IF(J817="Yes", 1, 0)</f>
        <v>0</v>
      </c>
      <c r="L817" t="str">
        <f>IF(G817=0,"0 Failures","1+ Failures")</f>
        <v>1+ Failures</v>
      </c>
      <c r="M817" t="str">
        <f t="shared" si="38"/>
        <v>10-20hrs</v>
      </c>
      <c r="N817" t="str">
        <f t="shared" si="36"/>
        <v>12+ months</v>
      </c>
      <c r="O817" t="str">
        <f t="shared" si="37"/>
        <v>Basic</v>
      </c>
      <c r="P817" s="7">
        <v>45657</v>
      </c>
    </row>
    <row r="818" spans="1:16" x14ac:dyDescent="0.3">
      <c r="A818">
        <v>817</v>
      </c>
      <c r="B818" s="7">
        <v>45036</v>
      </c>
      <c r="C818" t="s">
        <v>12</v>
      </c>
      <c r="D818">
        <v>199</v>
      </c>
      <c r="E818">
        <v>19.3</v>
      </c>
      <c r="F818">
        <v>2</v>
      </c>
      <c r="G818">
        <v>4</v>
      </c>
      <c r="H818">
        <v>19</v>
      </c>
      <c r="I818">
        <v>6</v>
      </c>
      <c r="J818" t="s">
        <v>13</v>
      </c>
      <c r="K818">
        <f>IF(J818="Yes", 1, 0)</f>
        <v>0</v>
      </c>
      <c r="L818" t="str">
        <f>IF(G818=0,"0 Failures","1+ Failures")</f>
        <v>1+ Failures</v>
      </c>
      <c r="M818" t="str">
        <f t="shared" si="38"/>
        <v>10-20hrs</v>
      </c>
      <c r="N818" t="str">
        <f t="shared" si="36"/>
        <v>12+ months</v>
      </c>
      <c r="O818" t="str">
        <f t="shared" si="37"/>
        <v>Basic</v>
      </c>
      <c r="P818" s="7">
        <v>45657</v>
      </c>
    </row>
    <row r="819" spans="1:16" x14ac:dyDescent="0.3">
      <c r="A819">
        <v>818</v>
      </c>
      <c r="B819" s="7">
        <v>45350</v>
      </c>
      <c r="C819" t="s">
        <v>14</v>
      </c>
      <c r="D819">
        <v>399</v>
      </c>
      <c r="E819">
        <v>16.399999999999999</v>
      </c>
      <c r="F819">
        <v>4</v>
      </c>
      <c r="G819">
        <v>4</v>
      </c>
      <c r="H819">
        <v>36</v>
      </c>
      <c r="I819">
        <v>29</v>
      </c>
      <c r="J819" t="s">
        <v>11</v>
      </c>
      <c r="K819">
        <f>IF(J819="Yes", 1, 0)</f>
        <v>1</v>
      </c>
      <c r="L819" t="str">
        <f>IF(G819=0,"0 Failures","1+ Failures")</f>
        <v>1+ Failures</v>
      </c>
      <c r="M819" t="str">
        <f t="shared" si="38"/>
        <v>10-20hrs</v>
      </c>
      <c r="N819" t="str">
        <f t="shared" si="36"/>
        <v>12+ months</v>
      </c>
      <c r="O819" t="str">
        <f t="shared" si="37"/>
        <v>Basic</v>
      </c>
      <c r="P819" s="7">
        <v>45657</v>
      </c>
    </row>
    <row r="820" spans="1:16" x14ac:dyDescent="0.3">
      <c r="A820">
        <v>819</v>
      </c>
      <c r="B820" s="7">
        <v>45637</v>
      </c>
      <c r="C820" t="s">
        <v>12</v>
      </c>
      <c r="D820">
        <v>199</v>
      </c>
      <c r="E820">
        <v>13.9</v>
      </c>
      <c r="F820">
        <v>7</v>
      </c>
      <c r="G820">
        <v>3</v>
      </c>
      <c r="H820">
        <v>16</v>
      </c>
      <c r="I820">
        <v>4</v>
      </c>
      <c r="J820" t="s">
        <v>11</v>
      </c>
      <c r="K820">
        <f>IF(J820="Yes", 1, 0)</f>
        <v>1</v>
      </c>
      <c r="L820" t="str">
        <f>IF(G820=0,"0 Failures","1+ Failures")</f>
        <v>1+ Failures</v>
      </c>
      <c r="M820" t="str">
        <f t="shared" si="38"/>
        <v>10-20hrs</v>
      </c>
      <c r="N820" t="str">
        <f t="shared" si="36"/>
        <v>12+ months</v>
      </c>
      <c r="O820" t="str">
        <f t="shared" si="37"/>
        <v>Basic</v>
      </c>
      <c r="P820" s="7">
        <v>45657</v>
      </c>
    </row>
    <row r="821" spans="1:16" x14ac:dyDescent="0.3">
      <c r="A821">
        <v>820</v>
      </c>
      <c r="B821" s="7">
        <v>45637</v>
      </c>
      <c r="C821" t="s">
        <v>10</v>
      </c>
      <c r="D821">
        <v>699</v>
      </c>
      <c r="E821">
        <v>19.7</v>
      </c>
      <c r="F821">
        <v>6</v>
      </c>
      <c r="G821">
        <v>4</v>
      </c>
      <c r="H821">
        <v>28</v>
      </c>
      <c r="I821">
        <v>50</v>
      </c>
      <c r="J821" t="s">
        <v>11</v>
      </c>
      <c r="K821">
        <f>IF(J821="Yes", 1, 0)</f>
        <v>1</v>
      </c>
      <c r="L821" t="str">
        <f>IF(G821=0,"0 Failures","1+ Failures")</f>
        <v>1+ Failures</v>
      </c>
      <c r="M821" t="str">
        <f t="shared" si="38"/>
        <v>10-20hrs</v>
      </c>
      <c r="N821" t="str">
        <f t="shared" si="36"/>
        <v>12+ months</v>
      </c>
      <c r="O821" t="str">
        <f t="shared" si="37"/>
        <v>Premium</v>
      </c>
      <c r="P821" s="7">
        <v>45657</v>
      </c>
    </row>
    <row r="822" spans="1:16" x14ac:dyDescent="0.3">
      <c r="A822">
        <v>821</v>
      </c>
      <c r="B822" s="7">
        <v>45425</v>
      </c>
      <c r="C822" t="s">
        <v>12</v>
      </c>
      <c r="D822">
        <v>199</v>
      </c>
      <c r="E822">
        <v>16.7</v>
      </c>
      <c r="F822">
        <v>1</v>
      </c>
      <c r="G822">
        <v>5</v>
      </c>
      <c r="H822">
        <v>12</v>
      </c>
      <c r="I822">
        <v>59</v>
      </c>
      <c r="J822" t="s">
        <v>13</v>
      </c>
      <c r="K822">
        <f>IF(J822="Yes", 1, 0)</f>
        <v>0</v>
      </c>
      <c r="L822" t="str">
        <f>IF(G822=0,"0 Failures","1+ Failures")</f>
        <v>1+ Failures</v>
      </c>
      <c r="M822" t="str">
        <f t="shared" si="38"/>
        <v>10-20hrs</v>
      </c>
      <c r="N822" t="str">
        <f t="shared" si="36"/>
        <v>6-12months</v>
      </c>
      <c r="O822" t="str">
        <f t="shared" si="37"/>
        <v>Basic</v>
      </c>
      <c r="P822" s="7">
        <v>45657</v>
      </c>
    </row>
    <row r="823" spans="1:16" x14ac:dyDescent="0.3">
      <c r="A823">
        <v>822</v>
      </c>
      <c r="B823" s="7">
        <v>45342</v>
      </c>
      <c r="C823" t="s">
        <v>12</v>
      </c>
      <c r="D823">
        <v>199</v>
      </c>
      <c r="E823">
        <v>8.5</v>
      </c>
      <c r="F823">
        <v>1</v>
      </c>
      <c r="G823">
        <v>3</v>
      </c>
      <c r="H823">
        <v>30</v>
      </c>
      <c r="I823">
        <v>11</v>
      </c>
      <c r="J823" t="s">
        <v>11</v>
      </c>
      <c r="K823">
        <f>IF(J823="Yes", 1, 0)</f>
        <v>1</v>
      </c>
      <c r="L823" t="str">
        <f>IF(G823=0,"0 Failures","1+ Failures")</f>
        <v>1+ Failures</v>
      </c>
      <c r="M823" t="str">
        <f t="shared" si="38"/>
        <v>5-10 hrs</v>
      </c>
      <c r="N823" t="str">
        <f t="shared" si="36"/>
        <v>12+ months</v>
      </c>
      <c r="O823" t="str">
        <f t="shared" si="37"/>
        <v>Basic</v>
      </c>
      <c r="P823" s="7">
        <v>45657</v>
      </c>
    </row>
    <row r="824" spans="1:16" x14ac:dyDescent="0.3">
      <c r="A824">
        <v>823</v>
      </c>
      <c r="B824" s="7">
        <v>44989</v>
      </c>
      <c r="C824" t="s">
        <v>12</v>
      </c>
      <c r="D824">
        <v>199</v>
      </c>
      <c r="E824">
        <v>17.3</v>
      </c>
      <c r="F824">
        <v>6</v>
      </c>
      <c r="G824">
        <v>2</v>
      </c>
      <c r="H824">
        <v>7</v>
      </c>
      <c r="I824">
        <v>31</v>
      </c>
      <c r="J824" t="s">
        <v>11</v>
      </c>
      <c r="K824">
        <f>IF(J824="Yes", 1, 0)</f>
        <v>1</v>
      </c>
      <c r="L824" t="str">
        <f>IF(G824=0,"0 Failures","1+ Failures")</f>
        <v>1+ Failures</v>
      </c>
      <c r="M824" t="str">
        <f t="shared" si="38"/>
        <v>10-20hrs</v>
      </c>
      <c r="N824" t="str">
        <f t="shared" si="36"/>
        <v>6-12months</v>
      </c>
      <c r="O824" t="str">
        <f t="shared" si="37"/>
        <v>Basic</v>
      </c>
      <c r="P824" s="7">
        <v>45657</v>
      </c>
    </row>
    <row r="825" spans="1:16" x14ac:dyDescent="0.3">
      <c r="A825">
        <v>824</v>
      </c>
      <c r="B825" s="7">
        <v>45471</v>
      </c>
      <c r="C825" t="s">
        <v>12</v>
      </c>
      <c r="D825">
        <v>199</v>
      </c>
      <c r="E825">
        <v>20.5</v>
      </c>
      <c r="F825">
        <v>0</v>
      </c>
      <c r="G825">
        <v>1</v>
      </c>
      <c r="H825">
        <v>14</v>
      </c>
      <c r="I825">
        <v>42</v>
      </c>
      <c r="J825" t="s">
        <v>11</v>
      </c>
      <c r="K825">
        <f>IF(J825="Yes", 1, 0)</f>
        <v>1</v>
      </c>
      <c r="L825" t="str">
        <f>IF(G825=0,"0 Failures","1+ Failures")</f>
        <v>1+ Failures</v>
      </c>
      <c r="M825" t="str">
        <f t="shared" si="38"/>
        <v>20+ hrs</v>
      </c>
      <c r="N825" t="str">
        <f t="shared" si="36"/>
        <v>12+ months</v>
      </c>
      <c r="O825" t="str">
        <f t="shared" si="37"/>
        <v>Basic</v>
      </c>
      <c r="P825" s="7">
        <v>45657</v>
      </c>
    </row>
    <row r="826" spans="1:16" x14ac:dyDescent="0.3">
      <c r="A826">
        <v>825</v>
      </c>
      <c r="B826" s="7">
        <v>45251</v>
      </c>
      <c r="C826" t="s">
        <v>14</v>
      </c>
      <c r="D826">
        <v>399</v>
      </c>
      <c r="E826">
        <v>15.6</v>
      </c>
      <c r="F826">
        <v>7</v>
      </c>
      <c r="G826">
        <v>1</v>
      </c>
      <c r="H826">
        <v>25</v>
      </c>
      <c r="I826">
        <v>13</v>
      </c>
      <c r="J826" t="s">
        <v>13</v>
      </c>
      <c r="K826">
        <f>IF(J826="Yes", 1, 0)</f>
        <v>0</v>
      </c>
      <c r="L826" t="str">
        <f>IF(G826=0,"0 Failures","1+ Failures")</f>
        <v>1+ Failures</v>
      </c>
      <c r="M826" t="str">
        <f t="shared" si="38"/>
        <v>10-20hrs</v>
      </c>
      <c r="N826" t="str">
        <f t="shared" si="36"/>
        <v>12+ months</v>
      </c>
      <c r="O826" t="str">
        <f t="shared" si="37"/>
        <v>Basic</v>
      </c>
      <c r="P826" s="7">
        <v>45657</v>
      </c>
    </row>
    <row r="827" spans="1:16" x14ac:dyDescent="0.3">
      <c r="A827">
        <v>826</v>
      </c>
      <c r="B827" s="7">
        <v>45018</v>
      </c>
      <c r="C827" t="s">
        <v>14</v>
      </c>
      <c r="D827">
        <v>399</v>
      </c>
      <c r="E827">
        <v>23</v>
      </c>
      <c r="F827">
        <v>6</v>
      </c>
      <c r="G827">
        <v>5</v>
      </c>
      <c r="H827">
        <v>20</v>
      </c>
      <c r="I827">
        <v>58</v>
      </c>
      <c r="J827" t="s">
        <v>11</v>
      </c>
      <c r="K827">
        <f>IF(J827="Yes", 1, 0)</f>
        <v>1</v>
      </c>
      <c r="L827" t="str">
        <f>IF(G827=0,"0 Failures","1+ Failures")</f>
        <v>1+ Failures</v>
      </c>
      <c r="M827" t="str">
        <f t="shared" si="38"/>
        <v>20+ hrs</v>
      </c>
      <c r="N827" t="str">
        <f t="shared" si="36"/>
        <v>12+ months</v>
      </c>
      <c r="O827" t="str">
        <f t="shared" si="37"/>
        <v>Basic</v>
      </c>
      <c r="P827" s="7">
        <v>45657</v>
      </c>
    </row>
    <row r="828" spans="1:16" x14ac:dyDescent="0.3">
      <c r="A828">
        <v>827</v>
      </c>
      <c r="B828" s="7">
        <v>45228</v>
      </c>
      <c r="C828" t="s">
        <v>10</v>
      </c>
      <c r="D828">
        <v>699</v>
      </c>
      <c r="E828">
        <v>15.5</v>
      </c>
      <c r="F828">
        <v>8</v>
      </c>
      <c r="G828">
        <v>3</v>
      </c>
      <c r="H828">
        <v>1</v>
      </c>
      <c r="I828">
        <v>54</v>
      </c>
      <c r="J828" t="s">
        <v>11</v>
      </c>
      <c r="K828">
        <f>IF(J828="Yes", 1, 0)</f>
        <v>1</v>
      </c>
      <c r="L828" t="str">
        <f>IF(G828=0,"0 Failures","1+ Failures")</f>
        <v>1+ Failures</v>
      </c>
      <c r="M828" t="str">
        <f t="shared" si="38"/>
        <v>10-20hrs</v>
      </c>
      <c r="N828" t="str">
        <f t="shared" si="36"/>
        <v>0-3months</v>
      </c>
      <c r="O828" t="str">
        <f t="shared" si="37"/>
        <v>Premium</v>
      </c>
      <c r="P828" s="7">
        <v>45657</v>
      </c>
    </row>
    <row r="829" spans="1:16" x14ac:dyDescent="0.3">
      <c r="A829">
        <v>828</v>
      </c>
      <c r="B829" s="7">
        <v>45294</v>
      </c>
      <c r="C829" t="s">
        <v>12</v>
      </c>
      <c r="D829">
        <v>199</v>
      </c>
      <c r="E829">
        <v>22.6</v>
      </c>
      <c r="F829">
        <v>0</v>
      </c>
      <c r="G829">
        <v>0</v>
      </c>
      <c r="H829">
        <v>24</v>
      </c>
      <c r="I829">
        <v>45</v>
      </c>
      <c r="J829" t="s">
        <v>13</v>
      </c>
      <c r="K829">
        <f>IF(J829="Yes", 1, 0)</f>
        <v>0</v>
      </c>
      <c r="L829" t="str">
        <f>IF(G829=0,"0 Failures","1+ Failures")</f>
        <v>0 Failures</v>
      </c>
      <c r="M829" t="str">
        <f t="shared" si="38"/>
        <v>20+ hrs</v>
      </c>
      <c r="N829" t="str">
        <f t="shared" si="36"/>
        <v>12+ months</v>
      </c>
      <c r="O829" t="str">
        <f t="shared" si="37"/>
        <v>Basic</v>
      </c>
      <c r="P829" s="7">
        <v>45657</v>
      </c>
    </row>
    <row r="830" spans="1:16" x14ac:dyDescent="0.3">
      <c r="A830">
        <v>829</v>
      </c>
      <c r="B830" s="7">
        <v>45567</v>
      </c>
      <c r="C830" t="s">
        <v>12</v>
      </c>
      <c r="D830">
        <v>199</v>
      </c>
      <c r="E830">
        <v>21.7</v>
      </c>
      <c r="F830">
        <v>3</v>
      </c>
      <c r="G830">
        <v>3</v>
      </c>
      <c r="H830">
        <v>19</v>
      </c>
      <c r="I830">
        <v>44</v>
      </c>
      <c r="J830" t="s">
        <v>11</v>
      </c>
      <c r="K830">
        <f>IF(J830="Yes", 1, 0)</f>
        <v>1</v>
      </c>
      <c r="L830" t="str">
        <f>IF(G830=0,"0 Failures","1+ Failures")</f>
        <v>1+ Failures</v>
      </c>
      <c r="M830" t="str">
        <f t="shared" si="38"/>
        <v>20+ hrs</v>
      </c>
      <c r="N830" t="str">
        <f t="shared" si="36"/>
        <v>12+ months</v>
      </c>
      <c r="O830" t="str">
        <f t="shared" si="37"/>
        <v>Basic</v>
      </c>
      <c r="P830" s="7">
        <v>45657</v>
      </c>
    </row>
    <row r="831" spans="1:16" x14ac:dyDescent="0.3">
      <c r="A831">
        <v>830</v>
      </c>
      <c r="B831" s="7">
        <v>45413</v>
      </c>
      <c r="C831" t="s">
        <v>14</v>
      </c>
      <c r="D831">
        <v>399</v>
      </c>
      <c r="E831">
        <v>10.4</v>
      </c>
      <c r="F831">
        <v>6</v>
      </c>
      <c r="G831">
        <v>4</v>
      </c>
      <c r="H831">
        <v>25</v>
      </c>
      <c r="I831">
        <v>13</v>
      </c>
      <c r="J831" t="s">
        <v>13</v>
      </c>
      <c r="K831">
        <f>IF(J831="Yes", 1, 0)</f>
        <v>0</v>
      </c>
      <c r="L831" t="str">
        <f>IF(G831=0,"0 Failures","1+ Failures")</f>
        <v>1+ Failures</v>
      </c>
      <c r="M831" t="str">
        <f t="shared" si="38"/>
        <v>10-20hrs</v>
      </c>
      <c r="N831" t="str">
        <f t="shared" si="36"/>
        <v>12+ months</v>
      </c>
      <c r="O831" t="str">
        <f t="shared" si="37"/>
        <v>Basic</v>
      </c>
      <c r="P831" s="7">
        <v>45657</v>
      </c>
    </row>
    <row r="832" spans="1:16" x14ac:dyDescent="0.3">
      <c r="A832">
        <v>831</v>
      </c>
      <c r="B832" s="7">
        <v>45613</v>
      </c>
      <c r="C832" t="s">
        <v>12</v>
      </c>
      <c r="D832">
        <v>199</v>
      </c>
      <c r="E832">
        <v>14.1</v>
      </c>
      <c r="F832">
        <v>5</v>
      </c>
      <c r="G832">
        <v>3</v>
      </c>
      <c r="H832">
        <v>13</v>
      </c>
      <c r="I832">
        <v>9</v>
      </c>
      <c r="J832" t="s">
        <v>11</v>
      </c>
      <c r="K832">
        <f>IF(J832="Yes", 1, 0)</f>
        <v>1</v>
      </c>
      <c r="L832" t="str">
        <f>IF(G832=0,"0 Failures","1+ Failures")</f>
        <v>1+ Failures</v>
      </c>
      <c r="M832" t="str">
        <f t="shared" si="38"/>
        <v>10-20hrs</v>
      </c>
      <c r="N832" t="str">
        <f t="shared" si="36"/>
        <v>12+ months</v>
      </c>
      <c r="O832" t="str">
        <f t="shared" si="37"/>
        <v>Basic</v>
      </c>
      <c r="P832" s="7">
        <v>45657</v>
      </c>
    </row>
    <row r="833" spans="1:16" x14ac:dyDescent="0.3">
      <c r="A833">
        <v>832</v>
      </c>
      <c r="B833" s="7">
        <v>45600</v>
      </c>
      <c r="C833" t="s">
        <v>12</v>
      </c>
      <c r="D833">
        <v>199</v>
      </c>
      <c r="E833">
        <v>0.8</v>
      </c>
      <c r="F833">
        <v>0</v>
      </c>
      <c r="G833">
        <v>1</v>
      </c>
      <c r="H833">
        <v>9</v>
      </c>
      <c r="I833">
        <v>46</v>
      </c>
      <c r="J833" t="s">
        <v>13</v>
      </c>
      <c r="K833">
        <f>IF(J833="Yes", 1, 0)</f>
        <v>0</v>
      </c>
      <c r="L833" t="str">
        <f>IF(G833=0,"0 Failures","1+ Failures")</f>
        <v>1+ Failures</v>
      </c>
      <c r="M833" t="str">
        <f t="shared" si="38"/>
        <v>0-5 hrs</v>
      </c>
      <c r="N833" t="str">
        <f t="shared" si="36"/>
        <v>6-12months</v>
      </c>
      <c r="O833" t="str">
        <f t="shared" si="37"/>
        <v>Basic</v>
      </c>
      <c r="P833" s="7">
        <v>45657</v>
      </c>
    </row>
    <row r="834" spans="1:16" x14ac:dyDescent="0.3">
      <c r="A834">
        <v>833</v>
      </c>
      <c r="B834" s="7">
        <v>45545</v>
      </c>
      <c r="C834" t="s">
        <v>14</v>
      </c>
      <c r="D834">
        <v>399</v>
      </c>
      <c r="E834">
        <v>2.6</v>
      </c>
      <c r="F834">
        <v>6</v>
      </c>
      <c r="G834">
        <v>3</v>
      </c>
      <c r="H834">
        <v>9</v>
      </c>
      <c r="I834">
        <v>57</v>
      </c>
      <c r="J834" t="s">
        <v>11</v>
      </c>
      <c r="K834">
        <f>IF(J834="Yes", 1, 0)</f>
        <v>1</v>
      </c>
      <c r="L834" t="str">
        <f>IF(G834=0,"0 Failures","1+ Failures")</f>
        <v>1+ Failures</v>
      </c>
      <c r="M834" t="str">
        <f t="shared" si="38"/>
        <v>0-5 hrs</v>
      </c>
      <c r="N834" t="str">
        <f t="shared" si="36"/>
        <v>6-12months</v>
      </c>
      <c r="O834" t="str">
        <f t="shared" si="37"/>
        <v>Basic</v>
      </c>
      <c r="P834" s="7">
        <v>45657</v>
      </c>
    </row>
    <row r="835" spans="1:16" x14ac:dyDescent="0.3">
      <c r="A835">
        <v>834</v>
      </c>
      <c r="B835" s="7">
        <v>45290</v>
      </c>
      <c r="C835" t="s">
        <v>14</v>
      </c>
      <c r="D835">
        <v>399</v>
      </c>
      <c r="E835">
        <v>11.6</v>
      </c>
      <c r="F835">
        <v>6</v>
      </c>
      <c r="G835">
        <v>4</v>
      </c>
      <c r="H835">
        <v>12</v>
      </c>
      <c r="I835">
        <v>52</v>
      </c>
      <c r="J835" t="s">
        <v>11</v>
      </c>
      <c r="K835">
        <f>IF(J835="Yes", 1, 0)</f>
        <v>1</v>
      </c>
      <c r="L835" t="str">
        <f>IF(G835=0,"0 Failures","1+ Failures")</f>
        <v>1+ Failures</v>
      </c>
      <c r="M835" t="str">
        <f t="shared" si="38"/>
        <v>10-20hrs</v>
      </c>
      <c r="N835" t="str">
        <f t="shared" ref="N835:N898" si="39">IF(H835&lt;=3, "0-3months", IF(H835&lt;=6, "3-6months", IF(H835&lt;=12, "6-12months", "12+ months")))</f>
        <v>6-12months</v>
      </c>
      <c r="O835" t="str">
        <f t="shared" ref="O835:O898" si="40">IF(C835="premium", "Premium", "Basic")</f>
        <v>Basic</v>
      </c>
      <c r="P835" s="7">
        <v>45657</v>
      </c>
    </row>
    <row r="836" spans="1:16" x14ac:dyDescent="0.3">
      <c r="A836">
        <v>835</v>
      </c>
      <c r="B836" s="7">
        <v>45169</v>
      </c>
      <c r="C836" t="s">
        <v>12</v>
      </c>
      <c r="D836">
        <v>199</v>
      </c>
      <c r="E836">
        <v>10.9</v>
      </c>
      <c r="F836">
        <v>0</v>
      </c>
      <c r="G836">
        <v>4</v>
      </c>
      <c r="H836">
        <v>12</v>
      </c>
      <c r="I836">
        <v>31</v>
      </c>
      <c r="J836" t="s">
        <v>13</v>
      </c>
      <c r="K836">
        <f>IF(J836="Yes", 1, 0)</f>
        <v>0</v>
      </c>
      <c r="L836" t="str">
        <f>IF(G836=0,"0 Failures","1+ Failures")</f>
        <v>1+ Failures</v>
      </c>
      <c r="M836" t="str">
        <f t="shared" si="38"/>
        <v>10-20hrs</v>
      </c>
      <c r="N836" t="str">
        <f t="shared" si="39"/>
        <v>6-12months</v>
      </c>
      <c r="O836" t="str">
        <f t="shared" si="40"/>
        <v>Basic</v>
      </c>
      <c r="P836" s="7">
        <v>45657</v>
      </c>
    </row>
    <row r="837" spans="1:16" x14ac:dyDescent="0.3">
      <c r="A837">
        <v>836</v>
      </c>
      <c r="B837" s="7">
        <v>44965</v>
      </c>
      <c r="C837" t="s">
        <v>10</v>
      </c>
      <c r="D837">
        <v>699</v>
      </c>
      <c r="E837">
        <v>7.1</v>
      </c>
      <c r="F837">
        <v>8</v>
      </c>
      <c r="G837">
        <v>4</v>
      </c>
      <c r="H837">
        <v>33</v>
      </c>
      <c r="I837">
        <v>23</v>
      </c>
      <c r="J837" t="s">
        <v>11</v>
      </c>
      <c r="K837">
        <f>IF(J837="Yes", 1, 0)</f>
        <v>1</v>
      </c>
      <c r="L837" t="str">
        <f>IF(G837=0,"0 Failures","1+ Failures")</f>
        <v>1+ Failures</v>
      </c>
      <c r="M837" t="str">
        <f t="shared" si="38"/>
        <v>5-10 hrs</v>
      </c>
      <c r="N837" t="str">
        <f t="shared" si="39"/>
        <v>12+ months</v>
      </c>
      <c r="O837" t="str">
        <f t="shared" si="40"/>
        <v>Premium</v>
      </c>
      <c r="P837" s="7">
        <v>45657</v>
      </c>
    </row>
    <row r="838" spans="1:16" x14ac:dyDescent="0.3">
      <c r="A838">
        <v>837</v>
      </c>
      <c r="B838" s="7">
        <v>45008</v>
      </c>
      <c r="C838" t="s">
        <v>10</v>
      </c>
      <c r="D838">
        <v>699</v>
      </c>
      <c r="E838">
        <v>17.8</v>
      </c>
      <c r="F838">
        <v>1</v>
      </c>
      <c r="G838">
        <v>4</v>
      </c>
      <c r="H838">
        <v>31</v>
      </c>
      <c r="I838">
        <v>30</v>
      </c>
      <c r="J838" t="s">
        <v>13</v>
      </c>
      <c r="K838">
        <f>IF(J838="Yes", 1, 0)</f>
        <v>0</v>
      </c>
      <c r="L838" t="str">
        <f>IF(G838=0,"0 Failures","1+ Failures")</f>
        <v>1+ Failures</v>
      </c>
      <c r="M838" t="str">
        <f t="shared" si="38"/>
        <v>10-20hrs</v>
      </c>
      <c r="N838" t="str">
        <f t="shared" si="39"/>
        <v>12+ months</v>
      </c>
      <c r="O838" t="str">
        <f t="shared" si="40"/>
        <v>Premium</v>
      </c>
      <c r="P838" s="7">
        <v>45657</v>
      </c>
    </row>
    <row r="839" spans="1:16" x14ac:dyDescent="0.3">
      <c r="A839">
        <v>838</v>
      </c>
      <c r="B839" s="7">
        <v>45551</v>
      </c>
      <c r="C839" t="s">
        <v>12</v>
      </c>
      <c r="D839">
        <v>199</v>
      </c>
      <c r="E839">
        <v>24.6</v>
      </c>
      <c r="F839">
        <v>4</v>
      </c>
      <c r="G839">
        <v>3</v>
      </c>
      <c r="H839">
        <v>34</v>
      </c>
      <c r="I839">
        <v>33</v>
      </c>
      <c r="J839" t="s">
        <v>11</v>
      </c>
      <c r="K839">
        <f>IF(J839="Yes", 1, 0)</f>
        <v>1</v>
      </c>
      <c r="L839" t="str">
        <f>IF(G839=0,"0 Failures","1+ Failures")</f>
        <v>1+ Failures</v>
      </c>
      <c r="M839" t="str">
        <f t="shared" si="38"/>
        <v>20+ hrs</v>
      </c>
      <c r="N839" t="str">
        <f t="shared" si="39"/>
        <v>12+ months</v>
      </c>
      <c r="O839" t="str">
        <f t="shared" si="40"/>
        <v>Basic</v>
      </c>
      <c r="P839" s="7">
        <v>45657</v>
      </c>
    </row>
    <row r="840" spans="1:16" x14ac:dyDescent="0.3">
      <c r="A840">
        <v>839</v>
      </c>
      <c r="B840" s="7">
        <v>45520</v>
      </c>
      <c r="C840" t="s">
        <v>12</v>
      </c>
      <c r="D840">
        <v>199</v>
      </c>
      <c r="E840">
        <v>12.1</v>
      </c>
      <c r="F840">
        <v>1</v>
      </c>
      <c r="G840">
        <v>5</v>
      </c>
      <c r="H840">
        <v>16</v>
      </c>
      <c r="I840">
        <v>40</v>
      </c>
      <c r="J840" t="s">
        <v>11</v>
      </c>
      <c r="K840">
        <f>IF(J840="Yes", 1, 0)</f>
        <v>1</v>
      </c>
      <c r="L840" t="str">
        <f>IF(G840=0,"0 Failures","1+ Failures")</f>
        <v>1+ Failures</v>
      </c>
      <c r="M840" t="str">
        <f t="shared" si="38"/>
        <v>10-20hrs</v>
      </c>
      <c r="N840" t="str">
        <f t="shared" si="39"/>
        <v>12+ months</v>
      </c>
      <c r="O840" t="str">
        <f t="shared" si="40"/>
        <v>Basic</v>
      </c>
      <c r="P840" s="7">
        <v>45657</v>
      </c>
    </row>
    <row r="841" spans="1:16" x14ac:dyDescent="0.3">
      <c r="A841">
        <v>840</v>
      </c>
      <c r="B841" s="7">
        <v>45407</v>
      </c>
      <c r="C841" t="s">
        <v>14</v>
      </c>
      <c r="D841">
        <v>399</v>
      </c>
      <c r="E841">
        <v>22.6</v>
      </c>
      <c r="F841">
        <v>8</v>
      </c>
      <c r="G841">
        <v>0</v>
      </c>
      <c r="H841">
        <v>4</v>
      </c>
      <c r="I841">
        <v>30</v>
      </c>
      <c r="J841" t="s">
        <v>11</v>
      </c>
      <c r="K841">
        <f>IF(J841="Yes", 1, 0)</f>
        <v>1</v>
      </c>
      <c r="L841" t="str">
        <f>IF(G841=0,"0 Failures","1+ Failures")</f>
        <v>0 Failures</v>
      </c>
      <c r="M841" t="str">
        <f t="shared" si="38"/>
        <v>20+ hrs</v>
      </c>
      <c r="N841" t="str">
        <f t="shared" si="39"/>
        <v>3-6months</v>
      </c>
      <c r="O841" t="str">
        <f t="shared" si="40"/>
        <v>Basic</v>
      </c>
      <c r="P841" s="7">
        <v>45657</v>
      </c>
    </row>
    <row r="842" spans="1:16" x14ac:dyDescent="0.3">
      <c r="A842">
        <v>841</v>
      </c>
      <c r="B842" s="7">
        <v>45538</v>
      </c>
      <c r="C842" t="s">
        <v>10</v>
      </c>
      <c r="D842">
        <v>699</v>
      </c>
      <c r="E842">
        <v>10.8</v>
      </c>
      <c r="F842">
        <v>4</v>
      </c>
      <c r="G842">
        <v>2</v>
      </c>
      <c r="H842">
        <v>22</v>
      </c>
      <c r="I842">
        <v>10</v>
      </c>
      <c r="J842" t="s">
        <v>11</v>
      </c>
      <c r="K842">
        <f>IF(J842="Yes", 1, 0)</f>
        <v>1</v>
      </c>
      <c r="L842" t="str">
        <f>IF(G842=0,"0 Failures","1+ Failures")</f>
        <v>1+ Failures</v>
      </c>
      <c r="M842" t="str">
        <f t="shared" si="38"/>
        <v>10-20hrs</v>
      </c>
      <c r="N842" t="str">
        <f t="shared" si="39"/>
        <v>12+ months</v>
      </c>
      <c r="O842" t="str">
        <f t="shared" si="40"/>
        <v>Premium</v>
      </c>
      <c r="P842" s="7">
        <v>45657</v>
      </c>
    </row>
    <row r="843" spans="1:16" x14ac:dyDescent="0.3">
      <c r="A843">
        <v>842</v>
      </c>
      <c r="B843" s="7">
        <v>45100</v>
      </c>
      <c r="C843" t="s">
        <v>10</v>
      </c>
      <c r="D843">
        <v>699</v>
      </c>
      <c r="E843">
        <v>18.3</v>
      </c>
      <c r="F843">
        <v>4</v>
      </c>
      <c r="G843">
        <v>0</v>
      </c>
      <c r="H843">
        <v>20</v>
      </c>
      <c r="I843">
        <v>40</v>
      </c>
      <c r="J843" t="s">
        <v>11</v>
      </c>
      <c r="K843">
        <f>IF(J843="Yes", 1, 0)</f>
        <v>1</v>
      </c>
      <c r="L843" t="str">
        <f>IF(G843=0,"0 Failures","1+ Failures")</f>
        <v>0 Failures</v>
      </c>
      <c r="M843" t="str">
        <f t="shared" ref="M843:M906" si="41">IF(E843&lt;=5, "0-5 hrs",    IF(E843&lt;=10, "5-10 hrs",    IF(E843&lt;=20, "10-20hrs", "20+ hrs")))</f>
        <v>10-20hrs</v>
      </c>
      <c r="N843" t="str">
        <f t="shared" si="39"/>
        <v>12+ months</v>
      </c>
      <c r="O843" t="str">
        <f t="shared" si="40"/>
        <v>Premium</v>
      </c>
      <c r="P843" s="7">
        <v>45657</v>
      </c>
    </row>
    <row r="844" spans="1:16" x14ac:dyDescent="0.3">
      <c r="A844">
        <v>843</v>
      </c>
      <c r="B844" s="7">
        <v>45423</v>
      </c>
      <c r="C844" t="s">
        <v>10</v>
      </c>
      <c r="D844">
        <v>699</v>
      </c>
      <c r="E844">
        <v>16.600000000000001</v>
      </c>
      <c r="F844">
        <v>4</v>
      </c>
      <c r="G844">
        <v>5</v>
      </c>
      <c r="H844">
        <v>4</v>
      </c>
      <c r="I844">
        <v>39</v>
      </c>
      <c r="J844" t="s">
        <v>11</v>
      </c>
      <c r="K844">
        <f>IF(J844="Yes", 1, 0)</f>
        <v>1</v>
      </c>
      <c r="L844" t="str">
        <f>IF(G844=0,"0 Failures","1+ Failures")</f>
        <v>1+ Failures</v>
      </c>
      <c r="M844" t="str">
        <f t="shared" si="41"/>
        <v>10-20hrs</v>
      </c>
      <c r="N844" t="str">
        <f t="shared" si="39"/>
        <v>3-6months</v>
      </c>
      <c r="O844" t="str">
        <f t="shared" si="40"/>
        <v>Premium</v>
      </c>
      <c r="P844" s="7">
        <v>45657</v>
      </c>
    </row>
    <row r="845" spans="1:16" x14ac:dyDescent="0.3">
      <c r="A845">
        <v>844</v>
      </c>
      <c r="B845" s="7">
        <v>45208</v>
      </c>
      <c r="C845" t="s">
        <v>12</v>
      </c>
      <c r="D845">
        <v>199</v>
      </c>
      <c r="E845">
        <v>12.9</v>
      </c>
      <c r="F845">
        <v>4</v>
      </c>
      <c r="G845">
        <v>2</v>
      </c>
      <c r="H845">
        <v>9</v>
      </c>
      <c r="I845">
        <v>8</v>
      </c>
      <c r="J845" t="s">
        <v>13</v>
      </c>
      <c r="K845">
        <f>IF(J845="Yes", 1, 0)</f>
        <v>0</v>
      </c>
      <c r="L845" t="str">
        <f>IF(G845=0,"0 Failures","1+ Failures")</f>
        <v>1+ Failures</v>
      </c>
      <c r="M845" t="str">
        <f t="shared" si="41"/>
        <v>10-20hrs</v>
      </c>
      <c r="N845" t="str">
        <f t="shared" si="39"/>
        <v>6-12months</v>
      </c>
      <c r="O845" t="str">
        <f t="shared" si="40"/>
        <v>Basic</v>
      </c>
      <c r="P845" s="7">
        <v>45657</v>
      </c>
    </row>
    <row r="846" spans="1:16" x14ac:dyDescent="0.3">
      <c r="A846">
        <v>845</v>
      </c>
      <c r="B846" s="7">
        <v>45384</v>
      </c>
      <c r="C846" t="s">
        <v>14</v>
      </c>
      <c r="D846">
        <v>399</v>
      </c>
      <c r="E846">
        <v>18.7</v>
      </c>
      <c r="F846">
        <v>2</v>
      </c>
      <c r="G846">
        <v>4</v>
      </c>
      <c r="H846">
        <v>1</v>
      </c>
      <c r="I846">
        <v>47</v>
      </c>
      <c r="J846" t="s">
        <v>11</v>
      </c>
      <c r="K846">
        <f>IF(J846="Yes", 1, 0)</f>
        <v>1</v>
      </c>
      <c r="L846" t="str">
        <f>IF(G846=0,"0 Failures","1+ Failures")</f>
        <v>1+ Failures</v>
      </c>
      <c r="M846" t="str">
        <f t="shared" si="41"/>
        <v>10-20hrs</v>
      </c>
      <c r="N846" t="str">
        <f t="shared" si="39"/>
        <v>0-3months</v>
      </c>
      <c r="O846" t="str">
        <f t="shared" si="40"/>
        <v>Basic</v>
      </c>
      <c r="P846" s="7">
        <v>45657</v>
      </c>
    </row>
    <row r="847" spans="1:16" x14ac:dyDescent="0.3">
      <c r="A847">
        <v>846</v>
      </c>
      <c r="B847" s="7">
        <v>44960</v>
      </c>
      <c r="C847" t="s">
        <v>14</v>
      </c>
      <c r="D847">
        <v>399</v>
      </c>
      <c r="E847">
        <v>6.9</v>
      </c>
      <c r="F847">
        <v>3</v>
      </c>
      <c r="G847">
        <v>3</v>
      </c>
      <c r="H847">
        <v>12</v>
      </c>
      <c r="I847">
        <v>11</v>
      </c>
      <c r="J847" t="s">
        <v>13</v>
      </c>
      <c r="K847">
        <f>IF(J847="Yes", 1, 0)</f>
        <v>0</v>
      </c>
      <c r="L847" t="str">
        <f>IF(G847=0,"0 Failures","1+ Failures")</f>
        <v>1+ Failures</v>
      </c>
      <c r="M847" t="str">
        <f t="shared" si="41"/>
        <v>5-10 hrs</v>
      </c>
      <c r="N847" t="str">
        <f t="shared" si="39"/>
        <v>6-12months</v>
      </c>
      <c r="O847" t="str">
        <f t="shared" si="40"/>
        <v>Basic</v>
      </c>
      <c r="P847" s="7">
        <v>45657</v>
      </c>
    </row>
    <row r="848" spans="1:16" x14ac:dyDescent="0.3">
      <c r="A848">
        <v>847</v>
      </c>
      <c r="B848" s="7">
        <v>45319</v>
      </c>
      <c r="C848" t="s">
        <v>14</v>
      </c>
      <c r="D848">
        <v>399</v>
      </c>
      <c r="E848">
        <v>24.2</v>
      </c>
      <c r="F848">
        <v>2</v>
      </c>
      <c r="G848">
        <v>3</v>
      </c>
      <c r="H848">
        <v>6</v>
      </c>
      <c r="I848">
        <v>48</v>
      </c>
      <c r="J848" t="s">
        <v>13</v>
      </c>
      <c r="K848">
        <f>IF(J848="Yes", 1, 0)</f>
        <v>0</v>
      </c>
      <c r="L848" t="str">
        <f>IF(G848=0,"0 Failures","1+ Failures")</f>
        <v>1+ Failures</v>
      </c>
      <c r="M848" t="str">
        <f t="shared" si="41"/>
        <v>20+ hrs</v>
      </c>
      <c r="N848" t="str">
        <f t="shared" si="39"/>
        <v>3-6months</v>
      </c>
      <c r="O848" t="str">
        <f t="shared" si="40"/>
        <v>Basic</v>
      </c>
      <c r="P848" s="7">
        <v>45657</v>
      </c>
    </row>
    <row r="849" spans="1:16" x14ac:dyDescent="0.3">
      <c r="A849">
        <v>848</v>
      </c>
      <c r="B849" s="7">
        <v>45280</v>
      </c>
      <c r="C849" t="s">
        <v>12</v>
      </c>
      <c r="D849">
        <v>199</v>
      </c>
      <c r="E849">
        <v>18.3</v>
      </c>
      <c r="F849">
        <v>2</v>
      </c>
      <c r="G849">
        <v>1</v>
      </c>
      <c r="H849">
        <v>29</v>
      </c>
      <c r="I849">
        <v>36</v>
      </c>
      <c r="J849" t="s">
        <v>13</v>
      </c>
      <c r="K849">
        <f>IF(J849="Yes", 1, 0)</f>
        <v>0</v>
      </c>
      <c r="L849" t="str">
        <f>IF(G849=0,"0 Failures","1+ Failures")</f>
        <v>1+ Failures</v>
      </c>
      <c r="M849" t="str">
        <f t="shared" si="41"/>
        <v>10-20hrs</v>
      </c>
      <c r="N849" t="str">
        <f t="shared" si="39"/>
        <v>12+ months</v>
      </c>
      <c r="O849" t="str">
        <f t="shared" si="40"/>
        <v>Basic</v>
      </c>
      <c r="P849" s="7">
        <v>45657</v>
      </c>
    </row>
    <row r="850" spans="1:16" x14ac:dyDescent="0.3">
      <c r="A850">
        <v>849</v>
      </c>
      <c r="B850" s="7">
        <v>45414</v>
      </c>
      <c r="C850" t="s">
        <v>12</v>
      </c>
      <c r="D850">
        <v>199</v>
      </c>
      <c r="E850">
        <v>19</v>
      </c>
      <c r="F850">
        <v>1</v>
      </c>
      <c r="G850">
        <v>0</v>
      </c>
      <c r="H850">
        <v>17</v>
      </c>
      <c r="I850">
        <v>10</v>
      </c>
      <c r="J850" t="s">
        <v>13</v>
      </c>
      <c r="K850">
        <f>IF(J850="Yes", 1, 0)</f>
        <v>0</v>
      </c>
      <c r="L850" t="str">
        <f>IF(G850=0,"0 Failures","1+ Failures")</f>
        <v>0 Failures</v>
      </c>
      <c r="M850" t="str">
        <f t="shared" si="41"/>
        <v>10-20hrs</v>
      </c>
      <c r="N850" t="str">
        <f t="shared" si="39"/>
        <v>12+ months</v>
      </c>
      <c r="O850" t="str">
        <f t="shared" si="40"/>
        <v>Basic</v>
      </c>
      <c r="P850" s="7">
        <v>45657</v>
      </c>
    </row>
    <row r="851" spans="1:16" x14ac:dyDescent="0.3">
      <c r="A851">
        <v>850</v>
      </c>
      <c r="B851" s="7">
        <v>45326</v>
      </c>
      <c r="C851" t="s">
        <v>14</v>
      </c>
      <c r="D851">
        <v>399</v>
      </c>
      <c r="E851">
        <v>18.8</v>
      </c>
      <c r="F851">
        <v>8</v>
      </c>
      <c r="G851">
        <v>1</v>
      </c>
      <c r="H851">
        <v>31</v>
      </c>
      <c r="I851">
        <v>24</v>
      </c>
      <c r="J851" t="s">
        <v>13</v>
      </c>
      <c r="K851">
        <f>IF(J851="Yes", 1, 0)</f>
        <v>0</v>
      </c>
      <c r="L851" t="str">
        <f>IF(G851=0,"0 Failures","1+ Failures")</f>
        <v>1+ Failures</v>
      </c>
      <c r="M851" t="str">
        <f t="shared" si="41"/>
        <v>10-20hrs</v>
      </c>
      <c r="N851" t="str">
        <f t="shared" si="39"/>
        <v>12+ months</v>
      </c>
      <c r="O851" t="str">
        <f t="shared" si="40"/>
        <v>Basic</v>
      </c>
      <c r="P851" s="7">
        <v>45657</v>
      </c>
    </row>
    <row r="852" spans="1:16" x14ac:dyDescent="0.3">
      <c r="A852">
        <v>851</v>
      </c>
      <c r="B852" s="7">
        <v>45386</v>
      </c>
      <c r="C852" t="s">
        <v>14</v>
      </c>
      <c r="D852">
        <v>399</v>
      </c>
      <c r="E852">
        <v>4.0999999999999996</v>
      </c>
      <c r="F852">
        <v>6</v>
      </c>
      <c r="G852">
        <v>0</v>
      </c>
      <c r="H852">
        <v>17</v>
      </c>
      <c r="I852">
        <v>18</v>
      </c>
      <c r="J852" t="s">
        <v>13</v>
      </c>
      <c r="K852">
        <f>IF(J852="Yes", 1, 0)</f>
        <v>0</v>
      </c>
      <c r="L852" t="str">
        <f>IF(G852=0,"0 Failures","1+ Failures")</f>
        <v>0 Failures</v>
      </c>
      <c r="M852" t="str">
        <f t="shared" si="41"/>
        <v>0-5 hrs</v>
      </c>
      <c r="N852" t="str">
        <f t="shared" si="39"/>
        <v>12+ months</v>
      </c>
      <c r="O852" t="str">
        <f t="shared" si="40"/>
        <v>Basic</v>
      </c>
      <c r="P852" s="7">
        <v>45657</v>
      </c>
    </row>
    <row r="853" spans="1:16" x14ac:dyDescent="0.3">
      <c r="A853">
        <v>852</v>
      </c>
      <c r="B853" s="7">
        <v>45289</v>
      </c>
      <c r="C853" t="s">
        <v>14</v>
      </c>
      <c r="D853">
        <v>399</v>
      </c>
      <c r="E853">
        <v>24.1</v>
      </c>
      <c r="F853">
        <v>0</v>
      </c>
      <c r="G853">
        <v>0</v>
      </c>
      <c r="H853">
        <v>21</v>
      </c>
      <c r="I853">
        <v>58</v>
      </c>
      <c r="J853" t="s">
        <v>13</v>
      </c>
      <c r="K853">
        <f>IF(J853="Yes", 1, 0)</f>
        <v>0</v>
      </c>
      <c r="L853" t="str">
        <f>IF(G853=0,"0 Failures","1+ Failures")</f>
        <v>0 Failures</v>
      </c>
      <c r="M853" t="str">
        <f t="shared" si="41"/>
        <v>20+ hrs</v>
      </c>
      <c r="N853" t="str">
        <f t="shared" si="39"/>
        <v>12+ months</v>
      </c>
      <c r="O853" t="str">
        <f t="shared" si="40"/>
        <v>Basic</v>
      </c>
      <c r="P853" s="7">
        <v>45657</v>
      </c>
    </row>
    <row r="854" spans="1:16" x14ac:dyDescent="0.3">
      <c r="A854">
        <v>853</v>
      </c>
      <c r="B854" s="7">
        <v>45327</v>
      </c>
      <c r="C854" t="s">
        <v>14</v>
      </c>
      <c r="D854">
        <v>399</v>
      </c>
      <c r="E854">
        <v>8.6999999999999993</v>
      </c>
      <c r="F854">
        <v>4</v>
      </c>
      <c r="G854">
        <v>0</v>
      </c>
      <c r="H854">
        <v>18</v>
      </c>
      <c r="I854">
        <v>16</v>
      </c>
      <c r="J854" t="s">
        <v>13</v>
      </c>
      <c r="K854">
        <f>IF(J854="Yes", 1, 0)</f>
        <v>0</v>
      </c>
      <c r="L854" t="str">
        <f>IF(G854=0,"0 Failures","1+ Failures")</f>
        <v>0 Failures</v>
      </c>
      <c r="M854" t="str">
        <f t="shared" si="41"/>
        <v>5-10 hrs</v>
      </c>
      <c r="N854" t="str">
        <f t="shared" si="39"/>
        <v>12+ months</v>
      </c>
      <c r="O854" t="str">
        <f t="shared" si="40"/>
        <v>Basic</v>
      </c>
      <c r="P854" s="7">
        <v>45657</v>
      </c>
    </row>
    <row r="855" spans="1:16" x14ac:dyDescent="0.3">
      <c r="A855">
        <v>854</v>
      </c>
      <c r="B855" s="7">
        <v>45111</v>
      </c>
      <c r="C855" t="s">
        <v>14</v>
      </c>
      <c r="D855">
        <v>399</v>
      </c>
      <c r="E855">
        <v>18.5</v>
      </c>
      <c r="F855">
        <v>3</v>
      </c>
      <c r="G855">
        <v>4</v>
      </c>
      <c r="H855">
        <v>16</v>
      </c>
      <c r="I855">
        <v>21</v>
      </c>
      <c r="J855" t="s">
        <v>13</v>
      </c>
      <c r="K855">
        <f>IF(J855="Yes", 1, 0)</f>
        <v>0</v>
      </c>
      <c r="L855" t="str">
        <f>IF(G855=0,"0 Failures","1+ Failures")</f>
        <v>1+ Failures</v>
      </c>
      <c r="M855" t="str">
        <f t="shared" si="41"/>
        <v>10-20hrs</v>
      </c>
      <c r="N855" t="str">
        <f t="shared" si="39"/>
        <v>12+ months</v>
      </c>
      <c r="O855" t="str">
        <f t="shared" si="40"/>
        <v>Basic</v>
      </c>
      <c r="P855" s="7">
        <v>45657</v>
      </c>
    </row>
    <row r="856" spans="1:16" x14ac:dyDescent="0.3">
      <c r="A856">
        <v>855</v>
      </c>
      <c r="B856" s="7">
        <v>45464</v>
      </c>
      <c r="C856" t="s">
        <v>14</v>
      </c>
      <c r="D856">
        <v>399</v>
      </c>
      <c r="E856">
        <v>0.8</v>
      </c>
      <c r="F856">
        <v>0</v>
      </c>
      <c r="G856">
        <v>0</v>
      </c>
      <c r="H856">
        <v>36</v>
      </c>
      <c r="I856">
        <v>0</v>
      </c>
      <c r="J856" t="s">
        <v>13</v>
      </c>
      <c r="K856">
        <f>IF(J856="Yes", 1, 0)</f>
        <v>0</v>
      </c>
      <c r="L856" t="str">
        <f>IF(G856=0,"0 Failures","1+ Failures")</f>
        <v>0 Failures</v>
      </c>
      <c r="M856" t="str">
        <f t="shared" si="41"/>
        <v>0-5 hrs</v>
      </c>
      <c r="N856" t="str">
        <f t="shared" si="39"/>
        <v>12+ months</v>
      </c>
      <c r="O856" t="str">
        <f t="shared" si="40"/>
        <v>Basic</v>
      </c>
      <c r="P856" s="7">
        <v>45657</v>
      </c>
    </row>
    <row r="857" spans="1:16" x14ac:dyDescent="0.3">
      <c r="A857">
        <v>856</v>
      </c>
      <c r="B857" s="7">
        <v>45561</v>
      </c>
      <c r="C857" t="s">
        <v>12</v>
      </c>
      <c r="D857">
        <v>199</v>
      </c>
      <c r="E857">
        <v>9.1</v>
      </c>
      <c r="F857">
        <v>4</v>
      </c>
      <c r="G857">
        <v>2</v>
      </c>
      <c r="H857">
        <v>29</v>
      </c>
      <c r="I857">
        <v>12</v>
      </c>
      <c r="J857" t="s">
        <v>11</v>
      </c>
      <c r="K857">
        <f>IF(J857="Yes", 1, 0)</f>
        <v>1</v>
      </c>
      <c r="L857" t="str">
        <f>IF(G857=0,"0 Failures","1+ Failures")</f>
        <v>1+ Failures</v>
      </c>
      <c r="M857" t="str">
        <f t="shared" si="41"/>
        <v>5-10 hrs</v>
      </c>
      <c r="N857" t="str">
        <f t="shared" si="39"/>
        <v>12+ months</v>
      </c>
      <c r="O857" t="str">
        <f t="shared" si="40"/>
        <v>Basic</v>
      </c>
      <c r="P857" s="7">
        <v>45657</v>
      </c>
    </row>
    <row r="858" spans="1:16" x14ac:dyDescent="0.3">
      <c r="A858">
        <v>857</v>
      </c>
      <c r="B858" s="7">
        <v>45049</v>
      </c>
      <c r="C858" t="s">
        <v>12</v>
      </c>
      <c r="D858">
        <v>199</v>
      </c>
      <c r="E858">
        <v>23.5</v>
      </c>
      <c r="F858">
        <v>3</v>
      </c>
      <c r="G858">
        <v>4</v>
      </c>
      <c r="H858">
        <v>4</v>
      </c>
      <c r="I858">
        <v>40</v>
      </c>
      <c r="J858" t="s">
        <v>11</v>
      </c>
      <c r="K858">
        <f>IF(J858="Yes", 1, 0)</f>
        <v>1</v>
      </c>
      <c r="L858" t="str">
        <f>IF(G858=0,"0 Failures","1+ Failures")</f>
        <v>1+ Failures</v>
      </c>
      <c r="M858" t="str">
        <f t="shared" si="41"/>
        <v>20+ hrs</v>
      </c>
      <c r="N858" t="str">
        <f t="shared" si="39"/>
        <v>3-6months</v>
      </c>
      <c r="O858" t="str">
        <f t="shared" si="40"/>
        <v>Basic</v>
      </c>
      <c r="P858" s="7">
        <v>45657</v>
      </c>
    </row>
    <row r="859" spans="1:16" x14ac:dyDescent="0.3">
      <c r="A859">
        <v>858</v>
      </c>
      <c r="B859" s="7">
        <v>45228</v>
      </c>
      <c r="C859" t="s">
        <v>12</v>
      </c>
      <c r="D859">
        <v>199</v>
      </c>
      <c r="E859">
        <v>9.6999999999999993</v>
      </c>
      <c r="F859">
        <v>2</v>
      </c>
      <c r="G859">
        <v>0</v>
      </c>
      <c r="H859">
        <v>9</v>
      </c>
      <c r="I859">
        <v>44</v>
      </c>
      <c r="J859" t="s">
        <v>11</v>
      </c>
      <c r="K859">
        <f>IF(J859="Yes", 1, 0)</f>
        <v>1</v>
      </c>
      <c r="L859" t="str">
        <f>IF(G859=0,"0 Failures","1+ Failures")</f>
        <v>0 Failures</v>
      </c>
      <c r="M859" t="str">
        <f t="shared" si="41"/>
        <v>5-10 hrs</v>
      </c>
      <c r="N859" t="str">
        <f t="shared" si="39"/>
        <v>6-12months</v>
      </c>
      <c r="O859" t="str">
        <f t="shared" si="40"/>
        <v>Basic</v>
      </c>
      <c r="P859" s="7">
        <v>45657</v>
      </c>
    </row>
    <row r="860" spans="1:16" x14ac:dyDescent="0.3">
      <c r="A860">
        <v>859</v>
      </c>
      <c r="B860" s="7">
        <v>45258</v>
      </c>
      <c r="C860" t="s">
        <v>14</v>
      </c>
      <c r="D860">
        <v>399</v>
      </c>
      <c r="E860">
        <v>16.2</v>
      </c>
      <c r="F860">
        <v>4</v>
      </c>
      <c r="G860">
        <v>3</v>
      </c>
      <c r="H860">
        <v>5</v>
      </c>
      <c r="I860">
        <v>44</v>
      </c>
      <c r="J860" t="s">
        <v>13</v>
      </c>
      <c r="K860">
        <f>IF(J860="Yes", 1, 0)</f>
        <v>0</v>
      </c>
      <c r="L860" t="str">
        <f>IF(G860=0,"0 Failures","1+ Failures")</f>
        <v>1+ Failures</v>
      </c>
      <c r="M860" t="str">
        <f t="shared" si="41"/>
        <v>10-20hrs</v>
      </c>
      <c r="N860" t="str">
        <f t="shared" si="39"/>
        <v>3-6months</v>
      </c>
      <c r="O860" t="str">
        <f t="shared" si="40"/>
        <v>Basic</v>
      </c>
      <c r="P860" s="7">
        <v>45657</v>
      </c>
    </row>
    <row r="861" spans="1:16" x14ac:dyDescent="0.3">
      <c r="A861">
        <v>860</v>
      </c>
      <c r="B861" s="7">
        <v>44988</v>
      </c>
      <c r="C861" t="s">
        <v>14</v>
      </c>
      <c r="D861">
        <v>399</v>
      </c>
      <c r="E861">
        <v>19.600000000000001</v>
      </c>
      <c r="F861">
        <v>4</v>
      </c>
      <c r="G861">
        <v>0</v>
      </c>
      <c r="H861">
        <v>11</v>
      </c>
      <c r="I861">
        <v>24</v>
      </c>
      <c r="J861" t="s">
        <v>11</v>
      </c>
      <c r="K861">
        <f>IF(J861="Yes", 1, 0)</f>
        <v>1</v>
      </c>
      <c r="L861" t="str">
        <f>IF(G861=0,"0 Failures","1+ Failures")</f>
        <v>0 Failures</v>
      </c>
      <c r="M861" t="str">
        <f t="shared" si="41"/>
        <v>10-20hrs</v>
      </c>
      <c r="N861" t="str">
        <f t="shared" si="39"/>
        <v>6-12months</v>
      </c>
      <c r="O861" t="str">
        <f t="shared" si="40"/>
        <v>Basic</v>
      </c>
      <c r="P861" s="7">
        <v>45657</v>
      </c>
    </row>
    <row r="862" spans="1:16" x14ac:dyDescent="0.3">
      <c r="A862">
        <v>861</v>
      </c>
      <c r="B862" s="7">
        <v>45329</v>
      </c>
      <c r="C862" t="s">
        <v>14</v>
      </c>
      <c r="D862">
        <v>399</v>
      </c>
      <c r="E862">
        <v>4.9000000000000004</v>
      </c>
      <c r="F862">
        <v>1</v>
      </c>
      <c r="G862">
        <v>3</v>
      </c>
      <c r="H862">
        <v>17</v>
      </c>
      <c r="I862">
        <v>59</v>
      </c>
      <c r="J862" t="s">
        <v>11</v>
      </c>
      <c r="K862">
        <f>IF(J862="Yes", 1, 0)</f>
        <v>1</v>
      </c>
      <c r="L862" t="str">
        <f>IF(G862=0,"0 Failures","1+ Failures")</f>
        <v>1+ Failures</v>
      </c>
      <c r="M862" t="str">
        <f t="shared" si="41"/>
        <v>0-5 hrs</v>
      </c>
      <c r="N862" t="str">
        <f t="shared" si="39"/>
        <v>12+ months</v>
      </c>
      <c r="O862" t="str">
        <f t="shared" si="40"/>
        <v>Basic</v>
      </c>
      <c r="P862" s="7">
        <v>45657</v>
      </c>
    </row>
    <row r="863" spans="1:16" x14ac:dyDescent="0.3">
      <c r="A863">
        <v>862</v>
      </c>
      <c r="B863" s="7">
        <v>45035</v>
      </c>
      <c r="C863" t="s">
        <v>12</v>
      </c>
      <c r="D863">
        <v>199</v>
      </c>
      <c r="E863">
        <v>3.2</v>
      </c>
      <c r="F863">
        <v>8</v>
      </c>
      <c r="G863">
        <v>3</v>
      </c>
      <c r="H863">
        <v>32</v>
      </c>
      <c r="I863">
        <v>13</v>
      </c>
      <c r="J863" t="s">
        <v>11</v>
      </c>
      <c r="K863">
        <f>IF(J863="Yes", 1, 0)</f>
        <v>1</v>
      </c>
      <c r="L863" t="str">
        <f>IF(G863=0,"0 Failures","1+ Failures")</f>
        <v>1+ Failures</v>
      </c>
      <c r="M863" t="str">
        <f t="shared" si="41"/>
        <v>0-5 hrs</v>
      </c>
      <c r="N863" t="str">
        <f t="shared" si="39"/>
        <v>12+ months</v>
      </c>
      <c r="O863" t="str">
        <f t="shared" si="40"/>
        <v>Basic</v>
      </c>
      <c r="P863" s="7">
        <v>45657</v>
      </c>
    </row>
    <row r="864" spans="1:16" x14ac:dyDescent="0.3">
      <c r="A864">
        <v>863</v>
      </c>
      <c r="B864" s="7">
        <v>45383</v>
      </c>
      <c r="C864" t="s">
        <v>14</v>
      </c>
      <c r="D864">
        <v>399</v>
      </c>
      <c r="E864">
        <v>3</v>
      </c>
      <c r="F864">
        <v>1</v>
      </c>
      <c r="G864">
        <v>0</v>
      </c>
      <c r="H864">
        <v>17</v>
      </c>
      <c r="I864">
        <v>36</v>
      </c>
      <c r="J864" t="s">
        <v>13</v>
      </c>
      <c r="K864">
        <f>IF(J864="Yes", 1, 0)</f>
        <v>0</v>
      </c>
      <c r="L864" t="str">
        <f>IF(G864=0,"0 Failures","1+ Failures")</f>
        <v>0 Failures</v>
      </c>
      <c r="M864" t="str">
        <f t="shared" si="41"/>
        <v>0-5 hrs</v>
      </c>
      <c r="N864" t="str">
        <f t="shared" si="39"/>
        <v>12+ months</v>
      </c>
      <c r="O864" t="str">
        <f t="shared" si="40"/>
        <v>Basic</v>
      </c>
      <c r="P864" s="7">
        <v>45657</v>
      </c>
    </row>
    <row r="865" spans="1:16" x14ac:dyDescent="0.3">
      <c r="A865">
        <v>864</v>
      </c>
      <c r="B865" s="7">
        <v>45082</v>
      </c>
      <c r="C865" t="s">
        <v>12</v>
      </c>
      <c r="D865">
        <v>199</v>
      </c>
      <c r="E865">
        <v>4.0999999999999996</v>
      </c>
      <c r="F865">
        <v>0</v>
      </c>
      <c r="G865">
        <v>0</v>
      </c>
      <c r="H865">
        <v>32</v>
      </c>
      <c r="I865">
        <v>42</v>
      </c>
      <c r="J865" t="s">
        <v>11</v>
      </c>
      <c r="K865">
        <f>IF(J865="Yes", 1, 0)</f>
        <v>1</v>
      </c>
      <c r="L865" t="str">
        <f>IF(G865=0,"0 Failures","1+ Failures")</f>
        <v>0 Failures</v>
      </c>
      <c r="M865" t="str">
        <f t="shared" si="41"/>
        <v>0-5 hrs</v>
      </c>
      <c r="N865" t="str">
        <f t="shared" si="39"/>
        <v>12+ months</v>
      </c>
      <c r="O865" t="str">
        <f t="shared" si="40"/>
        <v>Basic</v>
      </c>
      <c r="P865" s="7">
        <v>45657</v>
      </c>
    </row>
    <row r="866" spans="1:16" x14ac:dyDescent="0.3">
      <c r="A866">
        <v>865</v>
      </c>
      <c r="B866" s="7">
        <v>45429</v>
      </c>
      <c r="C866" t="s">
        <v>10</v>
      </c>
      <c r="D866">
        <v>699</v>
      </c>
      <c r="E866">
        <v>22.7</v>
      </c>
      <c r="F866">
        <v>0</v>
      </c>
      <c r="G866">
        <v>4</v>
      </c>
      <c r="H866">
        <v>22</v>
      </c>
      <c r="I866">
        <v>45</v>
      </c>
      <c r="J866" t="s">
        <v>13</v>
      </c>
      <c r="K866">
        <f>IF(J866="Yes", 1, 0)</f>
        <v>0</v>
      </c>
      <c r="L866" t="str">
        <f>IF(G866=0,"0 Failures","1+ Failures")</f>
        <v>1+ Failures</v>
      </c>
      <c r="M866" t="str">
        <f t="shared" si="41"/>
        <v>20+ hrs</v>
      </c>
      <c r="N866" t="str">
        <f t="shared" si="39"/>
        <v>12+ months</v>
      </c>
      <c r="O866" t="str">
        <f t="shared" si="40"/>
        <v>Premium</v>
      </c>
      <c r="P866" s="7">
        <v>45657</v>
      </c>
    </row>
    <row r="867" spans="1:16" x14ac:dyDescent="0.3">
      <c r="A867">
        <v>866</v>
      </c>
      <c r="B867" s="7">
        <v>45632</v>
      </c>
      <c r="C867" t="s">
        <v>14</v>
      </c>
      <c r="D867">
        <v>399</v>
      </c>
      <c r="E867">
        <v>10.4</v>
      </c>
      <c r="F867">
        <v>1</v>
      </c>
      <c r="G867">
        <v>4</v>
      </c>
      <c r="H867">
        <v>28</v>
      </c>
      <c r="I867">
        <v>14</v>
      </c>
      <c r="J867" t="s">
        <v>11</v>
      </c>
      <c r="K867">
        <f>IF(J867="Yes", 1, 0)</f>
        <v>1</v>
      </c>
      <c r="L867" t="str">
        <f>IF(G867=0,"0 Failures","1+ Failures")</f>
        <v>1+ Failures</v>
      </c>
      <c r="M867" t="str">
        <f t="shared" si="41"/>
        <v>10-20hrs</v>
      </c>
      <c r="N867" t="str">
        <f t="shared" si="39"/>
        <v>12+ months</v>
      </c>
      <c r="O867" t="str">
        <f t="shared" si="40"/>
        <v>Basic</v>
      </c>
      <c r="P867" s="7">
        <v>45657</v>
      </c>
    </row>
    <row r="868" spans="1:16" x14ac:dyDescent="0.3">
      <c r="A868">
        <v>867</v>
      </c>
      <c r="B868" s="7">
        <v>44983</v>
      </c>
      <c r="C868" t="s">
        <v>14</v>
      </c>
      <c r="D868">
        <v>399</v>
      </c>
      <c r="E868">
        <v>14.4</v>
      </c>
      <c r="F868">
        <v>5</v>
      </c>
      <c r="G868">
        <v>2</v>
      </c>
      <c r="H868">
        <v>8</v>
      </c>
      <c r="I868">
        <v>43</v>
      </c>
      <c r="J868" t="s">
        <v>11</v>
      </c>
      <c r="K868">
        <f>IF(J868="Yes", 1, 0)</f>
        <v>1</v>
      </c>
      <c r="L868" t="str">
        <f>IF(G868=0,"0 Failures","1+ Failures")</f>
        <v>1+ Failures</v>
      </c>
      <c r="M868" t="str">
        <f t="shared" si="41"/>
        <v>10-20hrs</v>
      </c>
      <c r="N868" t="str">
        <f t="shared" si="39"/>
        <v>6-12months</v>
      </c>
      <c r="O868" t="str">
        <f t="shared" si="40"/>
        <v>Basic</v>
      </c>
      <c r="P868" s="7">
        <v>45657</v>
      </c>
    </row>
    <row r="869" spans="1:16" x14ac:dyDescent="0.3">
      <c r="A869">
        <v>868</v>
      </c>
      <c r="B869" s="7">
        <v>45223</v>
      </c>
      <c r="C869" t="s">
        <v>10</v>
      </c>
      <c r="D869">
        <v>699</v>
      </c>
      <c r="E869">
        <v>9.5</v>
      </c>
      <c r="F869">
        <v>5</v>
      </c>
      <c r="G869">
        <v>0</v>
      </c>
      <c r="H869">
        <v>6</v>
      </c>
      <c r="I869">
        <v>53</v>
      </c>
      <c r="J869" t="s">
        <v>11</v>
      </c>
      <c r="K869">
        <f>IF(J869="Yes", 1, 0)</f>
        <v>1</v>
      </c>
      <c r="L869" t="str">
        <f>IF(G869=0,"0 Failures","1+ Failures")</f>
        <v>0 Failures</v>
      </c>
      <c r="M869" t="str">
        <f t="shared" si="41"/>
        <v>5-10 hrs</v>
      </c>
      <c r="N869" t="str">
        <f t="shared" si="39"/>
        <v>3-6months</v>
      </c>
      <c r="O869" t="str">
        <f t="shared" si="40"/>
        <v>Premium</v>
      </c>
      <c r="P869" s="7">
        <v>45657</v>
      </c>
    </row>
    <row r="870" spans="1:16" x14ac:dyDescent="0.3">
      <c r="A870">
        <v>869</v>
      </c>
      <c r="B870" s="7">
        <v>45639</v>
      </c>
      <c r="C870" t="s">
        <v>10</v>
      </c>
      <c r="D870">
        <v>699</v>
      </c>
      <c r="E870">
        <v>4.8</v>
      </c>
      <c r="F870">
        <v>0</v>
      </c>
      <c r="G870">
        <v>3</v>
      </c>
      <c r="H870">
        <v>13</v>
      </c>
      <c r="I870">
        <v>42</v>
      </c>
      <c r="J870" t="s">
        <v>11</v>
      </c>
      <c r="K870">
        <f>IF(J870="Yes", 1, 0)</f>
        <v>1</v>
      </c>
      <c r="L870" t="str">
        <f>IF(G870=0,"0 Failures","1+ Failures")</f>
        <v>1+ Failures</v>
      </c>
      <c r="M870" t="str">
        <f t="shared" si="41"/>
        <v>0-5 hrs</v>
      </c>
      <c r="N870" t="str">
        <f t="shared" si="39"/>
        <v>12+ months</v>
      </c>
      <c r="O870" t="str">
        <f t="shared" si="40"/>
        <v>Premium</v>
      </c>
      <c r="P870" s="7">
        <v>45657</v>
      </c>
    </row>
    <row r="871" spans="1:16" x14ac:dyDescent="0.3">
      <c r="A871">
        <v>870</v>
      </c>
      <c r="B871" s="7">
        <v>45375</v>
      </c>
      <c r="C871" t="s">
        <v>14</v>
      </c>
      <c r="D871">
        <v>399</v>
      </c>
      <c r="E871">
        <v>16</v>
      </c>
      <c r="F871">
        <v>5</v>
      </c>
      <c r="G871">
        <v>3</v>
      </c>
      <c r="H871">
        <v>7</v>
      </c>
      <c r="I871">
        <v>5</v>
      </c>
      <c r="J871" t="s">
        <v>13</v>
      </c>
      <c r="K871">
        <f>IF(J871="Yes", 1, 0)</f>
        <v>0</v>
      </c>
      <c r="L871" t="str">
        <f>IF(G871=0,"0 Failures","1+ Failures")</f>
        <v>1+ Failures</v>
      </c>
      <c r="M871" t="str">
        <f t="shared" si="41"/>
        <v>10-20hrs</v>
      </c>
      <c r="N871" t="str">
        <f t="shared" si="39"/>
        <v>6-12months</v>
      </c>
      <c r="O871" t="str">
        <f t="shared" si="40"/>
        <v>Basic</v>
      </c>
      <c r="P871" s="7">
        <v>45657</v>
      </c>
    </row>
    <row r="872" spans="1:16" x14ac:dyDescent="0.3">
      <c r="A872">
        <v>871</v>
      </c>
      <c r="B872" s="7">
        <v>45171</v>
      </c>
      <c r="C872" t="s">
        <v>10</v>
      </c>
      <c r="D872">
        <v>699</v>
      </c>
      <c r="E872">
        <v>3.9</v>
      </c>
      <c r="F872">
        <v>3</v>
      </c>
      <c r="G872">
        <v>0</v>
      </c>
      <c r="H872">
        <v>13</v>
      </c>
      <c r="I872">
        <v>46</v>
      </c>
      <c r="J872" t="s">
        <v>13</v>
      </c>
      <c r="K872">
        <f>IF(J872="Yes", 1, 0)</f>
        <v>0</v>
      </c>
      <c r="L872" t="str">
        <f>IF(G872=0,"0 Failures","1+ Failures")</f>
        <v>0 Failures</v>
      </c>
      <c r="M872" t="str">
        <f t="shared" si="41"/>
        <v>0-5 hrs</v>
      </c>
      <c r="N872" t="str">
        <f t="shared" si="39"/>
        <v>12+ months</v>
      </c>
      <c r="O872" t="str">
        <f t="shared" si="40"/>
        <v>Premium</v>
      </c>
      <c r="P872" s="7">
        <v>45657</v>
      </c>
    </row>
    <row r="873" spans="1:16" x14ac:dyDescent="0.3">
      <c r="A873">
        <v>872</v>
      </c>
      <c r="B873" s="7">
        <v>45387</v>
      </c>
      <c r="C873" t="s">
        <v>14</v>
      </c>
      <c r="D873">
        <v>399</v>
      </c>
      <c r="E873">
        <v>2</v>
      </c>
      <c r="F873">
        <v>8</v>
      </c>
      <c r="G873">
        <v>5</v>
      </c>
      <c r="H873">
        <v>25</v>
      </c>
      <c r="I873">
        <v>19</v>
      </c>
      <c r="J873" t="s">
        <v>11</v>
      </c>
      <c r="K873">
        <f>IF(J873="Yes", 1, 0)</f>
        <v>1</v>
      </c>
      <c r="L873" t="str">
        <f>IF(G873=0,"0 Failures","1+ Failures")</f>
        <v>1+ Failures</v>
      </c>
      <c r="M873" t="str">
        <f t="shared" si="41"/>
        <v>0-5 hrs</v>
      </c>
      <c r="N873" t="str">
        <f t="shared" si="39"/>
        <v>12+ months</v>
      </c>
      <c r="O873" t="str">
        <f t="shared" si="40"/>
        <v>Basic</v>
      </c>
      <c r="P873" s="7">
        <v>45657</v>
      </c>
    </row>
    <row r="874" spans="1:16" x14ac:dyDescent="0.3">
      <c r="A874">
        <v>873</v>
      </c>
      <c r="B874" s="7">
        <v>45143</v>
      </c>
      <c r="C874" t="s">
        <v>12</v>
      </c>
      <c r="D874">
        <v>199</v>
      </c>
      <c r="E874">
        <v>8.8000000000000007</v>
      </c>
      <c r="F874">
        <v>5</v>
      </c>
      <c r="G874">
        <v>5</v>
      </c>
      <c r="H874">
        <v>3</v>
      </c>
      <c r="I874">
        <v>2</v>
      </c>
      <c r="J874" t="s">
        <v>11</v>
      </c>
      <c r="K874">
        <f>IF(J874="Yes", 1, 0)</f>
        <v>1</v>
      </c>
      <c r="L874" t="str">
        <f>IF(G874=0,"0 Failures","1+ Failures")</f>
        <v>1+ Failures</v>
      </c>
      <c r="M874" t="str">
        <f t="shared" si="41"/>
        <v>5-10 hrs</v>
      </c>
      <c r="N874" t="str">
        <f t="shared" si="39"/>
        <v>0-3months</v>
      </c>
      <c r="O874" t="str">
        <f t="shared" si="40"/>
        <v>Basic</v>
      </c>
      <c r="P874" s="7">
        <v>45657</v>
      </c>
    </row>
    <row r="875" spans="1:16" x14ac:dyDescent="0.3">
      <c r="A875">
        <v>874</v>
      </c>
      <c r="B875" s="7">
        <v>45000</v>
      </c>
      <c r="C875" t="s">
        <v>10</v>
      </c>
      <c r="D875">
        <v>699</v>
      </c>
      <c r="E875">
        <v>11.7</v>
      </c>
      <c r="F875">
        <v>8</v>
      </c>
      <c r="G875">
        <v>1</v>
      </c>
      <c r="H875">
        <v>34</v>
      </c>
      <c r="I875">
        <v>47</v>
      </c>
      <c r="J875" t="s">
        <v>13</v>
      </c>
      <c r="K875">
        <f>IF(J875="Yes", 1, 0)</f>
        <v>0</v>
      </c>
      <c r="L875" t="str">
        <f>IF(G875=0,"0 Failures","1+ Failures")</f>
        <v>1+ Failures</v>
      </c>
      <c r="M875" t="str">
        <f t="shared" si="41"/>
        <v>10-20hrs</v>
      </c>
      <c r="N875" t="str">
        <f t="shared" si="39"/>
        <v>12+ months</v>
      </c>
      <c r="O875" t="str">
        <f t="shared" si="40"/>
        <v>Premium</v>
      </c>
      <c r="P875" s="7">
        <v>45657</v>
      </c>
    </row>
    <row r="876" spans="1:16" x14ac:dyDescent="0.3">
      <c r="A876">
        <v>875</v>
      </c>
      <c r="B876" s="7">
        <v>44973</v>
      </c>
      <c r="C876" t="s">
        <v>12</v>
      </c>
      <c r="D876">
        <v>199</v>
      </c>
      <c r="E876">
        <v>12.5</v>
      </c>
      <c r="F876">
        <v>0</v>
      </c>
      <c r="G876">
        <v>3</v>
      </c>
      <c r="H876">
        <v>10</v>
      </c>
      <c r="I876">
        <v>58</v>
      </c>
      <c r="J876" t="s">
        <v>13</v>
      </c>
      <c r="K876">
        <f>IF(J876="Yes", 1, 0)</f>
        <v>0</v>
      </c>
      <c r="L876" t="str">
        <f>IF(G876=0,"0 Failures","1+ Failures")</f>
        <v>1+ Failures</v>
      </c>
      <c r="M876" t="str">
        <f t="shared" si="41"/>
        <v>10-20hrs</v>
      </c>
      <c r="N876" t="str">
        <f t="shared" si="39"/>
        <v>6-12months</v>
      </c>
      <c r="O876" t="str">
        <f t="shared" si="40"/>
        <v>Basic</v>
      </c>
      <c r="P876" s="7">
        <v>45657</v>
      </c>
    </row>
    <row r="877" spans="1:16" x14ac:dyDescent="0.3">
      <c r="A877">
        <v>876</v>
      </c>
      <c r="B877" s="7">
        <v>45394</v>
      </c>
      <c r="C877" t="s">
        <v>12</v>
      </c>
      <c r="D877">
        <v>199</v>
      </c>
      <c r="E877">
        <v>0.9</v>
      </c>
      <c r="F877">
        <v>0</v>
      </c>
      <c r="G877">
        <v>2</v>
      </c>
      <c r="H877">
        <v>9</v>
      </c>
      <c r="I877">
        <v>52</v>
      </c>
      <c r="J877" t="s">
        <v>11</v>
      </c>
      <c r="K877">
        <f>IF(J877="Yes", 1, 0)</f>
        <v>1</v>
      </c>
      <c r="L877" t="str">
        <f>IF(G877=0,"0 Failures","1+ Failures")</f>
        <v>1+ Failures</v>
      </c>
      <c r="M877" t="str">
        <f t="shared" si="41"/>
        <v>0-5 hrs</v>
      </c>
      <c r="N877" t="str">
        <f t="shared" si="39"/>
        <v>6-12months</v>
      </c>
      <c r="O877" t="str">
        <f t="shared" si="40"/>
        <v>Basic</v>
      </c>
      <c r="P877" s="7">
        <v>45657</v>
      </c>
    </row>
    <row r="878" spans="1:16" x14ac:dyDescent="0.3">
      <c r="A878">
        <v>877</v>
      </c>
      <c r="B878" s="7">
        <v>45557</v>
      </c>
      <c r="C878" t="s">
        <v>10</v>
      </c>
      <c r="D878">
        <v>699</v>
      </c>
      <c r="E878">
        <v>21</v>
      </c>
      <c r="F878">
        <v>1</v>
      </c>
      <c r="G878">
        <v>0</v>
      </c>
      <c r="H878">
        <v>11</v>
      </c>
      <c r="I878">
        <v>7</v>
      </c>
      <c r="J878" t="s">
        <v>13</v>
      </c>
      <c r="K878">
        <f>IF(J878="Yes", 1, 0)</f>
        <v>0</v>
      </c>
      <c r="L878" t="str">
        <f>IF(G878=0,"0 Failures","1+ Failures")</f>
        <v>0 Failures</v>
      </c>
      <c r="M878" t="str">
        <f t="shared" si="41"/>
        <v>20+ hrs</v>
      </c>
      <c r="N878" t="str">
        <f t="shared" si="39"/>
        <v>6-12months</v>
      </c>
      <c r="O878" t="str">
        <f t="shared" si="40"/>
        <v>Premium</v>
      </c>
      <c r="P878" s="7">
        <v>45657</v>
      </c>
    </row>
    <row r="879" spans="1:16" x14ac:dyDescent="0.3">
      <c r="A879">
        <v>878</v>
      </c>
      <c r="B879" s="7">
        <v>45621</v>
      </c>
      <c r="C879" t="s">
        <v>12</v>
      </c>
      <c r="D879">
        <v>199</v>
      </c>
      <c r="E879">
        <v>20.2</v>
      </c>
      <c r="F879">
        <v>6</v>
      </c>
      <c r="G879">
        <v>2</v>
      </c>
      <c r="H879">
        <v>5</v>
      </c>
      <c r="I879">
        <v>51</v>
      </c>
      <c r="J879" t="s">
        <v>13</v>
      </c>
      <c r="K879">
        <f>IF(J879="Yes", 1, 0)</f>
        <v>0</v>
      </c>
      <c r="L879" t="str">
        <f>IF(G879=0,"0 Failures","1+ Failures")</f>
        <v>1+ Failures</v>
      </c>
      <c r="M879" t="str">
        <f t="shared" si="41"/>
        <v>20+ hrs</v>
      </c>
      <c r="N879" t="str">
        <f t="shared" si="39"/>
        <v>3-6months</v>
      </c>
      <c r="O879" t="str">
        <f t="shared" si="40"/>
        <v>Basic</v>
      </c>
      <c r="P879" s="7">
        <v>45657</v>
      </c>
    </row>
    <row r="880" spans="1:16" x14ac:dyDescent="0.3">
      <c r="A880">
        <v>879</v>
      </c>
      <c r="B880" s="7">
        <v>45145</v>
      </c>
      <c r="C880" t="s">
        <v>14</v>
      </c>
      <c r="D880">
        <v>399</v>
      </c>
      <c r="E880">
        <v>3.5</v>
      </c>
      <c r="F880">
        <v>8</v>
      </c>
      <c r="G880">
        <v>1</v>
      </c>
      <c r="H880">
        <v>21</v>
      </c>
      <c r="I880">
        <v>20</v>
      </c>
      <c r="J880" t="s">
        <v>13</v>
      </c>
      <c r="K880">
        <f>IF(J880="Yes", 1, 0)</f>
        <v>0</v>
      </c>
      <c r="L880" t="str">
        <f>IF(G880=0,"0 Failures","1+ Failures")</f>
        <v>1+ Failures</v>
      </c>
      <c r="M880" t="str">
        <f t="shared" si="41"/>
        <v>0-5 hrs</v>
      </c>
      <c r="N880" t="str">
        <f t="shared" si="39"/>
        <v>12+ months</v>
      </c>
      <c r="O880" t="str">
        <f t="shared" si="40"/>
        <v>Basic</v>
      </c>
      <c r="P880" s="7">
        <v>45657</v>
      </c>
    </row>
    <row r="881" spans="1:16" x14ac:dyDescent="0.3">
      <c r="A881">
        <v>880</v>
      </c>
      <c r="B881" s="7">
        <v>45099</v>
      </c>
      <c r="C881" t="s">
        <v>12</v>
      </c>
      <c r="D881">
        <v>199</v>
      </c>
      <c r="E881">
        <v>8.6999999999999993</v>
      </c>
      <c r="F881">
        <v>1</v>
      </c>
      <c r="G881">
        <v>2</v>
      </c>
      <c r="H881">
        <v>12</v>
      </c>
      <c r="I881">
        <v>9</v>
      </c>
      <c r="J881" t="s">
        <v>13</v>
      </c>
      <c r="K881">
        <f>IF(J881="Yes", 1, 0)</f>
        <v>0</v>
      </c>
      <c r="L881" t="str">
        <f>IF(G881=0,"0 Failures","1+ Failures")</f>
        <v>1+ Failures</v>
      </c>
      <c r="M881" t="str">
        <f t="shared" si="41"/>
        <v>5-10 hrs</v>
      </c>
      <c r="N881" t="str">
        <f t="shared" si="39"/>
        <v>6-12months</v>
      </c>
      <c r="O881" t="str">
        <f t="shared" si="40"/>
        <v>Basic</v>
      </c>
      <c r="P881" s="7">
        <v>45657</v>
      </c>
    </row>
    <row r="882" spans="1:16" x14ac:dyDescent="0.3">
      <c r="A882">
        <v>881</v>
      </c>
      <c r="B882" s="7">
        <v>45063</v>
      </c>
      <c r="C882" t="s">
        <v>10</v>
      </c>
      <c r="D882">
        <v>699</v>
      </c>
      <c r="E882">
        <v>14.1</v>
      </c>
      <c r="F882">
        <v>7</v>
      </c>
      <c r="G882">
        <v>1</v>
      </c>
      <c r="H882">
        <v>24</v>
      </c>
      <c r="I882">
        <v>59</v>
      </c>
      <c r="J882" t="s">
        <v>13</v>
      </c>
      <c r="K882">
        <f>IF(J882="Yes", 1, 0)</f>
        <v>0</v>
      </c>
      <c r="L882" t="str">
        <f>IF(G882=0,"0 Failures","1+ Failures")</f>
        <v>1+ Failures</v>
      </c>
      <c r="M882" t="str">
        <f t="shared" si="41"/>
        <v>10-20hrs</v>
      </c>
      <c r="N882" t="str">
        <f t="shared" si="39"/>
        <v>12+ months</v>
      </c>
      <c r="O882" t="str">
        <f t="shared" si="40"/>
        <v>Premium</v>
      </c>
      <c r="P882" s="7">
        <v>45657</v>
      </c>
    </row>
    <row r="883" spans="1:16" x14ac:dyDescent="0.3">
      <c r="A883">
        <v>882</v>
      </c>
      <c r="B883" s="7">
        <v>45110</v>
      </c>
      <c r="C883" t="s">
        <v>12</v>
      </c>
      <c r="D883">
        <v>199</v>
      </c>
      <c r="E883">
        <v>19.600000000000001</v>
      </c>
      <c r="F883">
        <v>0</v>
      </c>
      <c r="G883">
        <v>3</v>
      </c>
      <c r="H883">
        <v>25</v>
      </c>
      <c r="I883">
        <v>5</v>
      </c>
      <c r="J883" t="s">
        <v>11</v>
      </c>
      <c r="K883">
        <f>IF(J883="Yes", 1, 0)</f>
        <v>1</v>
      </c>
      <c r="L883" t="str">
        <f>IF(G883=0,"0 Failures","1+ Failures")</f>
        <v>1+ Failures</v>
      </c>
      <c r="M883" t="str">
        <f t="shared" si="41"/>
        <v>10-20hrs</v>
      </c>
      <c r="N883" t="str">
        <f t="shared" si="39"/>
        <v>12+ months</v>
      </c>
      <c r="O883" t="str">
        <f t="shared" si="40"/>
        <v>Basic</v>
      </c>
      <c r="P883" s="7">
        <v>45657</v>
      </c>
    </row>
    <row r="884" spans="1:16" x14ac:dyDescent="0.3">
      <c r="A884">
        <v>883</v>
      </c>
      <c r="B884" s="7">
        <v>45582</v>
      </c>
      <c r="C884" t="s">
        <v>12</v>
      </c>
      <c r="D884">
        <v>199</v>
      </c>
      <c r="E884">
        <v>10.7</v>
      </c>
      <c r="F884">
        <v>7</v>
      </c>
      <c r="G884">
        <v>5</v>
      </c>
      <c r="H884">
        <v>19</v>
      </c>
      <c r="I884">
        <v>8</v>
      </c>
      <c r="J884" t="s">
        <v>11</v>
      </c>
      <c r="K884">
        <f>IF(J884="Yes", 1, 0)</f>
        <v>1</v>
      </c>
      <c r="L884" t="str">
        <f>IF(G884=0,"0 Failures","1+ Failures")</f>
        <v>1+ Failures</v>
      </c>
      <c r="M884" t="str">
        <f t="shared" si="41"/>
        <v>10-20hrs</v>
      </c>
      <c r="N884" t="str">
        <f t="shared" si="39"/>
        <v>12+ months</v>
      </c>
      <c r="O884" t="str">
        <f t="shared" si="40"/>
        <v>Basic</v>
      </c>
      <c r="P884" s="7">
        <v>45657</v>
      </c>
    </row>
    <row r="885" spans="1:16" x14ac:dyDescent="0.3">
      <c r="A885">
        <v>884</v>
      </c>
      <c r="B885" s="7">
        <v>45537</v>
      </c>
      <c r="C885" t="s">
        <v>14</v>
      </c>
      <c r="D885">
        <v>399</v>
      </c>
      <c r="E885">
        <v>11.5</v>
      </c>
      <c r="F885">
        <v>3</v>
      </c>
      <c r="G885">
        <v>1</v>
      </c>
      <c r="H885">
        <v>34</v>
      </c>
      <c r="I885">
        <v>39</v>
      </c>
      <c r="J885" t="s">
        <v>13</v>
      </c>
      <c r="K885">
        <f>IF(J885="Yes", 1, 0)</f>
        <v>0</v>
      </c>
      <c r="L885" t="str">
        <f>IF(G885=0,"0 Failures","1+ Failures")</f>
        <v>1+ Failures</v>
      </c>
      <c r="M885" t="str">
        <f t="shared" si="41"/>
        <v>10-20hrs</v>
      </c>
      <c r="N885" t="str">
        <f t="shared" si="39"/>
        <v>12+ months</v>
      </c>
      <c r="O885" t="str">
        <f t="shared" si="40"/>
        <v>Basic</v>
      </c>
      <c r="P885" s="7">
        <v>45657</v>
      </c>
    </row>
    <row r="886" spans="1:16" x14ac:dyDescent="0.3">
      <c r="A886">
        <v>885</v>
      </c>
      <c r="B886" s="7">
        <v>45283</v>
      </c>
      <c r="C886" t="s">
        <v>12</v>
      </c>
      <c r="D886">
        <v>199</v>
      </c>
      <c r="E886">
        <v>15.5</v>
      </c>
      <c r="F886">
        <v>1</v>
      </c>
      <c r="G886">
        <v>5</v>
      </c>
      <c r="H886">
        <v>32</v>
      </c>
      <c r="I886">
        <v>52</v>
      </c>
      <c r="J886" t="s">
        <v>13</v>
      </c>
      <c r="K886">
        <f>IF(J886="Yes", 1, 0)</f>
        <v>0</v>
      </c>
      <c r="L886" t="str">
        <f>IF(G886=0,"0 Failures","1+ Failures")</f>
        <v>1+ Failures</v>
      </c>
      <c r="M886" t="str">
        <f t="shared" si="41"/>
        <v>10-20hrs</v>
      </c>
      <c r="N886" t="str">
        <f t="shared" si="39"/>
        <v>12+ months</v>
      </c>
      <c r="O886" t="str">
        <f t="shared" si="40"/>
        <v>Basic</v>
      </c>
      <c r="P886" s="7">
        <v>45657</v>
      </c>
    </row>
    <row r="887" spans="1:16" x14ac:dyDescent="0.3">
      <c r="A887">
        <v>886</v>
      </c>
      <c r="B887" s="7">
        <v>45560</v>
      </c>
      <c r="C887" t="s">
        <v>14</v>
      </c>
      <c r="D887">
        <v>399</v>
      </c>
      <c r="E887">
        <v>14.2</v>
      </c>
      <c r="F887">
        <v>3</v>
      </c>
      <c r="G887">
        <v>0</v>
      </c>
      <c r="H887">
        <v>1</v>
      </c>
      <c r="I887">
        <v>33</v>
      </c>
      <c r="J887" t="s">
        <v>13</v>
      </c>
      <c r="K887">
        <f>IF(J887="Yes", 1, 0)</f>
        <v>0</v>
      </c>
      <c r="L887" t="str">
        <f>IF(G887=0,"0 Failures","1+ Failures")</f>
        <v>0 Failures</v>
      </c>
      <c r="M887" t="str">
        <f t="shared" si="41"/>
        <v>10-20hrs</v>
      </c>
      <c r="N887" t="str">
        <f t="shared" si="39"/>
        <v>0-3months</v>
      </c>
      <c r="O887" t="str">
        <f t="shared" si="40"/>
        <v>Basic</v>
      </c>
      <c r="P887" s="7">
        <v>45657</v>
      </c>
    </row>
    <row r="888" spans="1:16" x14ac:dyDescent="0.3">
      <c r="A888">
        <v>887</v>
      </c>
      <c r="B888" s="7">
        <v>44981</v>
      </c>
      <c r="C888" t="s">
        <v>14</v>
      </c>
      <c r="D888">
        <v>399</v>
      </c>
      <c r="E888">
        <v>12.9</v>
      </c>
      <c r="F888">
        <v>7</v>
      </c>
      <c r="G888">
        <v>5</v>
      </c>
      <c r="H888">
        <v>35</v>
      </c>
      <c r="I888">
        <v>42</v>
      </c>
      <c r="J888" t="s">
        <v>11</v>
      </c>
      <c r="K888">
        <f>IF(J888="Yes", 1, 0)</f>
        <v>1</v>
      </c>
      <c r="L888" t="str">
        <f>IF(G888=0,"0 Failures","1+ Failures")</f>
        <v>1+ Failures</v>
      </c>
      <c r="M888" t="str">
        <f t="shared" si="41"/>
        <v>10-20hrs</v>
      </c>
      <c r="N888" t="str">
        <f t="shared" si="39"/>
        <v>12+ months</v>
      </c>
      <c r="O888" t="str">
        <f t="shared" si="40"/>
        <v>Basic</v>
      </c>
      <c r="P888" s="7">
        <v>45657</v>
      </c>
    </row>
    <row r="889" spans="1:16" x14ac:dyDescent="0.3">
      <c r="A889">
        <v>888</v>
      </c>
      <c r="B889" s="7">
        <v>44971</v>
      </c>
      <c r="C889" t="s">
        <v>12</v>
      </c>
      <c r="D889">
        <v>199</v>
      </c>
      <c r="E889">
        <v>20</v>
      </c>
      <c r="F889">
        <v>7</v>
      </c>
      <c r="G889">
        <v>3</v>
      </c>
      <c r="H889">
        <v>8</v>
      </c>
      <c r="I889">
        <v>11</v>
      </c>
      <c r="J889" t="s">
        <v>11</v>
      </c>
      <c r="K889">
        <f>IF(J889="Yes", 1, 0)</f>
        <v>1</v>
      </c>
      <c r="L889" t="str">
        <f>IF(G889=0,"0 Failures","1+ Failures")</f>
        <v>1+ Failures</v>
      </c>
      <c r="M889" t="str">
        <f t="shared" si="41"/>
        <v>10-20hrs</v>
      </c>
      <c r="N889" t="str">
        <f t="shared" si="39"/>
        <v>6-12months</v>
      </c>
      <c r="O889" t="str">
        <f t="shared" si="40"/>
        <v>Basic</v>
      </c>
      <c r="P889" s="7">
        <v>45657</v>
      </c>
    </row>
    <row r="890" spans="1:16" x14ac:dyDescent="0.3">
      <c r="A890">
        <v>889</v>
      </c>
      <c r="B890" s="7">
        <v>45391</v>
      </c>
      <c r="C890" t="s">
        <v>12</v>
      </c>
      <c r="D890">
        <v>199</v>
      </c>
      <c r="E890">
        <v>7.5</v>
      </c>
      <c r="F890">
        <v>6</v>
      </c>
      <c r="G890">
        <v>2</v>
      </c>
      <c r="H890">
        <v>24</v>
      </c>
      <c r="I890">
        <v>21</v>
      </c>
      <c r="J890" t="s">
        <v>11</v>
      </c>
      <c r="K890">
        <f>IF(J890="Yes", 1, 0)</f>
        <v>1</v>
      </c>
      <c r="L890" t="str">
        <f>IF(G890=0,"0 Failures","1+ Failures")</f>
        <v>1+ Failures</v>
      </c>
      <c r="M890" t="str">
        <f t="shared" si="41"/>
        <v>5-10 hrs</v>
      </c>
      <c r="N890" t="str">
        <f t="shared" si="39"/>
        <v>12+ months</v>
      </c>
      <c r="O890" t="str">
        <f t="shared" si="40"/>
        <v>Basic</v>
      </c>
      <c r="P890" s="7">
        <v>45657</v>
      </c>
    </row>
    <row r="891" spans="1:16" x14ac:dyDescent="0.3">
      <c r="A891">
        <v>890</v>
      </c>
      <c r="B891" s="7">
        <v>45423</v>
      </c>
      <c r="C891" t="s">
        <v>12</v>
      </c>
      <c r="D891">
        <v>199</v>
      </c>
      <c r="E891">
        <v>18.600000000000001</v>
      </c>
      <c r="F891">
        <v>8</v>
      </c>
      <c r="G891">
        <v>1</v>
      </c>
      <c r="H891">
        <v>7</v>
      </c>
      <c r="I891">
        <v>10</v>
      </c>
      <c r="J891" t="s">
        <v>13</v>
      </c>
      <c r="K891">
        <f>IF(J891="Yes", 1, 0)</f>
        <v>0</v>
      </c>
      <c r="L891" t="str">
        <f>IF(G891=0,"0 Failures","1+ Failures")</f>
        <v>1+ Failures</v>
      </c>
      <c r="M891" t="str">
        <f t="shared" si="41"/>
        <v>10-20hrs</v>
      </c>
      <c r="N891" t="str">
        <f t="shared" si="39"/>
        <v>6-12months</v>
      </c>
      <c r="O891" t="str">
        <f t="shared" si="40"/>
        <v>Basic</v>
      </c>
      <c r="P891" s="7">
        <v>45657</v>
      </c>
    </row>
    <row r="892" spans="1:16" x14ac:dyDescent="0.3">
      <c r="A892">
        <v>891</v>
      </c>
      <c r="B892" s="7">
        <v>45260</v>
      </c>
      <c r="C892" t="s">
        <v>10</v>
      </c>
      <c r="D892">
        <v>699</v>
      </c>
      <c r="E892">
        <v>2.2000000000000002</v>
      </c>
      <c r="F892">
        <v>3</v>
      </c>
      <c r="G892">
        <v>5</v>
      </c>
      <c r="H892">
        <v>8</v>
      </c>
      <c r="I892">
        <v>28</v>
      </c>
      <c r="J892" t="s">
        <v>11</v>
      </c>
      <c r="K892">
        <f>IF(J892="Yes", 1, 0)</f>
        <v>1</v>
      </c>
      <c r="L892" t="str">
        <f>IF(G892=0,"0 Failures","1+ Failures")</f>
        <v>1+ Failures</v>
      </c>
      <c r="M892" t="str">
        <f t="shared" si="41"/>
        <v>0-5 hrs</v>
      </c>
      <c r="N892" t="str">
        <f t="shared" si="39"/>
        <v>6-12months</v>
      </c>
      <c r="O892" t="str">
        <f t="shared" si="40"/>
        <v>Premium</v>
      </c>
      <c r="P892" s="7">
        <v>45657</v>
      </c>
    </row>
    <row r="893" spans="1:16" x14ac:dyDescent="0.3">
      <c r="A893">
        <v>892</v>
      </c>
      <c r="B893" s="7">
        <v>45160</v>
      </c>
      <c r="C893" t="s">
        <v>14</v>
      </c>
      <c r="D893">
        <v>399</v>
      </c>
      <c r="E893">
        <v>18.8</v>
      </c>
      <c r="F893">
        <v>5</v>
      </c>
      <c r="G893">
        <v>1</v>
      </c>
      <c r="H893">
        <v>13</v>
      </c>
      <c r="I893">
        <v>49</v>
      </c>
      <c r="J893" t="s">
        <v>11</v>
      </c>
      <c r="K893">
        <f>IF(J893="Yes", 1, 0)</f>
        <v>1</v>
      </c>
      <c r="L893" t="str">
        <f>IF(G893=0,"0 Failures","1+ Failures")</f>
        <v>1+ Failures</v>
      </c>
      <c r="M893" t="str">
        <f t="shared" si="41"/>
        <v>10-20hrs</v>
      </c>
      <c r="N893" t="str">
        <f t="shared" si="39"/>
        <v>12+ months</v>
      </c>
      <c r="O893" t="str">
        <f t="shared" si="40"/>
        <v>Basic</v>
      </c>
      <c r="P893" s="7">
        <v>45657</v>
      </c>
    </row>
    <row r="894" spans="1:16" x14ac:dyDescent="0.3">
      <c r="A894">
        <v>893</v>
      </c>
      <c r="B894" s="7">
        <v>45409</v>
      </c>
      <c r="C894" t="s">
        <v>12</v>
      </c>
      <c r="D894">
        <v>199</v>
      </c>
      <c r="E894">
        <v>18.600000000000001</v>
      </c>
      <c r="F894">
        <v>3</v>
      </c>
      <c r="G894">
        <v>3</v>
      </c>
      <c r="H894">
        <v>16</v>
      </c>
      <c r="I894">
        <v>57</v>
      </c>
      <c r="J894" t="s">
        <v>11</v>
      </c>
      <c r="K894">
        <f>IF(J894="Yes", 1, 0)</f>
        <v>1</v>
      </c>
      <c r="L894" t="str">
        <f>IF(G894=0,"0 Failures","1+ Failures")</f>
        <v>1+ Failures</v>
      </c>
      <c r="M894" t="str">
        <f t="shared" si="41"/>
        <v>10-20hrs</v>
      </c>
      <c r="N894" t="str">
        <f t="shared" si="39"/>
        <v>12+ months</v>
      </c>
      <c r="O894" t="str">
        <f t="shared" si="40"/>
        <v>Basic</v>
      </c>
      <c r="P894" s="7">
        <v>45657</v>
      </c>
    </row>
    <row r="895" spans="1:16" x14ac:dyDescent="0.3">
      <c r="A895">
        <v>894</v>
      </c>
      <c r="B895" s="7">
        <v>45392</v>
      </c>
      <c r="C895" t="s">
        <v>10</v>
      </c>
      <c r="D895">
        <v>699</v>
      </c>
      <c r="E895">
        <v>1.8</v>
      </c>
      <c r="F895">
        <v>6</v>
      </c>
      <c r="G895">
        <v>1</v>
      </c>
      <c r="H895">
        <v>32</v>
      </c>
      <c r="I895">
        <v>13</v>
      </c>
      <c r="J895" t="s">
        <v>13</v>
      </c>
      <c r="K895">
        <f>IF(J895="Yes", 1, 0)</f>
        <v>0</v>
      </c>
      <c r="L895" t="str">
        <f>IF(G895=0,"0 Failures","1+ Failures")</f>
        <v>1+ Failures</v>
      </c>
      <c r="M895" t="str">
        <f t="shared" si="41"/>
        <v>0-5 hrs</v>
      </c>
      <c r="N895" t="str">
        <f t="shared" si="39"/>
        <v>12+ months</v>
      </c>
      <c r="O895" t="str">
        <f t="shared" si="40"/>
        <v>Premium</v>
      </c>
      <c r="P895" s="7">
        <v>45657</v>
      </c>
    </row>
    <row r="896" spans="1:16" x14ac:dyDescent="0.3">
      <c r="A896">
        <v>895</v>
      </c>
      <c r="B896" s="7">
        <v>45203</v>
      </c>
      <c r="C896" t="s">
        <v>12</v>
      </c>
      <c r="D896">
        <v>199</v>
      </c>
      <c r="E896">
        <v>9.6999999999999993</v>
      </c>
      <c r="F896">
        <v>7</v>
      </c>
      <c r="G896">
        <v>5</v>
      </c>
      <c r="H896">
        <v>25</v>
      </c>
      <c r="I896">
        <v>12</v>
      </c>
      <c r="J896" t="s">
        <v>13</v>
      </c>
      <c r="K896">
        <f>IF(J896="Yes", 1, 0)</f>
        <v>0</v>
      </c>
      <c r="L896" t="str">
        <f>IF(G896=0,"0 Failures","1+ Failures")</f>
        <v>1+ Failures</v>
      </c>
      <c r="M896" t="str">
        <f t="shared" si="41"/>
        <v>5-10 hrs</v>
      </c>
      <c r="N896" t="str">
        <f t="shared" si="39"/>
        <v>12+ months</v>
      </c>
      <c r="O896" t="str">
        <f t="shared" si="40"/>
        <v>Basic</v>
      </c>
      <c r="P896" s="7">
        <v>45657</v>
      </c>
    </row>
    <row r="897" spans="1:16" x14ac:dyDescent="0.3">
      <c r="A897">
        <v>896</v>
      </c>
      <c r="B897" s="7">
        <v>45403</v>
      </c>
      <c r="C897" t="s">
        <v>12</v>
      </c>
      <c r="D897">
        <v>199</v>
      </c>
      <c r="E897">
        <v>3.6</v>
      </c>
      <c r="F897">
        <v>0</v>
      </c>
      <c r="G897">
        <v>2</v>
      </c>
      <c r="H897">
        <v>22</v>
      </c>
      <c r="I897">
        <v>8</v>
      </c>
      <c r="J897" t="s">
        <v>11</v>
      </c>
      <c r="K897">
        <f>IF(J897="Yes", 1, 0)</f>
        <v>1</v>
      </c>
      <c r="L897" t="str">
        <f>IF(G897=0,"0 Failures","1+ Failures")</f>
        <v>1+ Failures</v>
      </c>
      <c r="M897" t="str">
        <f t="shared" si="41"/>
        <v>0-5 hrs</v>
      </c>
      <c r="N897" t="str">
        <f t="shared" si="39"/>
        <v>12+ months</v>
      </c>
      <c r="O897" t="str">
        <f t="shared" si="40"/>
        <v>Basic</v>
      </c>
      <c r="P897" s="7">
        <v>45657</v>
      </c>
    </row>
    <row r="898" spans="1:16" x14ac:dyDescent="0.3">
      <c r="A898">
        <v>897</v>
      </c>
      <c r="B898" s="7">
        <v>45087</v>
      </c>
      <c r="C898" t="s">
        <v>14</v>
      </c>
      <c r="D898">
        <v>399</v>
      </c>
      <c r="E898">
        <v>4.7</v>
      </c>
      <c r="F898">
        <v>5</v>
      </c>
      <c r="G898">
        <v>1</v>
      </c>
      <c r="H898">
        <v>27</v>
      </c>
      <c r="I898">
        <v>56</v>
      </c>
      <c r="J898" t="s">
        <v>11</v>
      </c>
      <c r="K898">
        <f>IF(J898="Yes", 1, 0)</f>
        <v>1</v>
      </c>
      <c r="L898" t="str">
        <f>IF(G898=0,"0 Failures","1+ Failures")</f>
        <v>1+ Failures</v>
      </c>
      <c r="M898" t="str">
        <f t="shared" si="41"/>
        <v>0-5 hrs</v>
      </c>
      <c r="N898" t="str">
        <f t="shared" si="39"/>
        <v>12+ months</v>
      </c>
      <c r="O898" t="str">
        <f t="shared" si="40"/>
        <v>Basic</v>
      </c>
      <c r="P898" s="7">
        <v>45657</v>
      </c>
    </row>
    <row r="899" spans="1:16" x14ac:dyDescent="0.3">
      <c r="A899">
        <v>898</v>
      </c>
      <c r="B899" s="7">
        <v>45461</v>
      </c>
      <c r="C899" t="s">
        <v>10</v>
      </c>
      <c r="D899">
        <v>699</v>
      </c>
      <c r="E899">
        <v>14.7</v>
      </c>
      <c r="F899">
        <v>8</v>
      </c>
      <c r="G899">
        <v>1</v>
      </c>
      <c r="H899">
        <v>11</v>
      </c>
      <c r="I899">
        <v>5</v>
      </c>
      <c r="J899" t="s">
        <v>13</v>
      </c>
      <c r="K899">
        <f>IF(J899="Yes", 1, 0)</f>
        <v>0</v>
      </c>
      <c r="L899" t="str">
        <f>IF(G899=0,"0 Failures","1+ Failures")</f>
        <v>1+ Failures</v>
      </c>
      <c r="M899" t="str">
        <f t="shared" si="41"/>
        <v>10-20hrs</v>
      </c>
      <c r="N899" t="str">
        <f t="shared" ref="N899:N962" si="42">IF(H899&lt;=3, "0-3months", IF(H899&lt;=6, "3-6months", IF(H899&lt;=12, "6-12months", "12+ months")))</f>
        <v>6-12months</v>
      </c>
      <c r="O899" t="str">
        <f t="shared" ref="O899:O962" si="43">IF(C899="premium", "Premium", "Basic")</f>
        <v>Premium</v>
      </c>
      <c r="P899" s="7">
        <v>45657</v>
      </c>
    </row>
    <row r="900" spans="1:16" x14ac:dyDescent="0.3">
      <c r="A900">
        <v>899</v>
      </c>
      <c r="B900" s="7">
        <v>45179</v>
      </c>
      <c r="C900" t="s">
        <v>14</v>
      </c>
      <c r="D900">
        <v>399</v>
      </c>
      <c r="E900">
        <v>15</v>
      </c>
      <c r="F900">
        <v>7</v>
      </c>
      <c r="G900">
        <v>2</v>
      </c>
      <c r="H900">
        <v>14</v>
      </c>
      <c r="I900">
        <v>0</v>
      </c>
      <c r="J900" t="s">
        <v>13</v>
      </c>
      <c r="K900">
        <f>IF(J900="Yes", 1, 0)</f>
        <v>0</v>
      </c>
      <c r="L900" t="str">
        <f>IF(G900=0,"0 Failures","1+ Failures")</f>
        <v>1+ Failures</v>
      </c>
      <c r="M900" t="str">
        <f t="shared" si="41"/>
        <v>10-20hrs</v>
      </c>
      <c r="N900" t="str">
        <f t="shared" si="42"/>
        <v>12+ months</v>
      </c>
      <c r="O900" t="str">
        <f t="shared" si="43"/>
        <v>Basic</v>
      </c>
      <c r="P900" s="7">
        <v>45657</v>
      </c>
    </row>
    <row r="901" spans="1:16" x14ac:dyDescent="0.3">
      <c r="A901">
        <v>900</v>
      </c>
      <c r="B901" s="7">
        <v>45514</v>
      </c>
      <c r="C901" t="s">
        <v>12</v>
      </c>
      <c r="D901">
        <v>199</v>
      </c>
      <c r="E901">
        <v>11.1</v>
      </c>
      <c r="F901">
        <v>3</v>
      </c>
      <c r="G901">
        <v>4</v>
      </c>
      <c r="H901">
        <v>21</v>
      </c>
      <c r="I901">
        <v>60</v>
      </c>
      <c r="J901" t="s">
        <v>11</v>
      </c>
      <c r="K901">
        <f>IF(J901="Yes", 1, 0)</f>
        <v>1</v>
      </c>
      <c r="L901" t="str">
        <f>IF(G901=0,"0 Failures","1+ Failures")</f>
        <v>1+ Failures</v>
      </c>
      <c r="M901" t="str">
        <f t="shared" si="41"/>
        <v>10-20hrs</v>
      </c>
      <c r="N901" t="str">
        <f t="shared" si="42"/>
        <v>12+ months</v>
      </c>
      <c r="O901" t="str">
        <f t="shared" si="43"/>
        <v>Basic</v>
      </c>
      <c r="P901" s="7">
        <v>45657</v>
      </c>
    </row>
    <row r="902" spans="1:16" x14ac:dyDescent="0.3">
      <c r="A902">
        <v>901</v>
      </c>
      <c r="B902" s="7">
        <v>44961</v>
      </c>
      <c r="C902" t="s">
        <v>12</v>
      </c>
      <c r="D902">
        <v>199</v>
      </c>
      <c r="E902">
        <v>24.5</v>
      </c>
      <c r="F902">
        <v>0</v>
      </c>
      <c r="G902">
        <v>3</v>
      </c>
      <c r="H902">
        <v>27</v>
      </c>
      <c r="I902">
        <v>46</v>
      </c>
      <c r="J902" t="s">
        <v>13</v>
      </c>
      <c r="K902">
        <f>IF(J902="Yes", 1, 0)</f>
        <v>0</v>
      </c>
      <c r="L902" t="str">
        <f>IF(G902=0,"0 Failures","1+ Failures")</f>
        <v>1+ Failures</v>
      </c>
      <c r="M902" t="str">
        <f t="shared" si="41"/>
        <v>20+ hrs</v>
      </c>
      <c r="N902" t="str">
        <f t="shared" si="42"/>
        <v>12+ months</v>
      </c>
      <c r="O902" t="str">
        <f t="shared" si="43"/>
        <v>Basic</v>
      </c>
      <c r="P902" s="7">
        <v>45657</v>
      </c>
    </row>
    <row r="903" spans="1:16" x14ac:dyDescent="0.3">
      <c r="A903">
        <v>902</v>
      </c>
      <c r="B903" s="7">
        <v>45498</v>
      </c>
      <c r="C903" t="s">
        <v>14</v>
      </c>
      <c r="D903">
        <v>399</v>
      </c>
      <c r="E903">
        <v>10.199999999999999</v>
      </c>
      <c r="F903">
        <v>1</v>
      </c>
      <c r="G903">
        <v>3</v>
      </c>
      <c r="H903">
        <v>34</v>
      </c>
      <c r="I903">
        <v>31</v>
      </c>
      <c r="J903" t="s">
        <v>11</v>
      </c>
      <c r="K903">
        <f>IF(J903="Yes", 1, 0)</f>
        <v>1</v>
      </c>
      <c r="L903" t="str">
        <f>IF(G903=0,"0 Failures","1+ Failures")</f>
        <v>1+ Failures</v>
      </c>
      <c r="M903" t="str">
        <f t="shared" si="41"/>
        <v>10-20hrs</v>
      </c>
      <c r="N903" t="str">
        <f t="shared" si="42"/>
        <v>12+ months</v>
      </c>
      <c r="O903" t="str">
        <f t="shared" si="43"/>
        <v>Basic</v>
      </c>
      <c r="P903" s="7">
        <v>45657</v>
      </c>
    </row>
    <row r="904" spans="1:16" x14ac:dyDescent="0.3">
      <c r="A904">
        <v>903</v>
      </c>
      <c r="B904" s="7">
        <v>45019</v>
      </c>
      <c r="C904" t="s">
        <v>12</v>
      </c>
      <c r="D904">
        <v>199</v>
      </c>
      <c r="E904">
        <v>23.8</v>
      </c>
      <c r="F904">
        <v>2</v>
      </c>
      <c r="G904">
        <v>2</v>
      </c>
      <c r="H904">
        <v>27</v>
      </c>
      <c r="I904">
        <v>18</v>
      </c>
      <c r="J904" t="s">
        <v>11</v>
      </c>
      <c r="K904">
        <f>IF(J904="Yes", 1, 0)</f>
        <v>1</v>
      </c>
      <c r="L904" t="str">
        <f>IF(G904=0,"0 Failures","1+ Failures")</f>
        <v>1+ Failures</v>
      </c>
      <c r="M904" t="str">
        <f t="shared" si="41"/>
        <v>20+ hrs</v>
      </c>
      <c r="N904" t="str">
        <f t="shared" si="42"/>
        <v>12+ months</v>
      </c>
      <c r="O904" t="str">
        <f t="shared" si="43"/>
        <v>Basic</v>
      </c>
      <c r="P904" s="7">
        <v>45657</v>
      </c>
    </row>
    <row r="905" spans="1:16" x14ac:dyDescent="0.3">
      <c r="A905">
        <v>904</v>
      </c>
      <c r="B905" s="7">
        <v>45524</v>
      </c>
      <c r="C905" t="s">
        <v>12</v>
      </c>
      <c r="D905">
        <v>199</v>
      </c>
      <c r="E905">
        <v>16.899999999999999</v>
      </c>
      <c r="F905">
        <v>2</v>
      </c>
      <c r="G905">
        <v>5</v>
      </c>
      <c r="H905">
        <v>31</v>
      </c>
      <c r="I905">
        <v>29</v>
      </c>
      <c r="J905" t="s">
        <v>13</v>
      </c>
      <c r="K905">
        <f>IF(J905="Yes", 1, 0)</f>
        <v>0</v>
      </c>
      <c r="L905" t="str">
        <f>IF(G905=0,"0 Failures","1+ Failures")</f>
        <v>1+ Failures</v>
      </c>
      <c r="M905" t="str">
        <f t="shared" si="41"/>
        <v>10-20hrs</v>
      </c>
      <c r="N905" t="str">
        <f t="shared" si="42"/>
        <v>12+ months</v>
      </c>
      <c r="O905" t="str">
        <f t="shared" si="43"/>
        <v>Basic</v>
      </c>
      <c r="P905" s="7">
        <v>45657</v>
      </c>
    </row>
    <row r="906" spans="1:16" x14ac:dyDescent="0.3">
      <c r="A906">
        <v>905</v>
      </c>
      <c r="B906" s="7">
        <v>45306</v>
      </c>
      <c r="C906" t="s">
        <v>12</v>
      </c>
      <c r="D906">
        <v>199</v>
      </c>
      <c r="E906">
        <v>11.9</v>
      </c>
      <c r="F906">
        <v>2</v>
      </c>
      <c r="G906">
        <v>5</v>
      </c>
      <c r="H906">
        <v>30</v>
      </c>
      <c r="I906">
        <v>25</v>
      </c>
      <c r="J906" t="s">
        <v>11</v>
      </c>
      <c r="K906">
        <f>IF(J906="Yes", 1, 0)</f>
        <v>1</v>
      </c>
      <c r="L906" t="str">
        <f>IF(G906=0,"0 Failures","1+ Failures")</f>
        <v>1+ Failures</v>
      </c>
      <c r="M906" t="str">
        <f t="shared" si="41"/>
        <v>10-20hrs</v>
      </c>
      <c r="N906" t="str">
        <f t="shared" si="42"/>
        <v>12+ months</v>
      </c>
      <c r="O906" t="str">
        <f t="shared" si="43"/>
        <v>Basic</v>
      </c>
      <c r="P906" s="7">
        <v>45657</v>
      </c>
    </row>
    <row r="907" spans="1:16" x14ac:dyDescent="0.3">
      <c r="A907">
        <v>906</v>
      </c>
      <c r="B907" s="7">
        <v>45634</v>
      </c>
      <c r="C907" t="s">
        <v>10</v>
      </c>
      <c r="D907">
        <v>699</v>
      </c>
      <c r="E907">
        <v>17.7</v>
      </c>
      <c r="F907">
        <v>0</v>
      </c>
      <c r="G907">
        <v>5</v>
      </c>
      <c r="H907">
        <v>30</v>
      </c>
      <c r="I907">
        <v>4</v>
      </c>
      <c r="J907" t="s">
        <v>13</v>
      </c>
      <c r="K907">
        <f>IF(J907="Yes", 1, 0)</f>
        <v>0</v>
      </c>
      <c r="L907" t="str">
        <f>IF(G907=0,"0 Failures","1+ Failures")</f>
        <v>1+ Failures</v>
      </c>
      <c r="M907" t="str">
        <f t="shared" ref="M907:M970" si="44">IF(E907&lt;=5, "0-5 hrs",    IF(E907&lt;=10, "5-10 hrs",    IF(E907&lt;=20, "10-20hrs", "20+ hrs")))</f>
        <v>10-20hrs</v>
      </c>
      <c r="N907" t="str">
        <f t="shared" si="42"/>
        <v>12+ months</v>
      </c>
      <c r="O907" t="str">
        <f t="shared" si="43"/>
        <v>Premium</v>
      </c>
      <c r="P907" s="7">
        <v>45657</v>
      </c>
    </row>
    <row r="908" spans="1:16" x14ac:dyDescent="0.3">
      <c r="A908">
        <v>907</v>
      </c>
      <c r="B908" s="7">
        <v>45482</v>
      </c>
      <c r="C908" t="s">
        <v>14</v>
      </c>
      <c r="D908">
        <v>399</v>
      </c>
      <c r="E908">
        <v>1.3</v>
      </c>
      <c r="F908">
        <v>6</v>
      </c>
      <c r="G908">
        <v>2</v>
      </c>
      <c r="H908">
        <v>34</v>
      </c>
      <c r="I908">
        <v>44</v>
      </c>
      <c r="J908" t="s">
        <v>11</v>
      </c>
      <c r="K908">
        <f>IF(J908="Yes", 1, 0)</f>
        <v>1</v>
      </c>
      <c r="L908" t="str">
        <f>IF(G908=0,"0 Failures","1+ Failures")</f>
        <v>1+ Failures</v>
      </c>
      <c r="M908" t="str">
        <f t="shared" si="44"/>
        <v>0-5 hrs</v>
      </c>
      <c r="N908" t="str">
        <f t="shared" si="42"/>
        <v>12+ months</v>
      </c>
      <c r="O908" t="str">
        <f t="shared" si="43"/>
        <v>Basic</v>
      </c>
      <c r="P908" s="7">
        <v>45657</v>
      </c>
    </row>
    <row r="909" spans="1:16" x14ac:dyDescent="0.3">
      <c r="A909">
        <v>908</v>
      </c>
      <c r="B909" s="7">
        <v>44983</v>
      </c>
      <c r="C909" t="s">
        <v>10</v>
      </c>
      <c r="D909">
        <v>699</v>
      </c>
      <c r="E909">
        <v>19.8</v>
      </c>
      <c r="F909">
        <v>1</v>
      </c>
      <c r="G909">
        <v>4</v>
      </c>
      <c r="H909">
        <v>14</v>
      </c>
      <c r="I909">
        <v>56</v>
      </c>
      <c r="J909" t="s">
        <v>11</v>
      </c>
      <c r="K909">
        <f>IF(J909="Yes", 1, 0)</f>
        <v>1</v>
      </c>
      <c r="L909" t="str">
        <f>IF(G909=0,"0 Failures","1+ Failures")</f>
        <v>1+ Failures</v>
      </c>
      <c r="M909" t="str">
        <f t="shared" si="44"/>
        <v>10-20hrs</v>
      </c>
      <c r="N909" t="str">
        <f t="shared" si="42"/>
        <v>12+ months</v>
      </c>
      <c r="O909" t="str">
        <f t="shared" si="43"/>
        <v>Premium</v>
      </c>
      <c r="P909" s="7">
        <v>45657</v>
      </c>
    </row>
    <row r="910" spans="1:16" x14ac:dyDescent="0.3">
      <c r="A910">
        <v>909</v>
      </c>
      <c r="B910" s="7">
        <v>44968</v>
      </c>
      <c r="C910" t="s">
        <v>10</v>
      </c>
      <c r="D910">
        <v>699</v>
      </c>
      <c r="E910">
        <v>22.3</v>
      </c>
      <c r="F910">
        <v>1</v>
      </c>
      <c r="G910">
        <v>3</v>
      </c>
      <c r="H910">
        <v>24</v>
      </c>
      <c r="I910">
        <v>23</v>
      </c>
      <c r="J910" t="s">
        <v>11</v>
      </c>
      <c r="K910">
        <f>IF(J910="Yes", 1, 0)</f>
        <v>1</v>
      </c>
      <c r="L910" t="str">
        <f>IF(G910=0,"0 Failures","1+ Failures")</f>
        <v>1+ Failures</v>
      </c>
      <c r="M910" t="str">
        <f t="shared" si="44"/>
        <v>20+ hrs</v>
      </c>
      <c r="N910" t="str">
        <f t="shared" si="42"/>
        <v>12+ months</v>
      </c>
      <c r="O910" t="str">
        <f t="shared" si="43"/>
        <v>Premium</v>
      </c>
      <c r="P910" s="7">
        <v>45657</v>
      </c>
    </row>
    <row r="911" spans="1:16" x14ac:dyDescent="0.3">
      <c r="A911">
        <v>910</v>
      </c>
      <c r="B911" s="7">
        <v>45136</v>
      </c>
      <c r="C911" t="s">
        <v>14</v>
      </c>
      <c r="D911">
        <v>399</v>
      </c>
      <c r="E911">
        <v>4.8</v>
      </c>
      <c r="F911">
        <v>8</v>
      </c>
      <c r="G911">
        <v>5</v>
      </c>
      <c r="H911">
        <v>24</v>
      </c>
      <c r="I911">
        <v>4</v>
      </c>
      <c r="J911" t="s">
        <v>11</v>
      </c>
      <c r="K911">
        <f>IF(J911="Yes", 1, 0)</f>
        <v>1</v>
      </c>
      <c r="L911" t="str">
        <f>IF(G911=0,"0 Failures","1+ Failures")</f>
        <v>1+ Failures</v>
      </c>
      <c r="M911" t="str">
        <f t="shared" si="44"/>
        <v>0-5 hrs</v>
      </c>
      <c r="N911" t="str">
        <f t="shared" si="42"/>
        <v>12+ months</v>
      </c>
      <c r="O911" t="str">
        <f t="shared" si="43"/>
        <v>Basic</v>
      </c>
      <c r="P911" s="7">
        <v>45657</v>
      </c>
    </row>
    <row r="912" spans="1:16" x14ac:dyDescent="0.3">
      <c r="A912">
        <v>911</v>
      </c>
      <c r="B912" s="7">
        <v>45521</v>
      </c>
      <c r="C912" t="s">
        <v>12</v>
      </c>
      <c r="D912">
        <v>199</v>
      </c>
      <c r="E912">
        <v>6.3</v>
      </c>
      <c r="F912">
        <v>1</v>
      </c>
      <c r="G912">
        <v>5</v>
      </c>
      <c r="H912">
        <v>22</v>
      </c>
      <c r="I912">
        <v>30</v>
      </c>
      <c r="J912" t="s">
        <v>13</v>
      </c>
      <c r="K912">
        <f>IF(J912="Yes", 1, 0)</f>
        <v>0</v>
      </c>
      <c r="L912" t="str">
        <f>IF(G912=0,"0 Failures","1+ Failures")</f>
        <v>1+ Failures</v>
      </c>
      <c r="M912" t="str">
        <f t="shared" si="44"/>
        <v>5-10 hrs</v>
      </c>
      <c r="N912" t="str">
        <f t="shared" si="42"/>
        <v>12+ months</v>
      </c>
      <c r="O912" t="str">
        <f t="shared" si="43"/>
        <v>Basic</v>
      </c>
      <c r="P912" s="7">
        <v>45657</v>
      </c>
    </row>
    <row r="913" spans="1:16" x14ac:dyDescent="0.3">
      <c r="A913">
        <v>912</v>
      </c>
      <c r="B913" s="7">
        <v>45442</v>
      </c>
      <c r="C913" t="s">
        <v>10</v>
      </c>
      <c r="D913">
        <v>699</v>
      </c>
      <c r="E913">
        <v>19</v>
      </c>
      <c r="F913">
        <v>3</v>
      </c>
      <c r="G913">
        <v>2</v>
      </c>
      <c r="H913">
        <v>14</v>
      </c>
      <c r="I913">
        <v>22</v>
      </c>
      <c r="J913" t="s">
        <v>13</v>
      </c>
      <c r="K913">
        <f>IF(J913="Yes", 1, 0)</f>
        <v>0</v>
      </c>
      <c r="L913" t="str">
        <f>IF(G913=0,"0 Failures","1+ Failures")</f>
        <v>1+ Failures</v>
      </c>
      <c r="M913" t="str">
        <f t="shared" si="44"/>
        <v>10-20hrs</v>
      </c>
      <c r="N913" t="str">
        <f t="shared" si="42"/>
        <v>12+ months</v>
      </c>
      <c r="O913" t="str">
        <f t="shared" si="43"/>
        <v>Premium</v>
      </c>
      <c r="P913" s="7">
        <v>45657</v>
      </c>
    </row>
    <row r="914" spans="1:16" x14ac:dyDescent="0.3">
      <c r="A914">
        <v>913</v>
      </c>
      <c r="B914" s="7">
        <v>45440</v>
      </c>
      <c r="C914" t="s">
        <v>10</v>
      </c>
      <c r="D914">
        <v>699</v>
      </c>
      <c r="E914">
        <v>7.3</v>
      </c>
      <c r="F914">
        <v>1</v>
      </c>
      <c r="G914">
        <v>2</v>
      </c>
      <c r="H914">
        <v>28</v>
      </c>
      <c r="I914">
        <v>22</v>
      </c>
      <c r="J914" t="s">
        <v>11</v>
      </c>
      <c r="K914">
        <f>IF(J914="Yes", 1, 0)</f>
        <v>1</v>
      </c>
      <c r="L914" t="str">
        <f>IF(G914=0,"0 Failures","1+ Failures")</f>
        <v>1+ Failures</v>
      </c>
      <c r="M914" t="str">
        <f t="shared" si="44"/>
        <v>5-10 hrs</v>
      </c>
      <c r="N914" t="str">
        <f t="shared" si="42"/>
        <v>12+ months</v>
      </c>
      <c r="O914" t="str">
        <f t="shared" si="43"/>
        <v>Premium</v>
      </c>
      <c r="P914" s="7">
        <v>45657</v>
      </c>
    </row>
    <row r="915" spans="1:16" x14ac:dyDescent="0.3">
      <c r="A915">
        <v>914</v>
      </c>
      <c r="B915" s="7">
        <v>45226</v>
      </c>
      <c r="C915" t="s">
        <v>10</v>
      </c>
      <c r="D915">
        <v>699</v>
      </c>
      <c r="E915">
        <v>12</v>
      </c>
      <c r="F915">
        <v>8</v>
      </c>
      <c r="G915">
        <v>5</v>
      </c>
      <c r="H915">
        <v>8</v>
      </c>
      <c r="I915">
        <v>52</v>
      </c>
      <c r="J915" t="s">
        <v>11</v>
      </c>
      <c r="K915">
        <f>IF(J915="Yes", 1, 0)</f>
        <v>1</v>
      </c>
      <c r="L915" t="str">
        <f>IF(G915=0,"0 Failures","1+ Failures")</f>
        <v>1+ Failures</v>
      </c>
      <c r="M915" t="str">
        <f t="shared" si="44"/>
        <v>10-20hrs</v>
      </c>
      <c r="N915" t="str">
        <f t="shared" si="42"/>
        <v>6-12months</v>
      </c>
      <c r="O915" t="str">
        <f t="shared" si="43"/>
        <v>Premium</v>
      </c>
      <c r="P915" s="7">
        <v>45657</v>
      </c>
    </row>
    <row r="916" spans="1:16" x14ac:dyDescent="0.3">
      <c r="A916">
        <v>915</v>
      </c>
      <c r="B916" s="7">
        <v>45016</v>
      </c>
      <c r="C916" t="s">
        <v>14</v>
      </c>
      <c r="D916">
        <v>399</v>
      </c>
      <c r="E916">
        <v>20.100000000000001</v>
      </c>
      <c r="F916">
        <v>1</v>
      </c>
      <c r="G916">
        <v>1</v>
      </c>
      <c r="H916">
        <v>24</v>
      </c>
      <c r="I916">
        <v>57</v>
      </c>
      <c r="J916" t="s">
        <v>13</v>
      </c>
      <c r="K916">
        <f>IF(J916="Yes", 1, 0)</f>
        <v>0</v>
      </c>
      <c r="L916" t="str">
        <f>IF(G916=0,"0 Failures","1+ Failures")</f>
        <v>1+ Failures</v>
      </c>
      <c r="M916" t="str">
        <f t="shared" si="44"/>
        <v>20+ hrs</v>
      </c>
      <c r="N916" t="str">
        <f t="shared" si="42"/>
        <v>12+ months</v>
      </c>
      <c r="O916" t="str">
        <f t="shared" si="43"/>
        <v>Basic</v>
      </c>
      <c r="P916" s="7">
        <v>45657</v>
      </c>
    </row>
    <row r="917" spans="1:16" x14ac:dyDescent="0.3">
      <c r="A917">
        <v>916</v>
      </c>
      <c r="B917" s="7">
        <v>45041</v>
      </c>
      <c r="C917" t="s">
        <v>12</v>
      </c>
      <c r="D917">
        <v>199</v>
      </c>
      <c r="E917">
        <v>22.5</v>
      </c>
      <c r="F917">
        <v>4</v>
      </c>
      <c r="G917">
        <v>0</v>
      </c>
      <c r="H917">
        <v>26</v>
      </c>
      <c r="I917">
        <v>6</v>
      </c>
      <c r="J917" t="s">
        <v>11</v>
      </c>
      <c r="K917">
        <f>IF(J917="Yes", 1, 0)</f>
        <v>1</v>
      </c>
      <c r="L917" t="str">
        <f>IF(G917=0,"0 Failures","1+ Failures")</f>
        <v>0 Failures</v>
      </c>
      <c r="M917" t="str">
        <f t="shared" si="44"/>
        <v>20+ hrs</v>
      </c>
      <c r="N917" t="str">
        <f t="shared" si="42"/>
        <v>12+ months</v>
      </c>
      <c r="O917" t="str">
        <f t="shared" si="43"/>
        <v>Basic</v>
      </c>
      <c r="P917" s="7">
        <v>45657</v>
      </c>
    </row>
    <row r="918" spans="1:16" x14ac:dyDescent="0.3">
      <c r="A918">
        <v>917</v>
      </c>
      <c r="B918" s="7">
        <v>45227</v>
      </c>
      <c r="C918" t="s">
        <v>10</v>
      </c>
      <c r="D918">
        <v>699</v>
      </c>
      <c r="E918">
        <v>12.7</v>
      </c>
      <c r="F918">
        <v>3</v>
      </c>
      <c r="G918">
        <v>4</v>
      </c>
      <c r="H918">
        <v>10</v>
      </c>
      <c r="I918">
        <v>60</v>
      </c>
      <c r="J918" t="s">
        <v>13</v>
      </c>
      <c r="K918">
        <f>IF(J918="Yes", 1, 0)</f>
        <v>0</v>
      </c>
      <c r="L918" t="str">
        <f>IF(G918=0,"0 Failures","1+ Failures")</f>
        <v>1+ Failures</v>
      </c>
      <c r="M918" t="str">
        <f t="shared" si="44"/>
        <v>10-20hrs</v>
      </c>
      <c r="N918" t="str">
        <f t="shared" si="42"/>
        <v>6-12months</v>
      </c>
      <c r="O918" t="str">
        <f t="shared" si="43"/>
        <v>Premium</v>
      </c>
      <c r="P918" s="7">
        <v>45657</v>
      </c>
    </row>
    <row r="919" spans="1:16" x14ac:dyDescent="0.3">
      <c r="A919">
        <v>918</v>
      </c>
      <c r="B919" s="7">
        <v>45587</v>
      </c>
      <c r="C919" t="s">
        <v>14</v>
      </c>
      <c r="D919">
        <v>399</v>
      </c>
      <c r="E919">
        <v>23.3</v>
      </c>
      <c r="F919">
        <v>7</v>
      </c>
      <c r="G919">
        <v>2</v>
      </c>
      <c r="H919">
        <v>35</v>
      </c>
      <c r="I919">
        <v>26</v>
      </c>
      <c r="J919" t="s">
        <v>11</v>
      </c>
      <c r="K919">
        <f>IF(J919="Yes", 1, 0)</f>
        <v>1</v>
      </c>
      <c r="L919" t="str">
        <f>IF(G919=0,"0 Failures","1+ Failures")</f>
        <v>1+ Failures</v>
      </c>
      <c r="M919" t="str">
        <f t="shared" si="44"/>
        <v>20+ hrs</v>
      </c>
      <c r="N919" t="str">
        <f t="shared" si="42"/>
        <v>12+ months</v>
      </c>
      <c r="O919" t="str">
        <f t="shared" si="43"/>
        <v>Basic</v>
      </c>
      <c r="P919" s="7">
        <v>45657</v>
      </c>
    </row>
    <row r="920" spans="1:16" x14ac:dyDescent="0.3">
      <c r="A920">
        <v>919</v>
      </c>
      <c r="B920" s="7">
        <v>45587</v>
      </c>
      <c r="C920" t="s">
        <v>12</v>
      </c>
      <c r="D920">
        <v>199</v>
      </c>
      <c r="E920">
        <v>5.0999999999999996</v>
      </c>
      <c r="F920">
        <v>0</v>
      </c>
      <c r="G920">
        <v>1</v>
      </c>
      <c r="H920">
        <v>19</v>
      </c>
      <c r="I920">
        <v>53</v>
      </c>
      <c r="J920" t="s">
        <v>13</v>
      </c>
      <c r="K920">
        <f>IF(J920="Yes", 1, 0)</f>
        <v>0</v>
      </c>
      <c r="L920" t="str">
        <f>IF(G920=0,"0 Failures","1+ Failures")</f>
        <v>1+ Failures</v>
      </c>
      <c r="M920" t="str">
        <f t="shared" si="44"/>
        <v>5-10 hrs</v>
      </c>
      <c r="N920" t="str">
        <f t="shared" si="42"/>
        <v>12+ months</v>
      </c>
      <c r="O920" t="str">
        <f t="shared" si="43"/>
        <v>Basic</v>
      </c>
      <c r="P920" s="7">
        <v>45657</v>
      </c>
    </row>
    <row r="921" spans="1:16" x14ac:dyDescent="0.3">
      <c r="A921">
        <v>920</v>
      </c>
      <c r="B921" s="7">
        <v>45469</v>
      </c>
      <c r="C921" t="s">
        <v>14</v>
      </c>
      <c r="D921">
        <v>399</v>
      </c>
      <c r="E921">
        <v>14.7</v>
      </c>
      <c r="F921">
        <v>5</v>
      </c>
      <c r="G921">
        <v>3</v>
      </c>
      <c r="H921">
        <v>27</v>
      </c>
      <c r="I921">
        <v>37</v>
      </c>
      <c r="J921" t="s">
        <v>11</v>
      </c>
      <c r="K921">
        <f>IF(J921="Yes", 1, 0)</f>
        <v>1</v>
      </c>
      <c r="L921" t="str">
        <f>IF(G921=0,"0 Failures","1+ Failures")</f>
        <v>1+ Failures</v>
      </c>
      <c r="M921" t="str">
        <f t="shared" si="44"/>
        <v>10-20hrs</v>
      </c>
      <c r="N921" t="str">
        <f t="shared" si="42"/>
        <v>12+ months</v>
      </c>
      <c r="O921" t="str">
        <f t="shared" si="43"/>
        <v>Basic</v>
      </c>
      <c r="P921" s="7">
        <v>45657</v>
      </c>
    </row>
    <row r="922" spans="1:16" x14ac:dyDescent="0.3">
      <c r="A922">
        <v>921</v>
      </c>
      <c r="B922" s="7">
        <v>45159</v>
      </c>
      <c r="C922" t="s">
        <v>10</v>
      </c>
      <c r="D922">
        <v>699</v>
      </c>
      <c r="E922">
        <v>11.7</v>
      </c>
      <c r="F922">
        <v>2</v>
      </c>
      <c r="G922">
        <v>2</v>
      </c>
      <c r="H922">
        <v>29</v>
      </c>
      <c r="I922">
        <v>10</v>
      </c>
      <c r="J922" t="s">
        <v>13</v>
      </c>
      <c r="K922">
        <f>IF(J922="Yes", 1, 0)</f>
        <v>0</v>
      </c>
      <c r="L922" t="str">
        <f>IF(G922=0,"0 Failures","1+ Failures")</f>
        <v>1+ Failures</v>
      </c>
      <c r="M922" t="str">
        <f t="shared" si="44"/>
        <v>10-20hrs</v>
      </c>
      <c r="N922" t="str">
        <f t="shared" si="42"/>
        <v>12+ months</v>
      </c>
      <c r="O922" t="str">
        <f t="shared" si="43"/>
        <v>Premium</v>
      </c>
      <c r="P922" s="7">
        <v>45657</v>
      </c>
    </row>
    <row r="923" spans="1:16" x14ac:dyDescent="0.3">
      <c r="A923">
        <v>922</v>
      </c>
      <c r="B923" s="7">
        <v>45097</v>
      </c>
      <c r="C923" t="s">
        <v>14</v>
      </c>
      <c r="D923">
        <v>399</v>
      </c>
      <c r="E923">
        <v>24.3</v>
      </c>
      <c r="F923">
        <v>0</v>
      </c>
      <c r="G923">
        <v>1</v>
      </c>
      <c r="H923">
        <v>24</v>
      </c>
      <c r="I923">
        <v>22</v>
      </c>
      <c r="J923" t="s">
        <v>11</v>
      </c>
      <c r="K923">
        <f>IF(J923="Yes", 1, 0)</f>
        <v>1</v>
      </c>
      <c r="L923" t="str">
        <f>IF(G923=0,"0 Failures","1+ Failures")</f>
        <v>1+ Failures</v>
      </c>
      <c r="M923" t="str">
        <f t="shared" si="44"/>
        <v>20+ hrs</v>
      </c>
      <c r="N923" t="str">
        <f t="shared" si="42"/>
        <v>12+ months</v>
      </c>
      <c r="O923" t="str">
        <f t="shared" si="43"/>
        <v>Basic</v>
      </c>
      <c r="P923" s="7">
        <v>45657</v>
      </c>
    </row>
    <row r="924" spans="1:16" x14ac:dyDescent="0.3">
      <c r="A924">
        <v>923</v>
      </c>
      <c r="B924" s="7">
        <v>45636</v>
      </c>
      <c r="C924" t="s">
        <v>10</v>
      </c>
      <c r="D924">
        <v>699</v>
      </c>
      <c r="E924">
        <v>17.899999999999999</v>
      </c>
      <c r="F924">
        <v>4</v>
      </c>
      <c r="G924">
        <v>1</v>
      </c>
      <c r="H924">
        <v>11</v>
      </c>
      <c r="I924">
        <v>11</v>
      </c>
      <c r="J924" t="s">
        <v>13</v>
      </c>
      <c r="K924">
        <f>IF(J924="Yes", 1, 0)</f>
        <v>0</v>
      </c>
      <c r="L924" t="str">
        <f>IF(G924=0,"0 Failures","1+ Failures")</f>
        <v>1+ Failures</v>
      </c>
      <c r="M924" t="str">
        <f t="shared" si="44"/>
        <v>10-20hrs</v>
      </c>
      <c r="N924" t="str">
        <f t="shared" si="42"/>
        <v>6-12months</v>
      </c>
      <c r="O924" t="str">
        <f t="shared" si="43"/>
        <v>Premium</v>
      </c>
      <c r="P924" s="7">
        <v>45657</v>
      </c>
    </row>
    <row r="925" spans="1:16" x14ac:dyDescent="0.3">
      <c r="A925">
        <v>924</v>
      </c>
      <c r="B925" s="7">
        <v>45378</v>
      </c>
      <c r="C925" t="s">
        <v>10</v>
      </c>
      <c r="D925">
        <v>699</v>
      </c>
      <c r="E925">
        <v>4.5</v>
      </c>
      <c r="F925">
        <v>1</v>
      </c>
      <c r="G925">
        <v>0</v>
      </c>
      <c r="H925">
        <v>10</v>
      </c>
      <c r="I925">
        <v>20</v>
      </c>
      <c r="J925" t="s">
        <v>13</v>
      </c>
      <c r="K925">
        <f>IF(J925="Yes", 1, 0)</f>
        <v>0</v>
      </c>
      <c r="L925" t="str">
        <f>IF(G925=0,"0 Failures","1+ Failures")</f>
        <v>0 Failures</v>
      </c>
      <c r="M925" t="str">
        <f t="shared" si="44"/>
        <v>0-5 hrs</v>
      </c>
      <c r="N925" t="str">
        <f t="shared" si="42"/>
        <v>6-12months</v>
      </c>
      <c r="O925" t="str">
        <f t="shared" si="43"/>
        <v>Premium</v>
      </c>
      <c r="P925" s="7">
        <v>45657</v>
      </c>
    </row>
    <row r="926" spans="1:16" x14ac:dyDescent="0.3">
      <c r="A926">
        <v>925</v>
      </c>
      <c r="B926" s="7">
        <v>45279</v>
      </c>
      <c r="C926" t="s">
        <v>14</v>
      </c>
      <c r="D926">
        <v>399</v>
      </c>
      <c r="E926">
        <v>5</v>
      </c>
      <c r="F926">
        <v>8</v>
      </c>
      <c r="G926">
        <v>5</v>
      </c>
      <c r="H926">
        <v>24</v>
      </c>
      <c r="I926">
        <v>2</v>
      </c>
      <c r="J926" t="s">
        <v>13</v>
      </c>
      <c r="K926">
        <f>IF(J926="Yes", 1, 0)</f>
        <v>0</v>
      </c>
      <c r="L926" t="str">
        <f>IF(G926=0,"0 Failures","1+ Failures")</f>
        <v>1+ Failures</v>
      </c>
      <c r="M926" t="str">
        <f t="shared" si="44"/>
        <v>0-5 hrs</v>
      </c>
      <c r="N926" t="str">
        <f t="shared" si="42"/>
        <v>12+ months</v>
      </c>
      <c r="O926" t="str">
        <f t="shared" si="43"/>
        <v>Basic</v>
      </c>
      <c r="P926" s="7">
        <v>45657</v>
      </c>
    </row>
    <row r="927" spans="1:16" x14ac:dyDescent="0.3">
      <c r="A927">
        <v>926</v>
      </c>
      <c r="B927" s="7">
        <v>44952</v>
      </c>
      <c r="C927" t="s">
        <v>12</v>
      </c>
      <c r="D927">
        <v>199</v>
      </c>
      <c r="E927">
        <v>11.5</v>
      </c>
      <c r="F927">
        <v>2</v>
      </c>
      <c r="G927">
        <v>4</v>
      </c>
      <c r="H927">
        <v>24</v>
      </c>
      <c r="I927">
        <v>19</v>
      </c>
      <c r="J927" t="s">
        <v>11</v>
      </c>
      <c r="K927">
        <f>IF(J927="Yes", 1, 0)</f>
        <v>1</v>
      </c>
      <c r="L927" t="str">
        <f>IF(G927=0,"0 Failures","1+ Failures")</f>
        <v>1+ Failures</v>
      </c>
      <c r="M927" t="str">
        <f t="shared" si="44"/>
        <v>10-20hrs</v>
      </c>
      <c r="N927" t="str">
        <f t="shared" si="42"/>
        <v>12+ months</v>
      </c>
      <c r="O927" t="str">
        <f t="shared" si="43"/>
        <v>Basic</v>
      </c>
      <c r="P927" s="7">
        <v>45657</v>
      </c>
    </row>
    <row r="928" spans="1:16" x14ac:dyDescent="0.3">
      <c r="A928">
        <v>927</v>
      </c>
      <c r="B928" s="7">
        <v>45486</v>
      </c>
      <c r="C928" t="s">
        <v>14</v>
      </c>
      <c r="D928">
        <v>399</v>
      </c>
      <c r="E928">
        <v>19.3</v>
      </c>
      <c r="F928">
        <v>7</v>
      </c>
      <c r="G928">
        <v>2</v>
      </c>
      <c r="H928">
        <v>32</v>
      </c>
      <c r="I928">
        <v>9</v>
      </c>
      <c r="J928" t="s">
        <v>11</v>
      </c>
      <c r="K928">
        <f>IF(J928="Yes", 1, 0)</f>
        <v>1</v>
      </c>
      <c r="L928" t="str">
        <f>IF(G928=0,"0 Failures","1+ Failures")</f>
        <v>1+ Failures</v>
      </c>
      <c r="M928" t="str">
        <f t="shared" si="44"/>
        <v>10-20hrs</v>
      </c>
      <c r="N928" t="str">
        <f t="shared" si="42"/>
        <v>12+ months</v>
      </c>
      <c r="O928" t="str">
        <f t="shared" si="43"/>
        <v>Basic</v>
      </c>
      <c r="P928" s="7">
        <v>45657</v>
      </c>
    </row>
    <row r="929" spans="1:16" x14ac:dyDescent="0.3">
      <c r="A929">
        <v>928</v>
      </c>
      <c r="B929" s="7">
        <v>45514</v>
      </c>
      <c r="C929" t="s">
        <v>10</v>
      </c>
      <c r="D929">
        <v>699</v>
      </c>
      <c r="E929">
        <v>16.399999999999999</v>
      </c>
      <c r="F929">
        <v>4</v>
      </c>
      <c r="G929">
        <v>3</v>
      </c>
      <c r="H929">
        <v>22</v>
      </c>
      <c r="I929">
        <v>57</v>
      </c>
      <c r="J929" t="s">
        <v>11</v>
      </c>
      <c r="K929">
        <f>IF(J929="Yes", 1, 0)</f>
        <v>1</v>
      </c>
      <c r="L929" t="str">
        <f>IF(G929=0,"0 Failures","1+ Failures")</f>
        <v>1+ Failures</v>
      </c>
      <c r="M929" t="str">
        <f t="shared" si="44"/>
        <v>10-20hrs</v>
      </c>
      <c r="N929" t="str">
        <f t="shared" si="42"/>
        <v>12+ months</v>
      </c>
      <c r="O929" t="str">
        <f t="shared" si="43"/>
        <v>Premium</v>
      </c>
      <c r="P929" s="7">
        <v>45657</v>
      </c>
    </row>
    <row r="930" spans="1:16" x14ac:dyDescent="0.3">
      <c r="A930">
        <v>929</v>
      </c>
      <c r="B930" s="7">
        <v>45417</v>
      </c>
      <c r="C930" t="s">
        <v>10</v>
      </c>
      <c r="D930">
        <v>699</v>
      </c>
      <c r="E930">
        <v>20.100000000000001</v>
      </c>
      <c r="F930">
        <v>7</v>
      </c>
      <c r="G930">
        <v>2</v>
      </c>
      <c r="H930">
        <v>10</v>
      </c>
      <c r="I930">
        <v>44</v>
      </c>
      <c r="J930" t="s">
        <v>11</v>
      </c>
      <c r="K930">
        <f>IF(J930="Yes", 1, 0)</f>
        <v>1</v>
      </c>
      <c r="L930" t="str">
        <f>IF(G930=0,"0 Failures","1+ Failures")</f>
        <v>1+ Failures</v>
      </c>
      <c r="M930" t="str">
        <f t="shared" si="44"/>
        <v>20+ hrs</v>
      </c>
      <c r="N930" t="str">
        <f t="shared" si="42"/>
        <v>6-12months</v>
      </c>
      <c r="O930" t="str">
        <f t="shared" si="43"/>
        <v>Premium</v>
      </c>
      <c r="P930" s="7">
        <v>45657</v>
      </c>
    </row>
    <row r="931" spans="1:16" x14ac:dyDescent="0.3">
      <c r="A931">
        <v>930</v>
      </c>
      <c r="B931" s="7">
        <v>45152</v>
      </c>
      <c r="C931" t="s">
        <v>12</v>
      </c>
      <c r="D931">
        <v>199</v>
      </c>
      <c r="E931">
        <v>17.100000000000001</v>
      </c>
      <c r="F931">
        <v>1</v>
      </c>
      <c r="G931">
        <v>2</v>
      </c>
      <c r="H931">
        <v>9</v>
      </c>
      <c r="I931">
        <v>1</v>
      </c>
      <c r="J931" t="s">
        <v>13</v>
      </c>
      <c r="K931">
        <f>IF(J931="Yes", 1, 0)</f>
        <v>0</v>
      </c>
      <c r="L931" t="str">
        <f>IF(G931=0,"0 Failures","1+ Failures")</f>
        <v>1+ Failures</v>
      </c>
      <c r="M931" t="str">
        <f t="shared" si="44"/>
        <v>10-20hrs</v>
      </c>
      <c r="N931" t="str">
        <f t="shared" si="42"/>
        <v>6-12months</v>
      </c>
      <c r="O931" t="str">
        <f t="shared" si="43"/>
        <v>Basic</v>
      </c>
      <c r="P931" s="7">
        <v>45657</v>
      </c>
    </row>
    <row r="932" spans="1:16" x14ac:dyDescent="0.3">
      <c r="A932">
        <v>931</v>
      </c>
      <c r="B932" s="7">
        <v>45466</v>
      </c>
      <c r="C932" t="s">
        <v>14</v>
      </c>
      <c r="D932">
        <v>399</v>
      </c>
      <c r="E932">
        <v>2.8</v>
      </c>
      <c r="F932">
        <v>0</v>
      </c>
      <c r="G932">
        <v>4</v>
      </c>
      <c r="H932">
        <v>23</v>
      </c>
      <c r="I932">
        <v>41</v>
      </c>
      <c r="J932" t="s">
        <v>11</v>
      </c>
      <c r="K932">
        <f>IF(J932="Yes", 1, 0)</f>
        <v>1</v>
      </c>
      <c r="L932" t="str">
        <f>IF(G932=0,"0 Failures","1+ Failures")</f>
        <v>1+ Failures</v>
      </c>
      <c r="M932" t="str">
        <f t="shared" si="44"/>
        <v>0-5 hrs</v>
      </c>
      <c r="N932" t="str">
        <f t="shared" si="42"/>
        <v>12+ months</v>
      </c>
      <c r="O932" t="str">
        <f t="shared" si="43"/>
        <v>Basic</v>
      </c>
      <c r="P932" s="7">
        <v>45657</v>
      </c>
    </row>
    <row r="933" spans="1:16" x14ac:dyDescent="0.3">
      <c r="A933">
        <v>932</v>
      </c>
      <c r="B933" s="7">
        <v>45614</v>
      </c>
      <c r="C933" t="s">
        <v>12</v>
      </c>
      <c r="D933">
        <v>199</v>
      </c>
      <c r="E933">
        <v>5.3</v>
      </c>
      <c r="F933">
        <v>1</v>
      </c>
      <c r="G933">
        <v>4</v>
      </c>
      <c r="H933">
        <v>18</v>
      </c>
      <c r="I933">
        <v>54</v>
      </c>
      <c r="J933" t="s">
        <v>11</v>
      </c>
      <c r="K933">
        <f>IF(J933="Yes", 1, 0)</f>
        <v>1</v>
      </c>
      <c r="L933" t="str">
        <f>IF(G933=0,"0 Failures","1+ Failures")</f>
        <v>1+ Failures</v>
      </c>
      <c r="M933" t="str">
        <f t="shared" si="44"/>
        <v>5-10 hrs</v>
      </c>
      <c r="N933" t="str">
        <f t="shared" si="42"/>
        <v>12+ months</v>
      </c>
      <c r="O933" t="str">
        <f t="shared" si="43"/>
        <v>Basic</v>
      </c>
      <c r="P933" s="7">
        <v>45657</v>
      </c>
    </row>
    <row r="934" spans="1:16" x14ac:dyDescent="0.3">
      <c r="A934">
        <v>933</v>
      </c>
      <c r="B934" s="7">
        <v>44984</v>
      </c>
      <c r="C934" t="s">
        <v>12</v>
      </c>
      <c r="D934">
        <v>199</v>
      </c>
      <c r="E934">
        <v>10.199999999999999</v>
      </c>
      <c r="F934">
        <v>7</v>
      </c>
      <c r="G934">
        <v>2</v>
      </c>
      <c r="H934">
        <v>33</v>
      </c>
      <c r="I934">
        <v>38</v>
      </c>
      <c r="J934" t="s">
        <v>11</v>
      </c>
      <c r="K934">
        <f>IF(J934="Yes", 1, 0)</f>
        <v>1</v>
      </c>
      <c r="L934" t="str">
        <f>IF(G934=0,"0 Failures","1+ Failures")</f>
        <v>1+ Failures</v>
      </c>
      <c r="M934" t="str">
        <f t="shared" si="44"/>
        <v>10-20hrs</v>
      </c>
      <c r="N934" t="str">
        <f t="shared" si="42"/>
        <v>12+ months</v>
      </c>
      <c r="O934" t="str">
        <f t="shared" si="43"/>
        <v>Basic</v>
      </c>
      <c r="P934" s="7">
        <v>45657</v>
      </c>
    </row>
    <row r="935" spans="1:16" x14ac:dyDescent="0.3">
      <c r="A935">
        <v>934</v>
      </c>
      <c r="B935" s="7">
        <v>45218</v>
      </c>
      <c r="C935" t="s">
        <v>10</v>
      </c>
      <c r="D935">
        <v>699</v>
      </c>
      <c r="E935">
        <v>10.199999999999999</v>
      </c>
      <c r="F935">
        <v>6</v>
      </c>
      <c r="G935">
        <v>2</v>
      </c>
      <c r="H935">
        <v>24</v>
      </c>
      <c r="I935">
        <v>24</v>
      </c>
      <c r="J935" t="s">
        <v>11</v>
      </c>
      <c r="K935">
        <f>IF(J935="Yes", 1, 0)</f>
        <v>1</v>
      </c>
      <c r="L935" t="str">
        <f>IF(G935=0,"0 Failures","1+ Failures")</f>
        <v>1+ Failures</v>
      </c>
      <c r="M935" t="str">
        <f t="shared" si="44"/>
        <v>10-20hrs</v>
      </c>
      <c r="N935" t="str">
        <f t="shared" si="42"/>
        <v>12+ months</v>
      </c>
      <c r="O935" t="str">
        <f t="shared" si="43"/>
        <v>Premium</v>
      </c>
      <c r="P935" s="7">
        <v>45657</v>
      </c>
    </row>
    <row r="936" spans="1:16" x14ac:dyDescent="0.3">
      <c r="A936">
        <v>935</v>
      </c>
      <c r="B936" s="7">
        <v>45381</v>
      </c>
      <c r="C936" t="s">
        <v>14</v>
      </c>
      <c r="D936">
        <v>399</v>
      </c>
      <c r="E936">
        <v>8</v>
      </c>
      <c r="F936">
        <v>7</v>
      </c>
      <c r="G936">
        <v>4</v>
      </c>
      <c r="H936">
        <v>23</v>
      </c>
      <c r="I936">
        <v>5</v>
      </c>
      <c r="J936" t="s">
        <v>11</v>
      </c>
      <c r="K936">
        <f>IF(J936="Yes", 1, 0)</f>
        <v>1</v>
      </c>
      <c r="L936" t="str">
        <f>IF(G936=0,"0 Failures","1+ Failures")</f>
        <v>1+ Failures</v>
      </c>
      <c r="M936" t="str">
        <f t="shared" si="44"/>
        <v>5-10 hrs</v>
      </c>
      <c r="N936" t="str">
        <f t="shared" si="42"/>
        <v>12+ months</v>
      </c>
      <c r="O936" t="str">
        <f t="shared" si="43"/>
        <v>Basic</v>
      </c>
      <c r="P936" s="7">
        <v>45657</v>
      </c>
    </row>
    <row r="937" spans="1:16" x14ac:dyDescent="0.3">
      <c r="A937">
        <v>936</v>
      </c>
      <c r="B937" s="7">
        <v>45361</v>
      </c>
      <c r="C937" t="s">
        <v>10</v>
      </c>
      <c r="D937">
        <v>699</v>
      </c>
      <c r="E937">
        <v>20.2</v>
      </c>
      <c r="F937">
        <v>4</v>
      </c>
      <c r="G937">
        <v>1</v>
      </c>
      <c r="H937">
        <v>27</v>
      </c>
      <c r="I937">
        <v>51</v>
      </c>
      <c r="J937" t="s">
        <v>13</v>
      </c>
      <c r="K937">
        <f>IF(J937="Yes", 1, 0)</f>
        <v>0</v>
      </c>
      <c r="L937" t="str">
        <f>IF(G937=0,"0 Failures","1+ Failures")</f>
        <v>1+ Failures</v>
      </c>
      <c r="M937" t="str">
        <f t="shared" si="44"/>
        <v>20+ hrs</v>
      </c>
      <c r="N937" t="str">
        <f t="shared" si="42"/>
        <v>12+ months</v>
      </c>
      <c r="O937" t="str">
        <f t="shared" si="43"/>
        <v>Premium</v>
      </c>
      <c r="P937" s="7">
        <v>45657</v>
      </c>
    </row>
    <row r="938" spans="1:16" x14ac:dyDescent="0.3">
      <c r="A938">
        <v>937</v>
      </c>
      <c r="B938" s="7">
        <v>45464</v>
      </c>
      <c r="C938" t="s">
        <v>10</v>
      </c>
      <c r="D938">
        <v>699</v>
      </c>
      <c r="E938">
        <v>3.9</v>
      </c>
      <c r="F938">
        <v>1</v>
      </c>
      <c r="G938">
        <v>1</v>
      </c>
      <c r="H938">
        <v>27</v>
      </c>
      <c r="I938">
        <v>13</v>
      </c>
      <c r="J938" t="s">
        <v>11</v>
      </c>
      <c r="K938">
        <f>IF(J938="Yes", 1, 0)</f>
        <v>1</v>
      </c>
      <c r="L938" t="str">
        <f>IF(G938=0,"0 Failures","1+ Failures")</f>
        <v>1+ Failures</v>
      </c>
      <c r="M938" t="str">
        <f t="shared" si="44"/>
        <v>0-5 hrs</v>
      </c>
      <c r="N938" t="str">
        <f t="shared" si="42"/>
        <v>12+ months</v>
      </c>
      <c r="O938" t="str">
        <f t="shared" si="43"/>
        <v>Premium</v>
      </c>
      <c r="P938" s="7">
        <v>45657</v>
      </c>
    </row>
    <row r="939" spans="1:16" x14ac:dyDescent="0.3">
      <c r="A939">
        <v>938</v>
      </c>
      <c r="B939" s="7">
        <v>45206</v>
      </c>
      <c r="C939" t="s">
        <v>14</v>
      </c>
      <c r="D939">
        <v>399</v>
      </c>
      <c r="E939">
        <v>23.4</v>
      </c>
      <c r="F939">
        <v>6</v>
      </c>
      <c r="G939">
        <v>0</v>
      </c>
      <c r="H939">
        <v>5</v>
      </c>
      <c r="I939">
        <v>0</v>
      </c>
      <c r="J939" t="s">
        <v>13</v>
      </c>
      <c r="K939">
        <f>IF(J939="Yes", 1, 0)</f>
        <v>0</v>
      </c>
      <c r="L939" t="str">
        <f>IF(G939=0,"0 Failures","1+ Failures")</f>
        <v>0 Failures</v>
      </c>
      <c r="M939" t="str">
        <f t="shared" si="44"/>
        <v>20+ hrs</v>
      </c>
      <c r="N939" t="str">
        <f t="shared" si="42"/>
        <v>3-6months</v>
      </c>
      <c r="O939" t="str">
        <f t="shared" si="43"/>
        <v>Basic</v>
      </c>
      <c r="P939" s="7">
        <v>45657</v>
      </c>
    </row>
    <row r="940" spans="1:16" x14ac:dyDescent="0.3">
      <c r="A940">
        <v>939</v>
      </c>
      <c r="B940" s="7">
        <v>45223</v>
      </c>
      <c r="C940" t="s">
        <v>14</v>
      </c>
      <c r="D940">
        <v>399</v>
      </c>
      <c r="E940">
        <v>14.1</v>
      </c>
      <c r="F940">
        <v>2</v>
      </c>
      <c r="G940">
        <v>1</v>
      </c>
      <c r="H940">
        <v>12</v>
      </c>
      <c r="I940">
        <v>11</v>
      </c>
      <c r="J940" t="s">
        <v>13</v>
      </c>
      <c r="K940">
        <f>IF(J940="Yes", 1, 0)</f>
        <v>0</v>
      </c>
      <c r="L940" t="str">
        <f>IF(G940=0,"0 Failures","1+ Failures")</f>
        <v>1+ Failures</v>
      </c>
      <c r="M940" t="str">
        <f t="shared" si="44"/>
        <v>10-20hrs</v>
      </c>
      <c r="N940" t="str">
        <f t="shared" si="42"/>
        <v>6-12months</v>
      </c>
      <c r="O940" t="str">
        <f t="shared" si="43"/>
        <v>Basic</v>
      </c>
      <c r="P940" s="7">
        <v>45657</v>
      </c>
    </row>
    <row r="941" spans="1:16" x14ac:dyDescent="0.3">
      <c r="A941">
        <v>940</v>
      </c>
      <c r="B941" s="7">
        <v>45401</v>
      </c>
      <c r="C941" t="s">
        <v>10</v>
      </c>
      <c r="D941">
        <v>699</v>
      </c>
      <c r="E941">
        <v>1.5</v>
      </c>
      <c r="F941">
        <v>4</v>
      </c>
      <c r="G941">
        <v>4</v>
      </c>
      <c r="H941">
        <v>32</v>
      </c>
      <c r="I941">
        <v>19</v>
      </c>
      <c r="J941" t="s">
        <v>11</v>
      </c>
      <c r="K941">
        <f>IF(J941="Yes", 1, 0)</f>
        <v>1</v>
      </c>
      <c r="L941" t="str">
        <f>IF(G941=0,"0 Failures","1+ Failures")</f>
        <v>1+ Failures</v>
      </c>
      <c r="M941" t="str">
        <f t="shared" si="44"/>
        <v>0-5 hrs</v>
      </c>
      <c r="N941" t="str">
        <f t="shared" si="42"/>
        <v>12+ months</v>
      </c>
      <c r="O941" t="str">
        <f t="shared" si="43"/>
        <v>Premium</v>
      </c>
      <c r="P941" s="7">
        <v>45657</v>
      </c>
    </row>
    <row r="942" spans="1:16" x14ac:dyDescent="0.3">
      <c r="A942">
        <v>941</v>
      </c>
      <c r="B942" s="7">
        <v>45578</v>
      </c>
      <c r="C942" t="s">
        <v>12</v>
      </c>
      <c r="D942">
        <v>199</v>
      </c>
      <c r="E942">
        <v>19.899999999999999</v>
      </c>
      <c r="F942">
        <v>2</v>
      </c>
      <c r="G942">
        <v>2</v>
      </c>
      <c r="H942">
        <v>2</v>
      </c>
      <c r="I942">
        <v>19</v>
      </c>
      <c r="J942" t="s">
        <v>13</v>
      </c>
      <c r="K942">
        <f>IF(J942="Yes", 1, 0)</f>
        <v>0</v>
      </c>
      <c r="L942" t="str">
        <f>IF(G942=0,"0 Failures","1+ Failures")</f>
        <v>1+ Failures</v>
      </c>
      <c r="M942" t="str">
        <f t="shared" si="44"/>
        <v>10-20hrs</v>
      </c>
      <c r="N942" t="str">
        <f t="shared" si="42"/>
        <v>0-3months</v>
      </c>
      <c r="O942" t="str">
        <f t="shared" si="43"/>
        <v>Basic</v>
      </c>
      <c r="P942" s="7">
        <v>45657</v>
      </c>
    </row>
    <row r="943" spans="1:16" x14ac:dyDescent="0.3">
      <c r="A943">
        <v>942</v>
      </c>
      <c r="B943" s="7">
        <v>45631</v>
      </c>
      <c r="C943" t="s">
        <v>14</v>
      </c>
      <c r="D943">
        <v>399</v>
      </c>
      <c r="E943">
        <v>16.5</v>
      </c>
      <c r="F943">
        <v>4</v>
      </c>
      <c r="G943">
        <v>3</v>
      </c>
      <c r="H943">
        <v>8</v>
      </c>
      <c r="I943">
        <v>11</v>
      </c>
      <c r="J943" t="s">
        <v>11</v>
      </c>
      <c r="K943">
        <f>IF(J943="Yes", 1, 0)</f>
        <v>1</v>
      </c>
      <c r="L943" t="str">
        <f>IF(G943=0,"0 Failures","1+ Failures")</f>
        <v>1+ Failures</v>
      </c>
      <c r="M943" t="str">
        <f t="shared" si="44"/>
        <v>10-20hrs</v>
      </c>
      <c r="N943" t="str">
        <f t="shared" si="42"/>
        <v>6-12months</v>
      </c>
      <c r="O943" t="str">
        <f t="shared" si="43"/>
        <v>Basic</v>
      </c>
      <c r="P943" s="7">
        <v>45657</v>
      </c>
    </row>
    <row r="944" spans="1:16" x14ac:dyDescent="0.3">
      <c r="A944">
        <v>943</v>
      </c>
      <c r="B944" s="7">
        <v>45297</v>
      </c>
      <c r="C944" t="s">
        <v>10</v>
      </c>
      <c r="D944">
        <v>699</v>
      </c>
      <c r="E944">
        <v>1.2</v>
      </c>
      <c r="F944">
        <v>4</v>
      </c>
      <c r="G944">
        <v>3</v>
      </c>
      <c r="H944">
        <v>16</v>
      </c>
      <c r="I944">
        <v>4</v>
      </c>
      <c r="J944" t="s">
        <v>11</v>
      </c>
      <c r="K944">
        <f>IF(J944="Yes", 1, 0)</f>
        <v>1</v>
      </c>
      <c r="L944" t="str">
        <f>IF(G944=0,"0 Failures","1+ Failures")</f>
        <v>1+ Failures</v>
      </c>
      <c r="M944" t="str">
        <f t="shared" si="44"/>
        <v>0-5 hrs</v>
      </c>
      <c r="N944" t="str">
        <f t="shared" si="42"/>
        <v>12+ months</v>
      </c>
      <c r="O944" t="str">
        <f t="shared" si="43"/>
        <v>Premium</v>
      </c>
      <c r="P944" s="7">
        <v>45657</v>
      </c>
    </row>
    <row r="945" spans="1:16" x14ac:dyDescent="0.3">
      <c r="A945">
        <v>944</v>
      </c>
      <c r="B945" s="7">
        <v>45637</v>
      </c>
      <c r="C945" t="s">
        <v>10</v>
      </c>
      <c r="D945">
        <v>699</v>
      </c>
      <c r="E945">
        <v>14.4</v>
      </c>
      <c r="F945">
        <v>4</v>
      </c>
      <c r="G945">
        <v>5</v>
      </c>
      <c r="H945">
        <v>31</v>
      </c>
      <c r="I945">
        <v>43</v>
      </c>
      <c r="J945" t="s">
        <v>11</v>
      </c>
      <c r="K945">
        <f>IF(J945="Yes", 1, 0)</f>
        <v>1</v>
      </c>
      <c r="L945" t="str">
        <f>IF(G945=0,"0 Failures","1+ Failures")</f>
        <v>1+ Failures</v>
      </c>
      <c r="M945" t="str">
        <f t="shared" si="44"/>
        <v>10-20hrs</v>
      </c>
      <c r="N945" t="str">
        <f t="shared" si="42"/>
        <v>12+ months</v>
      </c>
      <c r="O945" t="str">
        <f t="shared" si="43"/>
        <v>Premium</v>
      </c>
      <c r="P945" s="7">
        <v>45657</v>
      </c>
    </row>
    <row r="946" spans="1:16" x14ac:dyDescent="0.3">
      <c r="A946">
        <v>945</v>
      </c>
      <c r="B946" s="7">
        <v>45076</v>
      </c>
      <c r="C946" t="s">
        <v>12</v>
      </c>
      <c r="D946">
        <v>199</v>
      </c>
      <c r="E946">
        <v>13.1</v>
      </c>
      <c r="F946">
        <v>0</v>
      </c>
      <c r="G946">
        <v>2</v>
      </c>
      <c r="H946">
        <v>24</v>
      </c>
      <c r="I946">
        <v>10</v>
      </c>
      <c r="J946" t="s">
        <v>13</v>
      </c>
      <c r="K946">
        <f>IF(J946="Yes", 1, 0)</f>
        <v>0</v>
      </c>
      <c r="L946" t="str">
        <f>IF(G946=0,"0 Failures","1+ Failures")</f>
        <v>1+ Failures</v>
      </c>
      <c r="M946" t="str">
        <f t="shared" si="44"/>
        <v>10-20hrs</v>
      </c>
      <c r="N946" t="str">
        <f t="shared" si="42"/>
        <v>12+ months</v>
      </c>
      <c r="O946" t="str">
        <f t="shared" si="43"/>
        <v>Basic</v>
      </c>
      <c r="P946" s="7">
        <v>45657</v>
      </c>
    </row>
    <row r="947" spans="1:16" x14ac:dyDescent="0.3">
      <c r="A947">
        <v>946</v>
      </c>
      <c r="B947" s="7">
        <v>45296</v>
      </c>
      <c r="C947" t="s">
        <v>14</v>
      </c>
      <c r="D947">
        <v>399</v>
      </c>
      <c r="E947">
        <v>22</v>
      </c>
      <c r="F947">
        <v>2</v>
      </c>
      <c r="G947">
        <v>2</v>
      </c>
      <c r="H947">
        <v>30</v>
      </c>
      <c r="I947">
        <v>10</v>
      </c>
      <c r="J947" t="s">
        <v>11</v>
      </c>
      <c r="K947">
        <f>IF(J947="Yes", 1, 0)</f>
        <v>1</v>
      </c>
      <c r="L947" t="str">
        <f>IF(G947=0,"0 Failures","1+ Failures")</f>
        <v>1+ Failures</v>
      </c>
      <c r="M947" t="str">
        <f t="shared" si="44"/>
        <v>20+ hrs</v>
      </c>
      <c r="N947" t="str">
        <f t="shared" si="42"/>
        <v>12+ months</v>
      </c>
      <c r="O947" t="str">
        <f t="shared" si="43"/>
        <v>Basic</v>
      </c>
      <c r="P947" s="7">
        <v>45657</v>
      </c>
    </row>
    <row r="948" spans="1:16" x14ac:dyDescent="0.3">
      <c r="A948">
        <v>947</v>
      </c>
      <c r="B948" s="7">
        <v>45453</v>
      </c>
      <c r="C948" t="s">
        <v>14</v>
      </c>
      <c r="D948">
        <v>399</v>
      </c>
      <c r="E948">
        <v>1.7</v>
      </c>
      <c r="F948">
        <v>4</v>
      </c>
      <c r="G948">
        <v>4</v>
      </c>
      <c r="H948">
        <v>23</v>
      </c>
      <c r="I948">
        <v>40</v>
      </c>
      <c r="J948" t="s">
        <v>11</v>
      </c>
      <c r="K948">
        <f>IF(J948="Yes", 1, 0)</f>
        <v>1</v>
      </c>
      <c r="L948" t="str">
        <f>IF(G948=0,"0 Failures","1+ Failures")</f>
        <v>1+ Failures</v>
      </c>
      <c r="M948" t="str">
        <f t="shared" si="44"/>
        <v>0-5 hrs</v>
      </c>
      <c r="N948" t="str">
        <f t="shared" si="42"/>
        <v>12+ months</v>
      </c>
      <c r="O948" t="str">
        <f t="shared" si="43"/>
        <v>Basic</v>
      </c>
      <c r="P948" s="7">
        <v>45657</v>
      </c>
    </row>
    <row r="949" spans="1:16" x14ac:dyDescent="0.3">
      <c r="A949">
        <v>948</v>
      </c>
      <c r="B949" s="7">
        <v>45628</v>
      </c>
      <c r="C949" t="s">
        <v>12</v>
      </c>
      <c r="D949">
        <v>199</v>
      </c>
      <c r="E949">
        <v>19.2</v>
      </c>
      <c r="F949">
        <v>2</v>
      </c>
      <c r="G949">
        <v>4</v>
      </c>
      <c r="H949">
        <v>12</v>
      </c>
      <c r="I949">
        <v>20</v>
      </c>
      <c r="J949" t="s">
        <v>13</v>
      </c>
      <c r="K949">
        <f>IF(J949="Yes", 1, 0)</f>
        <v>0</v>
      </c>
      <c r="L949" t="str">
        <f>IF(G949=0,"0 Failures","1+ Failures")</f>
        <v>1+ Failures</v>
      </c>
      <c r="M949" t="str">
        <f t="shared" si="44"/>
        <v>10-20hrs</v>
      </c>
      <c r="N949" t="str">
        <f t="shared" si="42"/>
        <v>6-12months</v>
      </c>
      <c r="O949" t="str">
        <f t="shared" si="43"/>
        <v>Basic</v>
      </c>
      <c r="P949" s="7">
        <v>45657</v>
      </c>
    </row>
    <row r="950" spans="1:16" x14ac:dyDescent="0.3">
      <c r="A950">
        <v>949</v>
      </c>
      <c r="B950" s="7">
        <v>45074</v>
      </c>
      <c r="C950" t="s">
        <v>14</v>
      </c>
      <c r="D950">
        <v>399</v>
      </c>
      <c r="E950">
        <v>17.3</v>
      </c>
      <c r="F950">
        <v>5</v>
      </c>
      <c r="G950">
        <v>0</v>
      </c>
      <c r="H950">
        <v>18</v>
      </c>
      <c r="I950">
        <v>34</v>
      </c>
      <c r="J950" t="s">
        <v>13</v>
      </c>
      <c r="K950">
        <f>IF(J950="Yes", 1, 0)</f>
        <v>0</v>
      </c>
      <c r="L950" t="str">
        <f>IF(G950=0,"0 Failures","1+ Failures")</f>
        <v>0 Failures</v>
      </c>
      <c r="M950" t="str">
        <f t="shared" si="44"/>
        <v>10-20hrs</v>
      </c>
      <c r="N950" t="str">
        <f t="shared" si="42"/>
        <v>12+ months</v>
      </c>
      <c r="O950" t="str">
        <f t="shared" si="43"/>
        <v>Basic</v>
      </c>
      <c r="P950" s="7">
        <v>45657</v>
      </c>
    </row>
    <row r="951" spans="1:16" x14ac:dyDescent="0.3">
      <c r="A951">
        <v>950</v>
      </c>
      <c r="B951" s="7">
        <v>45093</v>
      </c>
      <c r="C951" t="s">
        <v>12</v>
      </c>
      <c r="D951">
        <v>199</v>
      </c>
      <c r="E951">
        <v>13.2</v>
      </c>
      <c r="F951">
        <v>5</v>
      </c>
      <c r="G951">
        <v>3</v>
      </c>
      <c r="H951">
        <v>9</v>
      </c>
      <c r="I951">
        <v>26</v>
      </c>
      <c r="J951" t="s">
        <v>11</v>
      </c>
      <c r="K951">
        <f>IF(J951="Yes", 1, 0)</f>
        <v>1</v>
      </c>
      <c r="L951" t="str">
        <f>IF(G951=0,"0 Failures","1+ Failures")</f>
        <v>1+ Failures</v>
      </c>
      <c r="M951" t="str">
        <f t="shared" si="44"/>
        <v>10-20hrs</v>
      </c>
      <c r="N951" t="str">
        <f t="shared" si="42"/>
        <v>6-12months</v>
      </c>
      <c r="O951" t="str">
        <f t="shared" si="43"/>
        <v>Basic</v>
      </c>
      <c r="P951" s="7">
        <v>45657</v>
      </c>
    </row>
    <row r="952" spans="1:16" x14ac:dyDescent="0.3">
      <c r="A952">
        <v>951</v>
      </c>
      <c r="B952" s="7">
        <v>45555</v>
      </c>
      <c r="C952" t="s">
        <v>12</v>
      </c>
      <c r="D952">
        <v>199</v>
      </c>
      <c r="E952">
        <v>4.3</v>
      </c>
      <c r="F952">
        <v>3</v>
      </c>
      <c r="G952">
        <v>1</v>
      </c>
      <c r="H952">
        <v>14</v>
      </c>
      <c r="I952">
        <v>50</v>
      </c>
      <c r="J952" t="s">
        <v>13</v>
      </c>
      <c r="K952">
        <f>IF(J952="Yes", 1, 0)</f>
        <v>0</v>
      </c>
      <c r="L952" t="str">
        <f>IF(G952=0,"0 Failures","1+ Failures")</f>
        <v>1+ Failures</v>
      </c>
      <c r="M952" t="str">
        <f t="shared" si="44"/>
        <v>0-5 hrs</v>
      </c>
      <c r="N952" t="str">
        <f t="shared" si="42"/>
        <v>12+ months</v>
      </c>
      <c r="O952" t="str">
        <f t="shared" si="43"/>
        <v>Basic</v>
      </c>
      <c r="P952" s="7">
        <v>45657</v>
      </c>
    </row>
    <row r="953" spans="1:16" x14ac:dyDescent="0.3">
      <c r="A953">
        <v>952</v>
      </c>
      <c r="B953" s="7">
        <v>45354</v>
      </c>
      <c r="C953" t="s">
        <v>10</v>
      </c>
      <c r="D953">
        <v>699</v>
      </c>
      <c r="E953">
        <v>21.2</v>
      </c>
      <c r="F953">
        <v>8</v>
      </c>
      <c r="G953">
        <v>5</v>
      </c>
      <c r="H953">
        <v>34</v>
      </c>
      <c r="I953">
        <v>48</v>
      </c>
      <c r="J953" t="s">
        <v>13</v>
      </c>
      <c r="K953">
        <f>IF(J953="Yes", 1, 0)</f>
        <v>0</v>
      </c>
      <c r="L953" t="str">
        <f>IF(G953=0,"0 Failures","1+ Failures")</f>
        <v>1+ Failures</v>
      </c>
      <c r="M953" t="str">
        <f t="shared" si="44"/>
        <v>20+ hrs</v>
      </c>
      <c r="N953" t="str">
        <f t="shared" si="42"/>
        <v>12+ months</v>
      </c>
      <c r="O953" t="str">
        <f t="shared" si="43"/>
        <v>Premium</v>
      </c>
      <c r="P953" s="7">
        <v>45657</v>
      </c>
    </row>
    <row r="954" spans="1:16" x14ac:dyDescent="0.3">
      <c r="A954">
        <v>953</v>
      </c>
      <c r="B954" s="7">
        <v>45634</v>
      </c>
      <c r="C954" t="s">
        <v>14</v>
      </c>
      <c r="D954">
        <v>399</v>
      </c>
      <c r="E954">
        <v>3.4</v>
      </c>
      <c r="F954">
        <v>2</v>
      </c>
      <c r="G954">
        <v>0</v>
      </c>
      <c r="H954">
        <v>5</v>
      </c>
      <c r="I954">
        <v>30</v>
      </c>
      <c r="J954" t="s">
        <v>11</v>
      </c>
      <c r="K954">
        <f>IF(J954="Yes", 1, 0)</f>
        <v>1</v>
      </c>
      <c r="L954" t="str">
        <f>IF(G954=0,"0 Failures","1+ Failures")</f>
        <v>0 Failures</v>
      </c>
      <c r="M954" t="str">
        <f t="shared" si="44"/>
        <v>0-5 hrs</v>
      </c>
      <c r="N954" t="str">
        <f t="shared" si="42"/>
        <v>3-6months</v>
      </c>
      <c r="O954" t="str">
        <f t="shared" si="43"/>
        <v>Basic</v>
      </c>
      <c r="P954" s="7">
        <v>45657</v>
      </c>
    </row>
    <row r="955" spans="1:16" x14ac:dyDescent="0.3">
      <c r="A955">
        <v>954</v>
      </c>
      <c r="B955" s="7">
        <v>44956</v>
      </c>
      <c r="C955" t="s">
        <v>14</v>
      </c>
      <c r="D955">
        <v>399</v>
      </c>
      <c r="E955">
        <v>20.5</v>
      </c>
      <c r="F955">
        <v>8</v>
      </c>
      <c r="G955">
        <v>2</v>
      </c>
      <c r="H955">
        <v>9</v>
      </c>
      <c r="I955">
        <v>11</v>
      </c>
      <c r="J955" t="s">
        <v>13</v>
      </c>
      <c r="K955">
        <f>IF(J955="Yes", 1, 0)</f>
        <v>0</v>
      </c>
      <c r="L955" t="str">
        <f>IF(G955=0,"0 Failures","1+ Failures")</f>
        <v>1+ Failures</v>
      </c>
      <c r="M955" t="str">
        <f t="shared" si="44"/>
        <v>20+ hrs</v>
      </c>
      <c r="N955" t="str">
        <f t="shared" si="42"/>
        <v>6-12months</v>
      </c>
      <c r="O955" t="str">
        <f t="shared" si="43"/>
        <v>Basic</v>
      </c>
      <c r="P955" s="7">
        <v>45657</v>
      </c>
    </row>
    <row r="956" spans="1:16" x14ac:dyDescent="0.3">
      <c r="A956">
        <v>955</v>
      </c>
      <c r="B956" s="7">
        <v>45141</v>
      </c>
      <c r="C956" t="s">
        <v>10</v>
      </c>
      <c r="D956">
        <v>699</v>
      </c>
      <c r="E956">
        <v>5.9</v>
      </c>
      <c r="F956">
        <v>2</v>
      </c>
      <c r="G956">
        <v>5</v>
      </c>
      <c r="H956">
        <v>8</v>
      </c>
      <c r="I956">
        <v>14</v>
      </c>
      <c r="J956" t="s">
        <v>11</v>
      </c>
      <c r="K956">
        <f>IF(J956="Yes", 1, 0)</f>
        <v>1</v>
      </c>
      <c r="L956" t="str">
        <f>IF(G956=0,"0 Failures","1+ Failures")</f>
        <v>1+ Failures</v>
      </c>
      <c r="M956" t="str">
        <f t="shared" si="44"/>
        <v>5-10 hrs</v>
      </c>
      <c r="N956" t="str">
        <f t="shared" si="42"/>
        <v>6-12months</v>
      </c>
      <c r="O956" t="str">
        <f t="shared" si="43"/>
        <v>Premium</v>
      </c>
      <c r="P956" s="7">
        <v>45657</v>
      </c>
    </row>
    <row r="957" spans="1:16" x14ac:dyDescent="0.3">
      <c r="A957">
        <v>956</v>
      </c>
      <c r="B957" s="7">
        <v>45368</v>
      </c>
      <c r="C957" t="s">
        <v>12</v>
      </c>
      <c r="D957">
        <v>199</v>
      </c>
      <c r="E957">
        <v>10.9</v>
      </c>
      <c r="F957">
        <v>1</v>
      </c>
      <c r="G957">
        <v>0</v>
      </c>
      <c r="H957">
        <v>6</v>
      </c>
      <c r="I957">
        <v>1</v>
      </c>
      <c r="J957" t="s">
        <v>13</v>
      </c>
      <c r="K957">
        <f>IF(J957="Yes", 1, 0)</f>
        <v>0</v>
      </c>
      <c r="L957" t="str">
        <f>IF(G957=0,"0 Failures","1+ Failures")</f>
        <v>0 Failures</v>
      </c>
      <c r="M957" t="str">
        <f t="shared" si="44"/>
        <v>10-20hrs</v>
      </c>
      <c r="N957" t="str">
        <f t="shared" si="42"/>
        <v>3-6months</v>
      </c>
      <c r="O957" t="str">
        <f t="shared" si="43"/>
        <v>Basic</v>
      </c>
      <c r="P957" s="7">
        <v>45657</v>
      </c>
    </row>
    <row r="958" spans="1:16" x14ac:dyDescent="0.3">
      <c r="A958">
        <v>957</v>
      </c>
      <c r="B958" s="7">
        <v>45186</v>
      </c>
      <c r="C958" t="s">
        <v>12</v>
      </c>
      <c r="D958">
        <v>199</v>
      </c>
      <c r="E958">
        <v>3.1</v>
      </c>
      <c r="F958">
        <v>8</v>
      </c>
      <c r="G958">
        <v>4</v>
      </c>
      <c r="H958">
        <v>13</v>
      </c>
      <c r="I958">
        <v>3</v>
      </c>
      <c r="J958" t="s">
        <v>11</v>
      </c>
      <c r="K958">
        <f>IF(J958="Yes", 1, 0)</f>
        <v>1</v>
      </c>
      <c r="L958" t="str">
        <f>IF(G958=0,"0 Failures","1+ Failures")</f>
        <v>1+ Failures</v>
      </c>
      <c r="M958" t="str">
        <f t="shared" si="44"/>
        <v>0-5 hrs</v>
      </c>
      <c r="N958" t="str">
        <f t="shared" si="42"/>
        <v>12+ months</v>
      </c>
      <c r="O958" t="str">
        <f t="shared" si="43"/>
        <v>Basic</v>
      </c>
      <c r="P958" s="7">
        <v>45657</v>
      </c>
    </row>
    <row r="959" spans="1:16" x14ac:dyDescent="0.3">
      <c r="A959">
        <v>958</v>
      </c>
      <c r="B959" s="7">
        <v>45543</v>
      </c>
      <c r="C959" t="s">
        <v>12</v>
      </c>
      <c r="D959">
        <v>199</v>
      </c>
      <c r="E959">
        <v>7.9</v>
      </c>
      <c r="F959">
        <v>0</v>
      </c>
      <c r="G959">
        <v>0</v>
      </c>
      <c r="H959">
        <v>5</v>
      </c>
      <c r="I959">
        <v>50</v>
      </c>
      <c r="J959" t="s">
        <v>11</v>
      </c>
      <c r="K959">
        <f>IF(J959="Yes", 1, 0)</f>
        <v>1</v>
      </c>
      <c r="L959" t="str">
        <f>IF(G959=0,"0 Failures","1+ Failures")</f>
        <v>0 Failures</v>
      </c>
      <c r="M959" t="str">
        <f t="shared" si="44"/>
        <v>5-10 hrs</v>
      </c>
      <c r="N959" t="str">
        <f t="shared" si="42"/>
        <v>3-6months</v>
      </c>
      <c r="O959" t="str">
        <f t="shared" si="43"/>
        <v>Basic</v>
      </c>
      <c r="P959" s="7">
        <v>45657</v>
      </c>
    </row>
    <row r="960" spans="1:16" x14ac:dyDescent="0.3">
      <c r="A960">
        <v>959</v>
      </c>
      <c r="B960" s="7">
        <v>45211</v>
      </c>
      <c r="C960" t="s">
        <v>12</v>
      </c>
      <c r="D960">
        <v>199</v>
      </c>
      <c r="E960">
        <v>5</v>
      </c>
      <c r="F960">
        <v>5</v>
      </c>
      <c r="G960">
        <v>0</v>
      </c>
      <c r="H960">
        <v>13</v>
      </c>
      <c r="I960">
        <v>5</v>
      </c>
      <c r="J960" t="s">
        <v>11</v>
      </c>
      <c r="K960">
        <f>IF(J960="Yes", 1, 0)</f>
        <v>1</v>
      </c>
      <c r="L960" t="str">
        <f>IF(G960=0,"0 Failures","1+ Failures")</f>
        <v>0 Failures</v>
      </c>
      <c r="M960" t="str">
        <f t="shared" si="44"/>
        <v>0-5 hrs</v>
      </c>
      <c r="N960" t="str">
        <f t="shared" si="42"/>
        <v>12+ months</v>
      </c>
      <c r="O960" t="str">
        <f t="shared" si="43"/>
        <v>Basic</v>
      </c>
      <c r="P960" s="7">
        <v>45657</v>
      </c>
    </row>
    <row r="961" spans="1:16" x14ac:dyDescent="0.3">
      <c r="A961">
        <v>960</v>
      </c>
      <c r="B961" s="7">
        <v>45510</v>
      </c>
      <c r="C961" t="s">
        <v>10</v>
      </c>
      <c r="D961">
        <v>699</v>
      </c>
      <c r="E961">
        <v>9.1</v>
      </c>
      <c r="F961">
        <v>8</v>
      </c>
      <c r="G961">
        <v>5</v>
      </c>
      <c r="H961">
        <v>23</v>
      </c>
      <c r="I961">
        <v>39</v>
      </c>
      <c r="J961" t="s">
        <v>11</v>
      </c>
      <c r="K961">
        <f>IF(J961="Yes", 1, 0)</f>
        <v>1</v>
      </c>
      <c r="L961" t="str">
        <f>IF(G961=0,"0 Failures","1+ Failures")</f>
        <v>1+ Failures</v>
      </c>
      <c r="M961" t="str">
        <f t="shared" si="44"/>
        <v>5-10 hrs</v>
      </c>
      <c r="N961" t="str">
        <f t="shared" si="42"/>
        <v>12+ months</v>
      </c>
      <c r="O961" t="str">
        <f t="shared" si="43"/>
        <v>Premium</v>
      </c>
      <c r="P961" s="7">
        <v>45657</v>
      </c>
    </row>
    <row r="962" spans="1:16" x14ac:dyDescent="0.3">
      <c r="A962">
        <v>961</v>
      </c>
      <c r="B962" s="7">
        <v>45215</v>
      </c>
      <c r="C962" t="s">
        <v>12</v>
      </c>
      <c r="D962">
        <v>199</v>
      </c>
      <c r="E962">
        <v>20.6</v>
      </c>
      <c r="F962">
        <v>0</v>
      </c>
      <c r="G962">
        <v>4</v>
      </c>
      <c r="H962">
        <v>7</v>
      </c>
      <c r="I962">
        <v>13</v>
      </c>
      <c r="J962" t="s">
        <v>13</v>
      </c>
      <c r="K962">
        <f>IF(J962="Yes", 1, 0)</f>
        <v>0</v>
      </c>
      <c r="L962" t="str">
        <f>IF(G962=0,"0 Failures","1+ Failures")</f>
        <v>1+ Failures</v>
      </c>
      <c r="M962" t="str">
        <f t="shared" si="44"/>
        <v>20+ hrs</v>
      </c>
      <c r="N962" t="str">
        <f t="shared" si="42"/>
        <v>6-12months</v>
      </c>
      <c r="O962" t="str">
        <f t="shared" si="43"/>
        <v>Basic</v>
      </c>
      <c r="P962" s="7">
        <v>45657</v>
      </c>
    </row>
    <row r="963" spans="1:16" x14ac:dyDescent="0.3">
      <c r="A963">
        <v>962</v>
      </c>
      <c r="B963" s="7">
        <v>45651</v>
      </c>
      <c r="C963" t="s">
        <v>12</v>
      </c>
      <c r="D963">
        <v>199</v>
      </c>
      <c r="E963">
        <v>0.6</v>
      </c>
      <c r="F963">
        <v>1</v>
      </c>
      <c r="G963">
        <v>1</v>
      </c>
      <c r="H963">
        <v>35</v>
      </c>
      <c r="I963">
        <v>58</v>
      </c>
      <c r="J963" t="s">
        <v>11</v>
      </c>
      <c r="K963">
        <f>IF(J963="Yes", 1, 0)</f>
        <v>1</v>
      </c>
      <c r="L963" t="str">
        <f>IF(G963=0,"0 Failures","1+ Failures")</f>
        <v>1+ Failures</v>
      </c>
      <c r="M963" t="str">
        <f t="shared" si="44"/>
        <v>0-5 hrs</v>
      </c>
      <c r="N963" t="str">
        <f t="shared" ref="N963:N1026" si="45">IF(H963&lt;=3, "0-3months", IF(H963&lt;=6, "3-6months", IF(H963&lt;=12, "6-12months", "12+ months")))</f>
        <v>12+ months</v>
      </c>
      <c r="O963" t="str">
        <f t="shared" ref="O963:O1026" si="46">IF(C963="premium", "Premium", "Basic")</f>
        <v>Basic</v>
      </c>
      <c r="P963" s="7">
        <v>45657</v>
      </c>
    </row>
    <row r="964" spans="1:16" x14ac:dyDescent="0.3">
      <c r="A964">
        <v>963</v>
      </c>
      <c r="B964" s="7">
        <v>45112</v>
      </c>
      <c r="C964" t="s">
        <v>14</v>
      </c>
      <c r="D964">
        <v>399</v>
      </c>
      <c r="E964">
        <v>17.600000000000001</v>
      </c>
      <c r="F964">
        <v>2</v>
      </c>
      <c r="G964">
        <v>3</v>
      </c>
      <c r="H964">
        <v>24</v>
      </c>
      <c r="I964">
        <v>43</v>
      </c>
      <c r="J964" t="s">
        <v>13</v>
      </c>
      <c r="K964">
        <f>IF(J964="Yes", 1, 0)</f>
        <v>0</v>
      </c>
      <c r="L964" t="str">
        <f>IF(G964=0,"0 Failures","1+ Failures")</f>
        <v>1+ Failures</v>
      </c>
      <c r="M964" t="str">
        <f t="shared" si="44"/>
        <v>10-20hrs</v>
      </c>
      <c r="N964" t="str">
        <f t="shared" si="45"/>
        <v>12+ months</v>
      </c>
      <c r="O964" t="str">
        <f t="shared" si="46"/>
        <v>Basic</v>
      </c>
      <c r="P964" s="7">
        <v>45657</v>
      </c>
    </row>
    <row r="965" spans="1:16" x14ac:dyDescent="0.3">
      <c r="A965">
        <v>964</v>
      </c>
      <c r="B965" s="7">
        <v>45248</v>
      </c>
      <c r="C965" t="s">
        <v>14</v>
      </c>
      <c r="D965">
        <v>399</v>
      </c>
      <c r="E965">
        <v>10.9</v>
      </c>
      <c r="F965">
        <v>8</v>
      </c>
      <c r="G965">
        <v>1</v>
      </c>
      <c r="H965">
        <v>25</v>
      </c>
      <c r="I965">
        <v>26</v>
      </c>
      <c r="J965" t="s">
        <v>11</v>
      </c>
      <c r="K965">
        <f>IF(J965="Yes", 1, 0)</f>
        <v>1</v>
      </c>
      <c r="L965" t="str">
        <f>IF(G965=0,"0 Failures","1+ Failures")</f>
        <v>1+ Failures</v>
      </c>
      <c r="M965" t="str">
        <f t="shared" si="44"/>
        <v>10-20hrs</v>
      </c>
      <c r="N965" t="str">
        <f t="shared" si="45"/>
        <v>12+ months</v>
      </c>
      <c r="O965" t="str">
        <f t="shared" si="46"/>
        <v>Basic</v>
      </c>
      <c r="P965" s="7">
        <v>45657</v>
      </c>
    </row>
    <row r="966" spans="1:16" x14ac:dyDescent="0.3">
      <c r="A966">
        <v>965</v>
      </c>
      <c r="B966" s="7">
        <v>45222</v>
      </c>
      <c r="C966" t="s">
        <v>12</v>
      </c>
      <c r="D966">
        <v>199</v>
      </c>
      <c r="E966">
        <v>3.2</v>
      </c>
      <c r="F966">
        <v>2</v>
      </c>
      <c r="G966">
        <v>3</v>
      </c>
      <c r="H966">
        <v>30</v>
      </c>
      <c r="I966">
        <v>48</v>
      </c>
      <c r="J966" t="s">
        <v>11</v>
      </c>
      <c r="K966">
        <f>IF(J966="Yes", 1, 0)</f>
        <v>1</v>
      </c>
      <c r="L966" t="str">
        <f>IF(G966=0,"0 Failures","1+ Failures")</f>
        <v>1+ Failures</v>
      </c>
      <c r="M966" t="str">
        <f t="shared" si="44"/>
        <v>0-5 hrs</v>
      </c>
      <c r="N966" t="str">
        <f t="shared" si="45"/>
        <v>12+ months</v>
      </c>
      <c r="O966" t="str">
        <f t="shared" si="46"/>
        <v>Basic</v>
      </c>
      <c r="P966" s="7">
        <v>45657</v>
      </c>
    </row>
    <row r="967" spans="1:16" x14ac:dyDescent="0.3">
      <c r="A967">
        <v>966</v>
      </c>
      <c r="B967" s="7">
        <v>45541</v>
      </c>
      <c r="C967" t="s">
        <v>10</v>
      </c>
      <c r="D967">
        <v>699</v>
      </c>
      <c r="E967">
        <v>2.5</v>
      </c>
      <c r="F967">
        <v>7</v>
      </c>
      <c r="G967">
        <v>0</v>
      </c>
      <c r="H967">
        <v>3</v>
      </c>
      <c r="I967">
        <v>24</v>
      </c>
      <c r="J967" t="s">
        <v>11</v>
      </c>
      <c r="K967">
        <f>IF(J967="Yes", 1, 0)</f>
        <v>1</v>
      </c>
      <c r="L967" t="str">
        <f>IF(G967=0,"0 Failures","1+ Failures")</f>
        <v>0 Failures</v>
      </c>
      <c r="M967" t="str">
        <f t="shared" si="44"/>
        <v>0-5 hrs</v>
      </c>
      <c r="N967" t="str">
        <f t="shared" si="45"/>
        <v>0-3months</v>
      </c>
      <c r="O967" t="str">
        <f t="shared" si="46"/>
        <v>Premium</v>
      </c>
      <c r="P967" s="7">
        <v>45657</v>
      </c>
    </row>
    <row r="968" spans="1:16" x14ac:dyDescent="0.3">
      <c r="A968">
        <v>967</v>
      </c>
      <c r="B968" s="7">
        <v>45365</v>
      </c>
      <c r="C968" t="s">
        <v>10</v>
      </c>
      <c r="D968">
        <v>699</v>
      </c>
      <c r="E968">
        <v>17.3</v>
      </c>
      <c r="F968">
        <v>7</v>
      </c>
      <c r="G968">
        <v>1</v>
      </c>
      <c r="H968">
        <v>20</v>
      </c>
      <c r="I968">
        <v>35</v>
      </c>
      <c r="J968" t="s">
        <v>11</v>
      </c>
      <c r="K968">
        <f>IF(J968="Yes", 1, 0)</f>
        <v>1</v>
      </c>
      <c r="L968" t="str">
        <f>IF(G968=0,"0 Failures","1+ Failures")</f>
        <v>1+ Failures</v>
      </c>
      <c r="M968" t="str">
        <f t="shared" si="44"/>
        <v>10-20hrs</v>
      </c>
      <c r="N968" t="str">
        <f t="shared" si="45"/>
        <v>12+ months</v>
      </c>
      <c r="O968" t="str">
        <f t="shared" si="46"/>
        <v>Premium</v>
      </c>
      <c r="P968" s="7">
        <v>45657</v>
      </c>
    </row>
    <row r="969" spans="1:16" x14ac:dyDescent="0.3">
      <c r="A969">
        <v>968</v>
      </c>
      <c r="B969" s="7">
        <v>45617</v>
      </c>
      <c r="C969" t="s">
        <v>12</v>
      </c>
      <c r="D969">
        <v>199</v>
      </c>
      <c r="E969">
        <v>22.4</v>
      </c>
      <c r="F969">
        <v>7</v>
      </c>
      <c r="G969">
        <v>5</v>
      </c>
      <c r="H969">
        <v>5</v>
      </c>
      <c r="I969">
        <v>23</v>
      </c>
      <c r="J969" t="s">
        <v>11</v>
      </c>
      <c r="K969">
        <f>IF(J969="Yes", 1, 0)</f>
        <v>1</v>
      </c>
      <c r="L969" t="str">
        <f>IF(G969=0,"0 Failures","1+ Failures")</f>
        <v>1+ Failures</v>
      </c>
      <c r="M969" t="str">
        <f t="shared" si="44"/>
        <v>20+ hrs</v>
      </c>
      <c r="N969" t="str">
        <f t="shared" si="45"/>
        <v>3-6months</v>
      </c>
      <c r="O969" t="str">
        <f t="shared" si="46"/>
        <v>Basic</v>
      </c>
      <c r="P969" s="7">
        <v>45657</v>
      </c>
    </row>
    <row r="970" spans="1:16" x14ac:dyDescent="0.3">
      <c r="A970">
        <v>969</v>
      </c>
      <c r="B970" s="7">
        <v>45073</v>
      </c>
      <c r="C970" t="s">
        <v>14</v>
      </c>
      <c r="D970">
        <v>399</v>
      </c>
      <c r="E970">
        <v>10.199999999999999</v>
      </c>
      <c r="F970">
        <v>8</v>
      </c>
      <c r="G970">
        <v>5</v>
      </c>
      <c r="H970">
        <v>7</v>
      </c>
      <c r="I970">
        <v>43</v>
      </c>
      <c r="J970" t="s">
        <v>11</v>
      </c>
      <c r="K970">
        <f>IF(J970="Yes", 1, 0)</f>
        <v>1</v>
      </c>
      <c r="L970" t="str">
        <f>IF(G970=0,"0 Failures","1+ Failures")</f>
        <v>1+ Failures</v>
      </c>
      <c r="M970" t="str">
        <f t="shared" si="44"/>
        <v>10-20hrs</v>
      </c>
      <c r="N970" t="str">
        <f t="shared" si="45"/>
        <v>6-12months</v>
      </c>
      <c r="O970" t="str">
        <f t="shared" si="46"/>
        <v>Basic</v>
      </c>
      <c r="P970" s="7">
        <v>45657</v>
      </c>
    </row>
    <row r="971" spans="1:16" x14ac:dyDescent="0.3">
      <c r="A971">
        <v>970</v>
      </c>
      <c r="B971" s="7">
        <v>45099</v>
      </c>
      <c r="C971" t="s">
        <v>14</v>
      </c>
      <c r="D971">
        <v>399</v>
      </c>
      <c r="E971">
        <v>17.5</v>
      </c>
      <c r="F971">
        <v>1</v>
      </c>
      <c r="G971">
        <v>5</v>
      </c>
      <c r="H971">
        <v>26</v>
      </c>
      <c r="I971">
        <v>59</v>
      </c>
      <c r="J971" t="s">
        <v>13</v>
      </c>
      <c r="K971">
        <f>IF(J971="Yes", 1, 0)</f>
        <v>0</v>
      </c>
      <c r="L971" t="str">
        <f>IF(G971=0,"0 Failures","1+ Failures")</f>
        <v>1+ Failures</v>
      </c>
      <c r="M971" t="str">
        <f t="shared" ref="M971:M1034" si="47">IF(E971&lt;=5, "0-5 hrs",    IF(E971&lt;=10, "5-10 hrs",    IF(E971&lt;=20, "10-20hrs", "20+ hrs")))</f>
        <v>10-20hrs</v>
      </c>
      <c r="N971" t="str">
        <f t="shared" si="45"/>
        <v>12+ months</v>
      </c>
      <c r="O971" t="str">
        <f t="shared" si="46"/>
        <v>Basic</v>
      </c>
      <c r="P971" s="7">
        <v>45657</v>
      </c>
    </row>
    <row r="972" spans="1:16" x14ac:dyDescent="0.3">
      <c r="A972">
        <v>971</v>
      </c>
      <c r="B972" s="7">
        <v>45340</v>
      </c>
      <c r="C972" t="s">
        <v>12</v>
      </c>
      <c r="D972">
        <v>199</v>
      </c>
      <c r="E972">
        <v>24.4</v>
      </c>
      <c r="F972">
        <v>5</v>
      </c>
      <c r="G972">
        <v>1</v>
      </c>
      <c r="H972">
        <v>24</v>
      </c>
      <c r="I972">
        <v>38</v>
      </c>
      <c r="J972" t="s">
        <v>13</v>
      </c>
      <c r="K972">
        <f>IF(J972="Yes", 1, 0)</f>
        <v>0</v>
      </c>
      <c r="L972" t="str">
        <f>IF(G972=0,"0 Failures","1+ Failures")</f>
        <v>1+ Failures</v>
      </c>
      <c r="M972" t="str">
        <f t="shared" si="47"/>
        <v>20+ hrs</v>
      </c>
      <c r="N972" t="str">
        <f t="shared" si="45"/>
        <v>12+ months</v>
      </c>
      <c r="O972" t="str">
        <f t="shared" si="46"/>
        <v>Basic</v>
      </c>
      <c r="P972" s="7">
        <v>45657</v>
      </c>
    </row>
    <row r="973" spans="1:16" x14ac:dyDescent="0.3">
      <c r="A973">
        <v>972</v>
      </c>
      <c r="B973" s="7">
        <v>45522</v>
      </c>
      <c r="C973" t="s">
        <v>12</v>
      </c>
      <c r="D973">
        <v>199</v>
      </c>
      <c r="E973">
        <v>21</v>
      </c>
      <c r="F973">
        <v>7</v>
      </c>
      <c r="G973">
        <v>2</v>
      </c>
      <c r="H973">
        <v>15</v>
      </c>
      <c r="I973">
        <v>48</v>
      </c>
      <c r="J973" t="s">
        <v>11</v>
      </c>
      <c r="K973">
        <f>IF(J973="Yes", 1, 0)</f>
        <v>1</v>
      </c>
      <c r="L973" t="str">
        <f>IF(G973=0,"0 Failures","1+ Failures")</f>
        <v>1+ Failures</v>
      </c>
      <c r="M973" t="str">
        <f t="shared" si="47"/>
        <v>20+ hrs</v>
      </c>
      <c r="N973" t="str">
        <f t="shared" si="45"/>
        <v>12+ months</v>
      </c>
      <c r="O973" t="str">
        <f t="shared" si="46"/>
        <v>Basic</v>
      </c>
      <c r="P973" s="7">
        <v>45657</v>
      </c>
    </row>
    <row r="974" spans="1:16" x14ac:dyDescent="0.3">
      <c r="A974">
        <v>973</v>
      </c>
      <c r="B974" s="7">
        <v>45341</v>
      </c>
      <c r="C974" t="s">
        <v>10</v>
      </c>
      <c r="D974">
        <v>699</v>
      </c>
      <c r="E974">
        <v>19</v>
      </c>
      <c r="F974">
        <v>6</v>
      </c>
      <c r="G974">
        <v>2</v>
      </c>
      <c r="H974">
        <v>18</v>
      </c>
      <c r="I974">
        <v>30</v>
      </c>
      <c r="J974" t="s">
        <v>11</v>
      </c>
      <c r="K974">
        <f>IF(J974="Yes", 1, 0)</f>
        <v>1</v>
      </c>
      <c r="L974" t="str">
        <f>IF(G974=0,"0 Failures","1+ Failures")</f>
        <v>1+ Failures</v>
      </c>
      <c r="M974" t="str">
        <f t="shared" si="47"/>
        <v>10-20hrs</v>
      </c>
      <c r="N974" t="str">
        <f t="shared" si="45"/>
        <v>12+ months</v>
      </c>
      <c r="O974" t="str">
        <f t="shared" si="46"/>
        <v>Premium</v>
      </c>
      <c r="P974" s="7">
        <v>45657</v>
      </c>
    </row>
    <row r="975" spans="1:16" x14ac:dyDescent="0.3">
      <c r="A975">
        <v>974</v>
      </c>
      <c r="B975" s="7">
        <v>45436</v>
      </c>
      <c r="C975" t="s">
        <v>14</v>
      </c>
      <c r="D975">
        <v>399</v>
      </c>
      <c r="E975">
        <v>7.3</v>
      </c>
      <c r="F975">
        <v>7</v>
      </c>
      <c r="G975">
        <v>0</v>
      </c>
      <c r="H975">
        <v>33</v>
      </c>
      <c r="I975">
        <v>7</v>
      </c>
      <c r="J975" t="s">
        <v>13</v>
      </c>
      <c r="K975">
        <f>IF(J975="Yes", 1, 0)</f>
        <v>0</v>
      </c>
      <c r="L975" t="str">
        <f>IF(G975=0,"0 Failures","1+ Failures")</f>
        <v>0 Failures</v>
      </c>
      <c r="M975" t="str">
        <f t="shared" si="47"/>
        <v>5-10 hrs</v>
      </c>
      <c r="N975" t="str">
        <f t="shared" si="45"/>
        <v>12+ months</v>
      </c>
      <c r="O975" t="str">
        <f t="shared" si="46"/>
        <v>Basic</v>
      </c>
      <c r="P975" s="7">
        <v>45657</v>
      </c>
    </row>
    <row r="976" spans="1:16" x14ac:dyDescent="0.3">
      <c r="A976">
        <v>975</v>
      </c>
      <c r="B976" s="7">
        <v>45110</v>
      </c>
      <c r="C976" t="s">
        <v>12</v>
      </c>
      <c r="D976">
        <v>199</v>
      </c>
      <c r="E976">
        <v>1.2</v>
      </c>
      <c r="F976">
        <v>0</v>
      </c>
      <c r="G976">
        <v>0</v>
      </c>
      <c r="H976">
        <v>9</v>
      </c>
      <c r="I976">
        <v>31</v>
      </c>
      <c r="J976" t="s">
        <v>13</v>
      </c>
      <c r="K976">
        <f>IF(J976="Yes", 1, 0)</f>
        <v>0</v>
      </c>
      <c r="L976" t="str">
        <f>IF(G976=0,"0 Failures","1+ Failures")</f>
        <v>0 Failures</v>
      </c>
      <c r="M976" t="str">
        <f t="shared" si="47"/>
        <v>0-5 hrs</v>
      </c>
      <c r="N976" t="str">
        <f t="shared" si="45"/>
        <v>6-12months</v>
      </c>
      <c r="O976" t="str">
        <f t="shared" si="46"/>
        <v>Basic</v>
      </c>
      <c r="P976" s="7">
        <v>45657</v>
      </c>
    </row>
    <row r="977" spans="1:16" x14ac:dyDescent="0.3">
      <c r="A977">
        <v>976</v>
      </c>
      <c r="B977" s="7">
        <v>45431</v>
      </c>
      <c r="C977" t="s">
        <v>14</v>
      </c>
      <c r="D977">
        <v>399</v>
      </c>
      <c r="E977">
        <v>4.2</v>
      </c>
      <c r="F977">
        <v>1</v>
      </c>
      <c r="G977">
        <v>0</v>
      </c>
      <c r="H977">
        <v>21</v>
      </c>
      <c r="I977">
        <v>42</v>
      </c>
      <c r="J977" t="s">
        <v>13</v>
      </c>
      <c r="K977">
        <f>IF(J977="Yes", 1, 0)</f>
        <v>0</v>
      </c>
      <c r="L977" t="str">
        <f>IF(G977=0,"0 Failures","1+ Failures")</f>
        <v>0 Failures</v>
      </c>
      <c r="M977" t="str">
        <f t="shared" si="47"/>
        <v>0-5 hrs</v>
      </c>
      <c r="N977" t="str">
        <f t="shared" si="45"/>
        <v>12+ months</v>
      </c>
      <c r="O977" t="str">
        <f t="shared" si="46"/>
        <v>Basic</v>
      </c>
      <c r="P977" s="7">
        <v>45657</v>
      </c>
    </row>
    <row r="978" spans="1:16" x14ac:dyDescent="0.3">
      <c r="A978">
        <v>977</v>
      </c>
      <c r="B978" s="7">
        <v>45278</v>
      </c>
      <c r="C978" t="s">
        <v>14</v>
      </c>
      <c r="D978">
        <v>399</v>
      </c>
      <c r="E978">
        <v>7.7</v>
      </c>
      <c r="F978">
        <v>7</v>
      </c>
      <c r="G978">
        <v>3</v>
      </c>
      <c r="H978">
        <v>13</v>
      </c>
      <c r="I978">
        <v>32</v>
      </c>
      <c r="J978" t="s">
        <v>11</v>
      </c>
      <c r="K978">
        <f>IF(J978="Yes", 1, 0)</f>
        <v>1</v>
      </c>
      <c r="L978" t="str">
        <f>IF(G978=0,"0 Failures","1+ Failures")</f>
        <v>1+ Failures</v>
      </c>
      <c r="M978" t="str">
        <f t="shared" si="47"/>
        <v>5-10 hrs</v>
      </c>
      <c r="N978" t="str">
        <f t="shared" si="45"/>
        <v>12+ months</v>
      </c>
      <c r="O978" t="str">
        <f t="shared" si="46"/>
        <v>Basic</v>
      </c>
      <c r="P978" s="7">
        <v>45657</v>
      </c>
    </row>
    <row r="979" spans="1:16" x14ac:dyDescent="0.3">
      <c r="A979">
        <v>978</v>
      </c>
      <c r="B979" s="7">
        <v>45319</v>
      </c>
      <c r="C979" t="s">
        <v>10</v>
      </c>
      <c r="D979">
        <v>699</v>
      </c>
      <c r="E979">
        <v>0.9</v>
      </c>
      <c r="F979">
        <v>0</v>
      </c>
      <c r="G979">
        <v>3</v>
      </c>
      <c r="H979">
        <v>35</v>
      </c>
      <c r="I979">
        <v>56</v>
      </c>
      <c r="J979" t="s">
        <v>13</v>
      </c>
      <c r="K979">
        <f>IF(J979="Yes", 1, 0)</f>
        <v>0</v>
      </c>
      <c r="L979" t="str">
        <f>IF(G979=0,"0 Failures","1+ Failures")</f>
        <v>1+ Failures</v>
      </c>
      <c r="M979" t="str">
        <f t="shared" si="47"/>
        <v>0-5 hrs</v>
      </c>
      <c r="N979" t="str">
        <f t="shared" si="45"/>
        <v>12+ months</v>
      </c>
      <c r="O979" t="str">
        <f t="shared" si="46"/>
        <v>Premium</v>
      </c>
      <c r="P979" s="7">
        <v>45657</v>
      </c>
    </row>
    <row r="980" spans="1:16" x14ac:dyDescent="0.3">
      <c r="A980">
        <v>979</v>
      </c>
      <c r="B980" s="7">
        <v>45497</v>
      </c>
      <c r="C980" t="s">
        <v>14</v>
      </c>
      <c r="D980">
        <v>399</v>
      </c>
      <c r="E980">
        <v>21.4</v>
      </c>
      <c r="F980">
        <v>7</v>
      </c>
      <c r="G980">
        <v>3</v>
      </c>
      <c r="H980">
        <v>21</v>
      </c>
      <c r="I980">
        <v>2</v>
      </c>
      <c r="J980" t="s">
        <v>11</v>
      </c>
      <c r="K980">
        <f>IF(J980="Yes", 1, 0)</f>
        <v>1</v>
      </c>
      <c r="L980" t="str">
        <f>IF(G980=0,"0 Failures","1+ Failures")</f>
        <v>1+ Failures</v>
      </c>
      <c r="M980" t="str">
        <f t="shared" si="47"/>
        <v>20+ hrs</v>
      </c>
      <c r="N980" t="str">
        <f t="shared" si="45"/>
        <v>12+ months</v>
      </c>
      <c r="O980" t="str">
        <f t="shared" si="46"/>
        <v>Basic</v>
      </c>
      <c r="P980" s="7">
        <v>45657</v>
      </c>
    </row>
    <row r="981" spans="1:16" x14ac:dyDescent="0.3">
      <c r="A981">
        <v>980</v>
      </c>
      <c r="B981" s="7">
        <v>45325</v>
      </c>
      <c r="C981" t="s">
        <v>10</v>
      </c>
      <c r="D981">
        <v>699</v>
      </c>
      <c r="E981">
        <v>22.2</v>
      </c>
      <c r="F981">
        <v>2</v>
      </c>
      <c r="G981">
        <v>3</v>
      </c>
      <c r="H981">
        <v>20</v>
      </c>
      <c r="I981">
        <v>27</v>
      </c>
      <c r="J981" t="s">
        <v>11</v>
      </c>
      <c r="K981">
        <f>IF(J981="Yes", 1, 0)</f>
        <v>1</v>
      </c>
      <c r="L981" t="str">
        <f>IF(G981=0,"0 Failures","1+ Failures")</f>
        <v>1+ Failures</v>
      </c>
      <c r="M981" t="str">
        <f t="shared" si="47"/>
        <v>20+ hrs</v>
      </c>
      <c r="N981" t="str">
        <f t="shared" si="45"/>
        <v>12+ months</v>
      </c>
      <c r="O981" t="str">
        <f t="shared" si="46"/>
        <v>Premium</v>
      </c>
      <c r="P981" s="7">
        <v>45657</v>
      </c>
    </row>
    <row r="982" spans="1:16" x14ac:dyDescent="0.3">
      <c r="A982">
        <v>981</v>
      </c>
      <c r="B982" s="7">
        <v>45512</v>
      </c>
      <c r="C982" t="s">
        <v>14</v>
      </c>
      <c r="D982">
        <v>399</v>
      </c>
      <c r="E982">
        <v>14.4</v>
      </c>
      <c r="F982">
        <v>7</v>
      </c>
      <c r="G982">
        <v>5</v>
      </c>
      <c r="H982">
        <v>8</v>
      </c>
      <c r="I982">
        <v>35</v>
      </c>
      <c r="J982" t="s">
        <v>11</v>
      </c>
      <c r="K982">
        <f>IF(J982="Yes", 1, 0)</f>
        <v>1</v>
      </c>
      <c r="L982" t="str">
        <f>IF(G982=0,"0 Failures","1+ Failures")</f>
        <v>1+ Failures</v>
      </c>
      <c r="M982" t="str">
        <f t="shared" si="47"/>
        <v>10-20hrs</v>
      </c>
      <c r="N982" t="str">
        <f t="shared" si="45"/>
        <v>6-12months</v>
      </c>
      <c r="O982" t="str">
        <f t="shared" si="46"/>
        <v>Basic</v>
      </c>
      <c r="P982" s="7">
        <v>45657</v>
      </c>
    </row>
    <row r="983" spans="1:16" x14ac:dyDescent="0.3">
      <c r="A983">
        <v>982</v>
      </c>
      <c r="B983" s="7">
        <v>45433</v>
      </c>
      <c r="C983" t="s">
        <v>14</v>
      </c>
      <c r="D983">
        <v>399</v>
      </c>
      <c r="E983">
        <v>14.3</v>
      </c>
      <c r="F983">
        <v>2</v>
      </c>
      <c r="G983">
        <v>4</v>
      </c>
      <c r="H983">
        <v>31</v>
      </c>
      <c r="I983">
        <v>3</v>
      </c>
      <c r="J983" t="s">
        <v>13</v>
      </c>
      <c r="K983">
        <f>IF(J983="Yes", 1, 0)</f>
        <v>0</v>
      </c>
      <c r="L983" t="str">
        <f>IF(G983=0,"0 Failures","1+ Failures")</f>
        <v>1+ Failures</v>
      </c>
      <c r="M983" t="str">
        <f t="shared" si="47"/>
        <v>10-20hrs</v>
      </c>
      <c r="N983" t="str">
        <f t="shared" si="45"/>
        <v>12+ months</v>
      </c>
      <c r="O983" t="str">
        <f t="shared" si="46"/>
        <v>Basic</v>
      </c>
      <c r="P983" s="7">
        <v>45657</v>
      </c>
    </row>
    <row r="984" spans="1:16" x14ac:dyDescent="0.3">
      <c r="A984">
        <v>983</v>
      </c>
      <c r="B984" s="7">
        <v>45531</v>
      </c>
      <c r="C984" t="s">
        <v>10</v>
      </c>
      <c r="D984">
        <v>699</v>
      </c>
      <c r="E984">
        <v>15.6</v>
      </c>
      <c r="F984">
        <v>5</v>
      </c>
      <c r="G984">
        <v>2</v>
      </c>
      <c r="H984">
        <v>25</v>
      </c>
      <c r="I984">
        <v>20</v>
      </c>
      <c r="J984" t="s">
        <v>11</v>
      </c>
      <c r="K984">
        <f>IF(J984="Yes", 1, 0)</f>
        <v>1</v>
      </c>
      <c r="L984" t="str">
        <f>IF(G984=0,"0 Failures","1+ Failures")</f>
        <v>1+ Failures</v>
      </c>
      <c r="M984" t="str">
        <f t="shared" si="47"/>
        <v>10-20hrs</v>
      </c>
      <c r="N984" t="str">
        <f t="shared" si="45"/>
        <v>12+ months</v>
      </c>
      <c r="O984" t="str">
        <f t="shared" si="46"/>
        <v>Premium</v>
      </c>
      <c r="P984" s="7">
        <v>45657</v>
      </c>
    </row>
    <row r="985" spans="1:16" x14ac:dyDescent="0.3">
      <c r="A985">
        <v>984</v>
      </c>
      <c r="B985" s="7">
        <v>45567</v>
      </c>
      <c r="C985" t="s">
        <v>12</v>
      </c>
      <c r="D985">
        <v>199</v>
      </c>
      <c r="E985">
        <v>21</v>
      </c>
      <c r="F985">
        <v>5</v>
      </c>
      <c r="G985">
        <v>5</v>
      </c>
      <c r="H985">
        <v>9</v>
      </c>
      <c r="I985">
        <v>37</v>
      </c>
      <c r="J985" t="s">
        <v>11</v>
      </c>
      <c r="K985">
        <f>IF(J985="Yes", 1, 0)</f>
        <v>1</v>
      </c>
      <c r="L985" t="str">
        <f>IF(G985=0,"0 Failures","1+ Failures")</f>
        <v>1+ Failures</v>
      </c>
      <c r="M985" t="str">
        <f t="shared" si="47"/>
        <v>20+ hrs</v>
      </c>
      <c r="N985" t="str">
        <f t="shared" si="45"/>
        <v>6-12months</v>
      </c>
      <c r="O985" t="str">
        <f t="shared" si="46"/>
        <v>Basic</v>
      </c>
      <c r="P985" s="7">
        <v>45657</v>
      </c>
    </row>
    <row r="986" spans="1:16" x14ac:dyDescent="0.3">
      <c r="A986">
        <v>985</v>
      </c>
      <c r="B986" s="7">
        <v>45604</v>
      </c>
      <c r="C986" t="s">
        <v>14</v>
      </c>
      <c r="D986">
        <v>399</v>
      </c>
      <c r="E986">
        <v>2.9</v>
      </c>
      <c r="F986">
        <v>5</v>
      </c>
      <c r="G986">
        <v>2</v>
      </c>
      <c r="H986">
        <v>25</v>
      </c>
      <c r="I986">
        <v>26</v>
      </c>
      <c r="J986" t="s">
        <v>11</v>
      </c>
      <c r="K986">
        <f>IF(J986="Yes", 1, 0)</f>
        <v>1</v>
      </c>
      <c r="L986" t="str">
        <f>IF(G986=0,"0 Failures","1+ Failures")</f>
        <v>1+ Failures</v>
      </c>
      <c r="M986" t="str">
        <f t="shared" si="47"/>
        <v>0-5 hrs</v>
      </c>
      <c r="N986" t="str">
        <f t="shared" si="45"/>
        <v>12+ months</v>
      </c>
      <c r="O986" t="str">
        <f t="shared" si="46"/>
        <v>Basic</v>
      </c>
      <c r="P986" s="7">
        <v>45657</v>
      </c>
    </row>
    <row r="987" spans="1:16" x14ac:dyDescent="0.3">
      <c r="A987">
        <v>986</v>
      </c>
      <c r="B987" s="7">
        <v>44994</v>
      </c>
      <c r="C987" t="s">
        <v>12</v>
      </c>
      <c r="D987">
        <v>199</v>
      </c>
      <c r="E987">
        <v>6.2</v>
      </c>
      <c r="F987">
        <v>4</v>
      </c>
      <c r="G987">
        <v>4</v>
      </c>
      <c r="H987">
        <v>16</v>
      </c>
      <c r="I987">
        <v>5</v>
      </c>
      <c r="J987" t="s">
        <v>13</v>
      </c>
      <c r="K987">
        <f>IF(J987="Yes", 1, 0)</f>
        <v>0</v>
      </c>
      <c r="L987" t="str">
        <f>IF(G987=0,"0 Failures","1+ Failures")</f>
        <v>1+ Failures</v>
      </c>
      <c r="M987" t="str">
        <f t="shared" si="47"/>
        <v>5-10 hrs</v>
      </c>
      <c r="N987" t="str">
        <f t="shared" si="45"/>
        <v>12+ months</v>
      </c>
      <c r="O987" t="str">
        <f t="shared" si="46"/>
        <v>Basic</v>
      </c>
      <c r="P987" s="7">
        <v>45657</v>
      </c>
    </row>
    <row r="988" spans="1:16" x14ac:dyDescent="0.3">
      <c r="A988">
        <v>987</v>
      </c>
      <c r="B988" s="7">
        <v>45600</v>
      </c>
      <c r="C988" t="s">
        <v>14</v>
      </c>
      <c r="D988">
        <v>399</v>
      </c>
      <c r="E988">
        <v>8.8000000000000007</v>
      </c>
      <c r="F988">
        <v>0</v>
      </c>
      <c r="G988">
        <v>4</v>
      </c>
      <c r="H988">
        <v>8</v>
      </c>
      <c r="I988">
        <v>20</v>
      </c>
      <c r="J988" t="s">
        <v>11</v>
      </c>
      <c r="K988">
        <f>IF(J988="Yes", 1, 0)</f>
        <v>1</v>
      </c>
      <c r="L988" t="str">
        <f>IF(G988=0,"0 Failures","1+ Failures")</f>
        <v>1+ Failures</v>
      </c>
      <c r="M988" t="str">
        <f t="shared" si="47"/>
        <v>5-10 hrs</v>
      </c>
      <c r="N988" t="str">
        <f t="shared" si="45"/>
        <v>6-12months</v>
      </c>
      <c r="O988" t="str">
        <f t="shared" si="46"/>
        <v>Basic</v>
      </c>
      <c r="P988" s="7">
        <v>45657</v>
      </c>
    </row>
    <row r="989" spans="1:16" x14ac:dyDescent="0.3">
      <c r="A989">
        <v>988</v>
      </c>
      <c r="B989" s="7">
        <v>44949</v>
      </c>
      <c r="C989" t="s">
        <v>14</v>
      </c>
      <c r="D989">
        <v>399</v>
      </c>
      <c r="E989">
        <v>22.6</v>
      </c>
      <c r="F989">
        <v>4</v>
      </c>
      <c r="G989">
        <v>0</v>
      </c>
      <c r="H989">
        <v>33</v>
      </c>
      <c r="I989">
        <v>44</v>
      </c>
      <c r="J989" t="s">
        <v>11</v>
      </c>
      <c r="K989">
        <f>IF(J989="Yes", 1, 0)</f>
        <v>1</v>
      </c>
      <c r="L989" t="str">
        <f>IF(G989=0,"0 Failures","1+ Failures")</f>
        <v>0 Failures</v>
      </c>
      <c r="M989" t="str">
        <f t="shared" si="47"/>
        <v>20+ hrs</v>
      </c>
      <c r="N989" t="str">
        <f t="shared" si="45"/>
        <v>12+ months</v>
      </c>
      <c r="O989" t="str">
        <f t="shared" si="46"/>
        <v>Basic</v>
      </c>
      <c r="P989" s="7">
        <v>45657</v>
      </c>
    </row>
    <row r="990" spans="1:16" x14ac:dyDescent="0.3">
      <c r="A990">
        <v>989</v>
      </c>
      <c r="B990" s="7">
        <v>45029</v>
      </c>
      <c r="C990" t="s">
        <v>14</v>
      </c>
      <c r="D990">
        <v>399</v>
      </c>
      <c r="E990">
        <v>14.5</v>
      </c>
      <c r="F990">
        <v>5</v>
      </c>
      <c r="G990">
        <v>4</v>
      </c>
      <c r="H990">
        <v>25</v>
      </c>
      <c r="I990">
        <v>6</v>
      </c>
      <c r="J990" t="s">
        <v>13</v>
      </c>
      <c r="K990">
        <f>IF(J990="Yes", 1, 0)</f>
        <v>0</v>
      </c>
      <c r="L990" t="str">
        <f>IF(G990=0,"0 Failures","1+ Failures")</f>
        <v>1+ Failures</v>
      </c>
      <c r="M990" t="str">
        <f t="shared" si="47"/>
        <v>10-20hrs</v>
      </c>
      <c r="N990" t="str">
        <f t="shared" si="45"/>
        <v>12+ months</v>
      </c>
      <c r="O990" t="str">
        <f t="shared" si="46"/>
        <v>Basic</v>
      </c>
      <c r="P990" s="7">
        <v>45657</v>
      </c>
    </row>
    <row r="991" spans="1:16" x14ac:dyDescent="0.3">
      <c r="A991">
        <v>990</v>
      </c>
      <c r="B991" s="7">
        <v>45233</v>
      </c>
      <c r="C991" t="s">
        <v>10</v>
      </c>
      <c r="D991">
        <v>699</v>
      </c>
      <c r="E991">
        <v>8.6999999999999993</v>
      </c>
      <c r="F991">
        <v>8</v>
      </c>
      <c r="G991">
        <v>5</v>
      </c>
      <c r="H991">
        <v>14</v>
      </c>
      <c r="I991">
        <v>21</v>
      </c>
      <c r="J991" t="s">
        <v>11</v>
      </c>
      <c r="K991">
        <f>IF(J991="Yes", 1, 0)</f>
        <v>1</v>
      </c>
      <c r="L991" t="str">
        <f>IF(G991=0,"0 Failures","1+ Failures")</f>
        <v>1+ Failures</v>
      </c>
      <c r="M991" t="str">
        <f t="shared" si="47"/>
        <v>5-10 hrs</v>
      </c>
      <c r="N991" t="str">
        <f t="shared" si="45"/>
        <v>12+ months</v>
      </c>
      <c r="O991" t="str">
        <f t="shared" si="46"/>
        <v>Premium</v>
      </c>
      <c r="P991" s="7">
        <v>45657</v>
      </c>
    </row>
    <row r="992" spans="1:16" x14ac:dyDescent="0.3">
      <c r="A992">
        <v>991</v>
      </c>
      <c r="B992" s="7">
        <v>44975</v>
      </c>
      <c r="C992" t="s">
        <v>14</v>
      </c>
      <c r="D992">
        <v>399</v>
      </c>
      <c r="E992">
        <v>5.4</v>
      </c>
      <c r="F992">
        <v>1</v>
      </c>
      <c r="G992">
        <v>4</v>
      </c>
      <c r="H992">
        <v>28</v>
      </c>
      <c r="I992">
        <v>13</v>
      </c>
      <c r="J992" t="s">
        <v>11</v>
      </c>
      <c r="K992">
        <f>IF(J992="Yes", 1, 0)</f>
        <v>1</v>
      </c>
      <c r="L992" t="str">
        <f>IF(G992=0,"0 Failures","1+ Failures")</f>
        <v>1+ Failures</v>
      </c>
      <c r="M992" t="str">
        <f t="shared" si="47"/>
        <v>5-10 hrs</v>
      </c>
      <c r="N992" t="str">
        <f t="shared" si="45"/>
        <v>12+ months</v>
      </c>
      <c r="O992" t="str">
        <f t="shared" si="46"/>
        <v>Basic</v>
      </c>
      <c r="P992" s="7">
        <v>45657</v>
      </c>
    </row>
    <row r="993" spans="1:16" x14ac:dyDescent="0.3">
      <c r="A993">
        <v>992</v>
      </c>
      <c r="B993" s="7">
        <v>45533</v>
      </c>
      <c r="C993" t="s">
        <v>14</v>
      </c>
      <c r="D993">
        <v>399</v>
      </c>
      <c r="E993">
        <v>20.2</v>
      </c>
      <c r="F993">
        <v>1</v>
      </c>
      <c r="G993">
        <v>5</v>
      </c>
      <c r="H993">
        <v>26</v>
      </c>
      <c r="I993">
        <v>54</v>
      </c>
      <c r="J993" t="s">
        <v>11</v>
      </c>
      <c r="K993">
        <f>IF(J993="Yes", 1, 0)</f>
        <v>1</v>
      </c>
      <c r="L993" t="str">
        <f>IF(G993=0,"0 Failures","1+ Failures")</f>
        <v>1+ Failures</v>
      </c>
      <c r="M993" t="str">
        <f t="shared" si="47"/>
        <v>20+ hrs</v>
      </c>
      <c r="N993" t="str">
        <f t="shared" si="45"/>
        <v>12+ months</v>
      </c>
      <c r="O993" t="str">
        <f t="shared" si="46"/>
        <v>Basic</v>
      </c>
      <c r="P993" s="7">
        <v>45657</v>
      </c>
    </row>
    <row r="994" spans="1:16" x14ac:dyDescent="0.3">
      <c r="A994">
        <v>993</v>
      </c>
      <c r="B994" s="7">
        <v>45005</v>
      </c>
      <c r="C994" t="s">
        <v>14</v>
      </c>
      <c r="D994">
        <v>399</v>
      </c>
      <c r="E994">
        <v>2.1</v>
      </c>
      <c r="F994">
        <v>8</v>
      </c>
      <c r="G994">
        <v>3</v>
      </c>
      <c r="H994">
        <v>18</v>
      </c>
      <c r="I994">
        <v>27</v>
      </c>
      <c r="J994" t="s">
        <v>11</v>
      </c>
      <c r="K994">
        <f>IF(J994="Yes", 1, 0)</f>
        <v>1</v>
      </c>
      <c r="L994" t="str">
        <f>IF(G994=0,"0 Failures","1+ Failures")</f>
        <v>1+ Failures</v>
      </c>
      <c r="M994" t="str">
        <f t="shared" si="47"/>
        <v>0-5 hrs</v>
      </c>
      <c r="N994" t="str">
        <f t="shared" si="45"/>
        <v>12+ months</v>
      </c>
      <c r="O994" t="str">
        <f t="shared" si="46"/>
        <v>Basic</v>
      </c>
      <c r="P994" s="7">
        <v>45657</v>
      </c>
    </row>
    <row r="995" spans="1:16" x14ac:dyDescent="0.3">
      <c r="A995">
        <v>994</v>
      </c>
      <c r="B995" s="7">
        <v>45131</v>
      </c>
      <c r="C995" t="s">
        <v>10</v>
      </c>
      <c r="D995">
        <v>699</v>
      </c>
      <c r="E995">
        <v>12.9</v>
      </c>
      <c r="F995">
        <v>4</v>
      </c>
      <c r="G995">
        <v>3</v>
      </c>
      <c r="H995">
        <v>20</v>
      </c>
      <c r="I995">
        <v>42</v>
      </c>
      <c r="J995" t="s">
        <v>11</v>
      </c>
      <c r="K995">
        <f>IF(J995="Yes", 1, 0)</f>
        <v>1</v>
      </c>
      <c r="L995" t="str">
        <f>IF(G995=0,"0 Failures","1+ Failures")</f>
        <v>1+ Failures</v>
      </c>
      <c r="M995" t="str">
        <f t="shared" si="47"/>
        <v>10-20hrs</v>
      </c>
      <c r="N995" t="str">
        <f t="shared" si="45"/>
        <v>12+ months</v>
      </c>
      <c r="O995" t="str">
        <f t="shared" si="46"/>
        <v>Premium</v>
      </c>
      <c r="P995" s="7">
        <v>45657</v>
      </c>
    </row>
    <row r="996" spans="1:16" x14ac:dyDescent="0.3">
      <c r="A996">
        <v>995</v>
      </c>
      <c r="B996" s="7">
        <v>45111</v>
      </c>
      <c r="C996" t="s">
        <v>14</v>
      </c>
      <c r="D996">
        <v>399</v>
      </c>
      <c r="E996">
        <v>6.7</v>
      </c>
      <c r="F996">
        <v>8</v>
      </c>
      <c r="G996">
        <v>3</v>
      </c>
      <c r="H996">
        <v>26</v>
      </c>
      <c r="I996">
        <v>42</v>
      </c>
      <c r="J996" t="s">
        <v>13</v>
      </c>
      <c r="K996">
        <f>IF(J996="Yes", 1, 0)</f>
        <v>0</v>
      </c>
      <c r="L996" t="str">
        <f>IF(G996=0,"0 Failures","1+ Failures")</f>
        <v>1+ Failures</v>
      </c>
      <c r="M996" t="str">
        <f t="shared" si="47"/>
        <v>5-10 hrs</v>
      </c>
      <c r="N996" t="str">
        <f t="shared" si="45"/>
        <v>12+ months</v>
      </c>
      <c r="O996" t="str">
        <f t="shared" si="46"/>
        <v>Basic</v>
      </c>
      <c r="P996" s="7">
        <v>45657</v>
      </c>
    </row>
    <row r="997" spans="1:16" x14ac:dyDescent="0.3">
      <c r="A997">
        <v>996</v>
      </c>
      <c r="B997" s="7">
        <v>45405</v>
      </c>
      <c r="C997" t="s">
        <v>12</v>
      </c>
      <c r="D997">
        <v>199</v>
      </c>
      <c r="E997">
        <v>21.6</v>
      </c>
      <c r="F997">
        <v>7</v>
      </c>
      <c r="G997">
        <v>1</v>
      </c>
      <c r="H997">
        <v>34</v>
      </c>
      <c r="I997">
        <v>42</v>
      </c>
      <c r="J997" t="s">
        <v>13</v>
      </c>
      <c r="K997">
        <f>IF(J997="Yes", 1, 0)</f>
        <v>0</v>
      </c>
      <c r="L997" t="str">
        <f>IF(G997=0,"0 Failures","1+ Failures")</f>
        <v>1+ Failures</v>
      </c>
      <c r="M997" t="str">
        <f t="shared" si="47"/>
        <v>20+ hrs</v>
      </c>
      <c r="N997" t="str">
        <f t="shared" si="45"/>
        <v>12+ months</v>
      </c>
      <c r="O997" t="str">
        <f t="shared" si="46"/>
        <v>Basic</v>
      </c>
      <c r="P997" s="7">
        <v>45657</v>
      </c>
    </row>
    <row r="998" spans="1:16" x14ac:dyDescent="0.3">
      <c r="A998">
        <v>997</v>
      </c>
      <c r="B998" s="7">
        <v>45461</v>
      </c>
      <c r="C998" t="s">
        <v>14</v>
      </c>
      <c r="D998">
        <v>399</v>
      </c>
      <c r="E998">
        <v>20.3</v>
      </c>
      <c r="F998">
        <v>6</v>
      </c>
      <c r="G998">
        <v>4</v>
      </c>
      <c r="H998">
        <v>35</v>
      </c>
      <c r="I998">
        <v>46</v>
      </c>
      <c r="J998" t="s">
        <v>11</v>
      </c>
      <c r="K998">
        <f>IF(J998="Yes", 1, 0)</f>
        <v>1</v>
      </c>
      <c r="L998" t="str">
        <f>IF(G998=0,"0 Failures","1+ Failures")</f>
        <v>1+ Failures</v>
      </c>
      <c r="M998" t="str">
        <f t="shared" si="47"/>
        <v>20+ hrs</v>
      </c>
      <c r="N998" t="str">
        <f t="shared" si="45"/>
        <v>12+ months</v>
      </c>
      <c r="O998" t="str">
        <f t="shared" si="46"/>
        <v>Basic</v>
      </c>
      <c r="P998" s="7">
        <v>45657</v>
      </c>
    </row>
    <row r="999" spans="1:16" x14ac:dyDescent="0.3">
      <c r="A999">
        <v>998</v>
      </c>
      <c r="B999" s="7">
        <v>45234</v>
      </c>
      <c r="C999" t="s">
        <v>12</v>
      </c>
      <c r="D999">
        <v>199</v>
      </c>
      <c r="E999">
        <v>11.8</v>
      </c>
      <c r="F999">
        <v>3</v>
      </c>
      <c r="G999">
        <v>1</v>
      </c>
      <c r="H999">
        <v>24</v>
      </c>
      <c r="I999">
        <v>47</v>
      </c>
      <c r="J999" t="s">
        <v>13</v>
      </c>
      <c r="K999">
        <f>IF(J999="Yes", 1, 0)</f>
        <v>0</v>
      </c>
      <c r="L999" t="str">
        <f>IF(G999=0,"0 Failures","1+ Failures")</f>
        <v>1+ Failures</v>
      </c>
      <c r="M999" t="str">
        <f t="shared" si="47"/>
        <v>10-20hrs</v>
      </c>
      <c r="N999" t="str">
        <f t="shared" si="45"/>
        <v>12+ months</v>
      </c>
      <c r="O999" t="str">
        <f t="shared" si="46"/>
        <v>Basic</v>
      </c>
      <c r="P999" s="7">
        <v>45657</v>
      </c>
    </row>
    <row r="1000" spans="1:16" x14ac:dyDescent="0.3">
      <c r="A1000">
        <v>999</v>
      </c>
      <c r="B1000" s="7">
        <v>45200</v>
      </c>
      <c r="C1000" t="s">
        <v>14</v>
      </c>
      <c r="D1000">
        <v>399</v>
      </c>
      <c r="E1000">
        <v>8.3000000000000007</v>
      </c>
      <c r="F1000">
        <v>1</v>
      </c>
      <c r="G1000">
        <v>5</v>
      </c>
      <c r="H1000">
        <v>27</v>
      </c>
      <c r="I1000">
        <v>13</v>
      </c>
      <c r="J1000" t="s">
        <v>13</v>
      </c>
      <c r="K1000">
        <f>IF(J1000="Yes", 1, 0)</f>
        <v>0</v>
      </c>
      <c r="L1000" t="str">
        <f>IF(G1000=0,"0 Failures","1+ Failures")</f>
        <v>1+ Failures</v>
      </c>
      <c r="M1000" t="str">
        <f t="shared" si="47"/>
        <v>5-10 hrs</v>
      </c>
      <c r="N1000" t="str">
        <f t="shared" si="45"/>
        <v>12+ months</v>
      </c>
      <c r="O1000" t="str">
        <f t="shared" si="46"/>
        <v>Basic</v>
      </c>
      <c r="P1000" s="7">
        <v>45657</v>
      </c>
    </row>
    <row r="1001" spans="1:16" x14ac:dyDescent="0.3">
      <c r="A1001">
        <v>1000</v>
      </c>
      <c r="B1001" s="7">
        <v>45123</v>
      </c>
      <c r="C1001" t="s">
        <v>14</v>
      </c>
      <c r="D1001">
        <v>399</v>
      </c>
      <c r="E1001">
        <v>6.8</v>
      </c>
      <c r="F1001">
        <v>3</v>
      </c>
      <c r="G1001">
        <v>3</v>
      </c>
      <c r="H1001">
        <v>11</v>
      </c>
      <c r="I1001">
        <v>15</v>
      </c>
      <c r="J1001" t="s">
        <v>11</v>
      </c>
      <c r="K1001">
        <f>IF(J1001="Yes", 1, 0)</f>
        <v>1</v>
      </c>
      <c r="L1001" t="str">
        <f>IF(G1001=0,"0 Failures","1+ Failures")</f>
        <v>1+ Failures</v>
      </c>
      <c r="M1001" t="str">
        <f t="shared" si="47"/>
        <v>5-10 hrs</v>
      </c>
      <c r="N1001" t="str">
        <f t="shared" si="45"/>
        <v>6-12months</v>
      </c>
      <c r="O1001" t="str">
        <f t="shared" si="46"/>
        <v>Basic</v>
      </c>
      <c r="P1001" s="7">
        <v>45657</v>
      </c>
    </row>
    <row r="1002" spans="1:16" x14ac:dyDescent="0.3">
      <c r="A1002">
        <v>1001</v>
      </c>
      <c r="B1002" s="7">
        <v>45373</v>
      </c>
      <c r="C1002" t="s">
        <v>12</v>
      </c>
      <c r="D1002">
        <v>199</v>
      </c>
      <c r="E1002">
        <v>20</v>
      </c>
      <c r="F1002">
        <v>4</v>
      </c>
      <c r="G1002">
        <v>3</v>
      </c>
      <c r="H1002">
        <v>16</v>
      </c>
      <c r="I1002">
        <v>31</v>
      </c>
      <c r="J1002" t="s">
        <v>11</v>
      </c>
      <c r="K1002">
        <f>IF(J1002="Yes", 1, 0)</f>
        <v>1</v>
      </c>
      <c r="L1002" t="str">
        <f>IF(G1002=0,"0 Failures","1+ Failures")</f>
        <v>1+ Failures</v>
      </c>
      <c r="M1002" t="str">
        <f t="shared" si="47"/>
        <v>10-20hrs</v>
      </c>
      <c r="N1002" t="str">
        <f t="shared" si="45"/>
        <v>12+ months</v>
      </c>
      <c r="O1002" t="str">
        <f t="shared" si="46"/>
        <v>Basic</v>
      </c>
      <c r="P1002" s="7">
        <v>45657</v>
      </c>
    </row>
    <row r="1003" spans="1:16" x14ac:dyDescent="0.3">
      <c r="A1003">
        <v>1002</v>
      </c>
      <c r="B1003" s="7">
        <v>45211</v>
      </c>
      <c r="C1003" t="s">
        <v>14</v>
      </c>
      <c r="D1003">
        <v>399</v>
      </c>
      <c r="E1003">
        <v>5.4</v>
      </c>
      <c r="F1003">
        <v>4</v>
      </c>
      <c r="G1003">
        <v>1</v>
      </c>
      <c r="H1003">
        <v>3</v>
      </c>
      <c r="I1003">
        <v>1</v>
      </c>
      <c r="J1003" t="s">
        <v>13</v>
      </c>
      <c r="K1003">
        <f>IF(J1003="Yes", 1, 0)</f>
        <v>0</v>
      </c>
      <c r="L1003" t="str">
        <f>IF(G1003=0,"0 Failures","1+ Failures")</f>
        <v>1+ Failures</v>
      </c>
      <c r="M1003" t="str">
        <f t="shared" si="47"/>
        <v>5-10 hrs</v>
      </c>
      <c r="N1003" t="str">
        <f t="shared" si="45"/>
        <v>0-3months</v>
      </c>
      <c r="O1003" t="str">
        <f t="shared" si="46"/>
        <v>Basic</v>
      </c>
      <c r="P1003" s="7">
        <v>45657</v>
      </c>
    </row>
    <row r="1004" spans="1:16" x14ac:dyDescent="0.3">
      <c r="A1004">
        <v>1003</v>
      </c>
      <c r="B1004" s="7">
        <v>44983</v>
      </c>
      <c r="C1004" t="s">
        <v>10</v>
      </c>
      <c r="D1004">
        <v>699</v>
      </c>
      <c r="E1004">
        <v>4.8</v>
      </c>
      <c r="F1004">
        <v>0</v>
      </c>
      <c r="G1004">
        <v>5</v>
      </c>
      <c r="H1004">
        <v>36</v>
      </c>
      <c r="I1004">
        <v>31</v>
      </c>
      <c r="J1004" t="s">
        <v>11</v>
      </c>
      <c r="K1004">
        <f>IF(J1004="Yes", 1, 0)</f>
        <v>1</v>
      </c>
      <c r="L1004" t="str">
        <f>IF(G1004=0,"0 Failures","1+ Failures")</f>
        <v>1+ Failures</v>
      </c>
      <c r="M1004" t="str">
        <f t="shared" si="47"/>
        <v>0-5 hrs</v>
      </c>
      <c r="N1004" t="str">
        <f t="shared" si="45"/>
        <v>12+ months</v>
      </c>
      <c r="O1004" t="str">
        <f t="shared" si="46"/>
        <v>Premium</v>
      </c>
      <c r="P1004" s="7">
        <v>45657</v>
      </c>
    </row>
    <row r="1005" spans="1:16" x14ac:dyDescent="0.3">
      <c r="A1005">
        <v>1004</v>
      </c>
      <c r="B1005" s="7">
        <v>45600</v>
      </c>
      <c r="C1005" t="s">
        <v>12</v>
      </c>
      <c r="D1005">
        <v>199</v>
      </c>
      <c r="E1005">
        <v>15.2</v>
      </c>
      <c r="F1005">
        <v>1</v>
      </c>
      <c r="G1005">
        <v>3</v>
      </c>
      <c r="H1005">
        <v>21</v>
      </c>
      <c r="I1005">
        <v>57</v>
      </c>
      <c r="J1005" t="s">
        <v>11</v>
      </c>
      <c r="K1005">
        <f>IF(J1005="Yes", 1, 0)</f>
        <v>1</v>
      </c>
      <c r="L1005" t="str">
        <f>IF(G1005=0,"0 Failures","1+ Failures")</f>
        <v>1+ Failures</v>
      </c>
      <c r="M1005" t="str">
        <f t="shared" si="47"/>
        <v>10-20hrs</v>
      </c>
      <c r="N1005" t="str">
        <f t="shared" si="45"/>
        <v>12+ months</v>
      </c>
      <c r="O1005" t="str">
        <f t="shared" si="46"/>
        <v>Basic</v>
      </c>
      <c r="P1005" s="7">
        <v>45657</v>
      </c>
    </row>
    <row r="1006" spans="1:16" x14ac:dyDescent="0.3">
      <c r="A1006">
        <v>1005</v>
      </c>
      <c r="B1006" s="7">
        <v>45439</v>
      </c>
      <c r="C1006" t="s">
        <v>12</v>
      </c>
      <c r="D1006">
        <v>199</v>
      </c>
      <c r="E1006">
        <v>23.6</v>
      </c>
      <c r="F1006">
        <v>2</v>
      </c>
      <c r="G1006">
        <v>1</v>
      </c>
      <c r="H1006">
        <v>26</v>
      </c>
      <c r="I1006">
        <v>7</v>
      </c>
      <c r="J1006" t="s">
        <v>13</v>
      </c>
      <c r="K1006">
        <f>IF(J1006="Yes", 1, 0)</f>
        <v>0</v>
      </c>
      <c r="L1006" t="str">
        <f>IF(G1006=0,"0 Failures","1+ Failures")</f>
        <v>1+ Failures</v>
      </c>
      <c r="M1006" t="str">
        <f t="shared" si="47"/>
        <v>20+ hrs</v>
      </c>
      <c r="N1006" t="str">
        <f t="shared" si="45"/>
        <v>12+ months</v>
      </c>
      <c r="O1006" t="str">
        <f t="shared" si="46"/>
        <v>Basic</v>
      </c>
      <c r="P1006" s="7">
        <v>45657</v>
      </c>
    </row>
    <row r="1007" spans="1:16" x14ac:dyDescent="0.3">
      <c r="A1007">
        <v>1006</v>
      </c>
      <c r="B1007" s="7">
        <v>45170</v>
      </c>
      <c r="C1007" t="s">
        <v>12</v>
      </c>
      <c r="D1007">
        <v>199</v>
      </c>
      <c r="E1007">
        <v>16.8</v>
      </c>
      <c r="F1007">
        <v>8</v>
      </c>
      <c r="G1007">
        <v>2</v>
      </c>
      <c r="H1007">
        <v>34</v>
      </c>
      <c r="I1007">
        <v>31</v>
      </c>
      <c r="J1007" t="s">
        <v>13</v>
      </c>
      <c r="K1007">
        <f>IF(J1007="Yes", 1, 0)</f>
        <v>0</v>
      </c>
      <c r="L1007" t="str">
        <f>IF(G1007=0,"0 Failures","1+ Failures")</f>
        <v>1+ Failures</v>
      </c>
      <c r="M1007" t="str">
        <f t="shared" si="47"/>
        <v>10-20hrs</v>
      </c>
      <c r="N1007" t="str">
        <f t="shared" si="45"/>
        <v>12+ months</v>
      </c>
      <c r="O1007" t="str">
        <f t="shared" si="46"/>
        <v>Basic</v>
      </c>
      <c r="P1007" s="7">
        <v>45657</v>
      </c>
    </row>
    <row r="1008" spans="1:16" x14ac:dyDescent="0.3">
      <c r="A1008">
        <v>1007</v>
      </c>
      <c r="B1008" s="7">
        <v>45326</v>
      </c>
      <c r="C1008" t="s">
        <v>10</v>
      </c>
      <c r="D1008">
        <v>699</v>
      </c>
      <c r="E1008">
        <v>19.399999999999999</v>
      </c>
      <c r="F1008">
        <v>5</v>
      </c>
      <c r="G1008">
        <v>2</v>
      </c>
      <c r="H1008">
        <v>8</v>
      </c>
      <c r="I1008">
        <v>53</v>
      </c>
      <c r="J1008" t="s">
        <v>11</v>
      </c>
      <c r="K1008">
        <f>IF(J1008="Yes", 1, 0)</f>
        <v>1</v>
      </c>
      <c r="L1008" t="str">
        <f>IF(G1008=0,"0 Failures","1+ Failures")</f>
        <v>1+ Failures</v>
      </c>
      <c r="M1008" t="str">
        <f t="shared" si="47"/>
        <v>10-20hrs</v>
      </c>
      <c r="N1008" t="str">
        <f t="shared" si="45"/>
        <v>6-12months</v>
      </c>
      <c r="O1008" t="str">
        <f t="shared" si="46"/>
        <v>Premium</v>
      </c>
      <c r="P1008" s="7">
        <v>45657</v>
      </c>
    </row>
    <row r="1009" spans="1:16" x14ac:dyDescent="0.3">
      <c r="A1009">
        <v>1008</v>
      </c>
      <c r="B1009" s="7">
        <v>45208</v>
      </c>
      <c r="C1009" t="s">
        <v>10</v>
      </c>
      <c r="D1009">
        <v>699</v>
      </c>
      <c r="E1009">
        <v>23.4</v>
      </c>
      <c r="F1009">
        <v>3</v>
      </c>
      <c r="G1009">
        <v>1</v>
      </c>
      <c r="H1009">
        <v>16</v>
      </c>
      <c r="I1009">
        <v>6</v>
      </c>
      <c r="J1009" t="s">
        <v>13</v>
      </c>
      <c r="K1009">
        <f>IF(J1009="Yes", 1, 0)</f>
        <v>0</v>
      </c>
      <c r="L1009" t="str">
        <f>IF(G1009=0,"0 Failures","1+ Failures")</f>
        <v>1+ Failures</v>
      </c>
      <c r="M1009" t="str">
        <f t="shared" si="47"/>
        <v>20+ hrs</v>
      </c>
      <c r="N1009" t="str">
        <f t="shared" si="45"/>
        <v>12+ months</v>
      </c>
      <c r="O1009" t="str">
        <f t="shared" si="46"/>
        <v>Premium</v>
      </c>
      <c r="P1009" s="7">
        <v>45657</v>
      </c>
    </row>
    <row r="1010" spans="1:16" x14ac:dyDescent="0.3">
      <c r="A1010">
        <v>1009</v>
      </c>
      <c r="B1010" s="7">
        <v>45042</v>
      </c>
      <c r="C1010" t="s">
        <v>14</v>
      </c>
      <c r="D1010">
        <v>399</v>
      </c>
      <c r="E1010">
        <v>6.7</v>
      </c>
      <c r="F1010">
        <v>0</v>
      </c>
      <c r="G1010">
        <v>3</v>
      </c>
      <c r="H1010">
        <v>27</v>
      </c>
      <c r="I1010">
        <v>34</v>
      </c>
      <c r="J1010" t="s">
        <v>11</v>
      </c>
      <c r="K1010">
        <f>IF(J1010="Yes", 1, 0)</f>
        <v>1</v>
      </c>
      <c r="L1010" t="str">
        <f>IF(G1010=0,"0 Failures","1+ Failures")</f>
        <v>1+ Failures</v>
      </c>
      <c r="M1010" t="str">
        <f t="shared" si="47"/>
        <v>5-10 hrs</v>
      </c>
      <c r="N1010" t="str">
        <f t="shared" si="45"/>
        <v>12+ months</v>
      </c>
      <c r="O1010" t="str">
        <f t="shared" si="46"/>
        <v>Basic</v>
      </c>
      <c r="P1010" s="7">
        <v>45657</v>
      </c>
    </row>
    <row r="1011" spans="1:16" x14ac:dyDescent="0.3">
      <c r="A1011">
        <v>1010</v>
      </c>
      <c r="B1011" s="7">
        <v>45075</v>
      </c>
      <c r="C1011" t="s">
        <v>14</v>
      </c>
      <c r="D1011">
        <v>399</v>
      </c>
      <c r="E1011">
        <v>10.9</v>
      </c>
      <c r="F1011">
        <v>3</v>
      </c>
      <c r="G1011">
        <v>2</v>
      </c>
      <c r="H1011">
        <v>35</v>
      </c>
      <c r="I1011">
        <v>56</v>
      </c>
      <c r="J1011" t="s">
        <v>13</v>
      </c>
      <c r="K1011">
        <f>IF(J1011="Yes", 1, 0)</f>
        <v>0</v>
      </c>
      <c r="L1011" t="str">
        <f>IF(G1011=0,"0 Failures","1+ Failures")</f>
        <v>1+ Failures</v>
      </c>
      <c r="M1011" t="str">
        <f t="shared" si="47"/>
        <v>10-20hrs</v>
      </c>
      <c r="N1011" t="str">
        <f t="shared" si="45"/>
        <v>12+ months</v>
      </c>
      <c r="O1011" t="str">
        <f t="shared" si="46"/>
        <v>Basic</v>
      </c>
      <c r="P1011" s="7">
        <v>45657</v>
      </c>
    </row>
    <row r="1012" spans="1:16" x14ac:dyDescent="0.3">
      <c r="A1012">
        <v>1011</v>
      </c>
      <c r="B1012" s="7">
        <v>45547</v>
      </c>
      <c r="C1012" t="s">
        <v>14</v>
      </c>
      <c r="D1012">
        <v>399</v>
      </c>
      <c r="E1012">
        <v>18</v>
      </c>
      <c r="F1012">
        <v>4</v>
      </c>
      <c r="G1012">
        <v>0</v>
      </c>
      <c r="H1012">
        <v>31</v>
      </c>
      <c r="I1012">
        <v>41</v>
      </c>
      <c r="J1012" t="s">
        <v>13</v>
      </c>
      <c r="K1012">
        <f>IF(J1012="Yes", 1, 0)</f>
        <v>0</v>
      </c>
      <c r="L1012" t="str">
        <f>IF(G1012=0,"0 Failures","1+ Failures")</f>
        <v>0 Failures</v>
      </c>
      <c r="M1012" t="str">
        <f t="shared" si="47"/>
        <v>10-20hrs</v>
      </c>
      <c r="N1012" t="str">
        <f t="shared" si="45"/>
        <v>12+ months</v>
      </c>
      <c r="O1012" t="str">
        <f t="shared" si="46"/>
        <v>Basic</v>
      </c>
      <c r="P1012" s="7">
        <v>45657</v>
      </c>
    </row>
    <row r="1013" spans="1:16" x14ac:dyDescent="0.3">
      <c r="A1013">
        <v>1012</v>
      </c>
      <c r="B1013" s="7">
        <v>45581</v>
      </c>
      <c r="C1013" t="s">
        <v>12</v>
      </c>
      <c r="D1013">
        <v>199</v>
      </c>
      <c r="E1013">
        <v>17.399999999999999</v>
      </c>
      <c r="F1013">
        <v>3</v>
      </c>
      <c r="G1013">
        <v>2</v>
      </c>
      <c r="H1013">
        <v>4</v>
      </c>
      <c r="I1013">
        <v>35</v>
      </c>
      <c r="J1013" t="s">
        <v>11</v>
      </c>
      <c r="K1013">
        <f>IF(J1013="Yes", 1, 0)</f>
        <v>1</v>
      </c>
      <c r="L1013" t="str">
        <f>IF(G1013=0,"0 Failures","1+ Failures")</f>
        <v>1+ Failures</v>
      </c>
      <c r="M1013" t="str">
        <f t="shared" si="47"/>
        <v>10-20hrs</v>
      </c>
      <c r="N1013" t="str">
        <f t="shared" si="45"/>
        <v>3-6months</v>
      </c>
      <c r="O1013" t="str">
        <f t="shared" si="46"/>
        <v>Basic</v>
      </c>
      <c r="P1013" s="7">
        <v>45657</v>
      </c>
    </row>
    <row r="1014" spans="1:16" x14ac:dyDescent="0.3">
      <c r="A1014">
        <v>1013</v>
      </c>
      <c r="B1014" s="7">
        <v>45380</v>
      </c>
      <c r="C1014" t="s">
        <v>10</v>
      </c>
      <c r="D1014">
        <v>699</v>
      </c>
      <c r="E1014">
        <v>22.6</v>
      </c>
      <c r="F1014">
        <v>1</v>
      </c>
      <c r="G1014">
        <v>4</v>
      </c>
      <c r="H1014">
        <v>24</v>
      </c>
      <c r="I1014">
        <v>55</v>
      </c>
      <c r="J1014" t="s">
        <v>11</v>
      </c>
      <c r="K1014">
        <f>IF(J1014="Yes", 1, 0)</f>
        <v>1</v>
      </c>
      <c r="L1014" t="str">
        <f>IF(G1014=0,"0 Failures","1+ Failures")</f>
        <v>1+ Failures</v>
      </c>
      <c r="M1014" t="str">
        <f t="shared" si="47"/>
        <v>20+ hrs</v>
      </c>
      <c r="N1014" t="str">
        <f t="shared" si="45"/>
        <v>12+ months</v>
      </c>
      <c r="O1014" t="str">
        <f t="shared" si="46"/>
        <v>Premium</v>
      </c>
      <c r="P1014" s="7">
        <v>45657</v>
      </c>
    </row>
    <row r="1015" spans="1:16" x14ac:dyDescent="0.3">
      <c r="A1015">
        <v>1014</v>
      </c>
      <c r="B1015" s="7">
        <v>45168</v>
      </c>
      <c r="C1015" t="s">
        <v>14</v>
      </c>
      <c r="D1015">
        <v>399</v>
      </c>
      <c r="E1015">
        <v>22.8</v>
      </c>
      <c r="F1015">
        <v>6</v>
      </c>
      <c r="G1015">
        <v>2</v>
      </c>
      <c r="H1015">
        <v>1</v>
      </c>
      <c r="I1015">
        <v>19</v>
      </c>
      <c r="J1015" t="s">
        <v>11</v>
      </c>
      <c r="K1015">
        <f>IF(J1015="Yes", 1, 0)</f>
        <v>1</v>
      </c>
      <c r="L1015" t="str">
        <f>IF(G1015=0,"0 Failures","1+ Failures")</f>
        <v>1+ Failures</v>
      </c>
      <c r="M1015" t="str">
        <f t="shared" si="47"/>
        <v>20+ hrs</v>
      </c>
      <c r="N1015" t="str">
        <f t="shared" si="45"/>
        <v>0-3months</v>
      </c>
      <c r="O1015" t="str">
        <f t="shared" si="46"/>
        <v>Basic</v>
      </c>
      <c r="P1015" s="7">
        <v>45657</v>
      </c>
    </row>
    <row r="1016" spans="1:16" x14ac:dyDescent="0.3">
      <c r="A1016">
        <v>1015</v>
      </c>
      <c r="B1016" s="7">
        <v>45586</v>
      </c>
      <c r="C1016" t="s">
        <v>14</v>
      </c>
      <c r="D1016">
        <v>399</v>
      </c>
      <c r="E1016">
        <v>21.6</v>
      </c>
      <c r="F1016">
        <v>2</v>
      </c>
      <c r="G1016">
        <v>3</v>
      </c>
      <c r="H1016">
        <v>14</v>
      </c>
      <c r="I1016">
        <v>40</v>
      </c>
      <c r="J1016" t="s">
        <v>11</v>
      </c>
      <c r="K1016">
        <f>IF(J1016="Yes", 1, 0)</f>
        <v>1</v>
      </c>
      <c r="L1016" t="str">
        <f>IF(G1016=0,"0 Failures","1+ Failures")</f>
        <v>1+ Failures</v>
      </c>
      <c r="M1016" t="str">
        <f t="shared" si="47"/>
        <v>20+ hrs</v>
      </c>
      <c r="N1016" t="str">
        <f t="shared" si="45"/>
        <v>12+ months</v>
      </c>
      <c r="O1016" t="str">
        <f t="shared" si="46"/>
        <v>Basic</v>
      </c>
      <c r="P1016" s="7">
        <v>45657</v>
      </c>
    </row>
    <row r="1017" spans="1:16" x14ac:dyDescent="0.3">
      <c r="A1017">
        <v>1016</v>
      </c>
      <c r="B1017" s="7">
        <v>45267</v>
      </c>
      <c r="C1017" t="s">
        <v>14</v>
      </c>
      <c r="D1017">
        <v>399</v>
      </c>
      <c r="E1017">
        <v>7.2</v>
      </c>
      <c r="F1017">
        <v>1</v>
      </c>
      <c r="G1017">
        <v>3</v>
      </c>
      <c r="H1017">
        <v>3</v>
      </c>
      <c r="I1017">
        <v>30</v>
      </c>
      <c r="J1017" t="s">
        <v>13</v>
      </c>
      <c r="K1017">
        <f>IF(J1017="Yes", 1, 0)</f>
        <v>0</v>
      </c>
      <c r="L1017" t="str">
        <f>IF(G1017=0,"0 Failures","1+ Failures")</f>
        <v>1+ Failures</v>
      </c>
      <c r="M1017" t="str">
        <f t="shared" si="47"/>
        <v>5-10 hrs</v>
      </c>
      <c r="N1017" t="str">
        <f t="shared" si="45"/>
        <v>0-3months</v>
      </c>
      <c r="O1017" t="str">
        <f t="shared" si="46"/>
        <v>Basic</v>
      </c>
      <c r="P1017" s="7">
        <v>45657</v>
      </c>
    </row>
    <row r="1018" spans="1:16" x14ac:dyDescent="0.3">
      <c r="A1018">
        <v>1017</v>
      </c>
      <c r="B1018" s="7">
        <v>44994</v>
      </c>
      <c r="C1018" t="s">
        <v>10</v>
      </c>
      <c r="D1018">
        <v>699</v>
      </c>
      <c r="E1018">
        <v>22</v>
      </c>
      <c r="F1018">
        <v>1</v>
      </c>
      <c r="G1018">
        <v>1</v>
      </c>
      <c r="H1018">
        <v>28</v>
      </c>
      <c r="I1018">
        <v>44</v>
      </c>
      <c r="J1018" t="s">
        <v>11</v>
      </c>
      <c r="K1018">
        <f>IF(J1018="Yes", 1, 0)</f>
        <v>1</v>
      </c>
      <c r="L1018" t="str">
        <f>IF(G1018=0,"0 Failures","1+ Failures")</f>
        <v>1+ Failures</v>
      </c>
      <c r="M1018" t="str">
        <f t="shared" si="47"/>
        <v>20+ hrs</v>
      </c>
      <c r="N1018" t="str">
        <f t="shared" si="45"/>
        <v>12+ months</v>
      </c>
      <c r="O1018" t="str">
        <f t="shared" si="46"/>
        <v>Premium</v>
      </c>
      <c r="P1018" s="7">
        <v>45657</v>
      </c>
    </row>
    <row r="1019" spans="1:16" x14ac:dyDescent="0.3">
      <c r="A1019">
        <v>1018</v>
      </c>
      <c r="B1019" s="7">
        <v>44955</v>
      </c>
      <c r="C1019" t="s">
        <v>14</v>
      </c>
      <c r="D1019">
        <v>399</v>
      </c>
      <c r="E1019">
        <v>15.3</v>
      </c>
      <c r="F1019">
        <v>8</v>
      </c>
      <c r="G1019">
        <v>5</v>
      </c>
      <c r="H1019">
        <v>27</v>
      </c>
      <c r="I1019">
        <v>20</v>
      </c>
      <c r="J1019" t="s">
        <v>11</v>
      </c>
      <c r="K1019">
        <f>IF(J1019="Yes", 1, 0)</f>
        <v>1</v>
      </c>
      <c r="L1019" t="str">
        <f>IF(G1019=0,"0 Failures","1+ Failures")</f>
        <v>1+ Failures</v>
      </c>
      <c r="M1019" t="str">
        <f t="shared" si="47"/>
        <v>10-20hrs</v>
      </c>
      <c r="N1019" t="str">
        <f t="shared" si="45"/>
        <v>12+ months</v>
      </c>
      <c r="O1019" t="str">
        <f t="shared" si="46"/>
        <v>Basic</v>
      </c>
      <c r="P1019" s="7">
        <v>45657</v>
      </c>
    </row>
    <row r="1020" spans="1:16" x14ac:dyDescent="0.3">
      <c r="A1020">
        <v>1019</v>
      </c>
      <c r="B1020" s="7">
        <v>45239</v>
      </c>
      <c r="C1020" t="s">
        <v>12</v>
      </c>
      <c r="D1020">
        <v>199</v>
      </c>
      <c r="E1020">
        <v>15.9</v>
      </c>
      <c r="F1020">
        <v>2</v>
      </c>
      <c r="G1020">
        <v>0</v>
      </c>
      <c r="H1020">
        <v>12</v>
      </c>
      <c r="I1020">
        <v>25</v>
      </c>
      <c r="J1020" t="s">
        <v>11</v>
      </c>
      <c r="K1020">
        <f>IF(J1020="Yes", 1, 0)</f>
        <v>1</v>
      </c>
      <c r="L1020" t="str">
        <f>IF(G1020=0,"0 Failures","1+ Failures")</f>
        <v>0 Failures</v>
      </c>
      <c r="M1020" t="str">
        <f t="shared" si="47"/>
        <v>10-20hrs</v>
      </c>
      <c r="N1020" t="str">
        <f t="shared" si="45"/>
        <v>6-12months</v>
      </c>
      <c r="O1020" t="str">
        <f t="shared" si="46"/>
        <v>Basic</v>
      </c>
      <c r="P1020" s="7">
        <v>45657</v>
      </c>
    </row>
    <row r="1021" spans="1:16" x14ac:dyDescent="0.3">
      <c r="A1021">
        <v>1020</v>
      </c>
      <c r="B1021" s="7">
        <v>45591</v>
      </c>
      <c r="C1021" t="s">
        <v>14</v>
      </c>
      <c r="D1021">
        <v>399</v>
      </c>
      <c r="E1021">
        <v>3.2</v>
      </c>
      <c r="F1021">
        <v>3</v>
      </c>
      <c r="G1021">
        <v>4</v>
      </c>
      <c r="H1021">
        <v>6</v>
      </c>
      <c r="I1021">
        <v>45</v>
      </c>
      <c r="J1021" t="s">
        <v>13</v>
      </c>
      <c r="K1021">
        <f>IF(J1021="Yes", 1, 0)</f>
        <v>0</v>
      </c>
      <c r="L1021" t="str">
        <f>IF(G1021=0,"0 Failures","1+ Failures")</f>
        <v>1+ Failures</v>
      </c>
      <c r="M1021" t="str">
        <f t="shared" si="47"/>
        <v>0-5 hrs</v>
      </c>
      <c r="N1021" t="str">
        <f t="shared" si="45"/>
        <v>3-6months</v>
      </c>
      <c r="O1021" t="str">
        <f t="shared" si="46"/>
        <v>Basic</v>
      </c>
      <c r="P1021" s="7">
        <v>45657</v>
      </c>
    </row>
    <row r="1022" spans="1:16" x14ac:dyDescent="0.3">
      <c r="A1022">
        <v>1021</v>
      </c>
      <c r="B1022" s="7">
        <v>45063</v>
      </c>
      <c r="C1022" t="s">
        <v>12</v>
      </c>
      <c r="D1022">
        <v>199</v>
      </c>
      <c r="E1022">
        <v>19.899999999999999</v>
      </c>
      <c r="F1022">
        <v>5</v>
      </c>
      <c r="G1022">
        <v>3</v>
      </c>
      <c r="H1022">
        <v>27</v>
      </c>
      <c r="I1022">
        <v>30</v>
      </c>
      <c r="J1022" t="s">
        <v>13</v>
      </c>
      <c r="K1022">
        <f>IF(J1022="Yes", 1, 0)</f>
        <v>0</v>
      </c>
      <c r="L1022" t="str">
        <f>IF(G1022=0,"0 Failures","1+ Failures")</f>
        <v>1+ Failures</v>
      </c>
      <c r="M1022" t="str">
        <f t="shared" si="47"/>
        <v>10-20hrs</v>
      </c>
      <c r="N1022" t="str">
        <f t="shared" si="45"/>
        <v>12+ months</v>
      </c>
      <c r="O1022" t="str">
        <f t="shared" si="46"/>
        <v>Basic</v>
      </c>
      <c r="P1022" s="7">
        <v>45657</v>
      </c>
    </row>
    <row r="1023" spans="1:16" x14ac:dyDescent="0.3">
      <c r="A1023">
        <v>1022</v>
      </c>
      <c r="B1023" s="7">
        <v>45303</v>
      </c>
      <c r="C1023" t="s">
        <v>14</v>
      </c>
      <c r="D1023">
        <v>399</v>
      </c>
      <c r="E1023">
        <v>17.3</v>
      </c>
      <c r="F1023">
        <v>5</v>
      </c>
      <c r="G1023">
        <v>2</v>
      </c>
      <c r="H1023">
        <v>12</v>
      </c>
      <c r="I1023">
        <v>12</v>
      </c>
      <c r="J1023" t="s">
        <v>11</v>
      </c>
      <c r="K1023">
        <f>IF(J1023="Yes", 1, 0)</f>
        <v>1</v>
      </c>
      <c r="L1023" t="str">
        <f>IF(G1023=0,"0 Failures","1+ Failures")</f>
        <v>1+ Failures</v>
      </c>
      <c r="M1023" t="str">
        <f t="shared" si="47"/>
        <v>10-20hrs</v>
      </c>
      <c r="N1023" t="str">
        <f t="shared" si="45"/>
        <v>6-12months</v>
      </c>
      <c r="O1023" t="str">
        <f t="shared" si="46"/>
        <v>Basic</v>
      </c>
      <c r="P1023" s="7">
        <v>45657</v>
      </c>
    </row>
    <row r="1024" spans="1:16" x14ac:dyDescent="0.3">
      <c r="A1024">
        <v>1023</v>
      </c>
      <c r="B1024" s="7">
        <v>45498</v>
      </c>
      <c r="C1024" t="s">
        <v>12</v>
      </c>
      <c r="D1024">
        <v>199</v>
      </c>
      <c r="E1024">
        <v>22</v>
      </c>
      <c r="F1024">
        <v>3</v>
      </c>
      <c r="G1024">
        <v>0</v>
      </c>
      <c r="H1024">
        <v>26</v>
      </c>
      <c r="I1024">
        <v>60</v>
      </c>
      <c r="J1024" t="s">
        <v>11</v>
      </c>
      <c r="K1024">
        <f>IF(J1024="Yes", 1, 0)</f>
        <v>1</v>
      </c>
      <c r="L1024" t="str">
        <f>IF(G1024=0,"0 Failures","1+ Failures")</f>
        <v>0 Failures</v>
      </c>
      <c r="M1024" t="str">
        <f t="shared" si="47"/>
        <v>20+ hrs</v>
      </c>
      <c r="N1024" t="str">
        <f t="shared" si="45"/>
        <v>12+ months</v>
      </c>
      <c r="O1024" t="str">
        <f t="shared" si="46"/>
        <v>Basic</v>
      </c>
      <c r="P1024" s="7">
        <v>45657</v>
      </c>
    </row>
    <row r="1025" spans="1:16" x14ac:dyDescent="0.3">
      <c r="A1025">
        <v>1024</v>
      </c>
      <c r="B1025" s="7">
        <v>45099</v>
      </c>
      <c r="C1025" t="s">
        <v>10</v>
      </c>
      <c r="D1025">
        <v>699</v>
      </c>
      <c r="E1025">
        <v>22.7</v>
      </c>
      <c r="F1025">
        <v>7</v>
      </c>
      <c r="G1025">
        <v>1</v>
      </c>
      <c r="H1025">
        <v>15</v>
      </c>
      <c r="I1025">
        <v>16</v>
      </c>
      <c r="J1025" t="s">
        <v>13</v>
      </c>
      <c r="K1025">
        <f>IF(J1025="Yes", 1, 0)</f>
        <v>0</v>
      </c>
      <c r="L1025" t="str">
        <f>IF(G1025=0,"0 Failures","1+ Failures")</f>
        <v>1+ Failures</v>
      </c>
      <c r="M1025" t="str">
        <f t="shared" si="47"/>
        <v>20+ hrs</v>
      </c>
      <c r="N1025" t="str">
        <f t="shared" si="45"/>
        <v>12+ months</v>
      </c>
      <c r="O1025" t="str">
        <f t="shared" si="46"/>
        <v>Premium</v>
      </c>
      <c r="P1025" s="7">
        <v>45657</v>
      </c>
    </row>
    <row r="1026" spans="1:16" x14ac:dyDescent="0.3">
      <c r="A1026">
        <v>1025</v>
      </c>
      <c r="B1026" s="7">
        <v>45101</v>
      </c>
      <c r="C1026" t="s">
        <v>12</v>
      </c>
      <c r="D1026">
        <v>199</v>
      </c>
      <c r="E1026">
        <v>15.6</v>
      </c>
      <c r="F1026">
        <v>4</v>
      </c>
      <c r="G1026">
        <v>1</v>
      </c>
      <c r="H1026">
        <v>26</v>
      </c>
      <c r="I1026">
        <v>5</v>
      </c>
      <c r="J1026" t="s">
        <v>13</v>
      </c>
      <c r="K1026">
        <f>IF(J1026="Yes", 1, 0)</f>
        <v>0</v>
      </c>
      <c r="L1026" t="str">
        <f>IF(G1026=0,"0 Failures","1+ Failures")</f>
        <v>1+ Failures</v>
      </c>
      <c r="M1026" t="str">
        <f t="shared" si="47"/>
        <v>10-20hrs</v>
      </c>
      <c r="N1026" t="str">
        <f t="shared" si="45"/>
        <v>12+ months</v>
      </c>
      <c r="O1026" t="str">
        <f t="shared" si="46"/>
        <v>Basic</v>
      </c>
      <c r="P1026" s="7">
        <v>45657</v>
      </c>
    </row>
    <row r="1027" spans="1:16" x14ac:dyDescent="0.3">
      <c r="A1027">
        <v>1026</v>
      </c>
      <c r="B1027" s="7">
        <v>45391</v>
      </c>
      <c r="C1027" t="s">
        <v>10</v>
      </c>
      <c r="D1027">
        <v>699</v>
      </c>
      <c r="E1027">
        <v>0.8</v>
      </c>
      <c r="F1027">
        <v>8</v>
      </c>
      <c r="G1027">
        <v>3</v>
      </c>
      <c r="H1027">
        <v>8</v>
      </c>
      <c r="I1027">
        <v>49</v>
      </c>
      <c r="J1027" t="s">
        <v>11</v>
      </c>
      <c r="K1027">
        <f>IF(J1027="Yes", 1, 0)</f>
        <v>1</v>
      </c>
      <c r="L1027" t="str">
        <f>IF(G1027=0,"0 Failures","1+ Failures")</f>
        <v>1+ Failures</v>
      </c>
      <c r="M1027" t="str">
        <f t="shared" si="47"/>
        <v>0-5 hrs</v>
      </c>
      <c r="N1027" t="str">
        <f t="shared" ref="N1027:N1090" si="48">IF(H1027&lt;=3, "0-3months", IF(H1027&lt;=6, "3-6months", IF(H1027&lt;=12, "6-12months", "12+ months")))</f>
        <v>6-12months</v>
      </c>
      <c r="O1027" t="str">
        <f t="shared" ref="O1027:O1090" si="49">IF(C1027="premium", "Premium", "Basic")</f>
        <v>Premium</v>
      </c>
      <c r="P1027" s="7">
        <v>45657</v>
      </c>
    </row>
    <row r="1028" spans="1:16" x14ac:dyDescent="0.3">
      <c r="A1028">
        <v>1027</v>
      </c>
      <c r="B1028" s="7">
        <v>45199</v>
      </c>
      <c r="C1028" t="s">
        <v>10</v>
      </c>
      <c r="D1028">
        <v>699</v>
      </c>
      <c r="E1028">
        <v>3.4</v>
      </c>
      <c r="F1028">
        <v>3</v>
      </c>
      <c r="G1028">
        <v>1</v>
      </c>
      <c r="H1028">
        <v>32</v>
      </c>
      <c r="I1028">
        <v>60</v>
      </c>
      <c r="J1028" t="s">
        <v>13</v>
      </c>
      <c r="K1028">
        <f>IF(J1028="Yes", 1, 0)</f>
        <v>0</v>
      </c>
      <c r="L1028" t="str">
        <f>IF(G1028=0,"0 Failures","1+ Failures")</f>
        <v>1+ Failures</v>
      </c>
      <c r="M1028" t="str">
        <f t="shared" si="47"/>
        <v>0-5 hrs</v>
      </c>
      <c r="N1028" t="str">
        <f t="shared" si="48"/>
        <v>12+ months</v>
      </c>
      <c r="O1028" t="str">
        <f t="shared" si="49"/>
        <v>Premium</v>
      </c>
      <c r="P1028" s="7">
        <v>45657</v>
      </c>
    </row>
    <row r="1029" spans="1:16" x14ac:dyDescent="0.3">
      <c r="A1029">
        <v>1028</v>
      </c>
      <c r="B1029" s="7">
        <v>45216</v>
      </c>
      <c r="C1029" t="s">
        <v>14</v>
      </c>
      <c r="D1029">
        <v>399</v>
      </c>
      <c r="E1029">
        <v>9.9</v>
      </c>
      <c r="F1029">
        <v>6</v>
      </c>
      <c r="G1029">
        <v>1</v>
      </c>
      <c r="H1029">
        <v>32</v>
      </c>
      <c r="I1029">
        <v>38</v>
      </c>
      <c r="J1029" t="s">
        <v>11</v>
      </c>
      <c r="K1029">
        <f>IF(J1029="Yes", 1, 0)</f>
        <v>1</v>
      </c>
      <c r="L1029" t="str">
        <f>IF(G1029=0,"0 Failures","1+ Failures")</f>
        <v>1+ Failures</v>
      </c>
      <c r="M1029" t="str">
        <f t="shared" si="47"/>
        <v>5-10 hrs</v>
      </c>
      <c r="N1029" t="str">
        <f t="shared" si="48"/>
        <v>12+ months</v>
      </c>
      <c r="O1029" t="str">
        <f t="shared" si="49"/>
        <v>Basic</v>
      </c>
      <c r="P1029" s="7">
        <v>45657</v>
      </c>
    </row>
    <row r="1030" spans="1:16" x14ac:dyDescent="0.3">
      <c r="A1030">
        <v>1029</v>
      </c>
      <c r="B1030" s="7">
        <v>45195</v>
      </c>
      <c r="C1030" t="s">
        <v>10</v>
      </c>
      <c r="D1030">
        <v>699</v>
      </c>
      <c r="E1030">
        <v>10.7</v>
      </c>
      <c r="F1030">
        <v>6</v>
      </c>
      <c r="G1030">
        <v>1</v>
      </c>
      <c r="H1030">
        <v>13</v>
      </c>
      <c r="I1030">
        <v>1</v>
      </c>
      <c r="J1030" t="s">
        <v>13</v>
      </c>
      <c r="K1030">
        <f>IF(J1030="Yes", 1, 0)</f>
        <v>0</v>
      </c>
      <c r="L1030" t="str">
        <f>IF(G1030=0,"0 Failures","1+ Failures")</f>
        <v>1+ Failures</v>
      </c>
      <c r="M1030" t="str">
        <f t="shared" si="47"/>
        <v>10-20hrs</v>
      </c>
      <c r="N1030" t="str">
        <f t="shared" si="48"/>
        <v>12+ months</v>
      </c>
      <c r="O1030" t="str">
        <f t="shared" si="49"/>
        <v>Premium</v>
      </c>
      <c r="P1030" s="7">
        <v>45657</v>
      </c>
    </row>
    <row r="1031" spans="1:16" x14ac:dyDescent="0.3">
      <c r="A1031">
        <v>1030</v>
      </c>
      <c r="B1031" s="7">
        <v>45014</v>
      </c>
      <c r="C1031" t="s">
        <v>12</v>
      </c>
      <c r="D1031">
        <v>199</v>
      </c>
      <c r="E1031">
        <v>22.7</v>
      </c>
      <c r="F1031">
        <v>5</v>
      </c>
      <c r="G1031">
        <v>4</v>
      </c>
      <c r="H1031">
        <v>29</v>
      </c>
      <c r="I1031">
        <v>43</v>
      </c>
      <c r="J1031" t="s">
        <v>11</v>
      </c>
      <c r="K1031">
        <f>IF(J1031="Yes", 1, 0)</f>
        <v>1</v>
      </c>
      <c r="L1031" t="str">
        <f>IF(G1031=0,"0 Failures","1+ Failures")</f>
        <v>1+ Failures</v>
      </c>
      <c r="M1031" t="str">
        <f t="shared" si="47"/>
        <v>20+ hrs</v>
      </c>
      <c r="N1031" t="str">
        <f t="shared" si="48"/>
        <v>12+ months</v>
      </c>
      <c r="O1031" t="str">
        <f t="shared" si="49"/>
        <v>Basic</v>
      </c>
      <c r="P1031" s="7">
        <v>45657</v>
      </c>
    </row>
    <row r="1032" spans="1:16" x14ac:dyDescent="0.3">
      <c r="A1032">
        <v>1031</v>
      </c>
      <c r="B1032" s="7">
        <v>45657</v>
      </c>
      <c r="C1032" t="s">
        <v>12</v>
      </c>
      <c r="D1032">
        <v>199</v>
      </c>
      <c r="E1032">
        <v>3.8</v>
      </c>
      <c r="F1032">
        <v>5</v>
      </c>
      <c r="G1032">
        <v>5</v>
      </c>
      <c r="H1032">
        <v>31</v>
      </c>
      <c r="I1032">
        <v>25</v>
      </c>
      <c r="J1032" t="s">
        <v>11</v>
      </c>
      <c r="K1032">
        <f>IF(J1032="Yes", 1, 0)</f>
        <v>1</v>
      </c>
      <c r="L1032" t="str">
        <f>IF(G1032=0,"0 Failures","1+ Failures")</f>
        <v>1+ Failures</v>
      </c>
      <c r="M1032" t="str">
        <f t="shared" si="47"/>
        <v>0-5 hrs</v>
      </c>
      <c r="N1032" t="str">
        <f t="shared" si="48"/>
        <v>12+ months</v>
      </c>
      <c r="O1032" t="str">
        <f t="shared" si="49"/>
        <v>Basic</v>
      </c>
      <c r="P1032" s="7">
        <v>45657</v>
      </c>
    </row>
    <row r="1033" spans="1:16" x14ac:dyDescent="0.3">
      <c r="A1033">
        <v>1032</v>
      </c>
      <c r="B1033" s="7">
        <v>44980</v>
      </c>
      <c r="C1033" t="s">
        <v>14</v>
      </c>
      <c r="D1033">
        <v>399</v>
      </c>
      <c r="E1033">
        <v>18.5</v>
      </c>
      <c r="F1033">
        <v>4</v>
      </c>
      <c r="G1033">
        <v>0</v>
      </c>
      <c r="H1033">
        <v>28</v>
      </c>
      <c r="I1033">
        <v>6</v>
      </c>
      <c r="J1033" t="s">
        <v>13</v>
      </c>
      <c r="K1033">
        <f>IF(J1033="Yes", 1, 0)</f>
        <v>0</v>
      </c>
      <c r="L1033" t="str">
        <f>IF(G1033=0,"0 Failures","1+ Failures")</f>
        <v>0 Failures</v>
      </c>
      <c r="M1033" t="str">
        <f t="shared" si="47"/>
        <v>10-20hrs</v>
      </c>
      <c r="N1033" t="str">
        <f t="shared" si="48"/>
        <v>12+ months</v>
      </c>
      <c r="O1033" t="str">
        <f t="shared" si="49"/>
        <v>Basic</v>
      </c>
      <c r="P1033" s="7">
        <v>45657</v>
      </c>
    </row>
    <row r="1034" spans="1:16" x14ac:dyDescent="0.3">
      <c r="A1034">
        <v>1033</v>
      </c>
      <c r="B1034" s="7">
        <v>45539</v>
      </c>
      <c r="C1034" t="s">
        <v>14</v>
      </c>
      <c r="D1034">
        <v>399</v>
      </c>
      <c r="E1034">
        <v>12</v>
      </c>
      <c r="F1034">
        <v>5</v>
      </c>
      <c r="G1034">
        <v>4</v>
      </c>
      <c r="H1034">
        <v>16</v>
      </c>
      <c r="I1034">
        <v>60</v>
      </c>
      <c r="J1034" t="s">
        <v>11</v>
      </c>
      <c r="K1034">
        <f>IF(J1034="Yes", 1, 0)</f>
        <v>1</v>
      </c>
      <c r="L1034" t="str">
        <f>IF(G1034=0,"0 Failures","1+ Failures")</f>
        <v>1+ Failures</v>
      </c>
      <c r="M1034" t="str">
        <f t="shared" si="47"/>
        <v>10-20hrs</v>
      </c>
      <c r="N1034" t="str">
        <f t="shared" si="48"/>
        <v>12+ months</v>
      </c>
      <c r="O1034" t="str">
        <f t="shared" si="49"/>
        <v>Basic</v>
      </c>
      <c r="P1034" s="7">
        <v>45657</v>
      </c>
    </row>
    <row r="1035" spans="1:16" x14ac:dyDescent="0.3">
      <c r="A1035">
        <v>1034</v>
      </c>
      <c r="B1035" s="7">
        <v>45331</v>
      </c>
      <c r="C1035" t="s">
        <v>10</v>
      </c>
      <c r="D1035">
        <v>699</v>
      </c>
      <c r="E1035">
        <v>0.6</v>
      </c>
      <c r="F1035">
        <v>8</v>
      </c>
      <c r="G1035">
        <v>4</v>
      </c>
      <c r="H1035">
        <v>3</v>
      </c>
      <c r="I1035">
        <v>24</v>
      </c>
      <c r="J1035" t="s">
        <v>11</v>
      </c>
      <c r="K1035">
        <f>IF(J1035="Yes", 1, 0)</f>
        <v>1</v>
      </c>
      <c r="L1035" t="str">
        <f>IF(G1035=0,"0 Failures","1+ Failures")</f>
        <v>1+ Failures</v>
      </c>
      <c r="M1035" t="str">
        <f t="shared" ref="M1035:M1098" si="50">IF(E1035&lt;=5, "0-5 hrs",    IF(E1035&lt;=10, "5-10 hrs",    IF(E1035&lt;=20, "10-20hrs", "20+ hrs")))</f>
        <v>0-5 hrs</v>
      </c>
      <c r="N1035" t="str">
        <f t="shared" si="48"/>
        <v>0-3months</v>
      </c>
      <c r="O1035" t="str">
        <f t="shared" si="49"/>
        <v>Premium</v>
      </c>
      <c r="P1035" s="7">
        <v>45657</v>
      </c>
    </row>
    <row r="1036" spans="1:16" x14ac:dyDescent="0.3">
      <c r="A1036">
        <v>1035</v>
      </c>
      <c r="B1036" s="7">
        <v>45100</v>
      </c>
      <c r="C1036" t="s">
        <v>10</v>
      </c>
      <c r="D1036">
        <v>699</v>
      </c>
      <c r="E1036">
        <v>3.7</v>
      </c>
      <c r="F1036">
        <v>8</v>
      </c>
      <c r="G1036">
        <v>0</v>
      </c>
      <c r="H1036">
        <v>24</v>
      </c>
      <c r="I1036">
        <v>37</v>
      </c>
      <c r="J1036" t="s">
        <v>11</v>
      </c>
      <c r="K1036">
        <f>IF(J1036="Yes", 1, 0)</f>
        <v>1</v>
      </c>
      <c r="L1036" t="str">
        <f>IF(G1036=0,"0 Failures","1+ Failures")</f>
        <v>0 Failures</v>
      </c>
      <c r="M1036" t="str">
        <f t="shared" si="50"/>
        <v>0-5 hrs</v>
      </c>
      <c r="N1036" t="str">
        <f t="shared" si="48"/>
        <v>12+ months</v>
      </c>
      <c r="O1036" t="str">
        <f t="shared" si="49"/>
        <v>Premium</v>
      </c>
      <c r="P1036" s="7">
        <v>45657</v>
      </c>
    </row>
    <row r="1037" spans="1:16" x14ac:dyDescent="0.3">
      <c r="A1037">
        <v>1036</v>
      </c>
      <c r="B1037" s="7">
        <v>45470</v>
      </c>
      <c r="C1037" t="s">
        <v>10</v>
      </c>
      <c r="D1037">
        <v>699</v>
      </c>
      <c r="E1037">
        <v>23.3</v>
      </c>
      <c r="F1037">
        <v>7</v>
      </c>
      <c r="G1037">
        <v>1</v>
      </c>
      <c r="H1037">
        <v>32</v>
      </c>
      <c r="I1037">
        <v>5</v>
      </c>
      <c r="J1037" t="s">
        <v>13</v>
      </c>
      <c r="K1037">
        <f>IF(J1037="Yes", 1, 0)</f>
        <v>0</v>
      </c>
      <c r="L1037" t="str">
        <f>IF(G1037=0,"0 Failures","1+ Failures")</f>
        <v>1+ Failures</v>
      </c>
      <c r="M1037" t="str">
        <f t="shared" si="50"/>
        <v>20+ hrs</v>
      </c>
      <c r="N1037" t="str">
        <f t="shared" si="48"/>
        <v>12+ months</v>
      </c>
      <c r="O1037" t="str">
        <f t="shared" si="49"/>
        <v>Premium</v>
      </c>
      <c r="P1037" s="7">
        <v>45657</v>
      </c>
    </row>
    <row r="1038" spans="1:16" x14ac:dyDescent="0.3">
      <c r="A1038">
        <v>1037</v>
      </c>
      <c r="B1038" s="7">
        <v>45214</v>
      </c>
      <c r="C1038" t="s">
        <v>14</v>
      </c>
      <c r="D1038">
        <v>399</v>
      </c>
      <c r="E1038">
        <v>6.9</v>
      </c>
      <c r="F1038">
        <v>5</v>
      </c>
      <c r="G1038">
        <v>0</v>
      </c>
      <c r="H1038">
        <v>10</v>
      </c>
      <c r="I1038">
        <v>8</v>
      </c>
      <c r="J1038" t="s">
        <v>13</v>
      </c>
      <c r="K1038">
        <f>IF(J1038="Yes", 1, 0)</f>
        <v>0</v>
      </c>
      <c r="L1038" t="str">
        <f>IF(G1038=0,"0 Failures","1+ Failures")</f>
        <v>0 Failures</v>
      </c>
      <c r="M1038" t="str">
        <f t="shared" si="50"/>
        <v>5-10 hrs</v>
      </c>
      <c r="N1038" t="str">
        <f t="shared" si="48"/>
        <v>6-12months</v>
      </c>
      <c r="O1038" t="str">
        <f t="shared" si="49"/>
        <v>Basic</v>
      </c>
      <c r="P1038" s="7">
        <v>45657</v>
      </c>
    </row>
    <row r="1039" spans="1:16" x14ac:dyDescent="0.3">
      <c r="A1039">
        <v>1038</v>
      </c>
      <c r="B1039" s="7">
        <v>45197</v>
      </c>
      <c r="C1039" t="s">
        <v>10</v>
      </c>
      <c r="D1039">
        <v>699</v>
      </c>
      <c r="E1039">
        <v>23.2</v>
      </c>
      <c r="F1039">
        <v>4</v>
      </c>
      <c r="G1039">
        <v>2</v>
      </c>
      <c r="H1039">
        <v>24</v>
      </c>
      <c r="I1039">
        <v>39</v>
      </c>
      <c r="J1039" t="s">
        <v>13</v>
      </c>
      <c r="K1039">
        <f>IF(J1039="Yes", 1, 0)</f>
        <v>0</v>
      </c>
      <c r="L1039" t="str">
        <f>IF(G1039=0,"0 Failures","1+ Failures")</f>
        <v>1+ Failures</v>
      </c>
      <c r="M1039" t="str">
        <f t="shared" si="50"/>
        <v>20+ hrs</v>
      </c>
      <c r="N1039" t="str">
        <f t="shared" si="48"/>
        <v>12+ months</v>
      </c>
      <c r="O1039" t="str">
        <f t="shared" si="49"/>
        <v>Premium</v>
      </c>
      <c r="P1039" s="7">
        <v>45657</v>
      </c>
    </row>
    <row r="1040" spans="1:16" x14ac:dyDescent="0.3">
      <c r="A1040">
        <v>1039</v>
      </c>
      <c r="B1040" s="7">
        <v>45081</v>
      </c>
      <c r="C1040" t="s">
        <v>10</v>
      </c>
      <c r="D1040">
        <v>699</v>
      </c>
      <c r="E1040">
        <v>11.2</v>
      </c>
      <c r="F1040">
        <v>2</v>
      </c>
      <c r="G1040">
        <v>2</v>
      </c>
      <c r="H1040">
        <v>21</v>
      </c>
      <c r="I1040">
        <v>47</v>
      </c>
      <c r="J1040" t="s">
        <v>13</v>
      </c>
      <c r="K1040">
        <f>IF(J1040="Yes", 1, 0)</f>
        <v>0</v>
      </c>
      <c r="L1040" t="str">
        <f>IF(G1040=0,"0 Failures","1+ Failures")</f>
        <v>1+ Failures</v>
      </c>
      <c r="M1040" t="str">
        <f t="shared" si="50"/>
        <v>10-20hrs</v>
      </c>
      <c r="N1040" t="str">
        <f t="shared" si="48"/>
        <v>12+ months</v>
      </c>
      <c r="O1040" t="str">
        <f t="shared" si="49"/>
        <v>Premium</v>
      </c>
      <c r="P1040" s="7">
        <v>45657</v>
      </c>
    </row>
    <row r="1041" spans="1:16" x14ac:dyDescent="0.3">
      <c r="A1041">
        <v>1040</v>
      </c>
      <c r="B1041" s="7">
        <v>45408</v>
      </c>
      <c r="C1041" t="s">
        <v>10</v>
      </c>
      <c r="D1041">
        <v>699</v>
      </c>
      <c r="E1041">
        <v>1.8</v>
      </c>
      <c r="F1041">
        <v>2</v>
      </c>
      <c r="G1041">
        <v>0</v>
      </c>
      <c r="H1041">
        <v>29</v>
      </c>
      <c r="I1041">
        <v>14</v>
      </c>
      <c r="J1041" t="s">
        <v>11</v>
      </c>
      <c r="K1041">
        <f>IF(J1041="Yes", 1, 0)</f>
        <v>1</v>
      </c>
      <c r="L1041" t="str">
        <f>IF(G1041=0,"0 Failures","1+ Failures")</f>
        <v>0 Failures</v>
      </c>
      <c r="M1041" t="str">
        <f t="shared" si="50"/>
        <v>0-5 hrs</v>
      </c>
      <c r="N1041" t="str">
        <f t="shared" si="48"/>
        <v>12+ months</v>
      </c>
      <c r="O1041" t="str">
        <f t="shared" si="49"/>
        <v>Premium</v>
      </c>
      <c r="P1041" s="7">
        <v>45657</v>
      </c>
    </row>
    <row r="1042" spans="1:16" x14ac:dyDescent="0.3">
      <c r="A1042">
        <v>1041</v>
      </c>
      <c r="B1042" s="7">
        <v>44968</v>
      </c>
      <c r="C1042" t="s">
        <v>14</v>
      </c>
      <c r="D1042">
        <v>399</v>
      </c>
      <c r="E1042">
        <v>17.8</v>
      </c>
      <c r="F1042">
        <v>6</v>
      </c>
      <c r="G1042">
        <v>0</v>
      </c>
      <c r="H1042">
        <v>11</v>
      </c>
      <c r="I1042">
        <v>57</v>
      </c>
      <c r="J1042" t="s">
        <v>13</v>
      </c>
      <c r="K1042">
        <f>IF(J1042="Yes", 1, 0)</f>
        <v>0</v>
      </c>
      <c r="L1042" t="str">
        <f>IF(G1042=0,"0 Failures","1+ Failures")</f>
        <v>0 Failures</v>
      </c>
      <c r="M1042" t="str">
        <f t="shared" si="50"/>
        <v>10-20hrs</v>
      </c>
      <c r="N1042" t="str">
        <f t="shared" si="48"/>
        <v>6-12months</v>
      </c>
      <c r="O1042" t="str">
        <f t="shared" si="49"/>
        <v>Basic</v>
      </c>
      <c r="P1042" s="7">
        <v>45657</v>
      </c>
    </row>
    <row r="1043" spans="1:16" x14ac:dyDescent="0.3">
      <c r="A1043">
        <v>1042</v>
      </c>
      <c r="B1043" s="7">
        <v>45078</v>
      </c>
      <c r="C1043" t="s">
        <v>14</v>
      </c>
      <c r="D1043">
        <v>399</v>
      </c>
      <c r="E1043">
        <v>24.7</v>
      </c>
      <c r="F1043">
        <v>8</v>
      </c>
      <c r="G1043">
        <v>3</v>
      </c>
      <c r="H1043">
        <v>23</v>
      </c>
      <c r="I1043">
        <v>29</v>
      </c>
      <c r="J1043" t="s">
        <v>11</v>
      </c>
      <c r="K1043">
        <f>IF(J1043="Yes", 1, 0)</f>
        <v>1</v>
      </c>
      <c r="L1043" t="str">
        <f>IF(G1043=0,"0 Failures","1+ Failures")</f>
        <v>1+ Failures</v>
      </c>
      <c r="M1043" t="str">
        <f t="shared" si="50"/>
        <v>20+ hrs</v>
      </c>
      <c r="N1043" t="str">
        <f t="shared" si="48"/>
        <v>12+ months</v>
      </c>
      <c r="O1043" t="str">
        <f t="shared" si="49"/>
        <v>Basic</v>
      </c>
      <c r="P1043" s="7">
        <v>45657</v>
      </c>
    </row>
    <row r="1044" spans="1:16" x14ac:dyDescent="0.3">
      <c r="A1044">
        <v>1043</v>
      </c>
      <c r="B1044" s="7">
        <v>45447</v>
      </c>
      <c r="C1044" t="s">
        <v>12</v>
      </c>
      <c r="D1044">
        <v>199</v>
      </c>
      <c r="E1044">
        <v>2.8</v>
      </c>
      <c r="F1044">
        <v>4</v>
      </c>
      <c r="G1044">
        <v>1</v>
      </c>
      <c r="H1044">
        <v>23</v>
      </c>
      <c r="I1044">
        <v>53</v>
      </c>
      <c r="J1044" t="s">
        <v>11</v>
      </c>
      <c r="K1044">
        <f>IF(J1044="Yes", 1, 0)</f>
        <v>1</v>
      </c>
      <c r="L1044" t="str">
        <f>IF(G1044=0,"0 Failures","1+ Failures")</f>
        <v>1+ Failures</v>
      </c>
      <c r="M1044" t="str">
        <f t="shared" si="50"/>
        <v>0-5 hrs</v>
      </c>
      <c r="N1044" t="str">
        <f t="shared" si="48"/>
        <v>12+ months</v>
      </c>
      <c r="O1044" t="str">
        <f t="shared" si="49"/>
        <v>Basic</v>
      </c>
      <c r="P1044" s="7">
        <v>45657</v>
      </c>
    </row>
    <row r="1045" spans="1:16" x14ac:dyDescent="0.3">
      <c r="A1045">
        <v>1044</v>
      </c>
      <c r="B1045" s="7">
        <v>45353</v>
      </c>
      <c r="C1045" t="s">
        <v>14</v>
      </c>
      <c r="D1045">
        <v>399</v>
      </c>
      <c r="E1045">
        <v>14.8</v>
      </c>
      <c r="F1045">
        <v>0</v>
      </c>
      <c r="G1045">
        <v>4</v>
      </c>
      <c r="H1045">
        <v>14</v>
      </c>
      <c r="I1045">
        <v>49</v>
      </c>
      <c r="J1045" t="s">
        <v>11</v>
      </c>
      <c r="K1045">
        <f>IF(J1045="Yes", 1, 0)</f>
        <v>1</v>
      </c>
      <c r="L1045" t="str">
        <f>IF(G1045=0,"0 Failures","1+ Failures")</f>
        <v>1+ Failures</v>
      </c>
      <c r="M1045" t="str">
        <f t="shared" si="50"/>
        <v>10-20hrs</v>
      </c>
      <c r="N1045" t="str">
        <f t="shared" si="48"/>
        <v>12+ months</v>
      </c>
      <c r="O1045" t="str">
        <f t="shared" si="49"/>
        <v>Basic</v>
      </c>
      <c r="P1045" s="7">
        <v>45657</v>
      </c>
    </row>
    <row r="1046" spans="1:16" x14ac:dyDescent="0.3">
      <c r="A1046">
        <v>1045</v>
      </c>
      <c r="B1046" s="7">
        <v>45623</v>
      </c>
      <c r="C1046" t="s">
        <v>12</v>
      </c>
      <c r="D1046">
        <v>199</v>
      </c>
      <c r="E1046">
        <v>19.3</v>
      </c>
      <c r="F1046">
        <v>1</v>
      </c>
      <c r="G1046">
        <v>2</v>
      </c>
      <c r="H1046">
        <v>16</v>
      </c>
      <c r="I1046">
        <v>1</v>
      </c>
      <c r="J1046" t="s">
        <v>11</v>
      </c>
      <c r="K1046">
        <f>IF(J1046="Yes", 1, 0)</f>
        <v>1</v>
      </c>
      <c r="L1046" t="str">
        <f>IF(G1046=0,"0 Failures","1+ Failures")</f>
        <v>1+ Failures</v>
      </c>
      <c r="M1046" t="str">
        <f t="shared" si="50"/>
        <v>10-20hrs</v>
      </c>
      <c r="N1046" t="str">
        <f t="shared" si="48"/>
        <v>12+ months</v>
      </c>
      <c r="O1046" t="str">
        <f t="shared" si="49"/>
        <v>Basic</v>
      </c>
      <c r="P1046" s="7">
        <v>45657</v>
      </c>
    </row>
    <row r="1047" spans="1:16" x14ac:dyDescent="0.3">
      <c r="A1047">
        <v>1046</v>
      </c>
      <c r="B1047" s="7">
        <v>45398</v>
      </c>
      <c r="C1047" t="s">
        <v>12</v>
      </c>
      <c r="D1047">
        <v>199</v>
      </c>
      <c r="E1047">
        <v>9.6999999999999993</v>
      </c>
      <c r="F1047">
        <v>1</v>
      </c>
      <c r="G1047">
        <v>2</v>
      </c>
      <c r="H1047">
        <v>26</v>
      </c>
      <c r="I1047">
        <v>9</v>
      </c>
      <c r="J1047" t="s">
        <v>11</v>
      </c>
      <c r="K1047">
        <f>IF(J1047="Yes", 1, 0)</f>
        <v>1</v>
      </c>
      <c r="L1047" t="str">
        <f>IF(G1047=0,"0 Failures","1+ Failures")</f>
        <v>1+ Failures</v>
      </c>
      <c r="M1047" t="str">
        <f t="shared" si="50"/>
        <v>5-10 hrs</v>
      </c>
      <c r="N1047" t="str">
        <f t="shared" si="48"/>
        <v>12+ months</v>
      </c>
      <c r="O1047" t="str">
        <f t="shared" si="49"/>
        <v>Basic</v>
      </c>
      <c r="P1047" s="7">
        <v>45657</v>
      </c>
    </row>
    <row r="1048" spans="1:16" x14ac:dyDescent="0.3">
      <c r="A1048">
        <v>1047</v>
      </c>
      <c r="B1048" s="7">
        <v>44971</v>
      </c>
      <c r="C1048" t="s">
        <v>10</v>
      </c>
      <c r="D1048">
        <v>699</v>
      </c>
      <c r="E1048">
        <v>11.6</v>
      </c>
      <c r="F1048">
        <v>4</v>
      </c>
      <c r="G1048">
        <v>4</v>
      </c>
      <c r="H1048">
        <v>31</v>
      </c>
      <c r="I1048">
        <v>42</v>
      </c>
      <c r="J1048" t="s">
        <v>11</v>
      </c>
      <c r="K1048">
        <f>IF(J1048="Yes", 1, 0)</f>
        <v>1</v>
      </c>
      <c r="L1048" t="str">
        <f>IF(G1048=0,"0 Failures","1+ Failures")</f>
        <v>1+ Failures</v>
      </c>
      <c r="M1048" t="str">
        <f t="shared" si="50"/>
        <v>10-20hrs</v>
      </c>
      <c r="N1048" t="str">
        <f t="shared" si="48"/>
        <v>12+ months</v>
      </c>
      <c r="O1048" t="str">
        <f t="shared" si="49"/>
        <v>Premium</v>
      </c>
      <c r="P1048" s="7">
        <v>45657</v>
      </c>
    </row>
    <row r="1049" spans="1:16" x14ac:dyDescent="0.3">
      <c r="A1049">
        <v>1048</v>
      </c>
      <c r="B1049" s="7">
        <v>45586</v>
      </c>
      <c r="C1049" t="s">
        <v>10</v>
      </c>
      <c r="D1049">
        <v>699</v>
      </c>
      <c r="E1049">
        <v>8.5</v>
      </c>
      <c r="F1049">
        <v>2</v>
      </c>
      <c r="G1049">
        <v>1</v>
      </c>
      <c r="H1049">
        <v>29</v>
      </c>
      <c r="I1049">
        <v>55</v>
      </c>
      <c r="J1049" t="s">
        <v>11</v>
      </c>
      <c r="K1049">
        <f>IF(J1049="Yes", 1, 0)</f>
        <v>1</v>
      </c>
      <c r="L1049" t="str">
        <f>IF(G1049=0,"0 Failures","1+ Failures")</f>
        <v>1+ Failures</v>
      </c>
      <c r="M1049" t="str">
        <f t="shared" si="50"/>
        <v>5-10 hrs</v>
      </c>
      <c r="N1049" t="str">
        <f t="shared" si="48"/>
        <v>12+ months</v>
      </c>
      <c r="O1049" t="str">
        <f t="shared" si="49"/>
        <v>Premium</v>
      </c>
      <c r="P1049" s="7">
        <v>45657</v>
      </c>
    </row>
    <row r="1050" spans="1:16" x14ac:dyDescent="0.3">
      <c r="A1050">
        <v>1049</v>
      </c>
      <c r="B1050" s="7">
        <v>45021</v>
      </c>
      <c r="C1050" t="s">
        <v>14</v>
      </c>
      <c r="D1050">
        <v>399</v>
      </c>
      <c r="E1050">
        <v>20.100000000000001</v>
      </c>
      <c r="F1050">
        <v>1</v>
      </c>
      <c r="G1050">
        <v>4</v>
      </c>
      <c r="H1050">
        <v>21</v>
      </c>
      <c r="I1050">
        <v>60</v>
      </c>
      <c r="J1050" t="s">
        <v>13</v>
      </c>
      <c r="K1050">
        <f>IF(J1050="Yes", 1, 0)</f>
        <v>0</v>
      </c>
      <c r="L1050" t="str">
        <f>IF(G1050=0,"0 Failures","1+ Failures")</f>
        <v>1+ Failures</v>
      </c>
      <c r="M1050" t="str">
        <f t="shared" si="50"/>
        <v>20+ hrs</v>
      </c>
      <c r="N1050" t="str">
        <f t="shared" si="48"/>
        <v>12+ months</v>
      </c>
      <c r="O1050" t="str">
        <f t="shared" si="49"/>
        <v>Basic</v>
      </c>
      <c r="P1050" s="7">
        <v>45657</v>
      </c>
    </row>
    <row r="1051" spans="1:16" x14ac:dyDescent="0.3">
      <c r="A1051">
        <v>1050</v>
      </c>
      <c r="B1051" s="7">
        <v>45093</v>
      </c>
      <c r="C1051" t="s">
        <v>14</v>
      </c>
      <c r="D1051">
        <v>399</v>
      </c>
      <c r="E1051">
        <v>4.9000000000000004</v>
      </c>
      <c r="F1051">
        <v>6</v>
      </c>
      <c r="G1051">
        <v>0</v>
      </c>
      <c r="H1051">
        <v>17</v>
      </c>
      <c r="I1051">
        <v>1</v>
      </c>
      <c r="J1051" t="s">
        <v>13</v>
      </c>
      <c r="K1051">
        <f>IF(J1051="Yes", 1, 0)</f>
        <v>0</v>
      </c>
      <c r="L1051" t="str">
        <f>IF(G1051=0,"0 Failures","1+ Failures")</f>
        <v>0 Failures</v>
      </c>
      <c r="M1051" t="str">
        <f t="shared" si="50"/>
        <v>0-5 hrs</v>
      </c>
      <c r="N1051" t="str">
        <f t="shared" si="48"/>
        <v>12+ months</v>
      </c>
      <c r="O1051" t="str">
        <f t="shared" si="49"/>
        <v>Basic</v>
      </c>
      <c r="P1051" s="7">
        <v>45657</v>
      </c>
    </row>
    <row r="1052" spans="1:16" x14ac:dyDescent="0.3">
      <c r="A1052">
        <v>1051</v>
      </c>
      <c r="B1052" s="7">
        <v>45369</v>
      </c>
      <c r="C1052" t="s">
        <v>14</v>
      </c>
      <c r="D1052">
        <v>399</v>
      </c>
      <c r="E1052">
        <v>7.5</v>
      </c>
      <c r="F1052">
        <v>2</v>
      </c>
      <c r="G1052">
        <v>0</v>
      </c>
      <c r="H1052">
        <v>26</v>
      </c>
      <c r="I1052">
        <v>19</v>
      </c>
      <c r="J1052" t="s">
        <v>13</v>
      </c>
      <c r="K1052">
        <f>IF(J1052="Yes", 1, 0)</f>
        <v>0</v>
      </c>
      <c r="L1052" t="str">
        <f>IF(G1052=0,"0 Failures","1+ Failures")</f>
        <v>0 Failures</v>
      </c>
      <c r="M1052" t="str">
        <f t="shared" si="50"/>
        <v>5-10 hrs</v>
      </c>
      <c r="N1052" t="str">
        <f t="shared" si="48"/>
        <v>12+ months</v>
      </c>
      <c r="O1052" t="str">
        <f t="shared" si="49"/>
        <v>Basic</v>
      </c>
      <c r="P1052" s="7">
        <v>45657</v>
      </c>
    </row>
    <row r="1053" spans="1:16" x14ac:dyDescent="0.3">
      <c r="A1053">
        <v>1052</v>
      </c>
      <c r="B1053" s="7">
        <v>45303</v>
      </c>
      <c r="C1053" t="s">
        <v>10</v>
      </c>
      <c r="D1053">
        <v>699</v>
      </c>
      <c r="E1053">
        <v>22.6</v>
      </c>
      <c r="F1053">
        <v>2</v>
      </c>
      <c r="G1053">
        <v>2</v>
      </c>
      <c r="H1053">
        <v>20</v>
      </c>
      <c r="I1053">
        <v>42</v>
      </c>
      <c r="J1053" t="s">
        <v>11</v>
      </c>
      <c r="K1053">
        <f>IF(J1053="Yes", 1, 0)</f>
        <v>1</v>
      </c>
      <c r="L1053" t="str">
        <f>IF(G1053=0,"0 Failures","1+ Failures")</f>
        <v>1+ Failures</v>
      </c>
      <c r="M1053" t="str">
        <f t="shared" si="50"/>
        <v>20+ hrs</v>
      </c>
      <c r="N1053" t="str">
        <f t="shared" si="48"/>
        <v>12+ months</v>
      </c>
      <c r="O1053" t="str">
        <f t="shared" si="49"/>
        <v>Premium</v>
      </c>
      <c r="P1053" s="7">
        <v>45657</v>
      </c>
    </row>
    <row r="1054" spans="1:16" x14ac:dyDescent="0.3">
      <c r="A1054">
        <v>1053</v>
      </c>
      <c r="B1054" s="7">
        <v>45360</v>
      </c>
      <c r="C1054" t="s">
        <v>10</v>
      </c>
      <c r="D1054">
        <v>699</v>
      </c>
      <c r="E1054">
        <v>12.5</v>
      </c>
      <c r="F1054">
        <v>6</v>
      </c>
      <c r="G1054">
        <v>3</v>
      </c>
      <c r="H1054">
        <v>13</v>
      </c>
      <c r="I1054">
        <v>17</v>
      </c>
      <c r="J1054" t="s">
        <v>13</v>
      </c>
      <c r="K1054">
        <f>IF(J1054="Yes", 1, 0)</f>
        <v>0</v>
      </c>
      <c r="L1054" t="str">
        <f>IF(G1054=0,"0 Failures","1+ Failures")</f>
        <v>1+ Failures</v>
      </c>
      <c r="M1054" t="str">
        <f t="shared" si="50"/>
        <v>10-20hrs</v>
      </c>
      <c r="N1054" t="str">
        <f t="shared" si="48"/>
        <v>12+ months</v>
      </c>
      <c r="O1054" t="str">
        <f t="shared" si="49"/>
        <v>Premium</v>
      </c>
      <c r="P1054" s="7">
        <v>45657</v>
      </c>
    </row>
    <row r="1055" spans="1:16" x14ac:dyDescent="0.3">
      <c r="A1055">
        <v>1054</v>
      </c>
      <c r="B1055" s="7">
        <v>44968</v>
      </c>
      <c r="C1055" t="s">
        <v>12</v>
      </c>
      <c r="D1055">
        <v>199</v>
      </c>
      <c r="E1055">
        <v>20.399999999999999</v>
      </c>
      <c r="F1055">
        <v>2</v>
      </c>
      <c r="G1055">
        <v>3</v>
      </c>
      <c r="H1055">
        <v>28</v>
      </c>
      <c r="I1055">
        <v>40</v>
      </c>
      <c r="J1055" t="s">
        <v>11</v>
      </c>
      <c r="K1055">
        <f>IF(J1055="Yes", 1, 0)</f>
        <v>1</v>
      </c>
      <c r="L1055" t="str">
        <f>IF(G1055=0,"0 Failures","1+ Failures")</f>
        <v>1+ Failures</v>
      </c>
      <c r="M1055" t="str">
        <f t="shared" si="50"/>
        <v>20+ hrs</v>
      </c>
      <c r="N1055" t="str">
        <f t="shared" si="48"/>
        <v>12+ months</v>
      </c>
      <c r="O1055" t="str">
        <f t="shared" si="49"/>
        <v>Basic</v>
      </c>
      <c r="P1055" s="7">
        <v>45657</v>
      </c>
    </row>
    <row r="1056" spans="1:16" x14ac:dyDescent="0.3">
      <c r="A1056">
        <v>1055</v>
      </c>
      <c r="B1056" s="7">
        <v>45434</v>
      </c>
      <c r="C1056" t="s">
        <v>10</v>
      </c>
      <c r="D1056">
        <v>699</v>
      </c>
      <c r="E1056">
        <v>24.3</v>
      </c>
      <c r="F1056">
        <v>3</v>
      </c>
      <c r="G1056">
        <v>5</v>
      </c>
      <c r="H1056">
        <v>22</v>
      </c>
      <c r="I1056">
        <v>43</v>
      </c>
      <c r="J1056" t="s">
        <v>13</v>
      </c>
      <c r="K1056">
        <f>IF(J1056="Yes", 1, 0)</f>
        <v>0</v>
      </c>
      <c r="L1056" t="str">
        <f>IF(G1056=0,"0 Failures","1+ Failures")</f>
        <v>1+ Failures</v>
      </c>
      <c r="M1056" t="str">
        <f t="shared" si="50"/>
        <v>20+ hrs</v>
      </c>
      <c r="N1056" t="str">
        <f t="shared" si="48"/>
        <v>12+ months</v>
      </c>
      <c r="O1056" t="str">
        <f t="shared" si="49"/>
        <v>Premium</v>
      </c>
      <c r="P1056" s="7">
        <v>45657</v>
      </c>
    </row>
    <row r="1057" spans="1:16" x14ac:dyDescent="0.3">
      <c r="A1057">
        <v>1056</v>
      </c>
      <c r="B1057" s="7">
        <v>45416</v>
      </c>
      <c r="C1057" t="s">
        <v>10</v>
      </c>
      <c r="D1057">
        <v>699</v>
      </c>
      <c r="E1057">
        <v>2.6</v>
      </c>
      <c r="F1057">
        <v>7</v>
      </c>
      <c r="G1057">
        <v>3</v>
      </c>
      <c r="H1057">
        <v>34</v>
      </c>
      <c r="I1057">
        <v>5</v>
      </c>
      <c r="J1057" t="s">
        <v>13</v>
      </c>
      <c r="K1057">
        <f>IF(J1057="Yes", 1, 0)</f>
        <v>0</v>
      </c>
      <c r="L1057" t="str">
        <f>IF(G1057=0,"0 Failures","1+ Failures")</f>
        <v>1+ Failures</v>
      </c>
      <c r="M1057" t="str">
        <f t="shared" si="50"/>
        <v>0-5 hrs</v>
      </c>
      <c r="N1057" t="str">
        <f t="shared" si="48"/>
        <v>12+ months</v>
      </c>
      <c r="O1057" t="str">
        <f t="shared" si="49"/>
        <v>Premium</v>
      </c>
      <c r="P1057" s="7">
        <v>45657</v>
      </c>
    </row>
    <row r="1058" spans="1:16" x14ac:dyDescent="0.3">
      <c r="A1058">
        <v>1057</v>
      </c>
      <c r="B1058" s="7">
        <v>45509</v>
      </c>
      <c r="C1058" t="s">
        <v>14</v>
      </c>
      <c r="D1058">
        <v>399</v>
      </c>
      <c r="E1058">
        <v>24.6</v>
      </c>
      <c r="F1058">
        <v>4</v>
      </c>
      <c r="G1058">
        <v>1</v>
      </c>
      <c r="H1058">
        <v>10</v>
      </c>
      <c r="I1058">
        <v>33</v>
      </c>
      <c r="J1058" t="s">
        <v>11</v>
      </c>
      <c r="K1058">
        <f>IF(J1058="Yes", 1, 0)</f>
        <v>1</v>
      </c>
      <c r="L1058" t="str">
        <f>IF(G1058=0,"0 Failures","1+ Failures")</f>
        <v>1+ Failures</v>
      </c>
      <c r="M1058" t="str">
        <f t="shared" si="50"/>
        <v>20+ hrs</v>
      </c>
      <c r="N1058" t="str">
        <f t="shared" si="48"/>
        <v>6-12months</v>
      </c>
      <c r="O1058" t="str">
        <f t="shared" si="49"/>
        <v>Basic</v>
      </c>
      <c r="P1058" s="7">
        <v>45657</v>
      </c>
    </row>
    <row r="1059" spans="1:16" x14ac:dyDescent="0.3">
      <c r="A1059">
        <v>1058</v>
      </c>
      <c r="B1059" s="7">
        <v>45349</v>
      </c>
      <c r="C1059" t="s">
        <v>12</v>
      </c>
      <c r="D1059">
        <v>199</v>
      </c>
      <c r="E1059">
        <v>2.4</v>
      </c>
      <c r="F1059">
        <v>0</v>
      </c>
      <c r="G1059">
        <v>4</v>
      </c>
      <c r="H1059">
        <v>36</v>
      </c>
      <c r="I1059">
        <v>6</v>
      </c>
      <c r="J1059" t="s">
        <v>11</v>
      </c>
      <c r="K1059">
        <f>IF(J1059="Yes", 1, 0)</f>
        <v>1</v>
      </c>
      <c r="L1059" t="str">
        <f>IF(G1059=0,"0 Failures","1+ Failures")</f>
        <v>1+ Failures</v>
      </c>
      <c r="M1059" t="str">
        <f t="shared" si="50"/>
        <v>0-5 hrs</v>
      </c>
      <c r="N1059" t="str">
        <f t="shared" si="48"/>
        <v>12+ months</v>
      </c>
      <c r="O1059" t="str">
        <f t="shared" si="49"/>
        <v>Basic</v>
      </c>
      <c r="P1059" s="7">
        <v>45657</v>
      </c>
    </row>
    <row r="1060" spans="1:16" x14ac:dyDescent="0.3">
      <c r="A1060">
        <v>1059</v>
      </c>
      <c r="B1060" s="7">
        <v>45442</v>
      </c>
      <c r="C1060" t="s">
        <v>12</v>
      </c>
      <c r="D1060">
        <v>199</v>
      </c>
      <c r="E1060">
        <v>16.7</v>
      </c>
      <c r="F1060">
        <v>4</v>
      </c>
      <c r="G1060">
        <v>2</v>
      </c>
      <c r="H1060">
        <v>30</v>
      </c>
      <c r="I1060">
        <v>16</v>
      </c>
      <c r="J1060" t="s">
        <v>13</v>
      </c>
      <c r="K1060">
        <f>IF(J1060="Yes", 1, 0)</f>
        <v>0</v>
      </c>
      <c r="L1060" t="str">
        <f>IF(G1060=0,"0 Failures","1+ Failures")</f>
        <v>1+ Failures</v>
      </c>
      <c r="M1060" t="str">
        <f t="shared" si="50"/>
        <v>10-20hrs</v>
      </c>
      <c r="N1060" t="str">
        <f t="shared" si="48"/>
        <v>12+ months</v>
      </c>
      <c r="O1060" t="str">
        <f t="shared" si="49"/>
        <v>Basic</v>
      </c>
      <c r="P1060" s="7">
        <v>45657</v>
      </c>
    </row>
    <row r="1061" spans="1:16" x14ac:dyDescent="0.3">
      <c r="A1061">
        <v>1060</v>
      </c>
      <c r="B1061" s="7">
        <v>45329</v>
      </c>
      <c r="C1061" t="s">
        <v>12</v>
      </c>
      <c r="D1061">
        <v>199</v>
      </c>
      <c r="E1061">
        <v>18.600000000000001</v>
      </c>
      <c r="F1061">
        <v>7</v>
      </c>
      <c r="G1061">
        <v>1</v>
      </c>
      <c r="H1061">
        <v>8</v>
      </c>
      <c r="I1061">
        <v>50</v>
      </c>
      <c r="J1061" t="s">
        <v>11</v>
      </c>
      <c r="K1061">
        <f>IF(J1061="Yes", 1, 0)</f>
        <v>1</v>
      </c>
      <c r="L1061" t="str">
        <f>IF(G1061=0,"0 Failures","1+ Failures")</f>
        <v>1+ Failures</v>
      </c>
      <c r="M1061" t="str">
        <f t="shared" si="50"/>
        <v>10-20hrs</v>
      </c>
      <c r="N1061" t="str">
        <f t="shared" si="48"/>
        <v>6-12months</v>
      </c>
      <c r="O1061" t="str">
        <f t="shared" si="49"/>
        <v>Basic</v>
      </c>
      <c r="P1061" s="7">
        <v>45657</v>
      </c>
    </row>
    <row r="1062" spans="1:16" x14ac:dyDescent="0.3">
      <c r="A1062">
        <v>1061</v>
      </c>
      <c r="B1062" s="7">
        <v>45613</v>
      </c>
      <c r="C1062" t="s">
        <v>12</v>
      </c>
      <c r="D1062">
        <v>199</v>
      </c>
      <c r="E1062">
        <v>10.7</v>
      </c>
      <c r="F1062">
        <v>4</v>
      </c>
      <c r="G1062">
        <v>2</v>
      </c>
      <c r="H1062">
        <v>6</v>
      </c>
      <c r="I1062">
        <v>37</v>
      </c>
      <c r="J1062" t="s">
        <v>11</v>
      </c>
      <c r="K1062">
        <f>IF(J1062="Yes", 1, 0)</f>
        <v>1</v>
      </c>
      <c r="L1062" t="str">
        <f>IF(G1062=0,"0 Failures","1+ Failures")</f>
        <v>1+ Failures</v>
      </c>
      <c r="M1062" t="str">
        <f t="shared" si="50"/>
        <v>10-20hrs</v>
      </c>
      <c r="N1062" t="str">
        <f t="shared" si="48"/>
        <v>3-6months</v>
      </c>
      <c r="O1062" t="str">
        <f t="shared" si="49"/>
        <v>Basic</v>
      </c>
      <c r="P1062" s="7">
        <v>45657</v>
      </c>
    </row>
    <row r="1063" spans="1:16" x14ac:dyDescent="0.3">
      <c r="A1063">
        <v>1062</v>
      </c>
      <c r="B1063" s="7">
        <v>45545</v>
      </c>
      <c r="C1063" t="s">
        <v>14</v>
      </c>
      <c r="D1063">
        <v>399</v>
      </c>
      <c r="E1063">
        <v>8.9</v>
      </c>
      <c r="F1063">
        <v>2</v>
      </c>
      <c r="G1063">
        <v>1</v>
      </c>
      <c r="H1063">
        <v>17</v>
      </c>
      <c r="I1063">
        <v>11</v>
      </c>
      <c r="J1063" t="s">
        <v>11</v>
      </c>
      <c r="K1063">
        <f>IF(J1063="Yes", 1, 0)</f>
        <v>1</v>
      </c>
      <c r="L1063" t="str">
        <f>IF(G1063=0,"0 Failures","1+ Failures")</f>
        <v>1+ Failures</v>
      </c>
      <c r="M1063" t="str">
        <f t="shared" si="50"/>
        <v>5-10 hrs</v>
      </c>
      <c r="N1063" t="str">
        <f t="shared" si="48"/>
        <v>12+ months</v>
      </c>
      <c r="O1063" t="str">
        <f t="shared" si="49"/>
        <v>Basic</v>
      </c>
      <c r="P1063" s="7">
        <v>45657</v>
      </c>
    </row>
    <row r="1064" spans="1:16" x14ac:dyDescent="0.3">
      <c r="A1064">
        <v>1063</v>
      </c>
      <c r="B1064" s="7">
        <v>45102</v>
      </c>
      <c r="C1064" t="s">
        <v>14</v>
      </c>
      <c r="D1064">
        <v>399</v>
      </c>
      <c r="E1064">
        <v>11.1</v>
      </c>
      <c r="F1064">
        <v>0</v>
      </c>
      <c r="G1064">
        <v>0</v>
      </c>
      <c r="H1064">
        <v>7</v>
      </c>
      <c r="I1064">
        <v>25</v>
      </c>
      <c r="J1064" t="s">
        <v>11</v>
      </c>
      <c r="K1064">
        <f>IF(J1064="Yes", 1, 0)</f>
        <v>1</v>
      </c>
      <c r="L1064" t="str">
        <f>IF(G1064=0,"0 Failures","1+ Failures")</f>
        <v>0 Failures</v>
      </c>
      <c r="M1064" t="str">
        <f t="shared" si="50"/>
        <v>10-20hrs</v>
      </c>
      <c r="N1064" t="str">
        <f t="shared" si="48"/>
        <v>6-12months</v>
      </c>
      <c r="O1064" t="str">
        <f t="shared" si="49"/>
        <v>Basic</v>
      </c>
      <c r="P1064" s="7">
        <v>45657</v>
      </c>
    </row>
    <row r="1065" spans="1:16" x14ac:dyDescent="0.3">
      <c r="A1065">
        <v>1064</v>
      </c>
      <c r="B1065" s="7">
        <v>45425</v>
      </c>
      <c r="C1065" t="s">
        <v>10</v>
      </c>
      <c r="D1065">
        <v>699</v>
      </c>
      <c r="E1065">
        <v>11.8</v>
      </c>
      <c r="F1065">
        <v>6</v>
      </c>
      <c r="G1065">
        <v>5</v>
      </c>
      <c r="H1065">
        <v>31</v>
      </c>
      <c r="I1065">
        <v>47</v>
      </c>
      <c r="J1065" t="s">
        <v>11</v>
      </c>
      <c r="K1065">
        <f>IF(J1065="Yes", 1, 0)</f>
        <v>1</v>
      </c>
      <c r="L1065" t="str">
        <f>IF(G1065=0,"0 Failures","1+ Failures")</f>
        <v>1+ Failures</v>
      </c>
      <c r="M1065" t="str">
        <f t="shared" si="50"/>
        <v>10-20hrs</v>
      </c>
      <c r="N1065" t="str">
        <f t="shared" si="48"/>
        <v>12+ months</v>
      </c>
      <c r="O1065" t="str">
        <f t="shared" si="49"/>
        <v>Premium</v>
      </c>
      <c r="P1065" s="7">
        <v>45657</v>
      </c>
    </row>
    <row r="1066" spans="1:16" x14ac:dyDescent="0.3">
      <c r="A1066">
        <v>1065</v>
      </c>
      <c r="B1066" s="7">
        <v>44941</v>
      </c>
      <c r="C1066" t="s">
        <v>14</v>
      </c>
      <c r="D1066">
        <v>399</v>
      </c>
      <c r="E1066">
        <v>17.399999999999999</v>
      </c>
      <c r="F1066">
        <v>6</v>
      </c>
      <c r="G1066">
        <v>2</v>
      </c>
      <c r="H1066">
        <v>24</v>
      </c>
      <c r="I1066">
        <v>5</v>
      </c>
      <c r="J1066" t="s">
        <v>11</v>
      </c>
      <c r="K1066">
        <f>IF(J1066="Yes", 1, 0)</f>
        <v>1</v>
      </c>
      <c r="L1066" t="str">
        <f>IF(G1066=0,"0 Failures","1+ Failures")</f>
        <v>1+ Failures</v>
      </c>
      <c r="M1066" t="str">
        <f t="shared" si="50"/>
        <v>10-20hrs</v>
      </c>
      <c r="N1066" t="str">
        <f t="shared" si="48"/>
        <v>12+ months</v>
      </c>
      <c r="O1066" t="str">
        <f t="shared" si="49"/>
        <v>Basic</v>
      </c>
      <c r="P1066" s="7">
        <v>45657</v>
      </c>
    </row>
    <row r="1067" spans="1:16" x14ac:dyDescent="0.3">
      <c r="A1067">
        <v>1066</v>
      </c>
      <c r="B1067" s="7">
        <v>45075</v>
      </c>
      <c r="C1067" t="s">
        <v>12</v>
      </c>
      <c r="D1067">
        <v>199</v>
      </c>
      <c r="E1067">
        <v>20.5</v>
      </c>
      <c r="F1067">
        <v>3</v>
      </c>
      <c r="G1067">
        <v>0</v>
      </c>
      <c r="H1067">
        <v>8</v>
      </c>
      <c r="I1067">
        <v>13</v>
      </c>
      <c r="J1067" t="s">
        <v>13</v>
      </c>
      <c r="K1067">
        <f>IF(J1067="Yes", 1, 0)</f>
        <v>0</v>
      </c>
      <c r="L1067" t="str">
        <f>IF(G1067=0,"0 Failures","1+ Failures")</f>
        <v>0 Failures</v>
      </c>
      <c r="M1067" t="str">
        <f t="shared" si="50"/>
        <v>20+ hrs</v>
      </c>
      <c r="N1067" t="str">
        <f t="shared" si="48"/>
        <v>6-12months</v>
      </c>
      <c r="O1067" t="str">
        <f t="shared" si="49"/>
        <v>Basic</v>
      </c>
      <c r="P1067" s="7">
        <v>45657</v>
      </c>
    </row>
    <row r="1068" spans="1:16" x14ac:dyDescent="0.3">
      <c r="A1068">
        <v>1067</v>
      </c>
      <c r="B1068" s="7">
        <v>45401</v>
      </c>
      <c r="C1068" t="s">
        <v>10</v>
      </c>
      <c r="D1068">
        <v>699</v>
      </c>
      <c r="E1068">
        <v>11.2</v>
      </c>
      <c r="F1068">
        <v>8</v>
      </c>
      <c r="G1068">
        <v>1</v>
      </c>
      <c r="H1068">
        <v>16</v>
      </c>
      <c r="I1068">
        <v>5</v>
      </c>
      <c r="J1068" t="s">
        <v>13</v>
      </c>
      <c r="K1068">
        <f>IF(J1068="Yes", 1, 0)</f>
        <v>0</v>
      </c>
      <c r="L1068" t="str">
        <f>IF(G1068=0,"0 Failures","1+ Failures")</f>
        <v>1+ Failures</v>
      </c>
      <c r="M1068" t="str">
        <f t="shared" si="50"/>
        <v>10-20hrs</v>
      </c>
      <c r="N1068" t="str">
        <f t="shared" si="48"/>
        <v>12+ months</v>
      </c>
      <c r="O1068" t="str">
        <f t="shared" si="49"/>
        <v>Premium</v>
      </c>
      <c r="P1068" s="7">
        <v>45657</v>
      </c>
    </row>
    <row r="1069" spans="1:16" x14ac:dyDescent="0.3">
      <c r="A1069">
        <v>1068</v>
      </c>
      <c r="B1069" s="7">
        <v>45646</v>
      </c>
      <c r="C1069" t="s">
        <v>12</v>
      </c>
      <c r="D1069">
        <v>199</v>
      </c>
      <c r="E1069">
        <v>10.8</v>
      </c>
      <c r="F1069">
        <v>1</v>
      </c>
      <c r="G1069">
        <v>1</v>
      </c>
      <c r="H1069">
        <v>31</v>
      </c>
      <c r="I1069">
        <v>57</v>
      </c>
      <c r="J1069" t="s">
        <v>11</v>
      </c>
      <c r="K1069">
        <f>IF(J1069="Yes", 1, 0)</f>
        <v>1</v>
      </c>
      <c r="L1069" t="str">
        <f>IF(G1069=0,"0 Failures","1+ Failures")</f>
        <v>1+ Failures</v>
      </c>
      <c r="M1069" t="str">
        <f t="shared" si="50"/>
        <v>10-20hrs</v>
      </c>
      <c r="N1069" t="str">
        <f t="shared" si="48"/>
        <v>12+ months</v>
      </c>
      <c r="O1069" t="str">
        <f t="shared" si="49"/>
        <v>Basic</v>
      </c>
      <c r="P1069" s="7">
        <v>45657</v>
      </c>
    </row>
    <row r="1070" spans="1:16" x14ac:dyDescent="0.3">
      <c r="A1070">
        <v>1069</v>
      </c>
      <c r="B1070" s="7">
        <v>45510</v>
      </c>
      <c r="C1070" t="s">
        <v>14</v>
      </c>
      <c r="D1070">
        <v>399</v>
      </c>
      <c r="E1070">
        <v>12.1</v>
      </c>
      <c r="F1070">
        <v>7</v>
      </c>
      <c r="G1070">
        <v>4</v>
      </c>
      <c r="H1070">
        <v>32</v>
      </c>
      <c r="I1070">
        <v>15</v>
      </c>
      <c r="J1070" t="s">
        <v>11</v>
      </c>
      <c r="K1070">
        <f>IF(J1070="Yes", 1, 0)</f>
        <v>1</v>
      </c>
      <c r="L1070" t="str">
        <f>IF(G1070=0,"0 Failures","1+ Failures")</f>
        <v>1+ Failures</v>
      </c>
      <c r="M1070" t="str">
        <f t="shared" si="50"/>
        <v>10-20hrs</v>
      </c>
      <c r="N1070" t="str">
        <f t="shared" si="48"/>
        <v>12+ months</v>
      </c>
      <c r="O1070" t="str">
        <f t="shared" si="49"/>
        <v>Basic</v>
      </c>
      <c r="P1070" s="7">
        <v>45657</v>
      </c>
    </row>
    <row r="1071" spans="1:16" x14ac:dyDescent="0.3">
      <c r="A1071">
        <v>1070</v>
      </c>
      <c r="B1071" s="7">
        <v>45352</v>
      </c>
      <c r="C1071" t="s">
        <v>14</v>
      </c>
      <c r="D1071">
        <v>399</v>
      </c>
      <c r="E1071">
        <v>8.6999999999999993</v>
      </c>
      <c r="F1071">
        <v>1</v>
      </c>
      <c r="G1071">
        <v>5</v>
      </c>
      <c r="H1071">
        <v>4</v>
      </c>
      <c r="I1071">
        <v>54</v>
      </c>
      <c r="J1071" t="s">
        <v>13</v>
      </c>
      <c r="K1071">
        <f>IF(J1071="Yes", 1, 0)</f>
        <v>0</v>
      </c>
      <c r="L1071" t="str">
        <f>IF(G1071=0,"0 Failures","1+ Failures")</f>
        <v>1+ Failures</v>
      </c>
      <c r="M1071" t="str">
        <f t="shared" si="50"/>
        <v>5-10 hrs</v>
      </c>
      <c r="N1071" t="str">
        <f t="shared" si="48"/>
        <v>3-6months</v>
      </c>
      <c r="O1071" t="str">
        <f t="shared" si="49"/>
        <v>Basic</v>
      </c>
      <c r="P1071" s="7">
        <v>45657</v>
      </c>
    </row>
    <row r="1072" spans="1:16" x14ac:dyDescent="0.3">
      <c r="A1072">
        <v>1071</v>
      </c>
      <c r="B1072" s="7">
        <v>45532</v>
      </c>
      <c r="C1072" t="s">
        <v>14</v>
      </c>
      <c r="D1072">
        <v>399</v>
      </c>
      <c r="E1072">
        <v>25</v>
      </c>
      <c r="F1072">
        <v>0</v>
      </c>
      <c r="G1072">
        <v>3</v>
      </c>
      <c r="H1072">
        <v>36</v>
      </c>
      <c r="I1072">
        <v>25</v>
      </c>
      <c r="J1072" t="s">
        <v>11</v>
      </c>
      <c r="K1072">
        <f>IF(J1072="Yes", 1, 0)</f>
        <v>1</v>
      </c>
      <c r="L1072" t="str">
        <f>IF(G1072=0,"0 Failures","1+ Failures")</f>
        <v>1+ Failures</v>
      </c>
      <c r="M1072" t="str">
        <f t="shared" si="50"/>
        <v>20+ hrs</v>
      </c>
      <c r="N1072" t="str">
        <f t="shared" si="48"/>
        <v>12+ months</v>
      </c>
      <c r="O1072" t="str">
        <f t="shared" si="49"/>
        <v>Basic</v>
      </c>
      <c r="P1072" s="7">
        <v>45657</v>
      </c>
    </row>
    <row r="1073" spans="1:16" x14ac:dyDescent="0.3">
      <c r="A1073">
        <v>1072</v>
      </c>
      <c r="B1073" s="7">
        <v>45250</v>
      </c>
      <c r="C1073" t="s">
        <v>10</v>
      </c>
      <c r="D1073">
        <v>699</v>
      </c>
      <c r="E1073">
        <v>6.2</v>
      </c>
      <c r="F1073">
        <v>0</v>
      </c>
      <c r="G1073">
        <v>4</v>
      </c>
      <c r="H1073">
        <v>32</v>
      </c>
      <c r="I1073">
        <v>1</v>
      </c>
      <c r="J1073" t="s">
        <v>13</v>
      </c>
      <c r="K1073">
        <f>IF(J1073="Yes", 1, 0)</f>
        <v>0</v>
      </c>
      <c r="L1073" t="str">
        <f>IF(G1073=0,"0 Failures","1+ Failures")</f>
        <v>1+ Failures</v>
      </c>
      <c r="M1073" t="str">
        <f t="shared" si="50"/>
        <v>5-10 hrs</v>
      </c>
      <c r="N1073" t="str">
        <f t="shared" si="48"/>
        <v>12+ months</v>
      </c>
      <c r="O1073" t="str">
        <f t="shared" si="49"/>
        <v>Premium</v>
      </c>
      <c r="P1073" s="7">
        <v>45657</v>
      </c>
    </row>
    <row r="1074" spans="1:16" x14ac:dyDescent="0.3">
      <c r="A1074">
        <v>1073</v>
      </c>
      <c r="B1074" s="7">
        <v>45588</v>
      </c>
      <c r="C1074" t="s">
        <v>10</v>
      </c>
      <c r="D1074">
        <v>699</v>
      </c>
      <c r="E1074">
        <v>7.1</v>
      </c>
      <c r="F1074">
        <v>6</v>
      </c>
      <c r="G1074">
        <v>3</v>
      </c>
      <c r="H1074">
        <v>5</v>
      </c>
      <c r="I1074">
        <v>7</v>
      </c>
      <c r="J1074" t="s">
        <v>11</v>
      </c>
      <c r="K1074">
        <f>IF(J1074="Yes", 1, 0)</f>
        <v>1</v>
      </c>
      <c r="L1074" t="str">
        <f>IF(G1074=0,"0 Failures","1+ Failures")</f>
        <v>1+ Failures</v>
      </c>
      <c r="M1074" t="str">
        <f t="shared" si="50"/>
        <v>5-10 hrs</v>
      </c>
      <c r="N1074" t="str">
        <f t="shared" si="48"/>
        <v>3-6months</v>
      </c>
      <c r="O1074" t="str">
        <f t="shared" si="49"/>
        <v>Premium</v>
      </c>
      <c r="P1074" s="7">
        <v>45657</v>
      </c>
    </row>
    <row r="1075" spans="1:16" x14ac:dyDescent="0.3">
      <c r="A1075">
        <v>1074</v>
      </c>
      <c r="B1075" s="7">
        <v>45407</v>
      </c>
      <c r="C1075" t="s">
        <v>14</v>
      </c>
      <c r="D1075">
        <v>399</v>
      </c>
      <c r="E1075">
        <v>17.600000000000001</v>
      </c>
      <c r="F1075">
        <v>0</v>
      </c>
      <c r="G1075">
        <v>1</v>
      </c>
      <c r="H1075">
        <v>29</v>
      </c>
      <c r="I1075">
        <v>18</v>
      </c>
      <c r="J1075" t="s">
        <v>13</v>
      </c>
      <c r="K1075">
        <f>IF(J1075="Yes", 1, 0)</f>
        <v>0</v>
      </c>
      <c r="L1075" t="str">
        <f>IF(G1075=0,"0 Failures","1+ Failures")</f>
        <v>1+ Failures</v>
      </c>
      <c r="M1075" t="str">
        <f t="shared" si="50"/>
        <v>10-20hrs</v>
      </c>
      <c r="N1075" t="str">
        <f t="shared" si="48"/>
        <v>12+ months</v>
      </c>
      <c r="O1075" t="str">
        <f t="shared" si="49"/>
        <v>Basic</v>
      </c>
      <c r="P1075" s="7">
        <v>45657</v>
      </c>
    </row>
    <row r="1076" spans="1:16" x14ac:dyDescent="0.3">
      <c r="A1076">
        <v>1075</v>
      </c>
      <c r="B1076" s="7">
        <v>45543</v>
      </c>
      <c r="C1076" t="s">
        <v>14</v>
      </c>
      <c r="D1076">
        <v>399</v>
      </c>
      <c r="E1076">
        <v>6.2</v>
      </c>
      <c r="F1076">
        <v>3</v>
      </c>
      <c r="G1076">
        <v>4</v>
      </c>
      <c r="H1076">
        <v>29</v>
      </c>
      <c r="I1076">
        <v>58</v>
      </c>
      <c r="J1076" t="s">
        <v>13</v>
      </c>
      <c r="K1076">
        <f>IF(J1076="Yes", 1, 0)</f>
        <v>0</v>
      </c>
      <c r="L1076" t="str">
        <f>IF(G1076=0,"0 Failures","1+ Failures")</f>
        <v>1+ Failures</v>
      </c>
      <c r="M1076" t="str">
        <f t="shared" si="50"/>
        <v>5-10 hrs</v>
      </c>
      <c r="N1076" t="str">
        <f t="shared" si="48"/>
        <v>12+ months</v>
      </c>
      <c r="O1076" t="str">
        <f t="shared" si="49"/>
        <v>Basic</v>
      </c>
      <c r="P1076" s="7">
        <v>45657</v>
      </c>
    </row>
    <row r="1077" spans="1:16" x14ac:dyDescent="0.3">
      <c r="A1077">
        <v>1076</v>
      </c>
      <c r="B1077" s="7">
        <v>45353</v>
      </c>
      <c r="C1077" t="s">
        <v>10</v>
      </c>
      <c r="D1077">
        <v>699</v>
      </c>
      <c r="E1077">
        <v>3.7</v>
      </c>
      <c r="F1077">
        <v>4</v>
      </c>
      <c r="G1077">
        <v>5</v>
      </c>
      <c r="H1077">
        <v>30</v>
      </c>
      <c r="I1077">
        <v>45</v>
      </c>
      <c r="J1077" t="s">
        <v>11</v>
      </c>
      <c r="K1077">
        <f>IF(J1077="Yes", 1, 0)</f>
        <v>1</v>
      </c>
      <c r="L1077" t="str">
        <f>IF(G1077=0,"0 Failures","1+ Failures")</f>
        <v>1+ Failures</v>
      </c>
      <c r="M1077" t="str">
        <f t="shared" si="50"/>
        <v>0-5 hrs</v>
      </c>
      <c r="N1077" t="str">
        <f t="shared" si="48"/>
        <v>12+ months</v>
      </c>
      <c r="O1077" t="str">
        <f t="shared" si="49"/>
        <v>Premium</v>
      </c>
      <c r="P1077" s="7">
        <v>45657</v>
      </c>
    </row>
    <row r="1078" spans="1:16" x14ac:dyDescent="0.3">
      <c r="A1078">
        <v>1077</v>
      </c>
      <c r="B1078" s="7">
        <v>45015</v>
      </c>
      <c r="C1078" t="s">
        <v>10</v>
      </c>
      <c r="D1078">
        <v>699</v>
      </c>
      <c r="E1078">
        <v>20</v>
      </c>
      <c r="F1078">
        <v>2</v>
      </c>
      <c r="G1078">
        <v>4</v>
      </c>
      <c r="H1078">
        <v>24</v>
      </c>
      <c r="I1078">
        <v>13</v>
      </c>
      <c r="J1078" t="s">
        <v>11</v>
      </c>
      <c r="K1078">
        <f>IF(J1078="Yes", 1, 0)</f>
        <v>1</v>
      </c>
      <c r="L1078" t="str">
        <f>IF(G1078=0,"0 Failures","1+ Failures")</f>
        <v>1+ Failures</v>
      </c>
      <c r="M1078" t="str">
        <f t="shared" si="50"/>
        <v>10-20hrs</v>
      </c>
      <c r="N1078" t="str">
        <f t="shared" si="48"/>
        <v>12+ months</v>
      </c>
      <c r="O1078" t="str">
        <f t="shared" si="49"/>
        <v>Premium</v>
      </c>
      <c r="P1078" s="7">
        <v>45657</v>
      </c>
    </row>
    <row r="1079" spans="1:16" x14ac:dyDescent="0.3">
      <c r="A1079">
        <v>1078</v>
      </c>
      <c r="B1079" s="7">
        <v>45352</v>
      </c>
      <c r="C1079" t="s">
        <v>10</v>
      </c>
      <c r="D1079">
        <v>699</v>
      </c>
      <c r="E1079">
        <v>3.7</v>
      </c>
      <c r="F1079">
        <v>3</v>
      </c>
      <c r="G1079">
        <v>1</v>
      </c>
      <c r="H1079">
        <v>31</v>
      </c>
      <c r="I1079">
        <v>38</v>
      </c>
      <c r="J1079" t="s">
        <v>11</v>
      </c>
      <c r="K1079">
        <f>IF(J1079="Yes", 1, 0)</f>
        <v>1</v>
      </c>
      <c r="L1079" t="str">
        <f>IF(G1079=0,"0 Failures","1+ Failures")</f>
        <v>1+ Failures</v>
      </c>
      <c r="M1079" t="str">
        <f t="shared" si="50"/>
        <v>0-5 hrs</v>
      </c>
      <c r="N1079" t="str">
        <f t="shared" si="48"/>
        <v>12+ months</v>
      </c>
      <c r="O1079" t="str">
        <f t="shared" si="49"/>
        <v>Premium</v>
      </c>
      <c r="P1079" s="7">
        <v>45657</v>
      </c>
    </row>
    <row r="1080" spans="1:16" x14ac:dyDescent="0.3">
      <c r="A1080">
        <v>1079</v>
      </c>
      <c r="B1080" s="7">
        <v>45194</v>
      </c>
      <c r="C1080" t="s">
        <v>14</v>
      </c>
      <c r="D1080">
        <v>399</v>
      </c>
      <c r="E1080">
        <v>6.3</v>
      </c>
      <c r="F1080">
        <v>8</v>
      </c>
      <c r="G1080">
        <v>0</v>
      </c>
      <c r="H1080">
        <v>20</v>
      </c>
      <c r="I1080">
        <v>1</v>
      </c>
      <c r="J1080" t="s">
        <v>13</v>
      </c>
      <c r="K1080">
        <f>IF(J1080="Yes", 1, 0)</f>
        <v>0</v>
      </c>
      <c r="L1080" t="str">
        <f>IF(G1080=0,"0 Failures","1+ Failures")</f>
        <v>0 Failures</v>
      </c>
      <c r="M1080" t="str">
        <f t="shared" si="50"/>
        <v>5-10 hrs</v>
      </c>
      <c r="N1080" t="str">
        <f t="shared" si="48"/>
        <v>12+ months</v>
      </c>
      <c r="O1080" t="str">
        <f t="shared" si="49"/>
        <v>Basic</v>
      </c>
      <c r="P1080" s="7">
        <v>45657</v>
      </c>
    </row>
    <row r="1081" spans="1:16" x14ac:dyDescent="0.3">
      <c r="A1081">
        <v>1080</v>
      </c>
      <c r="B1081" s="7">
        <v>45367</v>
      </c>
      <c r="C1081" t="s">
        <v>14</v>
      </c>
      <c r="D1081">
        <v>399</v>
      </c>
      <c r="E1081">
        <v>4.8</v>
      </c>
      <c r="F1081">
        <v>8</v>
      </c>
      <c r="G1081">
        <v>0</v>
      </c>
      <c r="H1081">
        <v>11</v>
      </c>
      <c r="I1081">
        <v>51</v>
      </c>
      <c r="J1081" t="s">
        <v>11</v>
      </c>
      <c r="K1081">
        <f>IF(J1081="Yes", 1, 0)</f>
        <v>1</v>
      </c>
      <c r="L1081" t="str">
        <f>IF(G1081=0,"0 Failures","1+ Failures")</f>
        <v>0 Failures</v>
      </c>
      <c r="M1081" t="str">
        <f t="shared" si="50"/>
        <v>0-5 hrs</v>
      </c>
      <c r="N1081" t="str">
        <f t="shared" si="48"/>
        <v>6-12months</v>
      </c>
      <c r="O1081" t="str">
        <f t="shared" si="49"/>
        <v>Basic</v>
      </c>
      <c r="P1081" s="7">
        <v>45657</v>
      </c>
    </row>
    <row r="1082" spans="1:16" x14ac:dyDescent="0.3">
      <c r="A1082">
        <v>1081</v>
      </c>
      <c r="B1082" s="7">
        <v>45290</v>
      </c>
      <c r="C1082" t="s">
        <v>12</v>
      </c>
      <c r="D1082">
        <v>199</v>
      </c>
      <c r="E1082">
        <v>3.5</v>
      </c>
      <c r="F1082">
        <v>3</v>
      </c>
      <c r="G1082">
        <v>3</v>
      </c>
      <c r="H1082">
        <v>15</v>
      </c>
      <c r="I1082">
        <v>16</v>
      </c>
      <c r="J1082" t="s">
        <v>13</v>
      </c>
      <c r="K1082">
        <f>IF(J1082="Yes", 1, 0)</f>
        <v>0</v>
      </c>
      <c r="L1082" t="str">
        <f>IF(G1082=0,"0 Failures","1+ Failures")</f>
        <v>1+ Failures</v>
      </c>
      <c r="M1082" t="str">
        <f t="shared" si="50"/>
        <v>0-5 hrs</v>
      </c>
      <c r="N1082" t="str">
        <f t="shared" si="48"/>
        <v>12+ months</v>
      </c>
      <c r="O1082" t="str">
        <f t="shared" si="49"/>
        <v>Basic</v>
      </c>
      <c r="P1082" s="7">
        <v>45657</v>
      </c>
    </row>
    <row r="1083" spans="1:16" x14ac:dyDescent="0.3">
      <c r="A1083">
        <v>1082</v>
      </c>
      <c r="B1083" s="7">
        <v>45612</v>
      </c>
      <c r="C1083" t="s">
        <v>12</v>
      </c>
      <c r="D1083">
        <v>199</v>
      </c>
      <c r="E1083">
        <v>7.1</v>
      </c>
      <c r="F1083">
        <v>2</v>
      </c>
      <c r="G1083">
        <v>5</v>
      </c>
      <c r="H1083">
        <v>36</v>
      </c>
      <c r="I1083">
        <v>55</v>
      </c>
      <c r="J1083" t="s">
        <v>11</v>
      </c>
      <c r="K1083">
        <f>IF(J1083="Yes", 1, 0)</f>
        <v>1</v>
      </c>
      <c r="L1083" t="str">
        <f>IF(G1083=0,"0 Failures","1+ Failures")</f>
        <v>1+ Failures</v>
      </c>
      <c r="M1083" t="str">
        <f t="shared" si="50"/>
        <v>5-10 hrs</v>
      </c>
      <c r="N1083" t="str">
        <f t="shared" si="48"/>
        <v>12+ months</v>
      </c>
      <c r="O1083" t="str">
        <f t="shared" si="49"/>
        <v>Basic</v>
      </c>
      <c r="P1083" s="7">
        <v>45657</v>
      </c>
    </row>
    <row r="1084" spans="1:16" x14ac:dyDescent="0.3">
      <c r="A1084">
        <v>1083</v>
      </c>
      <c r="B1084" s="7">
        <v>45035</v>
      </c>
      <c r="C1084" t="s">
        <v>12</v>
      </c>
      <c r="D1084">
        <v>199</v>
      </c>
      <c r="E1084">
        <v>23.2</v>
      </c>
      <c r="F1084">
        <v>7</v>
      </c>
      <c r="G1084">
        <v>3</v>
      </c>
      <c r="H1084">
        <v>4</v>
      </c>
      <c r="I1084">
        <v>53</v>
      </c>
      <c r="J1084" t="s">
        <v>13</v>
      </c>
      <c r="K1084">
        <f>IF(J1084="Yes", 1, 0)</f>
        <v>0</v>
      </c>
      <c r="L1084" t="str">
        <f>IF(G1084=0,"0 Failures","1+ Failures")</f>
        <v>1+ Failures</v>
      </c>
      <c r="M1084" t="str">
        <f t="shared" si="50"/>
        <v>20+ hrs</v>
      </c>
      <c r="N1084" t="str">
        <f t="shared" si="48"/>
        <v>3-6months</v>
      </c>
      <c r="O1084" t="str">
        <f t="shared" si="49"/>
        <v>Basic</v>
      </c>
      <c r="P1084" s="7">
        <v>45657</v>
      </c>
    </row>
    <row r="1085" spans="1:16" x14ac:dyDescent="0.3">
      <c r="A1085">
        <v>1084</v>
      </c>
      <c r="B1085" s="7">
        <v>45047</v>
      </c>
      <c r="C1085" t="s">
        <v>10</v>
      </c>
      <c r="D1085">
        <v>699</v>
      </c>
      <c r="E1085">
        <v>20.7</v>
      </c>
      <c r="F1085">
        <v>0</v>
      </c>
      <c r="G1085">
        <v>4</v>
      </c>
      <c r="H1085">
        <v>7</v>
      </c>
      <c r="I1085">
        <v>6</v>
      </c>
      <c r="J1085" t="s">
        <v>11</v>
      </c>
      <c r="K1085">
        <f>IF(J1085="Yes", 1, 0)</f>
        <v>1</v>
      </c>
      <c r="L1085" t="str">
        <f>IF(G1085=0,"0 Failures","1+ Failures")</f>
        <v>1+ Failures</v>
      </c>
      <c r="M1085" t="str">
        <f t="shared" si="50"/>
        <v>20+ hrs</v>
      </c>
      <c r="N1085" t="str">
        <f t="shared" si="48"/>
        <v>6-12months</v>
      </c>
      <c r="O1085" t="str">
        <f t="shared" si="49"/>
        <v>Premium</v>
      </c>
      <c r="P1085" s="7">
        <v>45657</v>
      </c>
    </row>
    <row r="1086" spans="1:16" x14ac:dyDescent="0.3">
      <c r="A1086">
        <v>1085</v>
      </c>
      <c r="B1086" s="7">
        <v>45437</v>
      </c>
      <c r="C1086" t="s">
        <v>12</v>
      </c>
      <c r="D1086">
        <v>199</v>
      </c>
      <c r="E1086">
        <v>4.3</v>
      </c>
      <c r="F1086">
        <v>4</v>
      </c>
      <c r="G1086">
        <v>5</v>
      </c>
      <c r="H1086">
        <v>24</v>
      </c>
      <c r="I1086">
        <v>28</v>
      </c>
      <c r="J1086" t="s">
        <v>11</v>
      </c>
      <c r="K1086">
        <f>IF(J1086="Yes", 1, 0)</f>
        <v>1</v>
      </c>
      <c r="L1086" t="str">
        <f>IF(G1086=0,"0 Failures","1+ Failures")</f>
        <v>1+ Failures</v>
      </c>
      <c r="M1086" t="str">
        <f t="shared" si="50"/>
        <v>0-5 hrs</v>
      </c>
      <c r="N1086" t="str">
        <f t="shared" si="48"/>
        <v>12+ months</v>
      </c>
      <c r="O1086" t="str">
        <f t="shared" si="49"/>
        <v>Basic</v>
      </c>
      <c r="P1086" s="7">
        <v>45657</v>
      </c>
    </row>
    <row r="1087" spans="1:16" x14ac:dyDescent="0.3">
      <c r="A1087">
        <v>1086</v>
      </c>
      <c r="B1087" s="7">
        <v>45133</v>
      </c>
      <c r="C1087" t="s">
        <v>10</v>
      </c>
      <c r="D1087">
        <v>699</v>
      </c>
      <c r="E1087">
        <v>4.3</v>
      </c>
      <c r="F1087">
        <v>5</v>
      </c>
      <c r="G1087">
        <v>2</v>
      </c>
      <c r="H1087">
        <v>7</v>
      </c>
      <c r="I1087">
        <v>52</v>
      </c>
      <c r="J1087" t="s">
        <v>11</v>
      </c>
      <c r="K1087">
        <f>IF(J1087="Yes", 1, 0)</f>
        <v>1</v>
      </c>
      <c r="L1087" t="str">
        <f>IF(G1087=0,"0 Failures","1+ Failures")</f>
        <v>1+ Failures</v>
      </c>
      <c r="M1087" t="str">
        <f t="shared" si="50"/>
        <v>0-5 hrs</v>
      </c>
      <c r="N1087" t="str">
        <f t="shared" si="48"/>
        <v>6-12months</v>
      </c>
      <c r="O1087" t="str">
        <f t="shared" si="49"/>
        <v>Premium</v>
      </c>
      <c r="P1087" s="7">
        <v>45657</v>
      </c>
    </row>
    <row r="1088" spans="1:16" x14ac:dyDescent="0.3">
      <c r="A1088">
        <v>1087</v>
      </c>
      <c r="B1088" s="7">
        <v>45276</v>
      </c>
      <c r="C1088" t="s">
        <v>14</v>
      </c>
      <c r="D1088">
        <v>399</v>
      </c>
      <c r="E1088">
        <v>19.3</v>
      </c>
      <c r="F1088">
        <v>0</v>
      </c>
      <c r="G1088">
        <v>1</v>
      </c>
      <c r="H1088">
        <v>27</v>
      </c>
      <c r="I1088">
        <v>53</v>
      </c>
      <c r="J1088" t="s">
        <v>13</v>
      </c>
      <c r="K1088">
        <f>IF(J1088="Yes", 1, 0)</f>
        <v>0</v>
      </c>
      <c r="L1088" t="str">
        <f>IF(G1088=0,"0 Failures","1+ Failures")</f>
        <v>1+ Failures</v>
      </c>
      <c r="M1088" t="str">
        <f t="shared" si="50"/>
        <v>10-20hrs</v>
      </c>
      <c r="N1088" t="str">
        <f t="shared" si="48"/>
        <v>12+ months</v>
      </c>
      <c r="O1088" t="str">
        <f t="shared" si="49"/>
        <v>Basic</v>
      </c>
      <c r="P1088" s="7">
        <v>45657</v>
      </c>
    </row>
    <row r="1089" spans="1:16" x14ac:dyDescent="0.3">
      <c r="A1089">
        <v>1088</v>
      </c>
      <c r="B1089" s="7">
        <v>45296</v>
      </c>
      <c r="C1089" t="s">
        <v>14</v>
      </c>
      <c r="D1089">
        <v>399</v>
      </c>
      <c r="E1089">
        <v>4.7</v>
      </c>
      <c r="F1089">
        <v>4</v>
      </c>
      <c r="G1089">
        <v>2</v>
      </c>
      <c r="H1089">
        <v>33</v>
      </c>
      <c r="I1089">
        <v>45</v>
      </c>
      <c r="J1089" t="s">
        <v>11</v>
      </c>
      <c r="K1089">
        <f>IF(J1089="Yes", 1, 0)</f>
        <v>1</v>
      </c>
      <c r="L1089" t="str">
        <f>IF(G1089=0,"0 Failures","1+ Failures")</f>
        <v>1+ Failures</v>
      </c>
      <c r="M1089" t="str">
        <f t="shared" si="50"/>
        <v>0-5 hrs</v>
      </c>
      <c r="N1089" t="str">
        <f t="shared" si="48"/>
        <v>12+ months</v>
      </c>
      <c r="O1089" t="str">
        <f t="shared" si="49"/>
        <v>Basic</v>
      </c>
      <c r="P1089" s="7">
        <v>45657</v>
      </c>
    </row>
    <row r="1090" spans="1:16" x14ac:dyDescent="0.3">
      <c r="A1090">
        <v>1089</v>
      </c>
      <c r="B1090" s="7">
        <v>45366</v>
      </c>
      <c r="C1090" t="s">
        <v>10</v>
      </c>
      <c r="D1090">
        <v>699</v>
      </c>
      <c r="E1090">
        <v>4.2</v>
      </c>
      <c r="F1090">
        <v>8</v>
      </c>
      <c r="G1090">
        <v>3</v>
      </c>
      <c r="H1090">
        <v>16</v>
      </c>
      <c r="I1090">
        <v>50</v>
      </c>
      <c r="J1090" t="s">
        <v>11</v>
      </c>
      <c r="K1090">
        <f>IF(J1090="Yes", 1, 0)</f>
        <v>1</v>
      </c>
      <c r="L1090" t="str">
        <f>IF(G1090=0,"0 Failures","1+ Failures")</f>
        <v>1+ Failures</v>
      </c>
      <c r="M1090" t="str">
        <f t="shared" si="50"/>
        <v>0-5 hrs</v>
      </c>
      <c r="N1090" t="str">
        <f t="shared" si="48"/>
        <v>12+ months</v>
      </c>
      <c r="O1090" t="str">
        <f t="shared" si="49"/>
        <v>Premium</v>
      </c>
      <c r="P1090" s="7">
        <v>45657</v>
      </c>
    </row>
    <row r="1091" spans="1:16" x14ac:dyDescent="0.3">
      <c r="A1091">
        <v>1090</v>
      </c>
      <c r="B1091" s="7">
        <v>45380</v>
      </c>
      <c r="C1091" t="s">
        <v>14</v>
      </c>
      <c r="D1091">
        <v>399</v>
      </c>
      <c r="E1091">
        <v>22.5</v>
      </c>
      <c r="F1091">
        <v>8</v>
      </c>
      <c r="G1091">
        <v>5</v>
      </c>
      <c r="H1091">
        <v>27</v>
      </c>
      <c r="I1091">
        <v>23</v>
      </c>
      <c r="J1091" t="s">
        <v>13</v>
      </c>
      <c r="K1091">
        <f>IF(J1091="Yes", 1, 0)</f>
        <v>0</v>
      </c>
      <c r="L1091" t="str">
        <f>IF(G1091=0,"0 Failures","1+ Failures")</f>
        <v>1+ Failures</v>
      </c>
      <c r="M1091" t="str">
        <f t="shared" si="50"/>
        <v>20+ hrs</v>
      </c>
      <c r="N1091" t="str">
        <f t="shared" ref="N1091:N1154" si="51">IF(H1091&lt;=3, "0-3months", IF(H1091&lt;=6, "3-6months", IF(H1091&lt;=12, "6-12months", "12+ months")))</f>
        <v>12+ months</v>
      </c>
      <c r="O1091" t="str">
        <f t="shared" ref="O1091:O1154" si="52">IF(C1091="premium", "Premium", "Basic")</f>
        <v>Basic</v>
      </c>
      <c r="P1091" s="7">
        <v>45657</v>
      </c>
    </row>
    <row r="1092" spans="1:16" x14ac:dyDescent="0.3">
      <c r="A1092">
        <v>1091</v>
      </c>
      <c r="B1092" s="7">
        <v>45338</v>
      </c>
      <c r="C1092" t="s">
        <v>12</v>
      </c>
      <c r="D1092">
        <v>199</v>
      </c>
      <c r="E1092">
        <v>18.100000000000001</v>
      </c>
      <c r="F1092">
        <v>8</v>
      </c>
      <c r="G1092">
        <v>0</v>
      </c>
      <c r="H1092">
        <v>1</v>
      </c>
      <c r="I1092">
        <v>5</v>
      </c>
      <c r="J1092" t="s">
        <v>13</v>
      </c>
      <c r="K1092">
        <f>IF(J1092="Yes", 1, 0)</f>
        <v>0</v>
      </c>
      <c r="L1092" t="str">
        <f>IF(G1092=0,"0 Failures","1+ Failures")</f>
        <v>0 Failures</v>
      </c>
      <c r="M1092" t="str">
        <f t="shared" si="50"/>
        <v>10-20hrs</v>
      </c>
      <c r="N1092" t="str">
        <f t="shared" si="51"/>
        <v>0-3months</v>
      </c>
      <c r="O1092" t="str">
        <f t="shared" si="52"/>
        <v>Basic</v>
      </c>
      <c r="P1092" s="7">
        <v>45657</v>
      </c>
    </row>
    <row r="1093" spans="1:16" x14ac:dyDescent="0.3">
      <c r="A1093">
        <v>1092</v>
      </c>
      <c r="B1093" s="7">
        <v>45515</v>
      </c>
      <c r="C1093" t="s">
        <v>12</v>
      </c>
      <c r="D1093">
        <v>199</v>
      </c>
      <c r="E1093">
        <v>2</v>
      </c>
      <c r="F1093">
        <v>0</v>
      </c>
      <c r="G1093">
        <v>5</v>
      </c>
      <c r="H1093">
        <v>28</v>
      </c>
      <c r="I1093">
        <v>59</v>
      </c>
      <c r="J1093" t="s">
        <v>11</v>
      </c>
      <c r="K1093">
        <f>IF(J1093="Yes", 1, 0)</f>
        <v>1</v>
      </c>
      <c r="L1093" t="str">
        <f>IF(G1093=0,"0 Failures","1+ Failures")</f>
        <v>1+ Failures</v>
      </c>
      <c r="M1093" t="str">
        <f t="shared" si="50"/>
        <v>0-5 hrs</v>
      </c>
      <c r="N1093" t="str">
        <f t="shared" si="51"/>
        <v>12+ months</v>
      </c>
      <c r="O1093" t="str">
        <f t="shared" si="52"/>
        <v>Basic</v>
      </c>
      <c r="P1093" s="7">
        <v>45657</v>
      </c>
    </row>
    <row r="1094" spans="1:16" x14ac:dyDescent="0.3">
      <c r="A1094">
        <v>1093</v>
      </c>
      <c r="B1094" s="7">
        <v>45493</v>
      </c>
      <c r="C1094" t="s">
        <v>12</v>
      </c>
      <c r="D1094">
        <v>199</v>
      </c>
      <c r="E1094">
        <v>24.3</v>
      </c>
      <c r="F1094">
        <v>6</v>
      </c>
      <c r="G1094">
        <v>3</v>
      </c>
      <c r="H1094">
        <v>34</v>
      </c>
      <c r="I1094">
        <v>56</v>
      </c>
      <c r="J1094" t="s">
        <v>11</v>
      </c>
      <c r="K1094">
        <f>IF(J1094="Yes", 1, 0)</f>
        <v>1</v>
      </c>
      <c r="L1094" t="str">
        <f>IF(G1094=0,"0 Failures","1+ Failures")</f>
        <v>1+ Failures</v>
      </c>
      <c r="M1094" t="str">
        <f t="shared" si="50"/>
        <v>20+ hrs</v>
      </c>
      <c r="N1094" t="str">
        <f t="shared" si="51"/>
        <v>12+ months</v>
      </c>
      <c r="O1094" t="str">
        <f t="shared" si="52"/>
        <v>Basic</v>
      </c>
      <c r="P1094" s="7">
        <v>45657</v>
      </c>
    </row>
    <row r="1095" spans="1:16" x14ac:dyDescent="0.3">
      <c r="A1095">
        <v>1094</v>
      </c>
      <c r="B1095" s="7">
        <v>45077</v>
      </c>
      <c r="C1095" t="s">
        <v>14</v>
      </c>
      <c r="D1095">
        <v>399</v>
      </c>
      <c r="E1095">
        <v>22.8</v>
      </c>
      <c r="F1095">
        <v>0</v>
      </c>
      <c r="G1095">
        <v>2</v>
      </c>
      <c r="H1095">
        <v>21</v>
      </c>
      <c r="I1095">
        <v>57</v>
      </c>
      <c r="J1095" t="s">
        <v>11</v>
      </c>
      <c r="K1095">
        <f>IF(J1095="Yes", 1, 0)</f>
        <v>1</v>
      </c>
      <c r="L1095" t="str">
        <f>IF(G1095=0,"0 Failures","1+ Failures")</f>
        <v>1+ Failures</v>
      </c>
      <c r="M1095" t="str">
        <f t="shared" si="50"/>
        <v>20+ hrs</v>
      </c>
      <c r="N1095" t="str">
        <f t="shared" si="51"/>
        <v>12+ months</v>
      </c>
      <c r="O1095" t="str">
        <f t="shared" si="52"/>
        <v>Basic</v>
      </c>
      <c r="P1095" s="7">
        <v>45657</v>
      </c>
    </row>
    <row r="1096" spans="1:16" x14ac:dyDescent="0.3">
      <c r="A1096">
        <v>1095</v>
      </c>
      <c r="B1096" s="7">
        <v>45594</v>
      </c>
      <c r="C1096" t="s">
        <v>10</v>
      </c>
      <c r="D1096">
        <v>699</v>
      </c>
      <c r="E1096">
        <v>11.4</v>
      </c>
      <c r="F1096">
        <v>3</v>
      </c>
      <c r="G1096">
        <v>4</v>
      </c>
      <c r="H1096">
        <v>26</v>
      </c>
      <c r="I1096">
        <v>39</v>
      </c>
      <c r="J1096" t="s">
        <v>13</v>
      </c>
      <c r="K1096">
        <f>IF(J1096="Yes", 1, 0)</f>
        <v>0</v>
      </c>
      <c r="L1096" t="str">
        <f>IF(G1096=0,"0 Failures","1+ Failures")</f>
        <v>1+ Failures</v>
      </c>
      <c r="M1096" t="str">
        <f t="shared" si="50"/>
        <v>10-20hrs</v>
      </c>
      <c r="N1096" t="str">
        <f t="shared" si="51"/>
        <v>12+ months</v>
      </c>
      <c r="O1096" t="str">
        <f t="shared" si="52"/>
        <v>Premium</v>
      </c>
      <c r="P1096" s="7">
        <v>45657</v>
      </c>
    </row>
    <row r="1097" spans="1:16" x14ac:dyDescent="0.3">
      <c r="A1097">
        <v>1096</v>
      </c>
      <c r="B1097" s="7">
        <v>44964</v>
      </c>
      <c r="C1097" t="s">
        <v>14</v>
      </c>
      <c r="D1097">
        <v>399</v>
      </c>
      <c r="E1097">
        <v>22.2</v>
      </c>
      <c r="F1097">
        <v>6</v>
      </c>
      <c r="G1097">
        <v>1</v>
      </c>
      <c r="H1097">
        <v>23</v>
      </c>
      <c r="I1097">
        <v>56</v>
      </c>
      <c r="J1097" t="s">
        <v>11</v>
      </c>
      <c r="K1097">
        <f>IF(J1097="Yes", 1, 0)</f>
        <v>1</v>
      </c>
      <c r="L1097" t="str">
        <f>IF(G1097=0,"0 Failures","1+ Failures")</f>
        <v>1+ Failures</v>
      </c>
      <c r="M1097" t="str">
        <f t="shared" si="50"/>
        <v>20+ hrs</v>
      </c>
      <c r="N1097" t="str">
        <f t="shared" si="51"/>
        <v>12+ months</v>
      </c>
      <c r="O1097" t="str">
        <f t="shared" si="52"/>
        <v>Basic</v>
      </c>
      <c r="P1097" s="7">
        <v>45657</v>
      </c>
    </row>
    <row r="1098" spans="1:16" x14ac:dyDescent="0.3">
      <c r="A1098">
        <v>1097</v>
      </c>
      <c r="B1098" s="7">
        <v>45022</v>
      </c>
      <c r="C1098" t="s">
        <v>10</v>
      </c>
      <c r="D1098">
        <v>699</v>
      </c>
      <c r="E1098">
        <v>10.1</v>
      </c>
      <c r="F1098">
        <v>2</v>
      </c>
      <c r="G1098">
        <v>4</v>
      </c>
      <c r="H1098">
        <v>22</v>
      </c>
      <c r="I1098">
        <v>34</v>
      </c>
      <c r="J1098" t="s">
        <v>11</v>
      </c>
      <c r="K1098">
        <f>IF(J1098="Yes", 1, 0)</f>
        <v>1</v>
      </c>
      <c r="L1098" t="str">
        <f>IF(G1098=0,"0 Failures","1+ Failures")</f>
        <v>1+ Failures</v>
      </c>
      <c r="M1098" t="str">
        <f t="shared" si="50"/>
        <v>10-20hrs</v>
      </c>
      <c r="N1098" t="str">
        <f t="shared" si="51"/>
        <v>12+ months</v>
      </c>
      <c r="O1098" t="str">
        <f t="shared" si="52"/>
        <v>Premium</v>
      </c>
      <c r="P1098" s="7">
        <v>45657</v>
      </c>
    </row>
    <row r="1099" spans="1:16" x14ac:dyDescent="0.3">
      <c r="A1099">
        <v>1098</v>
      </c>
      <c r="B1099" s="7">
        <v>45479</v>
      </c>
      <c r="C1099" t="s">
        <v>10</v>
      </c>
      <c r="D1099">
        <v>699</v>
      </c>
      <c r="E1099">
        <v>8.1999999999999993</v>
      </c>
      <c r="F1099">
        <v>5</v>
      </c>
      <c r="G1099">
        <v>5</v>
      </c>
      <c r="H1099">
        <v>36</v>
      </c>
      <c r="I1099">
        <v>10</v>
      </c>
      <c r="J1099" t="s">
        <v>11</v>
      </c>
      <c r="K1099">
        <f>IF(J1099="Yes", 1, 0)</f>
        <v>1</v>
      </c>
      <c r="L1099" t="str">
        <f>IF(G1099=0,"0 Failures","1+ Failures")</f>
        <v>1+ Failures</v>
      </c>
      <c r="M1099" t="str">
        <f t="shared" ref="M1099:M1162" si="53">IF(E1099&lt;=5, "0-5 hrs",    IF(E1099&lt;=10, "5-10 hrs",    IF(E1099&lt;=20, "10-20hrs", "20+ hrs")))</f>
        <v>5-10 hrs</v>
      </c>
      <c r="N1099" t="str">
        <f t="shared" si="51"/>
        <v>12+ months</v>
      </c>
      <c r="O1099" t="str">
        <f t="shared" si="52"/>
        <v>Premium</v>
      </c>
      <c r="P1099" s="7">
        <v>45657</v>
      </c>
    </row>
    <row r="1100" spans="1:16" x14ac:dyDescent="0.3">
      <c r="A1100">
        <v>1099</v>
      </c>
      <c r="B1100" s="7">
        <v>45040</v>
      </c>
      <c r="C1100" t="s">
        <v>10</v>
      </c>
      <c r="D1100">
        <v>699</v>
      </c>
      <c r="E1100">
        <v>6.4</v>
      </c>
      <c r="F1100">
        <v>4</v>
      </c>
      <c r="G1100">
        <v>5</v>
      </c>
      <c r="H1100">
        <v>17</v>
      </c>
      <c r="I1100">
        <v>27</v>
      </c>
      <c r="J1100" t="s">
        <v>13</v>
      </c>
      <c r="K1100">
        <f>IF(J1100="Yes", 1, 0)</f>
        <v>0</v>
      </c>
      <c r="L1100" t="str">
        <f>IF(G1100=0,"0 Failures","1+ Failures")</f>
        <v>1+ Failures</v>
      </c>
      <c r="M1100" t="str">
        <f t="shared" si="53"/>
        <v>5-10 hrs</v>
      </c>
      <c r="N1100" t="str">
        <f t="shared" si="51"/>
        <v>12+ months</v>
      </c>
      <c r="O1100" t="str">
        <f t="shared" si="52"/>
        <v>Premium</v>
      </c>
      <c r="P1100" s="7">
        <v>45657</v>
      </c>
    </row>
    <row r="1101" spans="1:16" x14ac:dyDescent="0.3">
      <c r="A1101">
        <v>1100</v>
      </c>
      <c r="B1101" s="7">
        <v>44975</v>
      </c>
      <c r="C1101" t="s">
        <v>10</v>
      </c>
      <c r="D1101">
        <v>699</v>
      </c>
      <c r="E1101">
        <v>21.1</v>
      </c>
      <c r="F1101">
        <v>4</v>
      </c>
      <c r="G1101">
        <v>5</v>
      </c>
      <c r="H1101">
        <v>4</v>
      </c>
      <c r="I1101">
        <v>32</v>
      </c>
      <c r="J1101" t="s">
        <v>11</v>
      </c>
      <c r="K1101">
        <f>IF(J1101="Yes", 1, 0)</f>
        <v>1</v>
      </c>
      <c r="L1101" t="str">
        <f>IF(G1101=0,"0 Failures","1+ Failures")</f>
        <v>1+ Failures</v>
      </c>
      <c r="M1101" t="str">
        <f t="shared" si="53"/>
        <v>20+ hrs</v>
      </c>
      <c r="N1101" t="str">
        <f t="shared" si="51"/>
        <v>3-6months</v>
      </c>
      <c r="O1101" t="str">
        <f t="shared" si="52"/>
        <v>Premium</v>
      </c>
      <c r="P1101" s="7">
        <v>45657</v>
      </c>
    </row>
    <row r="1102" spans="1:16" x14ac:dyDescent="0.3">
      <c r="A1102">
        <v>1101</v>
      </c>
      <c r="B1102" s="7">
        <v>45522</v>
      </c>
      <c r="C1102" t="s">
        <v>10</v>
      </c>
      <c r="D1102">
        <v>699</v>
      </c>
      <c r="E1102">
        <v>11.5</v>
      </c>
      <c r="F1102">
        <v>0</v>
      </c>
      <c r="G1102">
        <v>3</v>
      </c>
      <c r="H1102">
        <v>8</v>
      </c>
      <c r="I1102">
        <v>21</v>
      </c>
      <c r="J1102" t="s">
        <v>13</v>
      </c>
      <c r="K1102">
        <f>IF(J1102="Yes", 1, 0)</f>
        <v>0</v>
      </c>
      <c r="L1102" t="str">
        <f>IF(G1102=0,"0 Failures","1+ Failures")</f>
        <v>1+ Failures</v>
      </c>
      <c r="M1102" t="str">
        <f t="shared" si="53"/>
        <v>10-20hrs</v>
      </c>
      <c r="N1102" t="str">
        <f t="shared" si="51"/>
        <v>6-12months</v>
      </c>
      <c r="O1102" t="str">
        <f t="shared" si="52"/>
        <v>Premium</v>
      </c>
      <c r="P1102" s="7">
        <v>45657</v>
      </c>
    </row>
    <row r="1103" spans="1:16" x14ac:dyDescent="0.3">
      <c r="A1103">
        <v>1102</v>
      </c>
      <c r="B1103" s="7">
        <v>45513</v>
      </c>
      <c r="C1103" t="s">
        <v>10</v>
      </c>
      <c r="D1103">
        <v>699</v>
      </c>
      <c r="E1103">
        <v>21.2</v>
      </c>
      <c r="F1103">
        <v>3</v>
      </c>
      <c r="G1103">
        <v>2</v>
      </c>
      <c r="H1103">
        <v>35</v>
      </c>
      <c r="I1103">
        <v>19</v>
      </c>
      <c r="J1103" t="s">
        <v>11</v>
      </c>
      <c r="K1103">
        <f>IF(J1103="Yes", 1, 0)</f>
        <v>1</v>
      </c>
      <c r="L1103" t="str">
        <f>IF(G1103=0,"0 Failures","1+ Failures")</f>
        <v>1+ Failures</v>
      </c>
      <c r="M1103" t="str">
        <f t="shared" si="53"/>
        <v>20+ hrs</v>
      </c>
      <c r="N1103" t="str">
        <f t="shared" si="51"/>
        <v>12+ months</v>
      </c>
      <c r="O1103" t="str">
        <f t="shared" si="52"/>
        <v>Premium</v>
      </c>
      <c r="P1103" s="7">
        <v>45657</v>
      </c>
    </row>
    <row r="1104" spans="1:16" x14ac:dyDescent="0.3">
      <c r="A1104">
        <v>1103</v>
      </c>
      <c r="B1104" s="7">
        <v>45455</v>
      </c>
      <c r="C1104" t="s">
        <v>10</v>
      </c>
      <c r="D1104">
        <v>699</v>
      </c>
      <c r="E1104">
        <v>18</v>
      </c>
      <c r="F1104">
        <v>8</v>
      </c>
      <c r="G1104">
        <v>5</v>
      </c>
      <c r="H1104">
        <v>9</v>
      </c>
      <c r="I1104">
        <v>15</v>
      </c>
      <c r="J1104" t="s">
        <v>11</v>
      </c>
      <c r="K1104">
        <f>IF(J1104="Yes", 1, 0)</f>
        <v>1</v>
      </c>
      <c r="L1104" t="str">
        <f>IF(G1104=0,"0 Failures","1+ Failures")</f>
        <v>1+ Failures</v>
      </c>
      <c r="M1104" t="str">
        <f t="shared" si="53"/>
        <v>10-20hrs</v>
      </c>
      <c r="N1104" t="str">
        <f t="shared" si="51"/>
        <v>6-12months</v>
      </c>
      <c r="O1104" t="str">
        <f t="shared" si="52"/>
        <v>Premium</v>
      </c>
      <c r="P1104" s="7">
        <v>45657</v>
      </c>
    </row>
    <row r="1105" spans="1:16" x14ac:dyDescent="0.3">
      <c r="A1105">
        <v>1104</v>
      </c>
      <c r="B1105" s="7">
        <v>45362</v>
      </c>
      <c r="C1105" t="s">
        <v>10</v>
      </c>
      <c r="D1105">
        <v>699</v>
      </c>
      <c r="E1105">
        <v>20.7</v>
      </c>
      <c r="F1105">
        <v>5</v>
      </c>
      <c r="G1105">
        <v>3</v>
      </c>
      <c r="H1105">
        <v>13</v>
      </c>
      <c r="I1105">
        <v>6</v>
      </c>
      <c r="J1105" t="s">
        <v>11</v>
      </c>
      <c r="K1105">
        <f>IF(J1105="Yes", 1, 0)</f>
        <v>1</v>
      </c>
      <c r="L1105" t="str">
        <f>IF(G1105=0,"0 Failures","1+ Failures")</f>
        <v>1+ Failures</v>
      </c>
      <c r="M1105" t="str">
        <f t="shared" si="53"/>
        <v>20+ hrs</v>
      </c>
      <c r="N1105" t="str">
        <f t="shared" si="51"/>
        <v>12+ months</v>
      </c>
      <c r="O1105" t="str">
        <f t="shared" si="52"/>
        <v>Premium</v>
      </c>
      <c r="P1105" s="7">
        <v>45657</v>
      </c>
    </row>
    <row r="1106" spans="1:16" x14ac:dyDescent="0.3">
      <c r="A1106">
        <v>1105</v>
      </c>
      <c r="B1106" s="7">
        <v>45006</v>
      </c>
      <c r="C1106" t="s">
        <v>14</v>
      </c>
      <c r="D1106">
        <v>399</v>
      </c>
      <c r="E1106">
        <v>2.8</v>
      </c>
      <c r="F1106">
        <v>6</v>
      </c>
      <c r="G1106">
        <v>1</v>
      </c>
      <c r="H1106">
        <v>6</v>
      </c>
      <c r="I1106">
        <v>30</v>
      </c>
      <c r="J1106" t="s">
        <v>11</v>
      </c>
      <c r="K1106">
        <f>IF(J1106="Yes", 1, 0)</f>
        <v>1</v>
      </c>
      <c r="L1106" t="str">
        <f>IF(G1106=0,"0 Failures","1+ Failures")</f>
        <v>1+ Failures</v>
      </c>
      <c r="M1106" t="str">
        <f t="shared" si="53"/>
        <v>0-5 hrs</v>
      </c>
      <c r="N1106" t="str">
        <f t="shared" si="51"/>
        <v>3-6months</v>
      </c>
      <c r="O1106" t="str">
        <f t="shared" si="52"/>
        <v>Basic</v>
      </c>
      <c r="P1106" s="7">
        <v>45657</v>
      </c>
    </row>
    <row r="1107" spans="1:16" x14ac:dyDescent="0.3">
      <c r="A1107">
        <v>1106</v>
      </c>
      <c r="B1107" s="7">
        <v>45197</v>
      </c>
      <c r="C1107" t="s">
        <v>14</v>
      </c>
      <c r="D1107">
        <v>399</v>
      </c>
      <c r="E1107">
        <v>10.4</v>
      </c>
      <c r="F1107">
        <v>8</v>
      </c>
      <c r="G1107">
        <v>4</v>
      </c>
      <c r="H1107">
        <v>34</v>
      </c>
      <c r="I1107">
        <v>49</v>
      </c>
      <c r="J1107" t="s">
        <v>11</v>
      </c>
      <c r="K1107">
        <f>IF(J1107="Yes", 1, 0)</f>
        <v>1</v>
      </c>
      <c r="L1107" t="str">
        <f>IF(G1107=0,"0 Failures","1+ Failures")</f>
        <v>1+ Failures</v>
      </c>
      <c r="M1107" t="str">
        <f t="shared" si="53"/>
        <v>10-20hrs</v>
      </c>
      <c r="N1107" t="str">
        <f t="shared" si="51"/>
        <v>12+ months</v>
      </c>
      <c r="O1107" t="str">
        <f t="shared" si="52"/>
        <v>Basic</v>
      </c>
      <c r="P1107" s="7">
        <v>45657</v>
      </c>
    </row>
    <row r="1108" spans="1:16" x14ac:dyDescent="0.3">
      <c r="A1108">
        <v>1107</v>
      </c>
      <c r="B1108" s="7">
        <v>45353</v>
      </c>
      <c r="C1108" t="s">
        <v>10</v>
      </c>
      <c r="D1108">
        <v>699</v>
      </c>
      <c r="E1108">
        <v>16.100000000000001</v>
      </c>
      <c r="F1108">
        <v>7</v>
      </c>
      <c r="G1108">
        <v>5</v>
      </c>
      <c r="H1108">
        <v>32</v>
      </c>
      <c r="I1108">
        <v>59</v>
      </c>
      <c r="J1108" t="s">
        <v>13</v>
      </c>
      <c r="K1108">
        <f>IF(J1108="Yes", 1, 0)</f>
        <v>0</v>
      </c>
      <c r="L1108" t="str">
        <f>IF(G1108=0,"0 Failures","1+ Failures")</f>
        <v>1+ Failures</v>
      </c>
      <c r="M1108" t="str">
        <f t="shared" si="53"/>
        <v>10-20hrs</v>
      </c>
      <c r="N1108" t="str">
        <f t="shared" si="51"/>
        <v>12+ months</v>
      </c>
      <c r="O1108" t="str">
        <f t="shared" si="52"/>
        <v>Premium</v>
      </c>
      <c r="P1108" s="7">
        <v>45657</v>
      </c>
    </row>
    <row r="1109" spans="1:16" x14ac:dyDescent="0.3">
      <c r="A1109">
        <v>1108</v>
      </c>
      <c r="B1109" s="7">
        <v>45648</v>
      </c>
      <c r="C1109" t="s">
        <v>12</v>
      </c>
      <c r="D1109">
        <v>199</v>
      </c>
      <c r="E1109">
        <v>12.9</v>
      </c>
      <c r="F1109">
        <v>7</v>
      </c>
      <c r="G1109">
        <v>5</v>
      </c>
      <c r="H1109">
        <v>10</v>
      </c>
      <c r="I1109">
        <v>29</v>
      </c>
      <c r="J1109" t="s">
        <v>11</v>
      </c>
      <c r="K1109">
        <f>IF(J1109="Yes", 1, 0)</f>
        <v>1</v>
      </c>
      <c r="L1109" t="str">
        <f>IF(G1109=0,"0 Failures","1+ Failures")</f>
        <v>1+ Failures</v>
      </c>
      <c r="M1109" t="str">
        <f t="shared" si="53"/>
        <v>10-20hrs</v>
      </c>
      <c r="N1109" t="str">
        <f t="shared" si="51"/>
        <v>6-12months</v>
      </c>
      <c r="O1109" t="str">
        <f t="shared" si="52"/>
        <v>Basic</v>
      </c>
      <c r="P1109" s="7">
        <v>45657</v>
      </c>
    </row>
    <row r="1110" spans="1:16" x14ac:dyDescent="0.3">
      <c r="A1110">
        <v>1109</v>
      </c>
      <c r="B1110" s="7">
        <v>45087</v>
      </c>
      <c r="C1110" t="s">
        <v>10</v>
      </c>
      <c r="D1110">
        <v>699</v>
      </c>
      <c r="E1110">
        <v>3.4</v>
      </c>
      <c r="F1110">
        <v>3</v>
      </c>
      <c r="G1110">
        <v>3</v>
      </c>
      <c r="H1110">
        <v>34</v>
      </c>
      <c r="I1110">
        <v>30</v>
      </c>
      <c r="J1110" t="s">
        <v>11</v>
      </c>
      <c r="K1110">
        <f>IF(J1110="Yes", 1, 0)</f>
        <v>1</v>
      </c>
      <c r="L1110" t="str">
        <f>IF(G1110=0,"0 Failures","1+ Failures")</f>
        <v>1+ Failures</v>
      </c>
      <c r="M1110" t="str">
        <f t="shared" si="53"/>
        <v>0-5 hrs</v>
      </c>
      <c r="N1110" t="str">
        <f t="shared" si="51"/>
        <v>12+ months</v>
      </c>
      <c r="O1110" t="str">
        <f t="shared" si="52"/>
        <v>Premium</v>
      </c>
      <c r="P1110" s="7">
        <v>45657</v>
      </c>
    </row>
    <row r="1111" spans="1:16" x14ac:dyDescent="0.3">
      <c r="A1111">
        <v>1110</v>
      </c>
      <c r="B1111" s="7">
        <v>45050</v>
      </c>
      <c r="C1111" t="s">
        <v>10</v>
      </c>
      <c r="D1111">
        <v>699</v>
      </c>
      <c r="E1111">
        <v>23.1</v>
      </c>
      <c r="F1111">
        <v>1</v>
      </c>
      <c r="G1111">
        <v>4</v>
      </c>
      <c r="H1111">
        <v>24</v>
      </c>
      <c r="I1111">
        <v>54</v>
      </c>
      <c r="J1111" t="s">
        <v>11</v>
      </c>
      <c r="K1111">
        <f>IF(J1111="Yes", 1, 0)</f>
        <v>1</v>
      </c>
      <c r="L1111" t="str">
        <f>IF(G1111=0,"0 Failures","1+ Failures")</f>
        <v>1+ Failures</v>
      </c>
      <c r="M1111" t="str">
        <f t="shared" si="53"/>
        <v>20+ hrs</v>
      </c>
      <c r="N1111" t="str">
        <f t="shared" si="51"/>
        <v>12+ months</v>
      </c>
      <c r="O1111" t="str">
        <f t="shared" si="52"/>
        <v>Premium</v>
      </c>
      <c r="P1111" s="7">
        <v>45657</v>
      </c>
    </row>
    <row r="1112" spans="1:16" x14ac:dyDescent="0.3">
      <c r="A1112">
        <v>1111</v>
      </c>
      <c r="B1112" s="7">
        <v>45310</v>
      </c>
      <c r="C1112" t="s">
        <v>14</v>
      </c>
      <c r="D1112">
        <v>399</v>
      </c>
      <c r="E1112">
        <v>1.5</v>
      </c>
      <c r="F1112">
        <v>2</v>
      </c>
      <c r="G1112">
        <v>0</v>
      </c>
      <c r="H1112">
        <v>19</v>
      </c>
      <c r="I1112">
        <v>23</v>
      </c>
      <c r="J1112" t="s">
        <v>11</v>
      </c>
      <c r="K1112">
        <f>IF(J1112="Yes", 1, 0)</f>
        <v>1</v>
      </c>
      <c r="L1112" t="str">
        <f>IF(G1112=0,"0 Failures","1+ Failures")</f>
        <v>0 Failures</v>
      </c>
      <c r="M1112" t="str">
        <f t="shared" si="53"/>
        <v>0-5 hrs</v>
      </c>
      <c r="N1112" t="str">
        <f t="shared" si="51"/>
        <v>12+ months</v>
      </c>
      <c r="O1112" t="str">
        <f t="shared" si="52"/>
        <v>Basic</v>
      </c>
      <c r="P1112" s="7">
        <v>45657</v>
      </c>
    </row>
    <row r="1113" spans="1:16" x14ac:dyDescent="0.3">
      <c r="A1113">
        <v>1112</v>
      </c>
      <c r="B1113" s="7">
        <v>44976</v>
      </c>
      <c r="C1113" t="s">
        <v>14</v>
      </c>
      <c r="D1113">
        <v>399</v>
      </c>
      <c r="E1113">
        <v>12.4</v>
      </c>
      <c r="F1113">
        <v>2</v>
      </c>
      <c r="G1113">
        <v>1</v>
      </c>
      <c r="H1113">
        <v>19</v>
      </c>
      <c r="I1113">
        <v>50</v>
      </c>
      <c r="J1113" t="s">
        <v>13</v>
      </c>
      <c r="K1113">
        <f>IF(J1113="Yes", 1, 0)</f>
        <v>0</v>
      </c>
      <c r="L1113" t="str">
        <f>IF(G1113=0,"0 Failures","1+ Failures")</f>
        <v>1+ Failures</v>
      </c>
      <c r="M1113" t="str">
        <f t="shared" si="53"/>
        <v>10-20hrs</v>
      </c>
      <c r="N1113" t="str">
        <f t="shared" si="51"/>
        <v>12+ months</v>
      </c>
      <c r="O1113" t="str">
        <f t="shared" si="52"/>
        <v>Basic</v>
      </c>
      <c r="P1113" s="7">
        <v>45657</v>
      </c>
    </row>
    <row r="1114" spans="1:16" x14ac:dyDescent="0.3">
      <c r="A1114">
        <v>1113</v>
      </c>
      <c r="B1114" s="7">
        <v>44996</v>
      </c>
      <c r="C1114" t="s">
        <v>14</v>
      </c>
      <c r="D1114">
        <v>399</v>
      </c>
      <c r="E1114">
        <v>5.8</v>
      </c>
      <c r="F1114">
        <v>7</v>
      </c>
      <c r="G1114">
        <v>0</v>
      </c>
      <c r="H1114">
        <v>19</v>
      </c>
      <c r="I1114">
        <v>7</v>
      </c>
      <c r="J1114" t="s">
        <v>13</v>
      </c>
      <c r="K1114">
        <f>IF(J1114="Yes", 1, 0)</f>
        <v>0</v>
      </c>
      <c r="L1114" t="str">
        <f>IF(G1114=0,"0 Failures","1+ Failures")</f>
        <v>0 Failures</v>
      </c>
      <c r="M1114" t="str">
        <f t="shared" si="53"/>
        <v>5-10 hrs</v>
      </c>
      <c r="N1114" t="str">
        <f t="shared" si="51"/>
        <v>12+ months</v>
      </c>
      <c r="O1114" t="str">
        <f t="shared" si="52"/>
        <v>Basic</v>
      </c>
      <c r="P1114" s="7">
        <v>45657</v>
      </c>
    </row>
    <row r="1115" spans="1:16" x14ac:dyDescent="0.3">
      <c r="A1115">
        <v>1114</v>
      </c>
      <c r="B1115" s="7">
        <v>45313</v>
      </c>
      <c r="C1115" t="s">
        <v>12</v>
      </c>
      <c r="D1115">
        <v>199</v>
      </c>
      <c r="E1115">
        <v>12.3</v>
      </c>
      <c r="F1115">
        <v>4</v>
      </c>
      <c r="G1115">
        <v>4</v>
      </c>
      <c r="H1115">
        <v>27</v>
      </c>
      <c r="I1115">
        <v>28</v>
      </c>
      <c r="J1115" t="s">
        <v>13</v>
      </c>
      <c r="K1115">
        <f>IF(J1115="Yes", 1, 0)</f>
        <v>0</v>
      </c>
      <c r="L1115" t="str">
        <f>IF(G1115=0,"0 Failures","1+ Failures")</f>
        <v>1+ Failures</v>
      </c>
      <c r="M1115" t="str">
        <f t="shared" si="53"/>
        <v>10-20hrs</v>
      </c>
      <c r="N1115" t="str">
        <f t="shared" si="51"/>
        <v>12+ months</v>
      </c>
      <c r="O1115" t="str">
        <f t="shared" si="52"/>
        <v>Basic</v>
      </c>
      <c r="P1115" s="7">
        <v>45657</v>
      </c>
    </row>
    <row r="1116" spans="1:16" x14ac:dyDescent="0.3">
      <c r="A1116">
        <v>1115</v>
      </c>
      <c r="B1116" s="7">
        <v>45610</v>
      </c>
      <c r="C1116" t="s">
        <v>14</v>
      </c>
      <c r="D1116">
        <v>399</v>
      </c>
      <c r="E1116">
        <v>19.2</v>
      </c>
      <c r="F1116">
        <v>8</v>
      </c>
      <c r="G1116">
        <v>5</v>
      </c>
      <c r="H1116">
        <v>9</v>
      </c>
      <c r="I1116">
        <v>29</v>
      </c>
      <c r="J1116" t="s">
        <v>13</v>
      </c>
      <c r="K1116">
        <f>IF(J1116="Yes", 1, 0)</f>
        <v>0</v>
      </c>
      <c r="L1116" t="str">
        <f>IF(G1116=0,"0 Failures","1+ Failures")</f>
        <v>1+ Failures</v>
      </c>
      <c r="M1116" t="str">
        <f t="shared" si="53"/>
        <v>10-20hrs</v>
      </c>
      <c r="N1116" t="str">
        <f t="shared" si="51"/>
        <v>6-12months</v>
      </c>
      <c r="O1116" t="str">
        <f t="shared" si="52"/>
        <v>Basic</v>
      </c>
      <c r="P1116" s="7">
        <v>45657</v>
      </c>
    </row>
    <row r="1117" spans="1:16" x14ac:dyDescent="0.3">
      <c r="A1117">
        <v>1116</v>
      </c>
      <c r="B1117" s="7">
        <v>45565</v>
      </c>
      <c r="C1117" t="s">
        <v>14</v>
      </c>
      <c r="D1117">
        <v>399</v>
      </c>
      <c r="E1117">
        <v>21.7</v>
      </c>
      <c r="F1117">
        <v>5</v>
      </c>
      <c r="G1117">
        <v>0</v>
      </c>
      <c r="H1117">
        <v>10</v>
      </c>
      <c r="I1117">
        <v>51</v>
      </c>
      <c r="J1117" t="s">
        <v>13</v>
      </c>
      <c r="K1117">
        <f>IF(J1117="Yes", 1, 0)</f>
        <v>0</v>
      </c>
      <c r="L1117" t="str">
        <f>IF(G1117=0,"0 Failures","1+ Failures")</f>
        <v>0 Failures</v>
      </c>
      <c r="M1117" t="str">
        <f t="shared" si="53"/>
        <v>20+ hrs</v>
      </c>
      <c r="N1117" t="str">
        <f t="shared" si="51"/>
        <v>6-12months</v>
      </c>
      <c r="O1117" t="str">
        <f t="shared" si="52"/>
        <v>Basic</v>
      </c>
      <c r="P1117" s="7">
        <v>45657</v>
      </c>
    </row>
    <row r="1118" spans="1:16" x14ac:dyDescent="0.3">
      <c r="A1118">
        <v>1117</v>
      </c>
      <c r="B1118" s="7">
        <v>45613</v>
      </c>
      <c r="C1118" t="s">
        <v>14</v>
      </c>
      <c r="D1118">
        <v>399</v>
      </c>
      <c r="E1118">
        <v>6.2</v>
      </c>
      <c r="F1118">
        <v>6</v>
      </c>
      <c r="G1118">
        <v>2</v>
      </c>
      <c r="H1118">
        <v>25</v>
      </c>
      <c r="I1118">
        <v>34</v>
      </c>
      <c r="J1118" t="s">
        <v>11</v>
      </c>
      <c r="K1118">
        <f>IF(J1118="Yes", 1, 0)</f>
        <v>1</v>
      </c>
      <c r="L1118" t="str">
        <f>IF(G1118=0,"0 Failures","1+ Failures")</f>
        <v>1+ Failures</v>
      </c>
      <c r="M1118" t="str">
        <f t="shared" si="53"/>
        <v>5-10 hrs</v>
      </c>
      <c r="N1118" t="str">
        <f t="shared" si="51"/>
        <v>12+ months</v>
      </c>
      <c r="O1118" t="str">
        <f t="shared" si="52"/>
        <v>Basic</v>
      </c>
      <c r="P1118" s="7">
        <v>45657</v>
      </c>
    </row>
    <row r="1119" spans="1:16" x14ac:dyDescent="0.3">
      <c r="A1119">
        <v>1118</v>
      </c>
      <c r="B1119" s="7">
        <v>45651</v>
      </c>
      <c r="C1119" t="s">
        <v>14</v>
      </c>
      <c r="D1119">
        <v>399</v>
      </c>
      <c r="E1119">
        <v>16.3</v>
      </c>
      <c r="F1119">
        <v>2</v>
      </c>
      <c r="G1119">
        <v>5</v>
      </c>
      <c r="H1119">
        <v>18</v>
      </c>
      <c r="I1119">
        <v>1</v>
      </c>
      <c r="J1119" t="s">
        <v>13</v>
      </c>
      <c r="K1119">
        <f>IF(J1119="Yes", 1, 0)</f>
        <v>0</v>
      </c>
      <c r="L1119" t="str">
        <f>IF(G1119=0,"0 Failures","1+ Failures")</f>
        <v>1+ Failures</v>
      </c>
      <c r="M1119" t="str">
        <f t="shared" si="53"/>
        <v>10-20hrs</v>
      </c>
      <c r="N1119" t="str">
        <f t="shared" si="51"/>
        <v>12+ months</v>
      </c>
      <c r="O1119" t="str">
        <f t="shared" si="52"/>
        <v>Basic</v>
      </c>
      <c r="P1119" s="7">
        <v>45657</v>
      </c>
    </row>
    <row r="1120" spans="1:16" x14ac:dyDescent="0.3">
      <c r="A1120">
        <v>1119</v>
      </c>
      <c r="B1120" s="7">
        <v>45481</v>
      </c>
      <c r="C1120" t="s">
        <v>14</v>
      </c>
      <c r="D1120">
        <v>399</v>
      </c>
      <c r="E1120">
        <v>16.3</v>
      </c>
      <c r="F1120">
        <v>8</v>
      </c>
      <c r="G1120">
        <v>0</v>
      </c>
      <c r="H1120">
        <v>36</v>
      </c>
      <c r="I1120">
        <v>12</v>
      </c>
      <c r="J1120" t="s">
        <v>13</v>
      </c>
      <c r="K1120">
        <f>IF(J1120="Yes", 1, 0)</f>
        <v>0</v>
      </c>
      <c r="L1120" t="str">
        <f>IF(G1120=0,"0 Failures","1+ Failures")</f>
        <v>0 Failures</v>
      </c>
      <c r="M1120" t="str">
        <f t="shared" si="53"/>
        <v>10-20hrs</v>
      </c>
      <c r="N1120" t="str">
        <f t="shared" si="51"/>
        <v>12+ months</v>
      </c>
      <c r="O1120" t="str">
        <f t="shared" si="52"/>
        <v>Basic</v>
      </c>
      <c r="P1120" s="7">
        <v>45657</v>
      </c>
    </row>
    <row r="1121" spans="1:16" x14ac:dyDescent="0.3">
      <c r="A1121">
        <v>1120</v>
      </c>
      <c r="B1121" s="7">
        <v>44946</v>
      </c>
      <c r="C1121" t="s">
        <v>10</v>
      </c>
      <c r="D1121">
        <v>699</v>
      </c>
      <c r="E1121">
        <v>24</v>
      </c>
      <c r="F1121">
        <v>8</v>
      </c>
      <c r="G1121">
        <v>1</v>
      </c>
      <c r="H1121">
        <v>4</v>
      </c>
      <c r="I1121">
        <v>48</v>
      </c>
      <c r="J1121" t="s">
        <v>11</v>
      </c>
      <c r="K1121">
        <f>IF(J1121="Yes", 1, 0)</f>
        <v>1</v>
      </c>
      <c r="L1121" t="str">
        <f>IF(G1121=0,"0 Failures","1+ Failures")</f>
        <v>1+ Failures</v>
      </c>
      <c r="M1121" t="str">
        <f t="shared" si="53"/>
        <v>20+ hrs</v>
      </c>
      <c r="N1121" t="str">
        <f t="shared" si="51"/>
        <v>3-6months</v>
      </c>
      <c r="O1121" t="str">
        <f t="shared" si="52"/>
        <v>Premium</v>
      </c>
      <c r="P1121" s="7">
        <v>45657</v>
      </c>
    </row>
    <row r="1122" spans="1:16" x14ac:dyDescent="0.3">
      <c r="A1122">
        <v>1121</v>
      </c>
      <c r="B1122" s="7">
        <v>45649</v>
      </c>
      <c r="C1122" t="s">
        <v>12</v>
      </c>
      <c r="D1122">
        <v>199</v>
      </c>
      <c r="E1122">
        <v>4.9000000000000004</v>
      </c>
      <c r="F1122">
        <v>0</v>
      </c>
      <c r="G1122">
        <v>2</v>
      </c>
      <c r="H1122">
        <v>35</v>
      </c>
      <c r="I1122">
        <v>50</v>
      </c>
      <c r="J1122" t="s">
        <v>11</v>
      </c>
      <c r="K1122">
        <f>IF(J1122="Yes", 1, 0)</f>
        <v>1</v>
      </c>
      <c r="L1122" t="str">
        <f>IF(G1122=0,"0 Failures","1+ Failures")</f>
        <v>1+ Failures</v>
      </c>
      <c r="M1122" t="str">
        <f t="shared" si="53"/>
        <v>0-5 hrs</v>
      </c>
      <c r="N1122" t="str">
        <f t="shared" si="51"/>
        <v>12+ months</v>
      </c>
      <c r="O1122" t="str">
        <f t="shared" si="52"/>
        <v>Basic</v>
      </c>
      <c r="P1122" s="7">
        <v>45657</v>
      </c>
    </row>
    <row r="1123" spans="1:16" x14ac:dyDescent="0.3">
      <c r="A1123">
        <v>1122</v>
      </c>
      <c r="B1123" s="7">
        <v>44973</v>
      </c>
      <c r="C1123" t="s">
        <v>10</v>
      </c>
      <c r="D1123">
        <v>699</v>
      </c>
      <c r="E1123">
        <v>2.6</v>
      </c>
      <c r="F1123">
        <v>8</v>
      </c>
      <c r="G1123">
        <v>4</v>
      </c>
      <c r="H1123">
        <v>29</v>
      </c>
      <c r="I1123">
        <v>20</v>
      </c>
      <c r="J1123" t="s">
        <v>11</v>
      </c>
      <c r="K1123">
        <f>IF(J1123="Yes", 1, 0)</f>
        <v>1</v>
      </c>
      <c r="L1123" t="str">
        <f>IF(G1123=0,"0 Failures","1+ Failures")</f>
        <v>1+ Failures</v>
      </c>
      <c r="M1123" t="str">
        <f t="shared" si="53"/>
        <v>0-5 hrs</v>
      </c>
      <c r="N1123" t="str">
        <f t="shared" si="51"/>
        <v>12+ months</v>
      </c>
      <c r="O1123" t="str">
        <f t="shared" si="52"/>
        <v>Premium</v>
      </c>
      <c r="P1123" s="7">
        <v>45657</v>
      </c>
    </row>
    <row r="1124" spans="1:16" x14ac:dyDescent="0.3">
      <c r="A1124">
        <v>1123</v>
      </c>
      <c r="B1124" s="7">
        <v>45251</v>
      </c>
      <c r="C1124" t="s">
        <v>14</v>
      </c>
      <c r="D1124">
        <v>399</v>
      </c>
      <c r="E1124">
        <v>8.8000000000000007</v>
      </c>
      <c r="F1124">
        <v>2</v>
      </c>
      <c r="G1124">
        <v>3</v>
      </c>
      <c r="H1124">
        <v>2</v>
      </c>
      <c r="I1124">
        <v>1</v>
      </c>
      <c r="J1124" t="s">
        <v>13</v>
      </c>
      <c r="K1124">
        <f>IF(J1124="Yes", 1, 0)</f>
        <v>0</v>
      </c>
      <c r="L1124" t="str">
        <f>IF(G1124=0,"0 Failures","1+ Failures")</f>
        <v>1+ Failures</v>
      </c>
      <c r="M1124" t="str">
        <f t="shared" si="53"/>
        <v>5-10 hrs</v>
      </c>
      <c r="N1124" t="str">
        <f t="shared" si="51"/>
        <v>0-3months</v>
      </c>
      <c r="O1124" t="str">
        <f t="shared" si="52"/>
        <v>Basic</v>
      </c>
      <c r="P1124" s="7">
        <v>45657</v>
      </c>
    </row>
    <row r="1125" spans="1:16" x14ac:dyDescent="0.3">
      <c r="A1125">
        <v>1124</v>
      </c>
      <c r="B1125" s="7">
        <v>45114</v>
      </c>
      <c r="C1125" t="s">
        <v>14</v>
      </c>
      <c r="D1125">
        <v>399</v>
      </c>
      <c r="E1125">
        <v>2.7</v>
      </c>
      <c r="F1125">
        <v>1</v>
      </c>
      <c r="G1125">
        <v>4</v>
      </c>
      <c r="H1125">
        <v>17</v>
      </c>
      <c r="I1125">
        <v>10</v>
      </c>
      <c r="J1125" t="s">
        <v>11</v>
      </c>
      <c r="K1125">
        <f>IF(J1125="Yes", 1, 0)</f>
        <v>1</v>
      </c>
      <c r="L1125" t="str">
        <f>IF(G1125=0,"0 Failures","1+ Failures")</f>
        <v>1+ Failures</v>
      </c>
      <c r="M1125" t="str">
        <f t="shared" si="53"/>
        <v>0-5 hrs</v>
      </c>
      <c r="N1125" t="str">
        <f t="shared" si="51"/>
        <v>12+ months</v>
      </c>
      <c r="O1125" t="str">
        <f t="shared" si="52"/>
        <v>Basic</v>
      </c>
      <c r="P1125" s="7">
        <v>45657</v>
      </c>
    </row>
    <row r="1126" spans="1:16" x14ac:dyDescent="0.3">
      <c r="A1126">
        <v>1125</v>
      </c>
      <c r="B1126" s="7">
        <v>45260</v>
      </c>
      <c r="C1126" t="s">
        <v>14</v>
      </c>
      <c r="D1126">
        <v>399</v>
      </c>
      <c r="E1126">
        <v>4.3</v>
      </c>
      <c r="F1126">
        <v>6</v>
      </c>
      <c r="G1126">
        <v>5</v>
      </c>
      <c r="H1126">
        <v>6</v>
      </c>
      <c r="I1126">
        <v>10</v>
      </c>
      <c r="J1126" t="s">
        <v>11</v>
      </c>
      <c r="K1126">
        <f>IF(J1126="Yes", 1, 0)</f>
        <v>1</v>
      </c>
      <c r="L1126" t="str">
        <f>IF(G1126=0,"0 Failures","1+ Failures")</f>
        <v>1+ Failures</v>
      </c>
      <c r="M1126" t="str">
        <f t="shared" si="53"/>
        <v>0-5 hrs</v>
      </c>
      <c r="N1126" t="str">
        <f t="shared" si="51"/>
        <v>3-6months</v>
      </c>
      <c r="O1126" t="str">
        <f t="shared" si="52"/>
        <v>Basic</v>
      </c>
      <c r="P1126" s="7">
        <v>45657</v>
      </c>
    </row>
    <row r="1127" spans="1:16" x14ac:dyDescent="0.3">
      <c r="A1127">
        <v>1126</v>
      </c>
      <c r="B1127" s="7">
        <v>45349</v>
      </c>
      <c r="C1127" t="s">
        <v>12</v>
      </c>
      <c r="D1127">
        <v>199</v>
      </c>
      <c r="E1127">
        <v>18</v>
      </c>
      <c r="F1127">
        <v>4</v>
      </c>
      <c r="G1127">
        <v>3</v>
      </c>
      <c r="H1127">
        <v>2</v>
      </c>
      <c r="I1127">
        <v>6</v>
      </c>
      <c r="J1127" t="s">
        <v>11</v>
      </c>
      <c r="K1127">
        <f>IF(J1127="Yes", 1, 0)</f>
        <v>1</v>
      </c>
      <c r="L1127" t="str">
        <f>IF(G1127=0,"0 Failures","1+ Failures")</f>
        <v>1+ Failures</v>
      </c>
      <c r="M1127" t="str">
        <f t="shared" si="53"/>
        <v>10-20hrs</v>
      </c>
      <c r="N1127" t="str">
        <f t="shared" si="51"/>
        <v>0-3months</v>
      </c>
      <c r="O1127" t="str">
        <f t="shared" si="52"/>
        <v>Basic</v>
      </c>
      <c r="P1127" s="7">
        <v>45657</v>
      </c>
    </row>
    <row r="1128" spans="1:16" x14ac:dyDescent="0.3">
      <c r="A1128">
        <v>1127</v>
      </c>
      <c r="B1128" s="7">
        <v>45538</v>
      </c>
      <c r="C1128" t="s">
        <v>14</v>
      </c>
      <c r="D1128">
        <v>399</v>
      </c>
      <c r="E1128">
        <v>9.6999999999999993</v>
      </c>
      <c r="F1128">
        <v>1</v>
      </c>
      <c r="G1128">
        <v>0</v>
      </c>
      <c r="H1128">
        <v>17</v>
      </c>
      <c r="I1128">
        <v>12</v>
      </c>
      <c r="J1128" t="s">
        <v>13</v>
      </c>
      <c r="K1128">
        <f>IF(J1128="Yes", 1, 0)</f>
        <v>0</v>
      </c>
      <c r="L1128" t="str">
        <f>IF(G1128=0,"0 Failures","1+ Failures")</f>
        <v>0 Failures</v>
      </c>
      <c r="M1128" t="str">
        <f t="shared" si="53"/>
        <v>5-10 hrs</v>
      </c>
      <c r="N1128" t="str">
        <f t="shared" si="51"/>
        <v>12+ months</v>
      </c>
      <c r="O1128" t="str">
        <f t="shared" si="52"/>
        <v>Basic</v>
      </c>
      <c r="P1128" s="7">
        <v>45657</v>
      </c>
    </row>
    <row r="1129" spans="1:16" x14ac:dyDescent="0.3">
      <c r="A1129">
        <v>1128</v>
      </c>
      <c r="B1129" s="7">
        <v>44989</v>
      </c>
      <c r="C1129" t="s">
        <v>10</v>
      </c>
      <c r="D1129">
        <v>699</v>
      </c>
      <c r="E1129">
        <v>12.6</v>
      </c>
      <c r="F1129">
        <v>8</v>
      </c>
      <c r="G1129">
        <v>3</v>
      </c>
      <c r="H1129">
        <v>16</v>
      </c>
      <c r="I1129">
        <v>60</v>
      </c>
      <c r="J1129" t="s">
        <v>11</v>
      </c>
      <c r="K1129">
        <f>IF(J1129="Yes", 1, 0)</f>
        <v>1</v>
      </c>
      <c r="L1129" t="str">
        <f>IF(G1129=0,"0 Failures","1+ Failures")</f>
        <v>1+ Failures</v>
      </c>
      <c r="M1129" t="str">
        <f t="shared" si="53"/>
        <v>10-20hrs</v>
      </c>
      <c r="N1129" t="str">
        <f t="shared" si="51"/>
        <v>12+ months</v>
      </c>
      <c r="O1129" t="str">
        <f t="shared" si="52"/>
        <v>Premium</v>
      </c>
      <c r="P1129" s="7">
        <v>45657</v>
      </c>
    </row>
    <row r="1130" spans="1:16" x14ac:dyDescent="0.3">
      <c r="A1130">
        <v>1129</v>
      </c>
      <c r="B1130" s="7">
        <v>45166</v>
      </c>
      <c r="C1130" t="s">
        <v>14</v>
      </c>
      <c r="D1130">
        <v>399</v>
      </c>
      <c r="E1130">
        <v>14.1</v>
      </c>
      <c r="F1130">
        <v>1</v>
      </c>
      <c r="G1130">
        <v>3</v>
      </c>
      <c r="H1130">
        <v>30</v>
      </c>
      <c r="I1130">
        <v>1</v>
      </c>
      <c r="J1130" t="s">
        <v>13</v>
      </c>
      <c r="K1130">
        <f>IF(J1130="Yes", 1, 0)</f>
        <v>0</v>
      </c>
      <c r="L1130" t="str">
        <f>IF(G1130=0,"0 Failures","1+ Failures")</f>
        <v>1+ Failures</v>
      </c>
      <c r="M1130" t="str">
        <f t="shared" si="53"/>
        <v>10-20hrs</v>
      </c>
      <c r="N1130" t="str">
        <f t="shared" si="51"/>
        <v>12+ months</v>
      </c>
      <c r="O1130" t="str">
        <f t="shared" si="52"/>
        <v>Basic</v>
      </c>
      <c r="P1130" s="7">
        <v>45657</v>
      </c>
    </row>
    <row r="1131" spans="1:16" x14ac:dyDescent="0.3">
      <c r="A1131">
        <v>1130</v>
      </c>
      <c r="B1131" s="7">
        <v>45055</v>
      </c>
      <c r="C1131" t="s">
        <v>12</v>
      </c>
      <c r="D1131">
        <v>199</v>
      </c>
      <c r="E1131">
        <v>14.1</v>
      </c>
      <c r="F1131">
        <v>1</v>
      </c>
      <c r="G1131">
        <v>1</v>
      </c>
      <c r="H1131">
        <v>18</v>
      </c>
      <c r="I1131">
        <v>48</v>
      </c>
      <c r="J1131" t="s">
        <v>13</v>
      </c>
      <c r="K1131">
        <f>IF(J1131="Yes", 1, 0)</f>
        <v>0</v>
      </c>
      <c r="L1131" t="str">
        <f>IF(G1131=0,"0 Failures","1+ Failures")</f>
        <v>1+ Failures</v>
      </c>
      <c r="M1131" t="str">
        <f t="shared" si="53"/>
        <v>10-20hrs</v>
      </c>
      <c r="N1131" t="str">
        <f t="shared" si="51"/>
        <v>12+ months</v>
      </c>
      <c r="O1131" t="str">
        <f t="shared" si="52"/>
        <v>Basic</v>
      </c>
      <c r="P1131" s="7">
        <v>45657</v>
      </c>
    </row>
    <row r="1132" spans="1:16" x14ac:dyDescent="0.3">
      <c r="A1132">
        <v>1131</v>
      </c>
      <c r="B1132" s="7">
        <v>45309</v>
      </c>
      <c r="C1132" t="s">
        <v>14</v>
      </c>
      <c r="D1132">
        <v>399</v>
      </c>
      <c r="E1132">
        <v>11.4</v>
      </c>
      <c r="F1132">
        <v>8</v>
      </c>
      <c r="G1132">
        <v>1</v>
      </c>
      <c r="H1132">
        <v>27</v>
      </c>
      <c r="I1132">
        <v>50</v>
      </c>
      <c r="J1132" t="s">
        <v>13</v>
      </c>
      <c r="K1132">
        <f>IF(J1132="Yes", 1, 0)</f>
        <v>0</v>
      </c>
      <c r="L1132" t="str">
        <f>IF(G1132=0,"0 Failures","1+ Failures")</f>
        <v>1+ Failures</v>
      </c>
      <c r="M1132" t="str">
        <f t="shared" si="53"/>
        <v>10-20hrs</v>
      </c>
      <c r="N1132" t="str">
        <f t="shared" si="51"/>
        <v>12+ months</v>
      </c>
      <c r="O1132" t="str">
        <f t="shared" si="52"/>
        <v>Basic</v>
      </c>
      <c r="P1132" s="7">
        <v>45657</v>
      </c>
    </row>
    <row r="1133" spans="1:16" x14ac:dyDescent="0.3">
      <c r="A1133">
        <v>1132</v>
      </c>
      <c r="B1133" s="7">
        <v>44969</v>
      </c>
      <c r="C1133" t="s">
        <v>10</v>
      </c>
      <c r="D1133">
        <v>699</v>
      </c>
      <c r="E1133">
        <v>19.7</v>
      </c>
      <c r="F1133">
        <v>8</v>
      </c>
      <c r="G1133">
        <v>3</v>
      </c>
      <c r="H1133">
        <v>11</v>
      </c>
      <c r="I1133">
        <v>58</v>
      </c>
      <c r="J1133" t="s">
        <v>11</v>
      </c>
      <c r="K1133">
        <f>IF(J1133="Yes", 1, 0)</f>
        <v>1</v>
      </c>
      <c r="L1133" t="str">
        <f>IF(G1133=0,"0 Failures","1+ Failures")</f>
        <v>1+ Failures</v>
      </c>
      <c r="M1133" t="str">
        <f t="shared" si="53"/>
        <v>10-20hrs</v>
      </c>
      <c r="N1133" t="str">
        <f t="shared" si="51"/>
        <v>6-12months</v>
      </c>
      <c r="O1133" t="str">
        <f t="shared" si="52"/>
        <v>Premium</v>
      </c>
      <c r="P1133" s="7">
        <v>45657</v>
      </c>
    </row>
    <row r="1134" spans="1:16" x14ac:dyDescent="0.3">
      <c r="A1134">
        <v>1133</v>
      </c>
      <c r="B1134" s="7">
        <v>45420</v>
      </c>
      <c r="C1134" t="s">
        <v>12</v>
      </c>
      <c r="D1134">
        <v>199</v>
      </c>
      <c r="E1134">
        <v>24</v>
      </c>
      <c r="F1134">
        <v>4</v>
      </c>
      <c r="G1134">
        <v>5</v>
      </c>
      <c r="H1134">
        <v>30</v>
      </c>
      <c r="I1134">
        <v>10</v>
      </c>
      <c r="J1134" t="s">
        <v>11</v>
      </c>
      <c r="K1134">
        <f>IF(J1134="Yes", 1, 0)</f>
        <v>1</v>
      </c>
      <c r="L1134" t="str">
        <f>IF(G1134=0,"0 Failures","1+ Failures")</f>
        <v>1+ Failures</v>
      </c>
      <c r="M1134" t="str">
        <f t="shared" si="53"/>
        <v>20+ hrs</v>
      </c>
      <c r="N1134" t="str">
        <f t="shared" si="51"/>
        <v>12+ months</v>
      </c>
      <c r="O1134" t="str">
        <f t="shared" si="52"/>
        <v>Basic</v>
      </c>
      <c r="P1134" s="7">
        <v>45657</v>
      </c>
    </row>
    <row r="1135" spans="1:16" x14ac:dyDescent="0.3">
      <c r="A1135">
        <v>1134</v>
      </c>
      <c r="B1135" s="7">
        <v>45526</v>
      </c>
      <c r="C1135" t="s">
        <v>14</v>
      </c>
      <c r="D1135">
        <v>399</v>
      </c>
      <c r="E1135">
        <v>21.1</v>
      </c>
      <c r="F1135">
        <v>6</v>
      </c>
      <c r="G1135">
        <v>2</v>
      </c>
      <c r="H1135">
        <v>17</v>
      </c>
      <c r="I1135">
        <v>53</v>
      </c>
      <c r="J1135" t="s">
        <v>11</v>
      </c>
      <c r="K1135">
        <f>IF(J1135="Yes", 1, 0)</f>
        <v>1</v>
      </c>
      <c r="L1135" t="str">
        <f>IF(G1135=0,"0 Failures","1+ Failures")</f>
        <v>1+ Failures</v>
      </c>
      <c r="M1135" t="str">
        <f t="shared" si="53"/>
        <v>20+ hrs</v>
      </c>
      <c r="N1135" t="str">
        <f t="shared" si="51"/>
        <v>12+ months</v>
      </c>
      <c r="O1135" t="str">
        <f t="shared" si="52"/>
        <v>Basic</v>
      </c>
      <c r="P1135" s="7">
        <v>45657</v>
      </c>
    </row>
    <row r="1136" spans="1:16" x14ac:dyDescent="0.3">
      <c r="A1136">
        <v>1135</v>
      </c>
      <c r="B1136" s="7">
        <v>45331</v>
      </c>
      <c r="C1136" t="s">
        <v>10</v>
      </c>
      <c r="D1136">
        <v>699</v>
      </c>
      <c r="E1136">
        <v>1.6</v>
      </c>
      <c r="F1136">
        <v>8</v>
      </c>
      <c r="G1136">
        <v>4</v>
      </c>
      <c r="H1136">
        <v>19</v>
      </c>
      <c r="I1136">
        <v>4</v>
      </c>
      <c r="J1136" t="s">
        <v>11</v>
      </c>
      <c r="K1136">
        <f>IF(J1136="Yes", 1, 0)</f>
        <v>1</v>
      </c>
      <c r="L1136" t="str">
        <f>IF(G1136=0,"0 Failures","1+ Failures")</f>
        <v>1+ Failures</v>
      </c>
      <c r="M1136" t="str">
        <f t="shared" si="53"/>
        <v>0-5 hrs</v>
      </c>
      <c r="N1136" t="str">
        <f t="shared" si="51"/>
        <v>12+ months</v>
      </c>
      <c r="O1136" t="str">
        <f t="shared" si="52"/>
        <v>Premium</v>
      </c>
      <c r="P1136" s="7">
        <v>45657</v>
      </c>
    </row>
    <row r="1137" spans="1:16" x14ac:dyDescent="0.3">
      <c r="A1137">
        <v>1136</v>
      </c>
      <c r="B1137" s="7">
        <v>45552</v>
      </c>
      <c r="C1137" t="s">
        <v>10</v>
      </c>
      <c r="D1137">
        <v>699</v>
      </c>
      <c r="E1137">
        <v>20.8</v>
      </c>
      <c r="F1137">
        <v>8</v>
      </c>
      <c r="G1137">
        <v>2</v>
      </c>
      <c r="H1137">
        <v>8</v>
      </c>
      <c r="I1137">
        <v>56</v>
      </c>
      <c r="J1137" t="s">
        <v>11</v>
      </c>
      <c r="K1137">
        <f>IF(J1137="Yes", 1, 0)</f>
        <v>1</v>
      </c>
      <c r="L1137" t="str">
        <f>IF(G1137=0,"0 Failures","1+ Failures")</f>
        <v>1+ Failures</v>
      </c>
      <c r="M1137" t="str">
        <f t="shared" si="53"/>
        <v>20+ hrs</v>
      </c>
      <c r="N1137" t="str">
        <f t="shared" si="51"/>
        <v>6-12months</v>
      </c>
      <c r="O1137" t="str">
        <f t="shared" si="52"/>
        <v>Premium</v>
      </c>
      <c r="P1137" s="7">
        <v>45657</v>
      </c>
    </row>
    <row r="1138" spans="1:16" x14ac:dyDescent="0.3">
      <c r="A1138">
        <v>1137</v>
      </c>
      <c r="B1138" s="7">
        <v>45651</v>
      </c>
      <c r="C1138" t="s">
        <v>10</v>
      </c>
      <c r="D1138">
        <v>699</v>
      </c>
      <c r="E1138">
        <v>22.2</v>
      </c>
      <c r="F1138">
        <v>5</v>
      </c>
      <c r="G1138">
        <v>5</v>
      </c>
      <c r="H1138">
        <v>21</v>
      </c>
      <c r="I1138">
        <v>16</v>
      </c>
      <c r="J1138" t="s">
        <v>13</v>
      </c>
      <c r="K1138">
        <f>IF(J1138="Yes", 1, 0)</f>
        <v>0</v>
      </c>
      <c r="L1138" t="str">
        <f>IF(G1138=0,"0 Failures","1+ Failures")</f>
        <v>1+ Failures</v>
      </c>
      <c r="M1138" t="str">
        <f t="shared" si="53"/>
        <v>20+ hrs</v>
      </c>
      <c r="N1138" t="str">
        <f t="shared" si="51"/>
        <v>12+ months</v>
      </c>
      <c r="O1138" t="str">
        <f t="shared" si="52"/>
        <v>Premium</v>
      </c>
      <c r="P1138" s="7">
        <v>45657</v>
      </c>
    </row>
    <row r="1139" spans="1:16" x14ac:dyDescent="0.3">
      <c r="A1139">
        <v>1138</v>
      </c>
      <c r="B1139" s="7">
        <v>45540</v>
      </c>
      <c r="C1139" t="s">
        <v>14</v>
      </c>
      <c r="D1139">
        <v>399</v>
      </c>
      <c r="E1139">
        <v>6.5</v>
      </c>
      <c r="F1139">
        <v>5</v>
      </c>
      <c r="G1139">
        <v>2</v>
      </c>
      <c r="H1139">
        <v>18</v>
      </c>
      <c r="I1139">
        <v>13</v>
      </c>
      <c r="J1139" t="s">
        <v>11</v>
      </c>
      <c r="K1139">
        <f>IF(J1139="Yes", 1, 0)</f>
        <v>1</v>
      </c>
      <c r="L1139" t="str">
        <f>IF(G1139=0,"0 Failures","1+ Failures")</f>
        <v>1+ Failures</v>
      </c>
      <c r="M1139" t="str">
        <f t="shared" si="53"/>
        <v>5-10 hrs</v>
      </c>
      <c r="N1139" t="str">
        <f t="shared" si="51"/>
        <v>12+ months</v>
      </c>
      <c r="O1139" t="str">
        <f t="shared" si="52"/>
        <v>Basic</v>
      </c>
      <c r="P1139" s="7">
        <v>45657</v>
      </c>
    </row>
    <row r="1140" spans="1:16" x14ac:dyDescent="0.3">
      <c r="A1140">
        <v>1139</v>
      </c>
      <c r="B1140" s="7">
        <v>45414</v>
      </c>
      <c r="C1140" t="s">
        <v>14</v>
      </c>
      <c r="D1140">
        <v>399</v>
      </c>
      <c r="E1140">
        <v>22.9</v>
      </c>
      <c r="F1140">
        <v>2</v>
      </c>
      <c r="G1140">
        <v>5</v>
      </c>
      <c r="H1140">
        <v>2</v>
      </c>
      <c r="I1140">
        <v>59</v>
      </c>
      <c r="J1140" t="s">
        <v>11</v>
      </c>
      <c r="K1140">
        <f>IF(J1140="Yes", 1, 0)</f>
        <v>1</v>
      </c>
      <c r="L1140" t="str">
        <f>IF(G1140=0,"0 Failures","1+ Failures")</f>
        <v>1+ Failures</v>
      </c>
      <c r="M1140" t="str">
        <f t="shared" si="53"/>
        <v>20+ hrs</v>
      </c>
      <c r="N1140" t="str">
        <f t="shared" si="51"/>
        <v>0-3months</v>
      </c>
      <c r="O1140" t="str">
        <f t="shared" si="52"/>
        <v>Basic</v>
      </c>
      <c r="P1140" s="7">
        <v>45657</v>
      </c>
    </row>
    <row r="1141" spans="1:16" x14ac:dyDescent="0.3">
      <c r="A1141">
        <v>1140</v>
      </c>
      <c r="B1141" s="7">
        <v>45427</v>
      </c>
      <c r="C1141" t="s">
        <v>12</v>
      </c>
      <c r="D1141">
        <v>199</v>
      </c>
      <c r="E1141">
        <v>17</v>
      </c>
      <c r="F1141">
        <v>6</v>
      </c>
      <c r="G1141">
        <v>4</v>
      </c>
      <c r="H1141">
        <v>1</v>
      </c>
      <c r="I1141">
        <v>57</v>
      </c>
      <c r="J1141" t="s">
        <v>11</v>
      </c>
      <c r="K1141">
        <f>IF(J1141="Yes", 1, 0)</f>
        <v>1</v>
      </c>
      <c r="L1141" t="str">
        <f>IF(G1141=0,"0 Failures","1+ Failures")</f>
        <v>1+ Failures</v>
      </c>
      <c r="M1141" t="str">
        <f t="shared" si="53"/>
        <v>10-20hrs</v>
      </c>
      <c r="N1141" t="str">
        <f t="shared" si="51"/>
        <v>0-3months</v>
      </c>
      <c r="O1141" t="str">
        <f t="shared" si="52"/>
        <v>Basic</v>
      </c>
      <c r="P1141" s="7">
        <v>45657</v>
      </c>
    </row>
    <row r="1142" spans="1:16" x14ac:dyDescent="0.3">
      <c r="A1142">
        <v>1141</v>
      </c>
      <c r="B1142" s="7">
        <v>45614</v>
      </c>
      <c r="C1142" t="s">
        <v>14</v>
      </c>
      <c r="D1142">
        <v>399</v>
      </c>
      <c r="E1142">
        <v>2.5</v>
      </c>
      <c r="F1142">
        <v>1</v>
      </c>
      <c r="G1142">
        <v>4</v>
      </c>
      <c r="H1142">
        <v>35</v>
      </c>
      <c r="I1142">
        <v>1</v>
      </c>
      <c r="J1142" t="s">
        <v>13</v>
      </c>
      <c r="K1142">
        <f>IF(J1142="Yes", 1, 0)</f>
        <v>0</v>
      </c>
      <c r="L1142" t="str">
        <f>IF(G1142=0,"0 Failures","1+ Failures")</f>
        <v>1+ Failures</v>
      </c>
      <c r="M1142" t="str">
        <f t="shared" si="53"/>
        <v>0-5 hrs</v>
      </c>
      <c r="N1142" t="str">
        <f t="shared" si="51"/>
        <v>12+ months</v>
      </c>
      <c r="O1142" t="str">
        <f t="shared" si="52"/>
        <v>Basic</v>
      </c>
      <c r="P1142" s="7">
        <v>45657</v>
      </c>
    </row>
    <row r="1143" spans="1:16" x14ac:dyDescent="0.3">
      <c r="A1143">
        <v>1142</v>
      </c>
      <c r="B1143" s="7">
        <v>45640</v>
      </c>
      <c r="C1143" t="s">
        <v>14</v>
      </c>
      <c r="D1143">
        <v>399</v>
      </c>
      <c r="E1143">
        <v>9.1</v>
      </c>
      <c r="F1143">
        <v>6</v>
      </c>
      <c r="G1143">
        <v>4</v>
      </c>
      <c r="H1143">
        <v>8</v>
      </c>
      <c r="I1143">
        <v>22</v>
      </c>
      <c r="J1143" t="s">
        <v>11</v>
      </c>
      <c r="K1143">
        <f>IF(J1143="Yes", 1, 0)</f>
        <v>1</v>
      </c>
      <c r="L1143" t="str">
        <f>IF(G1143=0,"0 Failures","1+ Failures")</f>
        <v>1+ Failures</v>
      </c>
      <c r="M1143" t="str">
        <f t="shared" si="53"/>
        <v>5-10 hrs</v>
      </c>
      <c r="N1143" t="str">
        <f t="shared" si="51"/>
        <v>6-12months</v>
      </c>
      <c r="O1143" t="str">
        <f t="shared" si="52"/>
        <v>Basic</v>
      </c>
      <c r="P1143" s="7">
        <v>45657</v>
      </c>
    </row>
    <row r="1144" spans="1:16" x14ac:dyDescent="0.3">
      <c r="A1144">
        <v>1143</v>
      </c>
      <c r="B1144" s="7">
        <v>44947</v>
      </c>
      <c r="C1144" t="s">
        <v>12</v>
      </c>
      <c r="D1144">
        <v>199</v>
      </c>
      <c r="E1144">
        <v>11.8</v>
      </c>
      <c r="F1144">
        <v>3</v>
      </c>
      <c r="G1144">
        <v>3</v>
      </c>
      <c r="H1144">
        <v>8</v>
      </c>
      <c r="I1144">
        <v>0</v>
      </c>
      <c r="J1144" t="s">
        <v>11</v>
      </c>
      <c r="K1144">
        <f>IF(J1144="Yes", 1, 0)</f>
        <v>1</v>
      </c>
      <c r="L1144" t="str">
        <f>IF(G1144=0,"0 Failures","1+ Failures")</f>
        <v>1+ Failures</v>
      </c>
      <c r="M1144" t="str">
        <f t="shared" si="53"/>
        <v>10-20hrs</v>
      </c>
      <c r="N1144" t="str">
        <f t="shared" si="51"/>
        <v>6-12months</v>
      </c>
      <c r="O1144" t="str">
        <f t="shared" si="52"/>
        <v>Basic</v>
      </c>
      <c r="P1144" s="7">
        <v>45657</v>
      </c>
    </row>
    <row r="1145" spans="1:16" x14ac:dyDescent="0.3">
      <c r="A1145">
        <v>1144</v>
      </c>
      <c r="B1145" s="7">
        <v>45432</v>
      </c>
      <c r="C1145" t="s">
        <v>14</v>
      </c>
      <c r="D1145">
        <v>399</v>
      </c>
      <c r="E1145">
        <v>5.2</v>
      </c>
      <c r="F1145">
        <v>4</v>
      </c>
      <c r="G1145">
        <v>5</v>
      </c>
      <c r="H1145">
        <v>23</v>
      </c>
      <c r="I1145">
        <v>14</v>
      </c>
      <c r="J1145" t="s">
        <v>11</v>
      </c>
      <c r="K1145">
        <f>IF(J1145="Yes", 1, 0)</f>
        <v>1</v>
      </c>
      <c r="L1145" t="str">
        <f>IF(G1145=0,"0 Failures","1+ Failures")</f>
        <v>1+ Failures</v>
      </c>
      <c r="M1145" t="str">
        <f t="shared" si="53"/>
        <v>5-10 hrs</v>
      </c>
      <c r="N1145" t="str">
        <f t="shared" si="51"/>
        <v>12+ months</v>
      </c>
      <c r="O1145" t="str">
        <f t="shared" si="52"/>
        <v>Basic</v>
      </c>
      <c r="P1145" s="7">
        <v>45657</v>
      </c>
    </row>
    <row r="1146" spans="1:16" x14ac:dyDescent="0.3">
      <c r="A1146">
        <v>1145</v>
      </c>
      <c r="B1146" s="7">
        <v>45580</v>
      </c>
      <c r="C1146" t="s">
        <v>14</v>
      </c>
      <c r="D1146">
        <v>399</v>
      </c>
      <c r="E1146">
        <v>7.4</v>
      </c>
      <c r="F1146">
        <v>3</v>
      </c>
      <c r="G1146">
        <v>0</v>
      </c>
      <c r="H1146">
        <v>3</v>
      </c>
      <c r="I1146">
        <v>12</v>
      </c>
      <c r="J1146" t="s">
        <v>13</v>
      </c>
      <c r="K1146">
        <f>IF(J1146="Yes", 1, 0)</f>
        <v>0</v>
      </c>
      <c r="L1146" t="str">
        <f>IF(G1146=0,"0 Failures","1+ Failures")</f>
        <v>0 Failures</v>
      </c>
      <c r="M1146" t="str">
        <f t="shared" si="53"/>
        <v>5-10 hrs</v>
      </c>
      <c r="N1146" t="str">
        <f t="shared" si="51"/>
        <v>0-3months</v>
      </c>
      <c r="O1146" t="str">
        <f t="shared" si="52"/>
        <v>Basic</v>
      </c>
      <c r="P1146" s="7">
        <v>45657</v>
      </c>
    </row>
    <row r="1147" spans="1:16" x14ac:dyDescent="0.3">
      <c r="A1147">
        <v>1146</v>
      </c>
      <c r="B1147" s="7">
        <v>45602</v>
      </c>
      <c r="C1147" t="s">
        <v>14</v>
      </c>
      <c r="D1147">
        <v>399</v>
      </c>
      <c r="E1147">
        <v>21.8</v>
      </c>
      <c r="F1147">
        <v>8</v>
      </c>
      <c r="G1147">
        <v>3</v>
      </c>
      <c r="H1147">
        <v>8</v>
      </c>
      <c r="I1147">
        <v>10</v>
      </c>
      <c r="J1147" t="s">
        <v>13</v>
      </c>
      <c r="K1147">
        <f>IF(J1147="Yes", 1, 0)</f>
        <v>0</v>
      </c>
      <c r="L1147" t="str">
        <f>IF(G1147=0,"0 Failures","1+ Failures")</f>
        <v>1+ Failures</v>
      </c>
      <c r="M1147" t="str">
        <f t="shared" si="53"/>
        <v>20+ hrs</v>
      </c>
      <c r="N1147" t="str">
        <f t="shared" si="51"/>
        <v>6-12months</v>
      </c>
      <c r="O1147" t="str">
        <f t="shared" si="52"/>
        <v>Basic</v>
      </c>
      <c r="P1147" s="7">
        <v>45657</v>
      </c>
    </row>
    <row r="1148" spans="1:16" x14ac:dyDescent="0.3">
      <c r="A1148">
        <v>1147</v>
      </c>
      <c r="B1148" s="7">
        <v>45510</v>
      </c>
      <c r="C1148" t="s">
        <v>10</v>
      </c>
      <c r="D1148">
        <v>699</v>
      </c>
      <c r="E1148">
        <v>2.1</v>
      </c>
      <c r="F1148">
        <v>2</v>
      </c>
      <c r="G1148">
        <v>5</v>
      </c>
      <c r="H1148">
        <v>12</v>
      </c>
      <c r="I1148">
        <v>4</v>
      </c>
      <c r="J1148" t="s">
        <v>11</v>
      </c>
      <c r="K1148">
        <f>IF(J1148="Yes", 1, 0)</f>
        <v>1</v>
      </c>
      <c r="L1148" t="str">
        <f>IF(G1148=0,"0 Failures","1+ Failures")</f>
        <v>1+ Failures</v>
      </c>
      <c r="M1148" t="str">
        <f t="shared" si="53"/>
        <v>0-5 hrs</v>
      </c>
      <c r="N1148" t="str">
        <f t="shared" si="51"/>
        <v>6-12months</v>
      </c>
      <c r="O1148" t="str">
        <f t="shared" si="52"/>
        <v>Premium</v>
      </c>
      <c r="P1148" s="7">
        <v>45657</v>
      </c>
    </row>
    <row r="1149" spans="1:16" x14ac:dyDescent="0.3">
      <c r="A1149">
        <v>1148</v>
      </c>
      <c r="B1149" s="7">
        <v>45636</v>
      </c>
      <c r="C1149" t="s">
        <v>12</v>
      </c>
      <c r="D1149">
        <v>199</v>
      </c>
      <c r="E1149">
        <v>18.399999999999999</v>
      </c>
      <c r="F1149">
        <v>4</v>
      </c>
      <c r="G1149">
        <v>1</v>
      </c>
      <c r="H1149">
        <v>34</v>
      </c>
      <c r="I1149">
        <v>54</v>
      </c>
      <c r="J1149" t="s">
        <v>13</v>
      </c>
      <c r="K1149">
        <f>IF(J1149="Yes", 1, 0)</f>
        <v>0</v>
      </c>
      <c r="L1149" t="str">
        <f>IF(G1149=0,"0 Failures","1+ Failures")</f>
        <v>1+ Failures</v>
      </c>
      <c r="M1149" t="str">
        <f t="shared" si="53"/>
        <v>10-20hrs</v>
      </c>
      <c r="N1149" t="str">
        <f t="shared" si="51"/>
        <v>12+ months</v>
      </c>
      <c r="O1149" t="str">
        <f t="shared" si="52"/>
        <v>Basic</v>
      </c>
      <c r="P1149" s="7">
        <v>45657</v>
      </c>
    </row>
    <row r="1150" spans="1:16" x14ac:dyDescent="0.3">
      <c r="A1150">
        <v>1149</v>
      </c>
      <c r="B1150" s="7">
        <v>45583</v>
      </c>
      <c r="C1150" t="s">
        <v>10</v>
      </c>
      <c r="D1150">
        <v>699</v>
      </c>
      <c r="E1150">
        <v>15.6</v>
      </c>
      <c r="F1150">
        <v>8</v>
      </c>
      <c r="G1150">
        <v>3</v>
      </c>
      <c r="H1150">
        <v>35</v>
      </c>
      <c r="I1150">
        <v>0</v>
      </c>
      <c r="J1150" t="s">
        <v>13</v>
      </c>
      <c r="K1150">
        <f>IF(J1150="Yes", 1, 0)</f>
        <v>0</v>
      </c>
      <c r="L1150" t="str">
        <f>IF(G1150=0,"0 Failures","1+ Failures")</f>
        <v>1+ Failures</v>
      </c>
      <c r="M1150" t="str">
        <f t="shared" si="53"/>
        <v>10-20hrs</v>
      </c>
      <c r="N1150" t="str">
        <f t="shared" si="51"/>
        <v>12+ months</v>
      </c>
      <c r="O1150" t="str">
        <f t="shared" si="52"/>
        <v>Premium</v>
      </c>
      <c r="P1150" s="7">
        <v>45657</v>
      </c>
    </row>
    <row r="1151" spans="1:16" x14ac:dyDescent="0.3">
      <c r="A1151">
        <v>1150</v>
      </c>
      <c r="B1151" s="7">
        <v>45207</v>
      </c>
      <c r="C1151" t="s">
        <v>10</v>
      </c>
      <c r="D1151">
        <v>699</v>
      </c>
      <c r="E1151">
        <v>21.4</v>
      </c>
      <c r="F1151">
        <v>5</v>
      </c>
      <c r="G1151">
        <v>3</v>
      </c>
      <c r="H1151">
        <v>4</v>
      </c>
      <c r="I1151">
        <v>54</v>
      </c>
      <c r="J1151" t="s">
        <v>13</v>
      </c>
      <c r="K1151">
        <f>IF(J1151="Yes", 1, 0)</f>
        <v>0</v>
      </c>
      <c r="L1151" t="str">
        <f>IF(G1151=0,"0 Failures","1+ Failures")</f>
        <v>1+ Failures</v>
      </c>
      <c r="M1151" t="str">
        <f t="shared" si="53"/>
        <v>20+ hrs</v>
      </c>
      <c r="N1151" t="str">
        <f t="shared" si="51"/>
        <v>3-6months</v>
      </c>
      <c r="O1151" t="str">
        <f t="shared" si="52"/>
        <v>Premium</v>
      </c>
      <c r="P1151" s="7">
        <v>45657</v>
      </c>
    </row>
    <row r="1152" spans="1:16" x14ac:dyDescent="0.3">
      <c r="A1152">
        <v>1151</v>
      </c>
      <c r="B1152" s="7">
        <v>45156</v>
      </c>
      <c r="C1152" t="s">
        <v>12</v>
      </c>
      <c r="D1152">
        <v>199</v>
      </c>
      <c r="E1152">
        <v>11.9</v>
      </c>
      <c r="F1152">
        <v>5</v>
      </c>
      <c r="G1152">
        <v>4</v>
      </c>
      <c r="H1152">
        <v>34</v>
      </c>
      <c r="I1152">
        <v>48</v>
      </c>
      <c r="J1152" t="s">
        <v>11</v>
      </c>
      <c r="K1152">
        <f>IF(J1152="Yes", 1, 0)</f>
        <v>1</v>
      </c>
      <c r="L1152" t="str">
        <f>IF(G1152=0,"0 Failures","1+ Failures")</f>
        <v>1+ Failures</v>
      </c>
      <c r="M1152" t="str">
        <f t="shared" si="53"/>
        <v>10-20hrs</v>
      </c>
      <c r="N1152" t="str">
        <f t="shared" si="51"/>
        <v>12+ months</v>
      </c>
      <c r="O1152" t="str">
        <f t="shared" si="52"/>
        <v>Basic</v>
      </c>
      <c r="P1152" s="7">
        <v>45657</v>
      </c>
    </row>
    <row r="1153" spans="1:16" x14ac:dyDescent="0.3">
      <c r="A1153">
        <v>1152</v>
      </c>
      <c r="B1153" s="7">
        <v>45126</v>
      </c>
      <c r="C1153" t="s">
        <v>12</v>
      </c>
      <c r="D1153">
        <v>199</v>
      </c>
      <c r="E1153">
        <v>23</v>
      </c>
      <c r="F1153">
        <v>8</v>
      </c>
      <c r="G1153">
        <v>3</v>
      </c>
      <c r="H1153">
        <v>18</v>
      </c>
      <c r="I1153">
        <v>20</v>
      </c>
      <c r="J1153" t="s">
        <v>11</v>
      </c>
      <c r="K1153">
        <f>IF(J1153="Yes", 1, 0)</f>
        <v>1</v>
      </c>
      <c r="L1153" t="str">
        <f>IF(G1153=0,"0 Failures","1+ Failures")</f>
        <v>1+ Failures</v>
      </c>
      <c r="M1153" t="str">
        <f t="shared" si="53"/>
        <v>20+ hrs</v>
      </c>
      <c r="N1153" t="str">
        <f t="shared" si="51"/>
        <v>12+ months</v>
      </c>
      <c r="O1153" t="str">
        <f t="shared" si="52"/>
        <v>Basic</v>
      </c>
      <c r="P1153" s="7">
        <v>45657</v>
      </c>
    </row>
    <row r="1154" spans="1:16" x14ac:dyDescent="0.3">
      <c r="A1154">
        <v>1153</v>
      </c>
      <c r="B1154" s="7">
        <v>45360</v>
      </c>
      <c r="C1154" t="s">
        <v>14</v>
      </c>
      <c r="D1154">
        <v>399</v>
      </c>
      <c r="E1154">
        <v>22.1</v>
      </c>
      <c r="F1154">
        <v>0</v>
      </c>
      <c r="G1154">
        <v>5</v>
      </c>
      <c r="H1154">
        <v>6</v>
      </c>
      <c r="I1154">
        <v>14</v>
      </c>
      <c r="J1154" t="s">
        <v>13</v>
      </c>
      <c r="K1154">
        <f>IF(J1154="Yes", 1, 0)</f>
        <v>0</v>
      </c>
      <c r="L1154" t="str">
        <f>IF(G1154=0,"0 Failures","1+ Failures")</f>
        <v>1+ Failures</v>
      </c>
      <c r="M1154" t="str">
        <f t="shared" si="53"/>
        <v>20+ hrs</v>
      </c>
      <c r="N1154" t="str">
        <f t="shared" si="51"/>
        <v>3-6months</v>
      </c>
      <c r="O1154" t="str">
        <f t="shared" si="52"/>
        <v>Basic</v>
      </c>
      <c r="P1154" s="7">
        <v>45657</v>
      </c>
    </row>
    <row r="1155" spans="1:16" x14ac:dyDescent="0.3">
      <c r="A1155">
        <v>1154</v>
      </c>
      <c r="B1155" s="7">
        <v>45026</v>
      </c>
      <c r="C1155" t="s">
        <v>12</v>
      </c>
      <c r="D1155">
        <v>199</v>
      </c>
      <c r="E1155">
        <v>5.3</v>
      </c>
      <c r="F1155">
        <v>5</v>
      </c>
      <c r="G1155">
        <v>2</v>
      </c>
      <c r="H1155">
        <v>16</v>
      </c>
      <c r="I1155">
        <v>4</v>
      </c>
      <c r="J1155" t="s">
        <v>13</v>
      </c>
      <c r="K1155">
        <f>IF(J1155="Yes", 1, 0)</f>
        <v>0</v>
      </c>
      <c r="L1155" t="str">
        <f>IF(G1155=0,"0 Failures","1+ Failures")</f>
        <v>1+ Failures</v>
      </c>
      <c r="M1155" t="str">
        <f t="shared" si="53"/>
        <v>5-10 hrs</v>
      </c>
      <c r="N1155" t="str">
        <f t="shared" ref="N1155:N1218" si="54">IF(H1155&lt;=3, "0-3months", IF(H1155&lt;=6, "3-6months", IF(H1155&lt;=12, "6-12months", "12+ months")))</f>
        <v>12+ months</v>
      </c>
      <c r="O1155" t="str">
        <f t="shared" ref="O1155:O1218" si="55">IF(C1155="premium", "Premium", "Basic")</f>
        <v>Basic</v>
      </c>
      <c r="P1155" s="7">
        <v>45657</v>
      </c>
    </row>
    <row r="1156" spans="1:16" x14ac:dyDescent="0.3">
      <c r="A1156">
        <v>1155</v>
      </c>
      <c r="B1156" s="7">
        <v>45269</v>
      </c>
      <c r="C1156" t="s">
        <v>12</v>
      </c>
      <c r="D1156">
        <v>199</v>
      </c>
      <c r="E1156">
        <v>11.1</v>
      </c>
      <c r="F1156">
        <v>0</v>
      </c>
      <c r="G1156">
        <v>4</v>
      </c>
      <c r="H1156">
        <v>31</v>
      </c>
      <c r="I1156">
        <v>51</v>
      </c>
      <c r="J1156" t="s">
        <v>13</v>
      </c>
      <c r="K1156">
        <f>IF(J1156="Yes", 1, 0)</f>
        <v>0</v>
      </c>
      <c r="L1156" t="str">
        <f>IF(G1156=0,"0 Failures","1+ Failures")</f>
        <v>1+ Failures</v>
      </c>
      <c r="M1156" t="str">
        <f t="shared" si="53"/>
        <v>10-20hrs</v>
      </c>
      <c r="N1156" t="str">
        <f t="shared" si="54"/>
        <v>12+ months</v>
      </c>
      <c r="O1156" t="str">
        <f t="shared" si="55"/>
        <v>Basic</v>
      </c>
      <c r="P1156" s="7">
        <v>45657</v>
      </c>
    </row>
    <row r="1157" spans="1:16" x14ac:dyDescent="0.3">
      <c r="A1157">
        <v>1156</v>
      </c>
      <c r="B1157" s="7">
        <v>45268</v>
      </c>
      <c r="C1157" t="s">
        <v>14</v>
      </c>
      <c r="D1157">
        <v>399</v>
      </c>
      <c r="E1157">
        <v>3.1</v>
      </c>
      <c r="F1157">
        <v>3</v>
      </c>
      <c r="G1157">
        <v>2</v>
      </c>
      <c r="H1157">
        <v>16</v>
      </c>
      <c r="I1157">
        <v>53</v>
      </c>
      <c r="J1157" t="s">
        <v>11</v>
      </c>
      <c r="K1157">
        <f>IF(J1157="Yes", 1, 0)</f>
        <v>1</v>
      </c>
      <c r="L1157" t="str">
        <f>IF(G1157=0,"0 Failures","1+ Failures")</f>
        <v>1+ Failures</v>
      </c>
      <c r="M1157" t="str">
        <f t="shared" si="53"/>
        <v>0-5 hrs</v>
      </c>
      <c r="N1157" t="str">
        <f t="shared" si="54"/>
        <v>12+ months</v>
      </c>
      <c r="O1157" t="str">
        <f t="shared" si="55"/>
        <v>Basic</v>
      </c>
      <c r="P1157" s="7">
        <v>45657</v>
      </c>
    </row>
    <row r="1158" spans="1:16" x14ac:dyDescent="0.3">
      <c r="A1158">
        <v>1157</v>
      </c>
      <c r="B1158" s="7">
        <v>45054</v>
      </c>
      <c r="C1158" t="s">
        <v>10</v>
      </c>
      <c r="D1158">
        <v>699</v>
      </c>
      <c r="E1158">
        <v>23.6</v>
      </c>
      <c r="F1158">
        <v>7</v>
      </c>
      <c r="G1158">
        <v>0</v>
      </c>
      <c r="H1158">
        <v>16</v>
      </c>
      <c r="I1158">
        <v>40</v>
      </c>
      <c r="J1158" t="s">
        <v>11</v>
      </c>
      <c r="K1158">
        <f>IF(J1158="Yes", 1, 0)</f>
        <v>1</v>
      </c>
      <c r="L1158" t="str">
        <f>IF(G1158=0,"0 Failures","1+ Failures")</f>
        <v>0 Failures</v>
      </c>
      <c r="M1158" t="str">
        <f t="shared" si="53"/>
        <v>20+ hrs</v>
      </c>
      <c r="N1158" t="str">
        <f t="shared" si="54"/>
        <v>12+ months</v>
      </c>
      <c r="O1158" t="str">
        <f t="shared" si="55"/>
        <v>Premium</v>
      </c>
      <c r="P1158" s="7">
        <v>45657</v>
      </c>
    </row>
    <row r="1159" spans="1:16" x14ac:dyDescent="0.3">
      <c r="A1159">
        <v>1158</v>
      </c>
      <c r="B1159" s="7">
        <v>44993</v>
      </c>
      <c r="C1159" t="s">
        <v>12</v>
      </c>
      <c r="D1159">
        <v>199</v>
      </c>
      <c r="E1159">
        <v>23</v>
      </c>
      <c r="F1159">
        <v>6</v>
      </c>
      <c r="G1159">
        <v>2</v>
      </c>
      <c r="H1159">
        <v>4</v>
      </c>
      <c r="I1159">
        <v>56</v>
      </c>
      <c r="J1159" t="s">
        <v>13</v>
      </c>
      <c r="K1159">
        <f>IF(J1159="Yes", 1, 0)</f>
        <v>0</v>
      </c>
      <c r="L1159" t="str">
        <f>IF(G1159=0,"0 Failures","1+ Failures")</f>
        <v>1+ Failures</v>
      </c>
      <c r="M1159" t="str">
        <f t="shared" si="53"/>
        <v>20+ hrs</v>
      </c>
      <c r="N1159" t="str">
        <f t="shared" si="54"/>
        <v>3-6months</v>
      </c>
      <c r="O1159" t="str">
        <f t="shared" si="55"/>
        <v>Basic</v>
      </c>
      <c r="P1159" s="7">
        <v>45657</v>
      </c>
    </row>
    <row r="1160" spans="1:16" x14ac:dyDescent="0.3">
      <c r="A1160">
        <v>1159</v>
      </c>
      <c r="B1160" s="7">
        <v>45369</v>
      </c>
      <c r="C1160" t="s">
        <v>12</v>
      </c>
      <c r="D1160">
        <v>199</v>
      </c>
      <c r="E1160">
        <v>23</v>
      </c>
      <c r="F1160">
        <v>7</v>
      </c>
      <c r="G1160">
        <v>0</v>
      </c>
      <c r="H1160">
        <v>4</v>
      </c>
      <c r="I1160">
        <v>19</v>
      </c>
      <c r="J1160" t="s">
        <v>13</v>
      </c>
      <c r="K1160">
        <f>IF(J1160="Yes", 1, 0)</f>
        <v>0</v>
      </c>
      <c r="L1160" t="str">
        <f>IF(G1160=0,"0 Failures","1+ Failures")</f>
        <v>0 Failures</v>
      </c>
      <c r="M1160" t="str">
        <f t="shared" si="53"/>
        <v>20+ hrs</v>
      </c>
      <c r="N1160" t="str">
        <f t="shared" si="54"/>
        <v>3-6months</v>
      </c>
      <c r="O1160" t="str">
        <f t="shared" si="55"/>
        <v>Basic</v>
      </c>
      <c r="P1160" s="7">
        <v>45657</v>
      </c>
    </row>
    <row r="1161" spans="1:16" x14ac:dyDescent="0.3">
      <c r="A1161">
        <v>1160</v>
      </c>
      <c r="B1161" s="7">
        <v>45338</v>
      </c>
      <c r="C1161" t="s">
        <v>12</v>
      </c>
      <c r="D1161">
        <v>199</v>
      </c>
      <c r="E1161">
        <v>17.100000000000001</v>
      </c>
      <c r="F1161">
        <v>8</v>
      </c>
      <c r="G1161">
        <v>0</v>
      </c>
      <c r="H1161">
        <v>7</v>
      </c>
      <c r="I1161">
        <v>18</v>
      </c>
      <c r="J1161" t="s">
        <v>13</v>
      </c>
      <c r="K1161">
        <f>IF(J1161="Yes", 1, 0)</f>
        <v>0</v>
      </c>
      <c r="L1161" t="str">
        <f>IF(G1161=0,"0 Failures","1+ Failures")</f>
        <v>0 Failures</v>
      </c>
      <c r="M1161" t="str">
        <f t="shared" si="53"/>
        <v>10-20hrs</v>
      </c>
      <c r="N1161" t="str">
        <f t="shared" si="54"/>
        <v>6-12months</v>
      </c>
      <c r="O1161" t="str">
        <f t="shared" si="55"/>
        <v>Basic</v>
      </c>
      <c r="P1161" s="7">
        <v>45657</v>
      </c>
    </row>
    <row r="1162" spans="1:16" x14ac:dyDescent="0.3">
      <c r="A1162">
        <v>1161</v>
      </c>
      <c r="B1162" s="7">
        <v>45365</v>
      </c>
      <c r="C1162" t="s">
        <v>12</v>
      </c>
      <c r="D1162">
        <v>199</v>
      </c>
      <c r="E1162">
        <v>6.2</v>
      </c>
      <c r="F1162">
        <v>0</v>
      </c>
      <c r="G1162">
        <v>3</v>
      </c>
      <c r="H1162">
        <v>27</v>
      </c>
      <c r="I1162">
        <v>24</v>
      </c>
      <c r="J1162" t="s">
        <v>11</v>
      </c>
      <c r="K1162">
        <f>IF(J1162="Yes", 1, 0)</f>
        <v>1</v>
      </c>
      <c r="L1162" t="str">
        <f>IF(G1162=0,"0 Failures","1+ Failures")</f>
        <v>1+ Failures</v>
      </c>
      <c r="M1162" t="str">
        <f t="shared" si="53"/>
        <v>5-10 hrs</v>
      </c>
      <c r="N1162" t="str">
        <f t="shared" si="54"/>
        <v>12+ months</v>
      </c>
      <c r="O1162" t="str">
        <f t="shared" si="55"/>
        <v>Basic</v>
      </c>
      <c r="P1162" s="7">
        <v>45657</v>
      </c>
    </row>
    <row r="1163" spans="1:16" x14ac:dyDescent="0.3">
      <c r="A1163">
        <v>1162</v>
      </c>
      <c r="B1163" s="7">
        <v>45124</v>
      </c>
      <c r="C1163" t="s">
        <v>10</v>
      </c>
      <c r="D1163">
        <v>699</v>
      </c>
      <c r="E1163">
        <v>8.8000000000000007</v>
      </c>
      <c r="F1163">
        <v>0</v>
      </c>
      <c r="G1163">
        <v>3</v>
      </c>
      <c r="H1163">
        <v>7</v>
      </c>
      <c r="I1163">
        <v>33</v>
      </c>
      <c r="J1163" t="s">
        <v>11</v>
      </c>
      <c r="K1163">
        <f>IF(J1163="Yes", 1, 0)</f>
        <v>1</v>
      </c>
      <c r="L1163" t="str">
        <f>IF(G1163=0,"0 Failures","1+ Failures")</f>
        <v>1+ Failures</v>
      </c>
      <c r="M1163" t="str">
        <f t="shared" ref="M1163:M1226" si="56">IF(E1163&lt;=5, "0-5 hrs",    IF(E1163&lt;=10, "5-10 hrs",    IF(E1163&lt;=20, "10-20hrs", "20+ hrs")))</f>
        <v>5-10 hrs</v>
      </c>
      <c r="N1163" t="str">
        <f t="shared" si="54"/>
        <v>6-12months</v>
      </c>
      <c r="O1163" t="str">
        <f t="shared" si="55"/>
        <v>Premium</v>
      </c>
      <c r="P1163" s="7">
        <v>45657</v>
      </c>
    </row>
    <row r="1164" spans="1:16" x14ac:dyDescent="0.3">
      <c r="A1164">
        <v>1163</v>
      </c>
      <c r="B1164" s="7">
        <v>45513</v>
      </c>
      <c r="C1164" t="s">
        <v>12</v>
      </c>
      <c r="D1164">
        <v>199</v>
      </c>
      <c r="E1164">
        <v>0.8</v>
      </c>
      <c r="F1164">
        <v>1</v>
      </c>
      <c r="G1164">
        <v>4</v>
      </c>
      <c r="H1164">
        <v>7</v>
      </c>
      <c r="I1164">
        <v>50</v>
      </c>
      <c r="J1164" t="s">
        <v>11</v>
      </c>
      <c r="K1164">
        <f>IF(J1164="Yes", 1, 0)</f>
        <v>1</v>
      </c>
      <c r="L1164" t="str">
        <f>IF(G1164=0,"0 Failures","1+ Failures")</f>
        <v>1+ Failures</v>
      </c>
      <c r="M1164" t="str">
        <f t="shared" si="56"/>
        <v>0-5 hrs</v>
      </c>
      <c r="N1164" t="str">
        <f t="shared" si="54"/>
        <v>6-12months</v>
      </c>
      <c r="O1164" t="str">
        <f t="shared" si="55"/>
        <v>Basic</v>
      </c>
      <c r="P1164" s="7">
        <v>45657</v>
      </c>
    </row>
    <row r="1165" spans="1:16" x14ac:dyDescent="0.3">
      <c r="A1165">
        <v>1164</v>
      </c>
      <c r="B1165" s="7">
        <v>45117</v>
      </c>
      <c r="C1165" t="s">
        <v>12</v>
      </c>
      <c r="D1165">
        <v>199</v>
      </c>
      <c r="E1165">
        <v>6.8</v>
      </c>
      <c r="F1165">
        <v>6</v>
      </c>
      <c r="G1165">
        <v>3</v>
      </c>
      <c r="H1165">
        <v>33</v>
      </c>
      <c r="I1165">
        <v>46</v>
      </c>
      <c r="J1165" t="s">
        <v>11</v>
      </c>
      <c r="K1165">
        <f>IF(J1165="Yes", 1, 0)</f>
        <v>1</v>
      </c>
      <c r="L1165" t="str">
        <f>IF(G1165=0,"0 Failures","1+ Failures")</f>
        <v>1+ Failures</v>
      </c>
      <c r="M1165" t="str">
        <f t="shared" si="56"/>
        <v>5-10 hrs</v>
      </c>
      <c r="N1165" t="str">
        <f t="shared" si="54"/>
        <v>12+ months</v>
      </c>
      <c r="O1165" t="str">
        <f t="shared" si="55"/>
        <v>Basic</v>
      </c>
      <c r="P1165" s="7">
        <v>45657</v>
      </c>
    </row>
    <row r="1166" spans="1:16" x14ac:dyDescent="0.3">
      <c r="A1166">
        <v>1165</v>
      </c>
      <c r="B1166" s="7">
        <v>45452</v>
      </c>
      <c r="C1166" t="s">
        <v>12</v>
      </c>
      <c r="D1166">
        <v>199</v>
      </c>
      <c r="E1166">
        <v>20</v>
      </c>
      <c r="F1166">
        <v>0</v>
      </c>
      <c r="G1166">
        <v>1</v>
      </c>
      <c r="H1166">
        <v>9</v>
      </c>
      <c r="I1166">
        <v>19</v>
      </c>
      <c r="J1166" t="s">
        <v>13</v>
      </c>
      <c r="K1166">
        <f>IF(J1166="Yes", 1, 0)</f>
        <v>0</v>
      </c>
      <c r="L1166" t="str">
        <f>IF(G1166=0,"0 Failures","1+ Failures")</f>
        <v>1+ Failures</v>
      </c>
      <c r="M1166" t="str">
        <f t="shared" si="56"/>
        <v>10-20hrs</v>
      </c>
      <c r="N1166" t="str">
        <f t="shared" si="54"/>
        <v>6-12months</v>
      </c>
      <c r="O1166" t="str">
        <f t="shared" si="55"/>
        <v>Basic</v>
      </c>
      <c r="P1166" s="7">
        <v>45657</v>
      </c>
    </row>
    <row r="1167" spans="1:16" x14ac:dyDescent="0.3">
      <c r="A1167">
        <v>1166</v>
      </c>
      <c r="B1167" s="7">
        <v>45544</v>
      </c>
      <c r="C1167" t="s">
        <v>10</v>
      </c>
      <c r="D1167">
        <v>699</v>
      </c>
      <c r="E1167">
        <v>8.1</v>
      </c>
      <c r="F1167">
        <v>8</v>
      </c>
      <c r="G1167">
        <v>1</v>
      </c>
      <c r="H1167">
        <v>23</v>
      </c>
      <c r="I1167">
        <v>9</v>
      </c>
      <c r="J1167" t="s">
        <v>13</v>
      </c>
      <c r="K1167">
        <f>IF(J1167="Yes", 1, 0)</f>
        <v>0</v>
      </c>
      <c r="L1167" t="str">
        <f>IF(G1167=0,"0 Failures","1+ Failures")</f>
        <v>1+ Failures</v>
      </c>
      <c r="M1167" t="str">
        <f t="shared" si="56"/>
        <v>5-10 hrs</v>
      </c>
      <c r="N1167" t="str">
        <f t="shared" si="54"/>
        <v>12+ months</v>
      </c>
      <c r="O1167" t="str">
        <f t="shared" si="55"/>
        <v>Premium</v>
      </c>
      <c r="P1167" s="7">
        <v>45657</v>
      </c>
    </row>
    <row r="1168" spans="1:16" x14ac:dyDescent="0.3">
      <c r="A1168">
        <v>1167</v>
      </c>
      <c r="B1168" s="7">
        <v>45075</v>
      </c>
      <c r="C1168" t="s">
        <v>14</v>
      </c>
      <c r="D1168">
        <v>399</v>
      </c>
      <c r="E1168">
        <v>9.5</v>
      </c>
      <c r="F1168">
        <v>0</v>
      </c>
      <c r="G1168">
        <v>4</v>
      </c>
      <c r="H1168">
        <v>19</v>
      </c>
      <c r="I1168">
        <v>37</v>
      </c>
      <c r="J1168" t="s">
        <v>13</v>
      </c>
      <c r="K1168">
        <f>IF(J1168="Yes", 1, 0)</f>
        <v>0</v>
      </c>
      <c r="L1168" t="str">
        <f>IF(G1168=0,"0 Failures","1+ Failures")</f>
        <v>1+ Failures</v>
      </c>
      <c r="M1168" t="str">
        <f t="shared" si="56"/>
        <v>5-10 hrs</v>
      </c>
      <c r="N1168" t="str">
        <f t="shared" si="54"/>
        <v>12+ months</v>
      </c>
      <c r="O1168" t="str">
        <f t="shared" si="55"/>
        <v>Basic</v>
      </c>
      <c r="P1168" s="7">
        <v>45657</v>
      </c>
    </row>
    <row r="1169" spans="1:16" x14ac:dyDescent="0.3">
      <c r="A1169">
        <v>1168</v>
      </c>
      <c r="B1169" s="7">
        <v>45132</v>
      </c>
      <c r="C1169" t="s">
        <v>12</v>
      </c>
      <c r="D1169">
        <v>199</v>
      </c>
      <c r="E1169">
        <v>12.9</v>
      </c>
      <c r="F1169">
        <v>8</v>
      </c>
      <c r="G1169">
        <v>0</v>
      </c>
      <c r="H1169">
        <v>16</v>
      </c>
      <c r="I1169">
        <v>27</v>
      </c>
      <c r="J1169" t="s">
        <v>11</v>
      </c>
      <c r="K1169">
        <f>IF(J1169="Yes", 1, 0)</f>
        <v>1</v>
      </c>
      <c r="L1169" t="str">
        <f>IF(G1169=0,"0 Failures","1+ Failures")</f>
        <v>0 Failures</v>
      </c>
      <c r="M1169" t="str">
        <f t="shared" si="56"/>
        <v>10-20hrs</v>
      </c>
      <c r="N1169" t="str">
        <f t="shared" si="54"/>
        <v>12+ months</v>
      </c>
      <c r="O1169" t="str">
        <f t="shared" si="55"/>
        <v>Basic</v>
      </c>
      <c r="P1169" s="7">
        <v>45657</v>
      </c>
    </row>
    <row r="1170" spans="1:16" x14ac:dyDescent="0.3">
      <c r="A1170">
        <v>1169</v>
      </c>
      <c r="B1170" s="7">
        <v>45635</v>
      </c>
      <c r="C1170" t="s">
        <v>10</v>
      </c>
      <c r="D1170">
        <v>699</v>
      </c>
      <c r="E1170">
        <v>19.7</v>
      </c>
      <c r="F1170">
        <v>5</v>
      </c>
      <c r="G1170">
        <v>1</v>
      </c>
      <c r="H1170">
        <v>13</v>
      </c>
      <c r="I1170">
        <v>42</v>
      </c>
      <c r="J1170" t="s">
        <v>11</v>
      </c>
      <c r="K1170">
        <f>IF(J1170="Yes", 1, 0)</f>
        <v>1</v>
      </c>
      <c r="L1170" t="str">
        <f>IF(G1170=0,"0 Failures","1+ Failures")</f>
        <v>1+ Failures</v>
      </c>
      <c r="M1170" t="str">
        <f t="shared" si="56"/>
        <v>10-20hrs</v>
      </c>
      <c r="N1170" t="str">
        <f t="shared" si="54"/>
        <v>12+ months</v>
      </c>
      <c r="O1170" t="str">
        <f t="shared" si="55"/>
        <v>Premium</v>
      </c>
      <c r="P1170" s="7">
        <v>45657</v>
      </c>
    </row>
    <row r="1171" spans="1:16" x14ac:dyDescent="0.3">
      <c r="A1171">
        <v>1170</v>
      </c>
      <c r="B1171" s="7">
        <v>45093</v>
      </c>
      <c r="C1171" t="s">
        <v>14</v>
      </c>
      <c r="D1171">
        <v>399</v>
      </c>
      <c r="E1171">
        <v>21.4</v>
      </c>
      <c r="F1171">
        <v>5</v>
      </c>
      <c r="G1171">
        <v>4</v>
      </c>
      <c r="H1171">
        <v>22</v>
      </c>
      <c r="I1171">
        <v>19</v>
      </c>
      <c r="J1171" t="s">
        <v>11</v>
      </c>
      <c r="K1171">
        <f>IF(J1171="Yes", 1, 0)</f>
        <v>1</v>
      </c>
      <c r="L1171" t="str">
        <f>IF(G1171=0,"0 Failures","1+ Failures")</f>
        <v>1+ Failures</v>
      </c>
      <c r="M1171" t="str">
        <f t="shared" si="56"/>
        <v>20+ hrs</v>
      </c>
      <c r="N1171" t="str">
        <f t="shared" si="54"/>
        <v>12+ months</v>
      </c>
      <c r="O1171" t="str">
        <f t="shared" si="55"/>
        <v>Basic</v>
      </c>
      <c r="P1171" s="7">
        <v>45657</v>
      </c>
    </row>
    <row r="1172" spans="1:16" x14ac:dyDescent="0.3">
      <c r="A1172">
        <v>1171</v>
      </c>
      <c r="B1172" s="7">
        <v>45581</v>
      </c>
      <c r="C1172" t="s">
        <v>12</v>
      </c>
      <c r="D1172">
        <v>199</v>
      </c>
      <c r="E1172">
        <v>22</v>
      </c>
      <c r="F1172">
        <v>0</v>
      </c>
      <c r="G1172">
        <v>3</v>
      </c>
      <c r="H1172">
        <v>30</v>
      </c>
      <c r="I1172">
        <v>14</v>
      </c>
      <c r="J1172" t="s">
        <v>13</v>
      </c>
      <c r="K1172">
        <f>IF(J1172="Yes", 1, 0)</f>
        <v>0</v>
      </c>
      <c r="L1172" t="str">
        <f>IF(G1172=0,"0 Failures","1+ Failures")</f>
        <v>1+ Failures</v>
      </c>
      <c r="M1172" t="str">
        <f t="shared" si="56"/>
        <v>20+ hrs</v>
      </c>
      <c r="N1172" t="str">
        <f t="shared" si="54"/>
        <v>12+ months</v>
      </c>
      <c r="O1172" t="str">
        <f t="shared" si="55"/>
        <v>Basic</v>
      </c>
      <c r="P1172" s="7">
        <v>45657</v>
      </c>
    </row>
    <row r="1173" spans="1:16" x14ac:dyDescent="0.3">
      <c r="A1173">
        <v>1172</v>
      </c>
      <c r="B1173" s="7">
        <v>45266</v>
      </c>
      <c r="C1173" t="s">
        <v>12</v>
      </c>
      <c r="D1173">
        <v>199</v>
      </c>
      <c r="E1173">
        <v>11.9</v>
      </c>
      <c r="F1173">
        <v>3</v>
      </c>
      <c r="G1173">
        <v>1</v>
      </c>
      <c r="H1173">
        <v>15</v>
      </c>
      <c r="I1173">
        <v>30</v>
      </c>
      <c r="J1173" t="s">
        <v>13</v>
      </c>
      <c r="K1173">
        <f>IF(J1173="Yes", 1, 0)</f>
        <v>0</v>
      </c>
      <c r="L1173" t="str">
        <f>IF(G1173=0,"0 Failures","1+ Failures")</f>
        <v>1+ Failures</v>
      </c>
      <c r="M1173" t="str">
        <f t="shared" si="56"/>
        <v>10-20hrs</v>
      </c>
      <c r="N1173" t="str">
        <f t="shared" si="54"/>
        <v>12+ months</v>
      </c>
      <c r="O1173" t="str">
        <f t="shared" si="55"/>
        <v>Basic</v>
      </c>
      <c r="P1173" s="7">
        <v>45657</v>
      </c>
    </row>
    <row r="1174" spans="1:16" x14ac:dyDescent="0.3">
      <c r="A1174">
        <v>1173</v>
      </c>
      <c r="B1174" s="7">
        <v>45293</v>
      </c>
      <c r="C1174" t="s">
        <v>10</v>
      </c>
      <c r="D1174">
        <v>699</v>
      </c>
      <c r="E1174">
        <v>5.5</v>
      </c>
      <c r="F1174">
        <v>2</v>
      </c>
      <c r="G1174">
        <v>0</v>
      </c>
      <c r="H1174">
        <v>25</v>
      </c>
      <c r="I1174">
        <v>23</v>
      </c>
      <c r="J1174" t="s">
        <v>11</v>
      </c>
      <c r="K1174">
        <f>IF(J1174="Yes", 1, 0)</f>
        <v>1</v>
      </c>
      <c r="L1174" t="str">
        <f>IF(G1174=0,"0 Failures","1+ Failures")</f>
        <v>0 Failures</v>
      </c>
      <c r="M1174" t="str">
        <f t="shared" si="56"/>
        <v>5-10 hrs</v>
      </c>
      <c r="N1174" t="str">
        <f t="shared" si="54"/>
        <v>12+ months</v>
      </c>
      <c r="O1174" t="str">
        <f t="shared" si="55"/>
        <v>Premium</v>
      </c>
      <c r="P1174" s="7">
        <v>45657</v>
      </c>
    </row>
    <row r="1175" spans="1:16" x14ac:dyDescent="0.3">
      <c r="A1175">
        <v>1174</v>
      </c>
      <c r="B1175" s="7">
        <v>45295</v>
      </c>
      <c r="C1175" t="s">
        <v>12</v>
      </c>
      <c r="D1175">
        <v>199</v>
      </c>
      <c r="E1175">
        <v>3.3</v>
      </c>
      <c r="F1175">
        <v>4</v>
      </c>
      <c r="G1175">
        <v>3</v>
      </c>
      <c r="H1175">
        <v>36</v>
      </c>
      <c r="I1175">
        <v>12</v>
      </c>
      <c r="J1175" t="s">
        <v>11</v>
      </c>
      <c r="K1175">
        <f>IF(J1175="Yes", 1, 0)</f>
        <v>1</v>
      </c>
      <c r="L1175" t="str">
        <f>IF(G1175=0,"0 Failures","1+ Failures")</f>
        <v>1+ Failures</v>
      </c>
      <c r="M1175" t="str">
        <f t="shared" si="56"/>
        <v>0-5 hrs</v>
      </c>
      <c r="N1175" t="str">
        <f t="shared" si="54"/>
        <v>12+ months</v>
      </c>
      <c r="O1175" t="str">
        <f t="shared" si="55"/>
        <v>Basic</v>
      </c>
      <c r="P1175" s="7">
        <v>45657</v>
      </c>
    </row>
    <row r="1176" spans="1:16" x14ac:dyDescent="0.3">
      <c r="A1176">
        <v>1175</v>
      </c>
      <c r="B1176" s="7">
        <v>45105</v>
      </c>
      <c r="C1176" t="s">
        <v>12</v>
      </c>
      <c r="D1176">
        <v>199</v>
      </c>
      <c r="E1176">
        <v>5.4</v>
      </c>
      <c r="F1176">
        <v>4</v>
      </c>
      <c r="G1176">
        <v>1</v>
      </c>
      <c r="H1176">
        <v>2</v>
      </c>
      <c r="I1176">
        <v>14</v>
      </c>
      <c r="J1176" t="s">
        <v>13</v>
      </c>
      <c r="K1176">
        <f>IF(J1176="Yes", 1, 0)</f>
        <v>0</v>
      </c>
      <c r="L1176" t="str">
        <f>IF(G1176=0,"0 Failures","1+ Failures")</f>
        <v>1+ Failures</v>
      </c>
      <c r="M1176" t="str">
        <f t="shared" si="56"/>
        <v>5-10 hrs</v>
      </c>
      <c r="N1176" t="str">
        <f t="shared" si="54"/>
        <v>0-3months</v>
      </c>
      <c r="O1176" t="str">
        <f t="shared" si="55"/>
        <v>Basic</v>
      </c>
      <c r="P1176" s="7">
        <v>45657</v>
      </c>
    </row>
    <row r="1177" spans="1:16" x14ac:dyDescent="0.3">
      <c r="A1177">
        <v>1176</v>
      </c>
      <c r="B1177" s="7">
        <v>45030</v>
      </c>
      <c r="C1177" t="s">
        <v>14</v>
      </c>
      <c r="D1177">
        <v>399</v>
      </c>
      <c r="E1177">
        <v>6.5</v>
      </c>
      <c r="F1177">
        <v>3</v>
      </c>
      <c r="G1177">
        <v>0</v>
      </c>
      <c r="H1177">
        <v>36</v>
      </c>
      <c r="I1177">
        <v>11</v>
      </c>
      <c r="J1177" t="s">
        <v>13</v>
      </c>
      <c r="K1177">
        <f>IF(J1177="Yes", 1, 0)</f>
        <v>0</v>
      </c>
      <c r="L1177" t="str">
        <f>IF(G1177=0,"0 Failures","1+ Failures")</f>
        <v>0 Failures</v>
      </c>
      <c r="M1177" t="str">
        <f t="shared" si="56"/>
        <v>5-10 hrs</v>
      </c>
      <c r="N1177" t="str">
        <f t="shared" si="54"/>
        <v>12+ months</v>
      </c>
      <c r="O1177" t="str">
        <f t="shared" si="55"/>
        <v>Basic</v>
      </c>
      <c r="P1177" s="7">
        <v>45657</v>
      </c>
    </row>
    <row r="1178" spans="1:16" x14ac:dyDescent="0.3">
      <c r="A1178">
        <v>1177</v>
      </c>
      <c r="B1178" s="7">
        <v>45394</v>
      </c>
      <c r="C1178" t="s">
        <v>12</v>
      </c>
      <c r="D1178">
        <v>199</v>
      </c>
      <c r="E1178">
        <v>9.8000000000000007</v>
      </c>
      <c r="F1178">
        <v>1</v>
      </c>
      <c r="G1178">
        <v>2</v>
      </c>
      <c r="H1178">
        <v>9</v>
      </c>
      <c r="I1178">
        <v>59</v>
      </c>
      <c r="J1178" t="s">
        <v>11</v>
      </c>
      <c r="K1178">
        <f>IF(J1178="Yes", 1, 0)</f>
        <v>1</v>
      </c>
      <c r="L1178" t="str">
        <f>IF(G1178=0,"0 Failures","1+ Failures")</f>
        <v>1+ Failures</v>
      </c>
      <c r="M1178" t="str">
        <f t="shared" si="56"/>
        <v>5-10 hrs</v>
      </c>
      <c r="N1178" t="str">
        <f t="shared" si="54"/>
        <v>6-12months</v>
      </c>
      <c r="O1178" t="str">
        <f t="shared" si="55"/>
        <v>Basic</v>
      </c>
      <c r="P1178" s="7">
        <v>45657</v>
      </c>
    </row>
    <row r="1179" spans="1:16" x14ac:dyDescent="0.3">
      <c r="A1179">
        <v>1178</v>
      </c>
      <c r="B1179" s="7">
        <v>45371</v>
      </c>
      <c r="C1179" t="s">
        <v>12</v>
      </c>
      <c r="D1179">
        <v>199</v>
      </c>
      <c r="E1179">
        <v>20.3</v>
      </c>
      <c r="F1179">
        <v>2</v>
      </c>
      <c r="G1179">
        <v>4</v>
      </c>
      <c r="H1179">
        <v>24</v>
      </c>
      <c r="I1179">
        <v>51</v>
      </c>
      <c r="J1179" t="s">
        <v>13</v>
      </c>
      <c r="K1179">
        <f>IF(J1179="Yes", 1, 0)</f>
        <v>0</v>
      </c>
      <c r="L1179" t="str">
        <f>IF(G1179=0,"0 Failures","1+ Failures")</f>
        <v>1+ Failures</v>
      </c>
      <c r="M1179" t="str">
        <f t="shared" si="56"/>
        <v>20+ hrs</v>
      </c>
      <c r="N1179" t="str">
        <f t="shared" si="54"/>
        <v>12+ months</v>
      </c>
      <c r="O1179" t="str">
        <f t="shared" si="55"/>
        <v>Basic</v>
      </c>
      <c r="P1179" s="7">
        <v>45657</v>
      </c>
    </row>
    <row r="1180" spans="1:16" x14ac:dyDescent="0.3">
      <c r="A1180">
        <v>1179</v>
      </c>
      <c r="B1180" s="7">
        <v>45638</v>
      </c>
      <c r="C1180" t="s">
        <v>10</v>
      </c>
      <c r="D1180">
        <v>699</v>
      </c>
      <c r="E1180">
        <v>3.4</v>
      </c>
      <c r="F1180">
        <v>2</v>
      </c>
      <c r="G1180">
        <v>1</v>
      </c>
      <c r="H1180">
        <v>5</v>
      </c>
      <c r="I1180">
        <v>12</v>
      </c>
      <c r="J1180" t="s">
        <v>13</v>
      </c>
      <c r="K1180">
        <f>IF(J1180="Yes", 1, 0)</f>
        <v>0</v>
      </c>
      <c r="L1180" t="str">
        <f>IF(G1180=0,"0 Failures","1+ Failures")</f>
        <v>1+ Failures</v>
      </c>
      <c r="M1180" t="str">
        <f t="shared" si="56"/>
        <v>0-5 hrs</v>
      </c>
      <c r="N1180" t="str">
        <f t="shared" si="54"/>
        <v>3-6months</v>
      </c>
      <c r="O1180" t="str">
        <f t="shared" si="55"/>
        <v>Premium</v>
      </c>
      <c r="P1180" s="7">
        <v>45657</v>
      </c>
    </row>
    <row r="1181" spans="1:16" x14ac:dyDescent="0.3">
      <c r="A1181">
        <v>1180</v>
      </c>
      <c r="B1181" s="7">
        <v>45120</v>
      </c>
      <c r="C1181" t="s">
        <v>14</v>
      </c>
      <c r="D1181">
        <v>399</v>
      </c>
      <c r="E1181">
        <v>15.2</v>
      </c>
      <c r="F1181">
        <v>3</v>
      </c>
      <c r="G1181">
        <v>0</v>
      </c>
      <c r="H1181">
        <v>21</v>
      </c>
      <c r="I1181">
        <v>48</v>
      </c>
      <c r="J1181" t="s">
        <v>13</v>
      </c>
      <c r="K1181">
        <f>IF(J1181="Yes", 1, 0)</f>
        <v>0</v>
      </c>
      <c r="L1181" t="str">
        <f>IF(G1181=0,"0 Failures","1+ Failures")</f>
        <v>0 Failures</v>
      </c>
      <c r="M1181" t="str">
        <f t="shared" si="56"/>
        <v>10-20hrs</v>
      </c>
      <c r="N1181" t="str">
        <f t="shared" si="54"/>
        <v>12+ months</v>
      </c>
      <c r="O1181" t="str">
        <f t="shared" si="55"/>
        <v>Basic</v>
      </c>
      <c r="P1181" s="7">
        <v>45657</v>
      </c>
    </row>
    <row r="1182" spans="1:16" x14ac:dyDescent="0.3">
      <c r="A1182">
        <v>1181</v>
      </c>
      <c r="B1182" s="7">
        <v>45213</v>
      </c>
      <c r="C1182" t="s">
        <v>10</v>
      </c>
      <c r="D1182">
        <v>699</v>
      </c>
      <c r="E1182">
        <v>19.8</v>
      </c>
      <c r="F1182">
        <v>5</v>
      </c>
      <c r="G1182">
        <v>1</v>
      </c>
      <c r="H1182">
        <v>19</v>
      </c>
      <c r="I1182">
        <v>3</v>
      </c>
      <c r="J1182" t="s">
        <v>13</v>
      </c>
      <c r="K1182">
        <f>IF(J1182="Yes", 1, 0)</f>
        <v>0</v>
      </c>
      <c r="L1182" t="str">
        <f>IF(G1182=0,"0 Failures","1+ Failures")</f>
        <v>1+ Failures</v>
      </c>
      <c r="M1182" t="str">
        <f t="shared" si="56"/>
        <v>10-20hrs</v>
      </c>
      <c r="N1182" t="str">
        <f t="shared" si="54"/>
        <v>12+ months</v>
      </c>
      <c r="O1182" t="str">
        <f t="shared" si="55"/>
        <v>Premium</v>
      </c>
      <c r="P1182" s="7">
        <v>45657</v>
      </c>
    </row>
    <row r="1183" spans="1:16" x14ac:dyDescent="0.3">
      <c r="A1183">
        <v>1182</v>
      </c>
      <c r="B1183" s="7">
        <v>45408</v>
      </c>
      <c r="C1183" t="s">
        <v>12</v>
      </c>
      <c r="D1183">
        <v>199</v>
      </c>
      <c r="E1183">
        <v>24.2</v>
      </c>
      <c r="F1183">
        <v>7</v>
      </c>
      <c r="G1183">
        <v>1</v>
      </c>
      <c r="H1183">
        <v>33</v>
      </c>
      <c r="I1183">
        <v>46</v>
      </c>
      <c r="J1183" t="s">
        <v>11</v>
      </c>
      <c r="K1183">
        <f>IF(J1183="Yes", 1, 0)</f>
        <v>1</v>
      </c>
      <c r="L1183" t="str">
        <f>IF(G1183=0,"0 Failures","1+ Failures")</f>
        <v>1+ Failures</v>
      </c>
      <c r="M1183" t="str">
        <f t="shared" si="56"/>
        <v>20+ hrs</v>
      </c>
      <c r="N1183" t="str">
        <f t="shared" si="54"/>
        <v>12+ months</v>
      </c>
      <c r="O1183" t="str">
        <f t="shared" si="55"/>
        <v>Basic</v>
      </c>
      <c r="P1183" s="7">
        <v>45657</v>
      </c>
    </row>
    <row r="1184" spans="1:16" x14ac:dyDescent="0.3">
      <c r="A1184">
        <v>1183</v>
      </c>
      <c r="B1184" s="7">
        <v>45437</v>
      </c>
      <c r="C1184" t="s">
        <v>10</v>
      </c>
      <c r="D1184">
        <v>699</v>
      </c>
      <c r="E1184">
        <v>4.5999999999999996</v>
      </c>
      <c r="F1184">
        <v>6</v>
      </c>
      <c r="G1184">
        <v>5</v>
      </c>
      <c r="H1184">
        <v>5</v>
      </c>
      <c r="I1184">
        <v>48</v>
      </c>
      <c r="J1184" t="s">
        <v>11</v>
      </c>
      <c r="K1184">
        <f>IF(J1184="Yes", 1, 0)</f>
        <v>1</v>
      </c>
      <c r="L1184" t="str">
        <f>IF(G1184=0,"0 Failures","1+ Failures")</f>
        <v>1+ Failures</v>
      </c>
      <c r="M1184" t="str">
        <f t="shared" si="56"/>
        <v>0-5 hrs</v>
      </c>
      <c r="N1184" t="str">
        <f t="shared" si="54"/>
        <v>3-6months</v>
      </c>
      <c r="O1184" t="str">
        <f t="shared" si="55"/>
        <v>Premium</v>
      </c>
      <c r="P1184" s="7">
        <v>45657</v>
      </c>
    </row>
    <row r="1185" spans="1:16" x14ac:dyDescent="0.3">
      <c r="A1185">
        <v>1184</v>
      </c>
      <c r="B1185" s="7">
        <v>45433</v>
      </c>
      <c r="C1185" t="s">
        <v>10</v>
      </c>
      <c r="D1185">
        <v>699</v>
      </c>
      <c r="E1185">
        <v>4.9000000000000004</v>
      </c>
      <c r="F1185">
        <v>5</v>
      </c>
      <c r="G1185">
        <v>4</v>
      </c>
      <c r="H1185">
        <v>30</v>
      </c>
      <c r="I1185">
        <v>44</v>
      </c>
      <c r="J1185" t="s">
        <v>11</v>
      </c>
      <c r="K1185">
        <f>IF(J1185="Yes", 1, 0)</f>
        <v>1</v>
      </c>
      <c r="L1185" t="str">
        <f>IF(G1185=0,"0 Failures","1+ Failures")</f>
        <v>1+ Failures</v>
      </c>
      <c r="M1185" t="str">
        <f t="shared" si="56"/>
        <v>0-5 hrs</v>
      </c>
      <c r="N1185" t="str">
        <f t="shared" si="54"/>
        <v>12+ months</v>
      </c>
      <c r="O1185" t="str">
        <f t="shared" si="55"/>
        <v>Premium</v>
      </c>
      <c r="P1185" s="7">
        <v>45657</v>
      </c>
    </row>
    <row r="1186" spans="1:16" x14ac:dyDescent="0.3">
      <c r="A1186">
        <v>1185</v>
      </c>
      <c r="B1186" s="7">
        <v>45389</v>
      </c>
      <c r="C1186" t="s">
        <v>14</v>
      </c>
      <c r="D1186">
        <v>399</v>
      </c>
      <c r="E1186">
        <v>14.7</v>
      </c>
      <c r="F1186">
        <v>0</v>
      </c>
      <c r="G1186">
        <v>1</v>
      </c>
      <c r="H1186">
        <v>18</v>
      </c>
      <c r="I1186">
        <v>14</v>
      </c>
      <c r="J1186" t="s">
        <v>13</v>
      </c>
      <c r="K1186">
        <f>IF(J1186="Yes", 1, 0)</f>
        <v>0</v>
      </c>
      <c r="L1186" t="str">
        <f>IF(G1186=0,"0 Failures","1+ Failures")</f>
        <v>1+ Failures</v>
      </c>
      <c r="M1186" t="str">
        <f t="shared" si="56"/>
        <v>10-20hrs</v>
      </c>
      <c r="N1186" t="str">
        <f t="shared" si="54"/>
        <v>12+ months</v>
      </c>
      <c r="O1186" t="str">
        <f t="shared" si="55"/>
        <v>Basic</v>
      </c>
      <c r="P1186" s="7">
        <v>45657</v>
      </c>
    </row>
    <row r="1187" spans="1:16" x14ac:dyDescent="0.3">
      <c r="A1187">
        <v>1186</v>
      </c>
      <c r="B1187" s="7">
        <v>45310</v>
      </c>
      <c r="C1187" t="s">
        <v>12</v>
      </c>
      <c r="D1187">
        <v>199</v>
      </c>
      <c r="E1187">
        <v>5.9</v>
      </c>
      <c r="F1187">
        <v>6</v>
      </c>
      <c r="G1187">
        <v>3</v>
      </c>
      <c r="H1187">
        <v>26</v>
      </c>
      <c r="I1187">
        <v>36</v>
      </c>
      <c r="J1187" t="s">
        <v>11</v>
      </c>
      <c r="K1187">
        <f>IF(J1187="Yes", 1, 0)</f>
        <v>1</v>
      </c>
      <c r="L1187" t="str">
        <f>IF(G1187=0,"0 Failures","1+ Failures")</f>
        <v>1+ Failures</v>
      </c>
      <c r="M1187" t="str">
        <f t="shared" si="56"/>
        <v>5-10 hrs</v>
      </c>
      <c r="N1187" t="str">
        <f t="shared" si="54"/>
        <v>12+ months</v>
      </c>
      <c r="O1187" t="str">
        <f t="shared" si="55"/>
        <v>Basic</v>
      </c>
      <c r="P1187" s="7">
        <v>45657</v>
      </c>
    </row>
    <row r="1188" spans="1:16" x14ac:dyDescent="0.3">
      <c r="A1188">
        <v>1187</v>
      </c>
      <c r="B1188" s="7">
        <v>45162</v>
      </c>
      <c r="C1188" t="s">
        <v>14</v>
      </c>
      <c r="D1188">
        <v>399</v>
      </c>
      <c r="E1188">
        <v>2.6</v>
      </c>
      <c r="F1188">
        <v>1</v>
      </c>
      <c r="G1188">
        <v>2</v>
      </c>
      <c r="H1188">
        <v>36</v>
      </c>
      <c r="I1188">
        <v>28</v>
      </c>
      <c r="J1188" t="s">
        <v>11</v>
      </c>
      <c r="K1188">
        <f>IF(J1188="Yes", 1, 0)</f>
        <v>1</v>
      </c>
      <c r="L1188" t="str">
        <f>IF(G1188=0,"0 Failures","1+ Failures")</f>
        <v>1+ Failures</v>
      </c>
      <c r="M1188" t="str">
        <f t="shared" si="56"/>
        <v>0-5 hrs</v>
      </c>
      <c r="N1188" t="str">
        <f t="shared" si="54"/>
        <v>12+ months</v>
      </c>
      <c r="O1188" t="str">
        <f t="shared" si="55"/>
        <v>Basic</v>
      </c>
      <c r="P1188" s="7">
        <v>45657</v>
      </c>
    </row>
    <row r="1189" spans="1:16" x14ac:dyDescent="0.3">
      <c r="A1189">
        <v>1188</v>
      </c>
      <c r="B1189" s="7">
        <v>45345</v>
      </c>
      <c r="C1189" t="s">
        <v>10</v>
      </c>
      <c r="D1189">
        <v>699</v>
      </c>
      <c r="E1189">
        <v>11.9</v>
      </c>
      <c r="F1189">
        <v>5</v>
      </c>
      <c r="G1189">
        <v>3</v>
      </c>
      <c r="H1189">
        <v>3</v>
      </c>
      <c r="I1189">
        <v>28</v>
      </c>
      <c r="J1189" t="s">
        <v>11</v>
      </c>
      <c r="K1189">
        <f>IF(J1189="Yes", 1, 0)</f>
        <v>1</v>
      </c>
      <c r="L1189" t="str">
        <f>IF(G1189=0,"0 Failures","1+ Failures")</f>
        <v>1+ Failures</v>
      </c>
      <c r="M1189" t="str">
        <f t="shared" si="56"/>
        <v>10-20hrs</v>
      </c>
      <c r="N1189" t="str">
        <f t="shared" si="54"/>
        <v>0-3months</v>
      </c>
      <c r="O1189" t="str">
        <f t="shared" si="55"/>
        <v>Premium</v>
      </c>
      <c r="P1189" s="7">
        <v>45657</v>
      </c>
    </row>
    <row r="1190" spans="1:16" x14ac:dyDescent="0.3">
      <c r="A1190">
        <v>1189</v>
      </c>
      <c r="B1190" s="7">
        <v>45198</v>
      </c>
      <c r="C1190" t="s">
        <v>14</v>
      </c>
      <c r="D1190">
        <v>399</v>
      </c>
      <c r="E1190">
        <v>8.3000000000000007</v>
      </c>
      <c r="F1190">
        <v>6</v>
      </c>
      <c r="G1190">
        <v>0</v>
      </c>
      <c r="H1190">
        <v>32</v>
      </c>
      <c r="I1190">
        <v>11</v>
      </c>
      <c r="J1190" t="s">
        <v>13</v>
      </c>
      <c r="K1190">
        <f>IF(J1190="Yes", 1, 0)</f>
        <v>0</v>
      </c>
      <c r="L1190" t="str">
        <f>IF(G1190=0,"0 Failures","1+ Failures")</f>
        <v>0 Failures</v>
      </c>
      <c r="M1190" t="str">
        <f t="shared" si="56"/>
        <v>5-10 hrs</v>
      </c>
      <c r="N1190" t="str">
        <f t="shared" si="54"/>
        <v>12+ months</v>
      </c>
      <c r="O1190" t="str">
        <f t="shared" si="55"/>
        <v>Basic</v>
      </c>
      <c r="P1190" s="7">
        <v>45657</v>
      </c>
    </row>
    <row r="1191" spans="1:16" x14ac:dyDescent="0.3">
      <c r="A1191">
        <v>1190</v>
      </c>
      <c r="B1191" s="7">
        <v>45486</v>
      </c>
      <c r="C1191" t="s">
        <v>10</v>
      </c>
      <c r="D1191">
        <v>699</v>
      </c>
      <c r="E1191">
        <v>9.3000000000000007</v>
      </c>
      <c r="F1191">
        <v>1</v>
      </c>
      <c r="G1191">
        <v>2</v>
      </c>
      <c r="H1191">
        <v>5</v>
      </c>
      <c r="I1191">
        <v>53</v>
      </c>
      <c r="J1191" t="s">
        <v>11</v>
      </c>
      <c r="K1191">
        <f>IF(J1191="Yes", 1, 0)</f>
        <v>1</v>
      </c>
      <c r="L1191" t="str">
        <f>IF(G1191=0,"0 Failures","1+ Failures")</f>
        <v>1+ Failures</v>
      </c>
      <c r="M1191" t="str">
        <f t="shared" si="56"/>
        <v>5-10 hrs</v>
      </c>
      <c r="N1191" t="str">
        <f t="shared" si="54"/>
        <v>3-6months</v>
      </c>
      <c r="O1191" t="str">
        <f t="shared" si="55"/>
        <v>Premium</v>
      </c>
      <c r="P1191" s="7">
        <v>45657</v>
      </c>
    </row>
    <row r="1192" spans="1:16" x14ac:dyDescent="0.3">
      <c r="A1192">
        <v>1191</v>
      </c>
      <c r="B1192" s="7">
        <v>44966</v>
      </c>
      <c r="C1192" t="s">
        <v>10</v>
      </c>
      <c r="D1192">
        <v>699</v>
      </c>
      <c r="E1192">
        <v>19.8</v>
      </c>
      <c r="F1192">
        <v>3</v>
      </c>
      <c r="G1192">
        <v>0</v>
      </c>
      <c r="H1192">
        <v>6</v>
      </c>
      <c r="I1192">
        <v>7</v>
      </c>
      <c r="J1192" t="s">
        <v>11</v>
      </c>
      <c r="K1192">
        <f>IF(J1192="Yes", 1, 0)</f>
        <v>1</v>
      </c>
      <c r="L1192" t="str">
        <f>IF(G1192=0,"0 Failures","1+ Failures")</f>
        <v>0 Failures</v>
      </c>
      <c r="M1192" t="str">
        <f t="shared" si="56"/>
        <v>10-20hrs</v>
      </c>
      <c r="N1192" t="str">
        <f t="shared" si="54"/>
        <v>3-6months</v>
      </c>
      <c r="O1192" t="str">
        <f t="shared" si="55"/>
        <v>Premium</v>
      </c>
      <c r="P1192" s="7">
        <v>45657</v>
      </c>
    </row>
    <row r="1193" spans="1:16" x14ac:dyDescent="0.3">
      <c r="A1193">
        <v>1192</v>
      </c>
      <c r="B1193" s="7">
        <v>45626</v>
      </c>
      <c r="C1193" t="s">
        <v>10</v>
      </c>
      <c r="D1193">
        <v>699</v>
      </c>
      <c r="E1193">
        <v>8.6999999999999993</v>
      </c>
      <c r="F1193">
        <v>5</v>
      </c>
      <c r="G1193">
        <v>2</v>
      </c>
      <c r="H1193">
        <v>13</v>
      </c>
      <c r="I1193">
        <v>19</v>
      </c>
      <c r="J1193" t="s">
        <v>13</v>
      </c>
      <c r="K1193">
        <f>IF(J1193="Yes", 1, 0)</f>
        <v>0</v>
      </c>
      <c r="L1193" t="str">
        <f>IF(G1193=0,"0 Failures","1+ Failures")</f>
        <v>1+ Failures</v>
      </c>
      <c r="M1193" t="str">
        <f t="shared" si="56"/>
        <v>5-10 hrs</v>
      </c>
      <c r="N1193" t="str">
        <f t="shared" si="54"/>
        <v>12+ months</v>
      </c>
      <c r="O1193" t="str">
        <f t="shared" si="55"/>
        <v>Premium</v>
      </c>
      <c r="P1193" s="7">
        <v>45657</v>
      </c>
    </row>
    <row r="1194" spans="1:16" x14ac:dyDescent="0.3">
      <c r="A1194">
        <v>1193</v>
      </c>
      <c r="B1194" s="7">
        <v>45194</v>
      </c>
      <c r="C1194" t="s">
        <v>14</v>
      </c>
      <c r="D1194">
        <v>399</v>
      </c>
      <c r="E1194">
        <v>17.8</v>
      </c>
      <c r="F1194">
        <v>2</v>
      </c>
      <c r="G1194">
        <v>5</v>
      </c>
      <c r="H1194">
        <v>13</v>
      </c>
      <c r="I1194">
        <v>47</v>
      </c>
      <c r="J1194" t="s">
        <v>11</v>
      </c>
      <c r="K1194">
        <f>IF(J1194="Yes", 1, 0)</f>
        <v>1</v>
      </c>
      <c r="L1194" t="str">
        <f>IF(G1194=0,"0 Failures","1+ Failures")</f>
        <v>1+ Failures</v>
      </c>
      <c r="M1194" t="str">
        <f t="shared" si="56"/>
        <v>10-20hrs</v>
      </c>
      <c r="N1194" t="str">
        <f t="shared" si="54"/>
        <v>12+ months</v>
      </c>
      <c r="O1194" t="str">
        <f t="shared" si="55"/>
        <v>Basic</v>
      </c>
      <c r="P1194" s="7">
        <v>45657</v>
      </c>
    </row>
    <row r="1195" spans="1:16" x14ac:dyDescent="0.3">
      <c r="A1195">
        <v>1194</v>
      </c>
      <c r="B1195" s="7">
        <v>45520</v>
      </c>
      <c r="C1195" t="s">
        <v>12</v>
      </c>
      <c r="D1195">
        <v>199</v>
      </c>
      <c r="E1195">
        <v>7.4</v>
      </c>
      <c r="F1195">
        <v>5</v>
      </c>
      <c r="G1195">
        <v>3</v>
      </c>
      <c r="H1195">
        <v>20</v>
      </c>
      <c r="I1195">
        <v>60</v>
      </c>
      <c r="J1195" t="s">
        <v>11</v>
      </c>
      <c r="K1195">
        <f>IF(J1195="Yes", 1, 0)</f>
        <v>1</v>
      </c>
      <c r="L1195" t="str">
        <f>IF(G1195=0,"0 Failures","1+ Failures")</f>
        <v>1+ Failures</v>
      </c>
      <c r="M1195" t="str">
        <f t="shared" si="56"/>
        <v>5-10 hrs</v>
      </c>
      <c r="N1195" t="str">
        <f t="shared" si="54"/>
        <v>12+ months</v>
      </c>
      <c r="O1195" t="str">
        <f t="shared" si="55"/>
        <v>Basic</v>
      </c>
      <c r="P1195" s="7">
        <v>45657</v>
      </c>
    </row>
    <row r="1196" spans="1:16" x14ac:dyDescent="0.3">
      <c r="A1196">
        <v>1195</v>
      </c>
      <c r="B1196" s="7">
        <v>45159</v>
      </c>
      <c r="C1196" t="s">
        <v>10</v>
      </c>
      <c r="D1196">
        <v>699</v>
      </c>
      <c r="E1196">
        <v>12.1</v>
      </c>
      <c r="F1196">
        <v>8</v>
      </c>
      <c r="G1196">
        <v>1</v>
      </c>
      <c r="H1196">
        <v>1</v>
      </c>
      <c r="I1196">
        <v>55</v>
      </c>
      <c r="J1196" t="s">
        <v>11</v>
      </c>
      <c r="K1196">
        <f>IF(J1196="Yes", 1, 0)</f>
        <v>1</v>
      </c>
      <c r="L1196" t="str">
        <f>IF(G1196=0,"0 Failures","1+ Failures")</f>
        <v>1+ Failures</v>
      </c>
      <c r="M1196" t="str">
        <f t="shared" si="56"/>
        <v>10-20hrs</v>
      </c>
      <c r="N1196" t="str">
        <f t="shared" si="54"/>
        <v>0-3months</v>
      </c>
      <c r="O1196" t="str">
        <f t="shared" si="55"/>
        <v>Premium</v>
      </c>
      <c r="P1196" s="7">
        <v>45657</v>
      </c>
    </row>
    <row r="1197" spans="1:16" x14ac:dyDescent="0.3">
      <c r="A1197">
        <v>1196</v>
      </c>
      <c r="B1197" s="7">
        <v>45406</v>
      </c>
      <c r="C1197" t="s">
        <v>10</v>
      </c>
      <c r="D1197">
        <v>699</v>
      </c>
      <c r="E1197">
        <v>12.1</v>
      </c>
      <c r="F1197">
        <v>8</v>
      </c>
      <c r="G1197">
        <v>4</v>
      </c>
      <c r="H1197">
        <v>14</v>
      </c>
      <c r="I1197">
        <v>50</v>
      </c>
      <c r="J1197" t="s">
        <v>11</v>
      </c>
      <c r="K1197">
        <f>IF(J1197="Yes", 1, 0)</f>
        <v>1</v>
      </c>
      <c r="L1197" t="str">
        <f>IF(G1197=0,"0 Failures","1+ Failures")</f>
        <v>1+ Failures</v>
      </c>
      <c r="M1197" t="str">
        <f t="shared" si="56"/>
        <v>10-20hrs</v>
      </c>
      <c r="N1197" t="str">
        <f t="shared" si="54"/>
        <v>12+ months</v>
      </c>
      <c r="O1197" t="str">
        <f t="shared" si="55"/>
        <v>Premium</v>
      </c>
      <c r="P1197" s="7">
        <v>45657</v>
      </c>
    </row>
    <row r="1198" spans="1:16" x14ac:dyDescent="0.3">
      <c r="A1198">
        <v>1197</v>
      </c>
      <c r="B1198" s="7">
        <v>45641</v>
      </c>
      <c r="C1198" t="s">
        <v>10</v>
      </c>
      <c r="D1198">
        <v>699</v>
      </c>
      <c r="E1198">
        <v>8.8000000000000007</v>
      </c>
      <c r="F1198">
        <v>1</v>
      </c>
      <c r="G1198">
        <v>2</v>
      </c>
      <c r="H1198">
        <v>30</v>
      </c>
      <c r="I1198">
        <v>54</v>
      </c>
      <c r="J1198" t="s">
        <v>11</v>
      </c>
      <c r="K1198">
        <f>IF(J1198="Yes", 1, 0)</f>
        <v>1</v>
      </c>
      <c r="L1198" t="str">
        <f>IF(G1198=0,"0 Failures","1+ Failures")</f>
        <v>1+ Failures</v>
      </c>
      <c r="M1198" t="str">
        <f t="shared" si="56"/>
        <v>5-10 hrs</v>
      </c>
      <c r="N1198" t="str">
        <f t="shared" si="54"/>
        <v>12+ months</v>
      </c>
      <c r="O1198" t="str">
        <f t="shared" si="55"/>
        <v>Premium</v>
      </c>
      <c r="P1198" s="7">
        <v>45657</v>
      </c>
    </row>
    <row r="1199" spans="1:16" x14ac:dyDescent="0.3">
      <c r="A1199">
        <v>1198</v>
      </c>
      <c r="B1199" s="7">
        <v>45058</v>
      </c>
      <c r="C1199" t="s">
        <v>14</v>
      </c>
      <c r="D1199">
        <v>399</v>
      </c>
      <c r="E1199">
        <v>11.2</v>
      </c>
      <c r="F1199">
        <v>8</v>
      </c>
      <c r="G1199">
        <v>0</v>
      </c>
      <c r="H1199">
        <v>14</v>
      </c>
      <c r="I1199">
        <v>23</v>
      </c>
      <c r="J1199" t="s">
        <v>11</v>
      </c>
      <c r="K1199">
        <f>IF(J1199="Yes", 1, 0)</f>
        <v>1</v>
      </c>
      <c r="L1199" t="str">
        <f>IF(G1199=0,"0 Failures","1+ Failures")</f>
        <v>0 Failures</v>
      </c>
      <c r="M1199" t="str">
        <f t="shared" si="56"/>
        <v>10-20hrs</v>
      </c>
      <c r="N1199" t="str">
        <f t="shared" si="54"/>
        <v>12+ months</v>
      </c>
      <c r="O1199" t="str">
        <f t="shared" si="55"/>
        <v>Basic</v>
      </c>
      <c r="P1199" s="7">
        <v>45657</v>
      </c>
    </row>
    <row r="1200" spans="1:16" x14ac:dyDescent="0.3">
      <c r="A1200">
        <v>1199</v>
      </c>
      <c r="B1200" s="7">
        <v>45629</v>
      </c>
      <c r="C1200" t="s">
        <v>14</v>
      </c>
      <c r="D1200">
        <v>399</v>
      </c>
      <c r="E1200">
        <v>12.7</v>
      </c>
      <c r="F1200">
        <v>5</v>
      </c>
      <c r="G1200">
        <v>2</v>
      </c>
      <c r="H1200">
        <v>1</v>
      </c>
      <c r="I1200">
        <v>14</v>
      </c>
      <c r="J1200" t="s">
        <v>11</v>
      </c>
      <c r="K1200">
        <f>IF(J1200="Yes", 1, 0)</f>
        <v>1</v>
      </c>
      <c r="L1200" t="str">
        <f>IF(G1200=0,"0 Failures","1+ Failures")</f>
        <v>1+ Failures</v>
      </c>
      <c r="M1200" t="str">
        <f t="shared" si="56"/>
        <v>10-20hrs</v>
      </c>
      <c r="N1200" t="str">
        <f t="shared" si="54"/>
        <v>0-3months</v>
      </c>
      <c r="O1200" t="str">
        <f t="shared" si="55"/>
        <v>Basic</v>
      </c>
      <c r="P1200" s="7">
        <v>45657</v>
      </c>
    </row>
    <row r="1201" spans="1:16" x14ac:dyDescent="0.3">
      <c r="A1201">
        <v>1200</v>
      </c>
      <c r="B1201" s="7">
        <v>45069</v>
      </c>
      <c r="C1201" t="s">
        <v>14</v>
      </c>
      <c r="D1201">
        <v>399</v>
      </c>
      <c r="E1201">
        <v>7.8</v>
      </c>
      <c r="F1201">
        <v>0</v>
      </c>
      <c r="G1201">
        <v>4</v>
      </c>
      <c r="H1201">
        <v>35</v>
      </c>
      <c r="I1201">
        <v>50</v>
      </c>
      <c r="J1201" t="s">
        <v>11</v>
      </c>
      <c r="K1201">
        <f>IF(J1201="Yes", 1, 0)</f>
        <v>1</v>
      </c>
      <c r="L1201" t="str">
        <f>IF(G1201=0,"0 Failures","1+ Failures")</f>
        <v>1+ Failures</v>
      </c>
      <c r="M1201" t="str">
        <f t="shared" si="56"/>
        <v>5-10 hrs</v>
      </c>
      <c r="N1201" t="str">
        <f t="shared" si="54"/>
        <v>12+ months</v>
      </c>
      <c r="O1201" t="str">
        <f t="shared" si="55"/>
        <v>Basic</v>
      </c>
      <c r="P1201" s="7">
        <v>45657</v>
      </c>
    </row>
    <row r="1202" spans="1:16" x14ac:dyDescent="0.3">
      <c r="A1202">
        <v>1201</v>
      </c>
      <c r="B1202" s="7">
        <v>44992</v>
      </c>
      <c r="C1202" t="s">
        <v>12</v>
      </c>
      <c r="D1202">
        <v>199</v>
      </c>
      <c r="E1202">
        <v>14.4</v>
      </c>
      <c r="F1202">
        <v>6</v>
      </c>
      <c r="G1202">
        <v>3</v>
      </c>
      <c r="H1202">
        <v>22</v>
      </c>
      <c r="I1202">
        <v>13</v>
      </c>
      <c r="J1202" t="s">
        <v>13</v>
      </c>
      <c r="K1202">
        <f>IF(J1202="Yes", 1, 0)</f>
        <v>0</v>
      </c>
      <c r="L1202" t="str">
        <f>IF(G1202=0,"0 Failures","1+ Failures")</f>
        <v>1+ Failures</v>
      </c>
      <c r="M1202" t="str">
        <f t="shared" si="56"/>
        <v>10-20hrs</v>
      </c>
      <c r="N1202" t="str">
        <f t="shared" si="54"/>
        <v>12+ months</v>
      </c>
      <c r="O1202" t="str">
        <f t="shared" si="55"/>
        <v>Basic</v>
      </c>
      <c r="P1202" s="7">
        <v>45657</v>
      </c>
    </row>
    <row r="1203" spans="1:16" x14ac:dyDescent="0.3">
      <c r="A1203">
        <v>1202</v>
      </c>
      <c r="B1203" s="7">
        <v>45581</v>
      </c>
      <c r="C1203" t="s">
        <v>10</v>
      </c>
      <c r="D1203">
        <v>699</v>
      </c>
      <c r="E1203">
        <v>5.0999999999999996</v>
      </c>
      <c r="F1203">
        <v>1</v>
      </c>
      <c r="G1203">
        <v>2</v>
      </c>
      <c r="H1203">
        <v>25</v>
      </c>
      <c r="I1203">
        <v>36</v>
      </c>
      <c r="J1203" t="s">
        <v>13</v>
      </c>
      <c r="K1203">
        <f>IF(J1203="Yes", 1, 0)</f>
        <v>0</v>
      </c>
      <c r="L1203" t="str">
        <f>IF(G1203=0,"0 Failures","1+ Failures")</f>
        <v>1+ Failures</v>
      </c>
      <c r="M1203" t="str">
        <f t="shared" si="56"/>
        <v>5-10 hrs</v>
      </c>
      <c r="N1203" t="str">
        <f t="shared" si="54"/>
        <v>12+ months</v>
      </c>
      <c r="O1203" t="str">
        <f t="shared" si="55"/>
        <v>Premium</v>
      </c>
      <c r="P1203" s="7">
        <v>45657</v>
      </c>
    </row>
    <row r="1204" spans="1:16" x14ac:dyDescent="0.3">
      <c r="A1204">
        <v>1203</v>
      </c>
      <c r="B1204" s="7">
        <v>45544</v>
      </c>
      <c r="C1204" t="s">
        <v>14</v>
      </c>
      <c r="D1204">
        <v>399</v>
      </c>
      <c r="E1204">
        <v>4.7</v>
      </c>
      <c r="F1204">
        <v>8</v>
      </c>
      <c r="G1204">
        <v>1</v>
      </c>
      <c r="H1204">
        <v>6</v>
      </c>
      <c r="I1204">
        <v>2</v>
      </c>
      <c r="J1204" t="s">
        <v>13</v>
      </c>
      <c r="K1204">
        <f>IF(J1204="Yes", 1, 0)</f>
        <v>0</v>
      </c>
      <c r="L1204" t="str">
        <f>IF(G1204=0,"0 Failures","1+ Failures")</f>
        <v>1+ Failures</v>
      </c>
      <c r="M1204" t="str">
        <f t="shared" si="56"/>
        <v>0-5 hrs</v>
      </c>
      <c r="N1204" t="str">
        <f t="shared" si="54"/>
        <v>3-6months</v>
      </c>
      <c r="O1204" t="str">
        <f t="shared" si="55"/>
        <v>Basic</v>
      </c>
      <c r="P1204" s="7">
        <v>45657</v>
      </c>
    </row>
    <row r="1205" spans="1:16" x14ac:dyDescent="0.3">
      <c r="A1205">
        <v>1204</v>
      </c>
      <c r="B1205" s="7">
        <v>45225</v>
      </c>
      <c r="C1205" t="s">
        <v>14</v>
      </c>
      <c r="D1205">
        <v>399</v>
      </c>
      <c r="E1205">
        <v>5.0999999999999996</v>
      </c>
      <c r="F1205">
        <v>1</v>
      </c>
      <c r="G1205">
        <v>3</v>
      </c>
      <c r="H1205">
        <v>2</v>
      </c>
      <c r="I1205">
        <v>18</v>
      </c>
      <c r="J1205" t="s">
        <v>11</v>
      </c>
      <c r="K1205">
        <f>IF(J1205="Yes", 1, 0)</f>
        <v>1</v>
      </c>
      <c r="L1205" t="str">
        <f>IF(G1205=0,"0 Failures","1+ Failures")</f>
        <v>1+ Failures</v>
      </c>
      <c r="M1205" t="str">
        <f t="shared" si="56"/>
        <v>5-10 hrs</v>
      </c>
      <c r="N1205" t="str">
        <f t="shared" si="54"/>
        <v>0-3months</v>
      </c>
      <c r="O1205" t="str">
        <f t="shared" si="55"/>
        <v>Basic</v>
      </c>
      <c r="P1205" s="7">
        <v>45657</v>
      </c>
    </row>
    <row r="1206" spans="1:16" x14ac:dyDescent="0.3">
      <c r="A1206">
        <v>1205</v>
      </c>
      <c r="B1206" s="7">
        <v>45261</v>
      </c>
      <c r="C1206" t="s">
        <v>10</v>
      </c>
      <c r="D1206">
        <v>699</v>
      </c>
      <c r="E1206">
        <v>2.2000000000000002</v>
      </c>
      <c r="F1206">
        <v>0</v>
      </c>
      <c r="G1206">
        <v>2</v>
      </c>
      <c r="H1206">
        <v>34</v>
      </c>
      <c r="I1206">
        <v>33</v>
      </c>
      <c r="J1206" t="s">
        <v>11</v>
      </c>
      <c r="K1206">
        <f>IF(J1206="Yes", 1, 0)</f>
        <v>1</v>
      </c>
      <c r="L1206" t="str">
        <f>IF(G1206=0,"0 Failures","1+ Failures")</f>
        <v>1+ Failures</v>
      </c>
      <c r="M1206" t="str">
        <f t="shared" si="56"/>
        <v>0-5 hrs</v>
      </c>
      <c r="N1206" t="str">
        <f t="shared" si="54"/>
        <v>12+ months</v>
      </c>
      <c r="O1206" t="str">
        <f t="shared" si="55"/>
        <v>Premium</v>
      </c>
      <c r="P1206" s="7">
        <v>45657</v>
      </c>
    </row>
    <row r="1207" spans="1:16" x14ac:dyDescent="0.3">
      <c r="A1207">
        <v>1206</v>
      </c>
      <c r="B1207" s="7">
        <v>44997</v>
      </c>
      <c r="C1207" t="s">
        <v>14</v>
      </c>
      <c r="D1207">
        <v>399</v>
      </c>
      <c r="E1207">
        <v>4.3</v>
      </c>
      <c r="F1207">
        <v>1</v>
      </c>
      <c r="G1207">
        <v>1</v>
      </c>
      <c r="H1207">
        <v>26</v>
      </c>
      <c r="I1207">
        <v>34</v>
      </c>
      <c r="J1207" t="s">
        <v>11</v>
      </c>
      <c r="K1207">
        <f>IF(J1207="Yes", 1, 0)</f>
        <v>1</v>
      </c>
      <c r="L1207" t="str">
        <f>IF(G1207=0,"0 Failures","1+ Failures")</f>
        <v>1+ Failures</v>
      </c>
      <c r="M1207" t="str">
        <f t="shared" si="56"/>
        <v>0-5 hrs</v>
      </c>
      <c r="N1207" t="str">
        <f t="shared" si="54"/>
        <v>12+ months</v>
      </c>
      <c r="O1207" t="str">
        <f t="shared" si="55"/>
        <v>Basic</v>
      </c>
      <c r="P1207" s="7">
        <v>45657</v>
      </c>
    </row>
    <row r="1208" spans="1:16" x14ac:dyDescent="0.3">
      <c r="A1208">
        <v>1207</v>
      </c>
      <c r="B1208" s="7">
        <v>45607</v>
      </c>
      <c r="C1208" t="s">
        <v>14</v>
      </c>
      <c r="D1208">
        <v>399</v>
      </c>
      <c r="E1208">
        <v>3.7</v>
      </c>
      <c r="F1208">
        <v>3</v>
      </c>
      <c r="G1208">
        <v>2</v>
      </c>
      <c r="H1208">
        <v>14</v>
      </c>
      <c r="I1208">
        <v>27</v>
      </c>
      <c r="J1208" t="s">
        <v>11</v>
      </c>
      <c r="K1208">
        <f>IF(J1208="Yes", 1, 0)</f>
        <v>1</v>
      </c>
      <c r="L1208" t="str">
        <f>IF(G1208=0,"0 Failures","1+ Failures")</f>
        <v>1+ Failures</v>
      </c>
      <c r="M1208" t="str">
        <f t="shared" si="56"/>
        <v>0-5 hrs</v>
      </c>
      <c r="N1208" t="str">
        <f t="shared" si="54"/>
        <v>12+ months</v>
      </c>
      <c r="O1208" t="str">
        <f t="shared" si="55"/>
        <v>Basic</v>
      </c>
      <c r="P1208" s="7">
        <v>45657</v>
      </c>
    </row>
    <row r="1209" spans="1:16" x14ac:dyDescent="0.3">
      <c r="A1209">
        <v>1208</v>
      </c>
      <c r="B1209" s="7">
        <v>45628</v>
      </c>
      <c r="C1209" t="s">
        <v>14</v>
      </c>
      <c r="D1209">
        <v>399</v>
      </c>
      <c r="E1209">
        <v>15.3</v>
      </c>
      <c r="F1209">
        <v>4</v>
      </c>
      <c r="G1209">
        <v>4</v>
      </c>
      <c r="H1209">
        <v>11</v>
      </c>
      <c r="I1209">
        <v>12</v>
      </c>
      <c r="J1209" t="s">
        <v>13</v>
      </c>
      <c r="K1209">
        <f>IF(J1209="Yes", 1, 0)</f>
        <v>0</v>
      </c>
      <c r="L1209" t="str">
        <f>IF(G1209=0,"0 Failures","1+ Failures")</f>
        <v>1+ Failures</v>
      </c>
      <c r="M1209" t="str">
        <f t="shared" si="56"/>
        <v>10-20hrs</v>
      </c>
      <c r="N1209" t="str">
        <f t="shared" si="54"/>
        <v>6-12months</v>
      </c>
      <c r="O1209" t="str">
        <f t="shared" si="55"/>
        <v>Basic</v>
      </c>
      <c r="P1209" s="7">
        <v>45657</v>
      </c>
    </row>
    <row r="1210" spans="1:16" x14ac:dyDescent="0.3">
      <c r="A1210">
        <v>1209</v>
      </c>
      <c r="B1210" s="7">
        <v>45546</v>
      </c>
      <c r="C1210" t="s">
        <v>14</v>
      </c>
      <c r="D1210">
        <v>399</v>
      </c>
      <c r="E1210">
        <v>5.4</v>
      </c>
      <c r="F1210">
        <v>2</v>
      </c>
      <c r="G1210">
        <v>3</v>
      </c>
      <c r="H1210">
        <v>18</v>
      </c>
      <c r="I1210">
        <v>4</v>
      </c>
      <c r="J1210" t="s">
        <v>13</v>
      </c>
      <c r="K1210">
        <f>IF(J1210="Yes", 1, 0)</f>
        <v>0</v>
      </c>
      <c r="L1210" t="str">
        <f>IF(G1210=0,"0 Failures","1+ Failures")</f>
        <v>1+ Failures</v>
      </c>
      <c r="M1210" t="str">
        <f t="shared" si="56"/>
        <v>5-10 hrs</v>
      </c>
      <c r="N1210" t="str">
        <f t="shared" si="54"/>
        <v>12+ months</v>
      </c>
      <c r="O1210" t="str">
        <f t="shared" si="55"/>
        <v>Basic</v>
      </c>
      <c r="P1210" s="7">
        <v>45657</v>
      </c>
    </row>
    <row r="1211" spans="1:16" x14ac:dyDescent="0.3">
      <c r="A1211">
        <v>1210</v>
      </c>
      <c r="B1211" s="7">
        <v>45020</v>
      </c>
      <c r="C1211" t="s">
        <v>12</v>
      </c>
      <c r="D1211">
        <v>199</v>
      </c>
      <c r="E1211">
        <v>8.6</v>
      </c>
      <c r="F1211">
        <v>7</v>
      </c>
      <c r="G1211">
        <v>3</v>
      </c>
      <c r="H1211">
        <v>34</v>
      </c>
      <c r="I1211">
        <v>29</v>
      </c>
      <c r="J1211" t="s">
        <v>11</v>
      </c>
      <c r="K1211">
        <f>IF(J1211="Yes", 1, 0)</f>
        <v>1</v>
      </c>
      <c r="L1211" t="str">
        <f>IF(G1211=0,"0 Failures","1+ Failures")</f>
        <v>1+ Failures</v>
      </c>
      <c r="M1211" t="str">
        <f t="shared" si="56"/>
        <v>5-10 hrs</v>
      </c>
      <c r="N1211" t="str">
        <f t="shared" si="54"/>
        <v>12+ months</v>
      </c>
      <c r="O1211" t="str">
        <f t="shared" si="55"/>
        <v>Basic</v>
      </c>
      <c r="P1211" s="7">
        <v>45657</v>
      </c>
    </row>
    <row r="1212" spans="1:16" x14ac:dyDescent="0.3">
      <c r="A1212">
        <v>1211</v>
      </c>
      <c r="B1212" s="7">
        <v>45106</v>
      </c>
      <c r="C1212" t="s">
        <v>14</v>
      </c>
      <c r="D1212">
        <v>399</v>
      </c>
      <c r="E1212">
        <v>9</v>
      </c>
      <c r="F1212">
        <v>4</v>
      </c>
      <c r="G1212">
        <v>3</v>
      </c>
      <c r="H1212">
        <v>30</v>
      </c>
      <c r="I1212">
        <v>39</v>
      </c>
      <c r="J1212" t="s">
        <v>13</v>
      </c>
      <c r="K1212">
        <f>IF(J1212="Yes", 1, 0)</f>
        <v>0</v>
      </c>
      <c r="L1212" t="str">
        <f>IF(G1212=0,"0 Failures","1+ Failures")</f>
        <v>1+ Failures</v>
      </c>
      <c r="M1212" t="str">
        <f t="shared" si="56"/>
        <v>5-10 hrs</v>
      </c>
      <c r="N1212" t="str">
        <f t="shared" si="54"/>
        <v>12+ months</v>
      </c>
      <c r="O1212" t="str">
        <f t="shared" si="55"/>
        <v>Basic</v>
      </c>
      <c r="P1212" s="7">
        <v>45657</v>
      </c>
    </row>
    <row r="1213" spans="1:16" x14ac:dyDescent="0.3">
      <c r="A1213">
        <v>1212</v>
      </c>
      <c r="B1213" s="7">
        <v>45114</v>
      </c>
      <c r="C1213" t="s">
        <v>14</v>
      </c>
      <c r="D1213">
        <v>399</v>
      </c>
      <c r="E1213">
        <v>4.9000000000000004</v>
      </c>
      <c r="F1213">
        <v>6</v>
      </c>
      <c r="G1213">
        <v>3</v>
      </c>
      <c r="H1213">
        <v>16</v>
      </c>
      <c r="I1213">
        <v>24</v>
      </c>
      <c r="J1213" t="s">
        <v>11</v>
      </c>
      <c r="K1213">
        <f>IF(J1213="Yes", 1, 0)</f>
        <v>1</v>
      </c>
      <c r="L1213" t="str">
        <f>IF(G1213=0,"0 Failures","1+ Failures")</f>
        <v>1+ Failures</v>
      </c>
      <c r="M1213" t="str">
        <f t="shared" si="56"/>
        <v>0-5 hrs</v>
      </c>
      <c r="N1213" t="str">
        <f t="shared" si="54"/>
        <v>12+ months</v>
      </c>
      <c r="O1213" t="str">
        <f t="shared" si="55"/>
        <v>Basic</v>
      </c>
      <c r="P1213" s="7">
        <v>45657</v>
      </c>
    </row>
    <row r="1214" spans="1:16" x14ac:dyDescent="0.3">
      <c r="A1214">
        <v>1213</v>
      </c>
      <c r="B1214" s="7">
        <v>45207</v>
      </c>
      <c r="C1214" t="s">
        <v>10</v>
      </c>
      <c r="D1214">
        <v>699</v>
      </c>
      <c r="E1214">
        <v>10.1</v>
      </c>
      <c r="F1214">
        <v>0</v>
      </c>
      <c r="G1214">
        <v>1</v>
      </c>
      <c r="H1214">
        <v>7</v>
      </c>
      <c r="I1214">
        <v>56</v>
      </c>
      <c r="J1214" t="s">
        <v>13</v>
      </c>
      <c r="K1214">
        <f>IF(J1214="Yes", 1, 0)</f>
        <v>0</v>
      </c>
      <c r="L1214" t="str">
        <f>IF(G1214=0,"0 Failures","1+ Failures")</f>
        <v>1+ Failures</v>
      </c>
      <c r="M1214" t="str">
        <f t="shared" si="56"/>
        <v>10-20hrs</v>
      </c>
      <c r="N1214" t="str">
        <f t="shared" si="54"/>
        <v>6-12months</v>
      </c>
      <c r="O1214" t="str">
        <f t="shared" si="55"/>
        <v>Premium</v>
      </c>
      <c r="P1214" s="7">
        <v>45657</v>
      </c>
    </row>
    <row r="1215" spans="1:16" x14ac:dyDescent="0.3">
      <c r="A1215">
        <v>1214</v>
      </c>
      <c r="B1215" s="7">
        <v>45149</v>
      </c>
      <c r="C1215" t="s">
        <v>10</v>
      </c>
      <c r="D1215">
        <v>699</v>
      </c>
      <c r="E1215">
        <v>7.7</v>
      </c>
      <c r="F1215">
        <v>1</v>
      </c>
      <c r="G1215">
        <v>5</v>
      </c>
      <c r="H1215">
        <v>35</v>
      </c>
      <c r="I1215">
        <v>46</v>
      </c>
      <c r="J1215" t="s">
        <v>13</v>
      </c>
      <c r="K1215">
        <f>IF(J1215="Yes", 1, 0)</f>
        <v>0</v>
      </c>
      <c r="L1215" t="str">
        <f>IF(G1215=0,"0 Failures","1+ Failures")</f>
        <v>1+ Failures</v>
      </c>
      <c r="M1215" t="str">
        <f t="shared" si="56"/>
        <v>5-10 hrs</v>
      </c>
      <c r="N1215" t="str">
        <f t="shared" si="54"/>
        <v>12+ months</v>
      </c>
      <c r="O1215" t="str">
        <f t="shared" si="55"/>
        <v>Premium</v>
      </c>
      <c r="P1215" s="7">
        <v>45657</v>
      </c>
    </row>
    <row r="1216" spans="1:16" x14ac:dyDescent="0.3">
      <c r="A1216">
        <v>1215</v>
      </c>
      <c r="B1216" s="7">
        <v>45034</v>
      </c>
      <c r="C1216" t="s">
        <v>14</v>
      </c>
      <c r="D1216">
        <v>399</v>
      </c>
      <c r="E1216">
        <v>24.8</v>
      </c>
      <c r="F1216">
        <v>8</v>
      </c>
      <c r="G1216">
        <v>0</v>
      </c>
      <c r="H1216">
        <v>27</v>
      </c>
      <c r="I1216">
        <v>23</v>
      </c>
      <c r="J1216" t="s">
        <v>11</v>
      </c>
      <c r="K1216">
        <f>IF(J1216="Yes", 1, 0)</f>
        <v>1</v>
      </c>
      <c r="L1216" t="str">
        <f>IF(G1216=0,"0 Failures","1+ Failures")</f>
        <v>0 Failures</v>
      </c>
      <c r="M1216" t="str">
        <f t="shared" si="56"/>
        <v>20+ hrs</v>
      </c>
      <c r="N1216" t="str">
        <f t="shared" si="54"/>
        <v>12+ months</v>
      </c>
      <c r="O1216" t="str">
        <f t="shared" si="55"/>
        <v>Basic</v>
      </c>
      <c r="P1216" s="7">
        <v>45657</v>
      </c>
    </row>
    <row r="1217" spans="1:16" x14ac:dyDescent="0.3">
      <c r="A1217">
        <v>1216</v>
      </c>
      <c r="B1217" s="7">
        <v>45400</v>
      </c>
      <c r="C1217" t="s">
        <v>10</v>
      </c>
      <c r="D1217">
        <v>699</v>
      </c>
      <c r="E1217">
        <v>10.5</v>
      </c>
      <c r="F1217">
        <v>2</v>
      </c>
      <c r="G1217">
        <v>2</v>
      </c>
      <c r="H1217">
        <v>21</v>
      </c>
      <c r="I1217">
        <v>13</v>
      </c>
      <c r="J1217" t="s">
        <v>13</v>
      </c>
      <c r="K1217">
        <f>IF(J1217="Yes", 1, 0)</f>
        <v>0</v>
      </c>
      <c r="L1217" t="str">
        <f>IF(G1217=0,"0 Failures","1+ Failures")</f>
        <v>1+ Failures</v>
      </c>
      <c r="M1217" t="str">
        <f t="shared" si="56"/>
        <v>10-20hrs</v>
      </c>
      <c r="N1217" t="str">
        <f t="shared" si="54"/>
        <v>12+ months</v>
      </c>
      <c r="O1217" t="str">
        <f t="shared" si="55"/>
        <v>Premium</v>
      </c>
      <c r="P1217" s="7">
        <v>45657</v>
      </c>
    </row>
    <row r="1218" spans="1:16" x14ac:dyDescent="0.3">
      <c r="A1218">
        <v>1217</v>
      </c>
      <c r="B1218" s="7">
        <v>45126</v>
      </c>
      <c r="C1218" t="s">
        <v>12</v>
      </c>
      <c r="D1218">
        <v>199</v>
      </c>
      <c r="E1218">
        <v>16.2</v>
      </c>
      <c r="F1218">
        <v>7</v>
      </c>
      <c r="G1218">
        <v>3</v>
      </c>
      <c r="H1218">
        <v>5</v>
      </c>
      <c r="I1218">
        <v>21</v>
      </c>
      <c r="J1218" t="s">
        <v>11</v>
      </c>
      <c r="K1218">
        <f>IF(J1218="Yes", 1, 0)</f>
        <v>1</v>
      </c>
      <c r="L1218" t="str">
        <f>IF(G1218=0,"0 Failures","1+ Failures")</f>
        <v>1+ Failures</v>
      </c>
      <c r="M1218" t="str">
        <f t="shared" si="56"/>
        <v>10-20hrs</v>
      </c>
      <c r="N1218" t="str">
        <f t="shared" si="54"/>
        <v>3-6months</v>
      </c>
      <c r="O1218" t="str">
        <f t="shared" si="55"/>
        <v>Basic</v>
      </c>
      <c r="P1218" s="7">
        <v>45657</v>
      </c>
    </row>
    <row r="1219" spans="1:16" x14ac:dyDescent="0.3">
      <c r="A1219">
        <v>1218</v>
      </c>
      <c r="B1219" s="7">
        <v>45613</v>
      </c>
      <c r="C1219" t="s">
        <v>14</v>
      </c>
      <c r="D1219">
        <v>399</v>
      </c>
      <c r="E1219">
        <v>0.8</v>
      </c>
      <c r="F1219">
        <v>1</v>
      </c>
      <c r="G1219">
        <v>5</v>
      </c>
      <c r="H1219">
        <v>3</v>
      </c>
      <c r="I1219">
        <v>58</v>
      </c>
      <c r="J1219" t="s">
        <v>11</v>
      </c>
      <c r="K1219">
        <f>IF(J1219="Yes", 1, 0)</f>
        <v>1</v>
      </c>
      <c r="L1219" t="str">
        <f>IF(G1219=0,"0 Failures","1+ Failures")</f>
        <v>1+ Failures</v>
      </c>
      <c r="M1219" t="str">
        <f t="shared" si="56"/>
        <v>0-5 hrs</v>
      </c>
      <c r="N1219" t="str">
        <f t="shared" ref="N1219:N1282" si="57">IF(H1219&lt;=3, "0-3months", IF(H1219&lt;=6, "3-6months", IF(H1219&lt;=12, "6-12months", "12+ months")))</f>
        <v>0-3months</v>
      </c>
      <c r="O1219" t="str">
        <f t="shared" ref="O1219:O1282" si="58">IF(C1219="premium", "Premium", "Basic")</f>
        <v>Basic</v>
      </c>
      <c r="P1219" s="7">
        <v>45657</v>
      </c>
    </row>
    <row r="1220" spans="1:16" x14ac:dyDescent="0.3">
      <c r="A1220">
        <v>1219</v>
      </c>
      <c r="B1220" s="7">
        <v>45657</v>
      </c>
      <c r="C1220" t="s">
        <v>10</v>
      </c>
      <c r="D1220">
        <v>699</v>
      </c>
      <c r="E1220">
        <v>12.4</v>
      </c>
      <c r="F1220">
        <v>1</v>
      </c>
      <c r="G1220">
        <v>0</v>
      </c>
      <c r="H1220">
        <v>30</v>
      </c>
      <c r="I1220">
        <v>35</v>
      </c>
      <c r="J1220" t="s">
        <v>13</v>
      </c>
      <c r="K1220">
        <f>IF(J1220="Yes", 1, 0)</f>
        <v>0</v>
      </c>
      <c r="L1220" t="str">
        <f>IF(G1220=0,"0 Failures","1+ Failures")</f>
        <v>0 Failures</v>
      </c>
      <c r="M1220" t="str">
        <f t="shared" si="56"/>
        <v>10-20hrs</v>
      </c>
      <c r="N1220" t="str">
        <f t="shared" si="57"/>
        <v>12+ months</v>
      </c>
      <c r="O1220" t="str">
        <f t="shared" si="58"/>
        <v>Premium</v>
      </c>
      <c r="P1220" s="7">
        <v>45657</v>
      </c>
    </row>
    <row r="1221" spans="1:16" x14ac:dyDescent="0.3">
      <c r="A1221">
        <v>1220</v>
      </c>
      <c r="B1221" s="7">
        <v>45548</v>
      </c>
      <c r="C1221" t="s">
        <v>14</v>
      </c>
      <c r="D1221">
        <v>399</v>
      </c>
      <c r="E1221">
        <v>12</v>
      </c>
      <c r="F1221">
        <v>4</v>
      </c>
      <c r="G1221">
        <v>1</v>
      </c>
      <c r="H1221">
        <v>9</v>
      </c>
      <c r="I1221">
        <v>10</v>
      </c>
      <c r="J1221" t="s">
        <v>13</v>
      </c>
      <c r="K1221">
        <f>IF(J1221="Yes", 1, 0)</f>
        <v>0</v>
      </c>
      <c r="L1221" t="str">
        <f>IF(G1221=0,"0 Failures","1+ Failures")</f>
        <v>1+ Failures</v>
      </c>
      <c r="M1221" t="str">
        <f t="shared" si="56"/>
        <v>10-20hrs</v>
      </c>
      <c r="N1221" t="str">
        <f t="shared" si="57"/>
        <v>6-12months</v>
      </c>
      <c r="O1221" t="str">
        <f t="shared" si="58"/>
        <v>Basic</v>
      </c>
      <c r="P1221" s="7">
        <v>45657</v>
      </c>
    </row>
    <row r="1222" spans="1:16" x14ac:dyDescent="0.3">
      <c r="A1222">
        <v>1221</v>
      </c>
      <c r="B1222" s="7">
        <v>45614</v>
      </c>
      <c r="C1222" t="s">
        <v>12</v>
      </c>
      <c r="D1222">
        <v>199</v>
      </c>
      <c r="E1222">
        <v>7.7</v>
      </c>
      <c r="F1222">
        <v>8</v>
      </c>
      <c r="G1222">
        <v>5</v>
      </c>
      <c r="H1222">
        <v>12</v>
      </c>
      <c r="I1222">
        <v>25</v>
      </c>
      <c r="J1222" t="s">
        <v>11</v>
      </c>
      <c r="K1222">
        <f>IF(J1222="Yes", 1, 0)</f>
        <v>1</v>
      </c>
      <c r="L1222" t="str">
        <f>IF(G1222=0,"0 Failures","1+ Failures")</f>
        <v>1+ Failures</v>
      </c>
      <c r="M1222" t="str">
        <f t="shared" si="56"/>
        <v>5-10 hrs</v>
      </c>
      <c r="N1222" t="str">
        <f t="shared" si="57"/>
        <v>6-12months</v>
      </c>
      <c r="O1222" t="str">
        <f t="shared" si="58"/>
        <v>Basic</v>
      </c>
      <c r="P1222" s="7">
        <v>45657</v>
      </c>
    </row>
    <row r="1223" spans="1:16" x14ac:dyDescent="0.3">
      <c r="A1223">
        <v>1222</v>
      </c>
      <c r="B1223" s="7">
        <v>45618</v>
      </c>
      <c r="C1223" t="s">
        <v>12</v>
      </c>
      <c r="D1223">
        <v>199</v>
      </c>
      <c r="E1223">
        <v>4.3</v>
      </c>
      <c r="F1223">
        <v>5</v>
      </c>
      <c r="G1223">
        <v>1</v>
      </c>
      <c r="H1223">
        <v>18</v>
      </c>
      <c r="I1223">
        <v>13</v>
      </c>
      <c r="J1223" t="s">
        <v>13</v>
      </c>
      <c r="K1223">
        <f>IF(J1223="Yes", 1, 0)</f>
        <v>0</v>
      </c>
      <c r="L1223" t="str">
        <f>IF(G1223=0,"0 Failures","1+ Failures")</f>
        <v>1+ Failures</v>
      </c>
      <c r="M1223" t="str">
        <f t="shared" si="56"/>
        <v>0-5 hrs</v>
      </c>
      <c r="N1223" t="str">
        <f t="shared" si="57"/>
        <v>12+ months</v>
      </c>
      <c r="O1223" t="str">
        <f t="shared" si="58"/>
        <v>Basic</v>
      </c>
      <c r="P1223" s="7">
        <v>45657</v>
      </c>
    </row>
    <row r="1224" spans="1:16" x14ac:dyDescent="0.3">
      <c r="A1224">
        <v>1223</v>
      </c>
      <c r="B1224" s="7">
        <v>45605</v>
      </c>
      <c r="C1224" t="s">
        <v>10</v>
      </c>
      <c r="D1224">
        <v>699</v>
      </c>
      <c r="E1224">
        <v>11.3</v>
      </c>
      <c r="F1224">
        <v>0</v>
      </c>
      <c r="G1224">
        <v>5</v>
      </c>
      <c r="H1224">
        <v>14</v>
      </c>
      <c r="I1224">
        <v>51</v>
      </c>
      <c r="J1224" t="s">
        <v>11</v>
      </c>
      <c r="K1224">
        <f>IF(J1224="Yes", 1, 0)</f>
        <v>1</v>
      </c>
      <c r="L1224" t="str">
        <f>IF(G1224=0,"0 Failures","1+ Failures")</f>
        <v>1+ Failures</v>
      </c>
      <c r="M1224" t="str">
        <f t="shared" si="56"/>
        <v>10-20hrs</v>
      </c>
      <c r="N1224" t="str">
        <f t="shared" si="57"/>
        <v>12+ months</v>
      </c>
      <c r="O1224" t="str">
        <f t="shared" si="58"/>
        <v>Premium</v>
      </c>
      <c r="P1224" s="7">
        <v>45657</v>
      </c>
    </row>
    <row r="1225" spans="1:16" x14ac:dyDescent="0.3">
      <c r="A1225">
        <v>1224</v>
      </c>
      <c r="B1225" s="7">
        <v>44976</v>
      </c>
      <c r="C1225" t="s">
        <v>10</v>
      </c>
      <c r="D1225">
        <v>699</v>
      </c>
      <c r="E1225">
        <v>10.1</v>
      </c>
      <c r="F1225">
        <v>4</v>
      </c>
      <c r="G1225">
        <v>3</v>
      </c>
      <c r="H1225">
        <v>7</v>
      </c>
      <c r="I1225">
        <v>3</v>
      </c>
      <c r="J1225" t="s">
        <v>13</v>
      </c>
      <c r="K1225">
        <f>IF(J1225="Yes", 1, 0)</f>
        <v>0</v>
      </c>
      <c r="L1225" t="str">
        <f>IF(G1225=0,"0 Failures","1+ Failures")</f>
        <v>1+ Failures</v>
      </c>
      <c r="M1225" t="str">
        <f t="shared" si="56"/>
        <v>10-20hrs</v>
      </c>
      <c r="N1225" t="str">
        <f t="shared" si="57"/>
        <v>6-12months</v>
      </c>
      <c r="O1225" t="str">
        <f t="shared" si="58"/>
        <v>Premium</v>
      </c>
      <c r="P1225" s="7">
        <v>45657</v>
      </c>
    </row>
    <row r="1226" spans="1:16" x14ac:dyDescent="0.3">
      <c r="A1226">
        <v>1225</v>
      </c>
      <c r="B1226" s="7">
        <v>45358</v>
      </c>
      <c r="C1226" t="s">
        <v>14</v>
      </c>
      <c r="D1226">
        <v>399</v>
      </c>
      <c r="E1226">
        <v>23.3</v>
      </c>
      <c r="F1226">
        <v>5</v>
      </c>
      <c r="G1226">
        <v>1</v>
      </c>
      <c r="H1226">
        <v>13</v>
      </c>
      <c r="I1226">
        <v>12</v>
      </c>
      <c r="J1226" t="s">
        <v>11</v>
      </c>
      <c r="K1226">
        <f>IF(J1226="Yes", 1, 0)</f>
        <v>1</v>
      </c>
      <c r="L1226" t="str">
        <f>IF(G1226=0,"0 Failures","1+ Failures")</f>
        <v>1+ Failures</v>
      </c>
      <c r="M1226" t="str">
        <f t="shared" si="56"/>
        <v>20+ hrs</v>
      </c>
      <c r="N1226" t="str">
        <f t="shared" si="57"/>
        <v>12+ months</v>
      </c>
      <c r="O1226" t="str">
        <f t="shared" si="58"/>
        <v>Basic</v>
      </c>
      <c r="P1226" s="7">
        <v>45657</v>
      </c>
    </row>
    <row r="1227" spans="1:16" x14ac:dyDescent="0.3">
      <c r="A1227">
        <v>1226</v>
      </c>
      <c r="B1227" s="7">
        <v>45025</v>
      </c>
      <c r="C1227" t="s">
        <v>12</v>
      </c>
      <c r="D1227">
        <v>199</v>
      </c>
      <c r="E1227">
        <v>8.8000000000000007</v>
      </c>
      <c r="F1227">
        <v>3</v>
      </c>
      <c r="G1227">
        <v>5</v>
      </c>
      <c r="H1227">
        <v>1</v>
      </c>
      <c r="I1227">
        <v>42</v>
      </c>
      <c r="J1227" t="s">
        <v>11</v>
      </c>
      <c r="K1227">
        <f>IF(J1227="Yes", 1, 0)</f>
        <v>1</v>
      </c>
      <c r="L1227" t="str">
        <f>IF(G1227=0,"0 Failures","1+ Failures")</f>
        <v>1+ Failures</v>
      </c>
      <c r="M1227" t="str">
        <f t="shared" ref="M1227:M1290" si="59">IF(E1227&lt;=5, "0-5 hrs",    IF(E1227&lt;=10, "5-10 hrs",    IF(E1227&lt;=20, "10-20hrs", "20+ hrs")))</f>
        <v>5-10 hrs</v>
      </c>
      <c r="N1227" t="str">
        <f t="shared" si="57"/>
        <v>0-3months</v>
      </c>
      <c r="O1227" t="str">
        <f t="shared" si="58"/>
        <v>Basic</v>
      </c>
      <c r="P1227" s="7">
        <v>45657</v>
      </c>
    </row>
    <row r="1228" spans="1:16" x14ac:dyDescent="0.3">
      <c r="A1228">
        <v>1227</v>
      </c>
      <c r="B1228" s="7">
        <v>45261</v>
      </c>
      <c r="C1228" t="s">
        <v>10</v>
      </c>
      <c r="D1228">
        <v>699</v>
      </c>
      <c r="E1228">
        <v>18.2</v>
      </c>
      <c r="F1228">
        <v>0</v>
      </c>
      <c r="G1228">
        <v>3</v>
      </c>
      <c r="H1228">
        <v>11</v>
      </c>
      <c r="I1228">
        <v>32</v>
      </c>
      <c r="J1228" t="s">
        <v>11</v>
      </c>
      <c r="K1228">
        <f>IF(J1228="Yes", 1, 0)</f>
        <v>1</v>
      </c>
      <c r="L1228" t="str">
        <f>IF(G1228=0,"0 Failures","1+ Failures")</f>
        <v>1+ Failures</v>
      </c>
      <c r="M1228" t="str">
        <f t="shared" si="59"/>
        <v>10-20hrs</v>
      </c>
      <c r="N1228" t="str">
        <f t="shared" si="57"/>
        <v>6-12months</v>
      </c>
      <c r="O1228" t="str">
        <f t="shared" si="58"/>
        <v>Premium</v>
      </c>
      <c r="P1228" s="7">
        <v>45657</v>
      </c>
    </row>
    <row r="1229" spans="1:16" x14ac:dyDescent="0.3">
      <c r="A1229">
        <v>1228</v>
      </c>
      <c r="B1229" s="7">
        <v>45050</v>
      </c>
      <c r="C1229" t="s">
        <v>14</v>
      </c>
      <c r="D1229">
        <v>399</v>
      </c>
      <c r="E1229">
        <v>15.9</v>
      </c>
      <c r="F1229">
        <v>3</v>
      </c>
      <c r="G1229">
        <v>4</v>
      </c>
      <c r="H1229">
        <v>36</v>
      </c>
      <c r="I1229">
        <v>25</v>
      </c>
      <c r="J1229" t="s">
        <v>13</v>
      </c>
      <c r="K1229">
        <f>IF(J1229="Yes", 1, 0)</f>
        <v>0</v>
      </c>
      <c r="L1229" t="str">
        <f>IF(G1229=0,"0 Failures","1+ Failures")</f>
        <v>1+ Failures</v>
      </c>
      <c r="M1229" t="str">
        <f t="shared" si="59"/>
        <v>10-20hrs</v>
      </c>
      <c r="N1229" t="str">
        <f t="shared" si="57"/>
        <v>12+ months</v>
      </c>
      <c r="O1229" t="str">
        <f t="shared" si="58"/>
        <v>Basic</v>
      </c>
      <c r="P1229" s="7">
        <v>45657</v>
      </c>
    </row>
    <row r="1230" spans="1:16" x14ac:dyDescent="0.3">
      <c r="A1230">
        <v>1229</v>
      </c>
      <c r="B1230" s="7">
        <v>45250</v>
      </c>
      <c r="C1230" t="s">
        <v>12</v>
      </c>
      <c r="D1230">
        <v>199</v>
      </c>
      <c r="E1230">
        <v>3.1</v>
      </c>
      <c r="F1230">
        <v>5</v>
      </c>
      <c r="G1230">
        <v>1</v>
      </c>
      <c r="H1230">
        <v>14</v>
      </c>
      <c r="I1230">
        <v>0</v>
      </c>
      <c r="J1230" t="s">
        <v>11</v>
      </c>
      <c r="K1230">
        <f>IF(J1230="Yes", 1, 0)</f>
        <v>1</v>
      </c>
      <c r="L1230" t="str">
        <f>IF(G1230=0,"0 Failures","1+ Failures")</f>
        <v>1+ Failures</v>
      </c>
      <c r="M1230" t="str">
        <f t="shared" si="59"/>
        <v>0-5 hrs</v>
      </c>
      <c r="N1230" t="str">
        <f t="shared" si="57"/>
        <v>12+ months</v>
      </c>
      <c r="O1230" t="str">
        <f t="shared" si="58"/>
        <v>Basic</v>
      </c>
      <c r="P1230" s="7">
        <v>45657</v>
      </c>
    </row>
    <row r="1231" spans="1:16" x14ac:dyDescent="0.3">
      <c r="A1231">
        <v>1230</v>
      </c>
      <c r="B1231" s="7">
        <v>45592</v>
      </c>
      <c r="C1231" t="s">
        <v>12</v>
      </c>
      <c r="D1231">
        <v>199</v>
      </c>
      <c r="E1231">
        <v>5.7</v>
      </c>
      <c r="F1231">
        <v>3</v>
      </c>
      <c r="G1231">
        <v>0</v>
      </c>
      <c r="H1231">
        <v>25</v>
      </c>
      <c r="I1231">
        <v>42</v>
      </c>
      <c r="J1231" t="s">
        <v>13</v>
      </c>
      <c r="K1231">
        <f>IF(J1231="Yes", 1, 0)</f>
        <v>0</v>
      </c>
      <c r="L1231" t="str">
        <f>IF(G1231=0,"0 Failures","1+ Failures")</f>
        <v>0 Failures</v>
      </c>
      <c r="M1231" t="str">
        <f t="shared" si="59"/>
        <v>5-10 hrs</v>
      </c>
      <c r="N1231" t="str">
        <f t="shared" si="57"/>
        <v>12+ months</v>
      </c>
      <c r="O1231" t="str">
        <f t="shared" si="58"/>
        <v>Basic</v>
      </c>
      <c r="P1231" s="7">
        <v>45657</v>
      </c>
    </row>
    <row r="1232" spans="1:16" x14ac:dyDescent="0.3">
      <c r="A1232">
        <v>1231</v>
      </c>
      <c r="B1232" s="7">
        <v>45438</v>
      </c>
      <c r="C1232" t="s">
        <v>10</v>
      </c>
      <c r="D1232">
        <v>699</v>
      </c>
      <c r="E1232">
        <v>1.6</v>
      </c>
      <c r="F1232">
        <v>3</v>
      </c>
      <c r="G1232">
        <v>3</v>
      </c>
      <c r="H1232">
        <v>24</v>
      </c>
      <c r="I1232">
        <v>19</v>
      </c>
      <c r="J1232" t="s">
        <v>13</v>
      </c>
      <c r="K1232">
        <f>IF(J1232="Yes", 1, 0)</f>
        <v>0</v>
      </c>
      <c r="L1232" t="str">
        <f>IF(G1232=0,"0 Failures","1+ Failures")</f>
        <v>1+ Failures</v>
      </c>
      <c r="M1232" t="str">
        <f t="shared" si="59"/>
        <v>0-5 hrs</v>
      </c>
      <c r="N1232" t="str">
        <f t="shared" si="57"/>
        <v>12+ months</v>
      </c>
      <c r="O1232" t="str">
        <f t="shared" si="58"/>
        <v>Premium</v>
      </c>
      <c r="P1232" s="7">
        <v>45657</v>
      </c>
    </row>
    <row r="1233" spans="1:16" x14ac:dyDescent="0.3">
      <c r="A1233">
        <v>1232</v>
      </c>
      <c r="B1233" s="7">
        <v>45573</v>
      </c>
      <c r="C1233" t="s">
        <v>12</v>
      </c>
      <c r="D1233">
        <v>199</v>
      </c>
      <c r="E1233">
        <v>19.899999999999999</v>
      </c>
      <c r="F1233">
        <v>2</v>
      </c>
      <c r="G1233">
        <v>2</v>
      </c>
      <c r="H1233">
        <v>35</v>
      </c>
      <c r="I1233">
        <v>6</v>
      </c>
      <c r="J1233" t="s">
        <v>13</v>
      </c>
      <c r="K1233">
        <f>IF(J1233="Yes", 1, 0)</f>
        <v>0</v>
      </c>
      <c r="L1233" t="str">
        <f>IF(G1233=0,"0 Failures","1+ Failures")</f>
        <v>1+ Failures</v>
      </c>
      <c r="M1233" t="str">
        <f t="shared" si="59"/>
        <v>10-20hrs</v>
      </c>
      <c r="N1233" t="str">
        <f t="shared" si="57"/>
        <v>12+ months</v>
      </c>
      <c r="O1233" t="str">
        <f t="shared" si="58"/>
        <v>Basic</v>
      </c>
      <c r="P1233" s="7">
        <v>45657</v>
      </c>
    </row>
    <row r="1234" spans="1:16" x14ac:dyDescent="0.3">
      <c r="A1234">
        <v>1233</v>
      </c>
      <c r="B1234" s="7">
        <v>45631</v>
      </c>
      <c r="C1234" t="s">
        <v>10</v>
      </c>
      <c r="D1234">
        <v>699</v>
      </c>
      <c r="E1234">
        <v>17.100000000000001</v>
      </c>
      <c r="F1234">
        <v>2</v>
      </c>
      <c r="G1234">
        <v>2</v>
      </c>
      <c r="H1234">
        <v>25</v>
      </c>
      <c r="I1234">
        <v>11</v>
      </c>
      <c r="J1234" t="s">
        <v>13</v>
      </c>
      <c r="K1234">
        <f>IF(J1234="Yes", 1, 0)</f>
        <v>0</v>
      </c>
      <c r="L1234" t="str">
        <f>IF(G1234=0,"0 Failures","1+ Failures")</f>
        <v>1+ Failures</v>
      </c>
      <c r="M1234" t="str">
        <f t="shared" si="59"/>
        <v>10-20hrs</v>
      </c>
      <c r="N1234" t="str">
        <f t="shared" si="57"/>
        <v>12+ months</v>
      </c>
      <c r="O1234" t="str">
        <f t="shared" si="58"/>
        <v>Premium</v>
      </c>
      <c r="P1234" s="7">
        <v>45657</v>
      </c>
    </row>
    <row r="1235" spans="1:16" x14ac:dyDescent="0.3">
      <c r="A1235">
        <v>1234</v>
      </c>
      <c r="B1235" s="7">
        <v>45318</v>
      </c>
      <c r="C1235" t="s">
        <v>14</v>
      </c>
      <c r="D1235">
        <v>399</v>
      </c>
      <c r="E1235">
        <v>2.2000000000000002</v>
      </c>
      <c r="F1235">
        <v>0</v>
      </c>
      <c r="G1235">
        <v>4</v>
      </c>
      <c r="H1235">
        <v>31</v>
      </c>
      <c r="I1235">
        <v>58</v>
      </c>
      <c r="J1235" t="s">
        <v>11</v>
      </c>
      <c r="K1235">
        <f>IF(J1235="Yes", 1, 0)</f>
        <v>1</v>
      </c>
      <c r="L1235" t="str">
        <f>IF(G1235=0,"0 Failures","1+ Failures")</f>
        <v>1+ Failures</v>
      </c>
      <c r="M1235" t="str">
        <f t="shared" si="59"/>
        <v>0-5 hrs</v>
      </c>
      <c r="N1235" t="str">
        <f t="shared" si="57"/>
        <v>12+ months</v>
      </c>
      <c r="O1235" t="str">
        <f t="shared" si="58"/>
        <v>Basic</v>
      </c>
      <c r="P1235" s="7">
        <v>45657</v>
      </c>
    </row>
    <row r="1236" spans="1:16" x14ac:dyDescent="0.3">
      <c r="A1236">
        <v>1235</v>
      </c>
      <c r="B1236" s="7">
        <v>45054</v>
      </c>
      <c r="C1236" t="s">
        <v>10</v>
      </c>
      <c r="D1236">
        <v>699</v>
      </c>
      <c r="E1236">
        <v>12.8</v>
      </c>
      <c r="F1236">
        <v>0</v>
      </c>
      <c r="G1236">
        <v>1</v>
      </c>
      <c r="H1236">
        <v>15</v>
      </c>
      <c r="I1236">
        <v>1</v>
      </c>
      <c r="J1236" t="s">
        <v>13</v>
      </c>
      <c r="K1236">
        <f>IF(J1236="Yes", 1, 0)</f>
        <v>0</v>
      </c>
      <c r="L1236" t="str">
        <f>IF(G1236=0,"0 Failures","1+ Failures")</f>
        <v>1+ Failures</v>
      </c>
      <c r="M1236" t="str">
        <f t="shared" si="59"/>
        <v>10-20hrs</v>
      </c>
      <c r="N1236" t="str">
        <f t="shared" si="57"/>
        <v>12+ months</v>
      </c>
      <c r="O1236" t="str">
        <f t="shared" si="58"/>
        <v>Premium</v>
      </c>
      <c r="P1236" s="7">
        <v>45657</v>
      </c>
    </row>
    <row r="1237" spans="1:16" x14ac:dyDescent="0.3">
      <c r="A1237">
        <v>1236</v>
      </c>
      <c r="B1237" s="7">
        <v>45310</v>
      </c>
      <c r="C1237" t="s">
        <v>14</v>
      </c>
      <c r="D1237">
        <v>399</v>
      </c>
      <c r="E1237">
        <v>18.600000000000001</v>
      </c>
      <c r="F1237">
        <v>3</v>
      </c>
      <c r="G1237">
        <v>4</v>
      </c>
      <c r="H1237">
        <v>16</v>
      </c>
      <c r="I1237">
        <v>5</v>
      </c>
      <c r="J1237" t="s">
        <v>11</v>
      </c>
      <c r="K1237">
        <f>IF(J1237="Yes", 1, 0)</f>
        <v>1</v>
      </c>
      <c r="L1237" t="str">
        <f>IF(G1237=0,"0 Failures","1+ Failures")</f>
        <v>1+ Failures</v>
      </c>
      <c r="M1237" t="str">
        <f t="shared" si="59"/>
        <v>10-20hrs</v>
      </c>
      <c r="N1237" t="str">
        <f t="shared" si="57"/>
        <v>12+ months</v>
      </c>
      <c r="O1237" t="str">
        <f t="shared" si="58"/>
        <v>Basic</v>
      </c>
      <c r="P1237" s="7">
        <v>45657</v>
      </c>
    </row>
    <row r="1238" spans="1:16" x14ac:dyDescent="0.3">
      <c r="A1238">
        <v>1237</v>
      </c>
      <c r="B1238" s="7">
        <v>45539</v>
      </c>
      <c r="C1238" t="s">
        <v>14</v>
      </c>
      <c r="D1238">
        <v>399</v>
      </c>
      <c r="E1238">
        <v>5.4</v>
      </c>
      <c r="F1238">
        <v>6</v>
      </c>
      <c r="G1238">
        <v>1</v>
      </c>
      <c r="H1238">
        <v>19</v>
      </c>
      <c r="I1238">
        <v>41</v>
      </c>
      <c r="J1238" t="s">
        <v>11</v>
      </c>
      <c r="K1238">
        <f>IF(J1238="Yes", 1, 0)</f>
        <v>1</v>
      </c>
      <c r="L1238" t="str">
        <f>IF(G1238=0,"0 Failures","1+ Failures")</f>
        <v>1+ Failures</v>
      </c>
      <c r="M1238" t="str">
        <f t="shared" si="59"/>
        <v>5-10 hrs</v>
      </c>
      <c r="N1238" t="str">
        <f t="shared" si="57"/>
        <v>12+ months</v>
      </c>
      <c r="O1238" t="str">
        <f t="shared" si="58"/>
        <v>Basic</v>
      </c>
      <c r="P1238" s="7">
        <v>45657</v>
      </c>
    </row>
    <row r="1239" spans="1:16" x14ac:dyDescent="0.3">
      <c r="A1239">
        <v>1238</v>
      </c>
      <c r="B1239" s="7">
        <v>45460</v>
      </c>
      <c r="C1239" t="s">
        <v>14</v>
      </c>
      <c r="D1239">
        <v>399</v>
      </c>
      <c r="E1239">
        <v>3.8</v>
      </c>
      <c r="F1239">
        <v>5</v>
      </c>
      <c r="G1239">
        <v>5</v>
      </c>
      <c r="H1239">
        <v>22</v>
      </c>
      <c r="I1239">
        <v>50</v>
      </c>
      <c r="J1239" t="s">
        <v>11</v>
      </c>
      <c r="K1239">
        <f>IF(J1239="Yes", 1, 0)</f>
        <v>1</v>
      </c>
      <c r="L1239" t="str">
        <f>IF(G1239=0,"0 Failures","1+ Failures")</f>
        <v>1+ Failures</v>
      </c>
      <c r="M1239" t="str">
        <f t="shared" si="59"/>
        <v>0-5 hrs</v>
      </c>
      <c r="N1239" t="str">
        <f t="shared" si="57"/>
        <v>12+ months</v>
      </c>
      <c r="O1239" t="str">
        <f t="shared" si="58"/>
        <v>Basic</v>
      </c>
      <c r="P1239" s="7">
        <v>45657</v>
      </c>
    </row>
    <row r="1240" spans="1:16" x14ac:dyDescent="0.3">
      <c r="A1240">
        <v>1239</v>
      </c>
      <c r="B1240" s="7">
        <v>45137</v>
      </c>
      <c r="C1240" t="s">
        <v>14</v>
      </c>
      <c r="D1240">
        <v>399</v>
      </c>
      <c r="E1240">
        <v>18.899999999999999</v>
      </c>
      <c r="F1240">
        <v>3</v>
      </c>
      <c r="G1240">
        <v>5</v>
      </c>
      <c r="H1240">
        <v>19</v>
      </c>
      <c r="I1240">
        <v>21</v>
      </c>
      <c r="J1240" t="s">
        <v>11</v>
      </c>
      <c r="K1240">
        <f>IF(J1240="Yes", 1, 0)</f>
        <v>1</v>
      </c>
      <c r="L1240" t="str">
        <f>IF(G1240=0,"0 Failures","1+ Failures")</f>
        <v>1+ Failures</v>
      </c>
      <c r="M1240" t="str">
        <f t="shared" si="59"/>
        <v>10-20hrs</v>
      </c>
      <c r="N1240" t="str">
        <f t="shared" si="57"/>
        <v>12+ months</v>
      </c>
      <c r="O1240" t="str">
        <f t="shared" si="58"/>
        <v>Basic</v>
      </c>
      <c r="P1240" s="7">
        <v>45657</v>
      </c>
    </row>
    <row r="1241" spans="1:16" x14ac:dyDescent="0.3">
      <c r="A1241">
        <v>1240</v>
      </c>
      <c r="B1241" s="7">
        <v>45549</v>
      </c>
      <c r="C1241" t="s">
        <v>10</v>
      </c>
      <c r="D1241">
        <v>699</v>
      </c>
      <c r="E1241">
        <v>22.7</v>
      </c>
      <c r="F1241">
        <v>3</v>
      </c>
      <c r="G1241">
        <v>5</v>
      </c>
      <c r="H1241">
        <v>4</v>
      </c>
      <c r="I1241">
        <v>44</v>
      </c>
      <c r="J1241" t="s">
        <v>13</v>
      </c>
      <c r="K1241">
        <f>IF(J1241="Yes", 1, 0)</f>
        <v>0</v>
      </c>
      <c r="L1241" t="str">
        <f>IF(G1241=0,"0 Failures","1+ Failures")</f>
        <v>1+ Failures</v>
      </c>
      <c r="M1241" t="str">
        <f t="shared" si="59"/>
        <v>20+ hrs</v>
      </c>
      <c r="N1241" t="str">
        <f t="shared" si="57"/>
        <v>3-6months</v>
      </c>
      <c r="O1241" t="str">
        <f t="shared" si="58"/>
        <v>Premium</v>
      </c>
      <c r="P1241" s="7">
        <v>45657</v>
      </c>
    </row>
    <row r="1242" spans="1:16" x14ac:dyDescent="0.3">
      <c r="A1242">
        <v>1241</v>
      </c>
      <c r="B1242" s="7">
        <v>45430</v>
      </c>
      <c r="C1242" t="s">
        <v>14</v>
      </c>
      <c r="D1242">
        <v>399</v>
      </c>
      <c r="E1242">
        <v>8.4</v>
      </c>
      <c r="F1242">
        <v>7</v>
      </c>
      <c r="G1242">
        <v>5</v>
      </c>
      <c r="H1242">
        <v>34</v>
      </c>
      <c r="I1242">
        <v>0</v>
      </c>
      <c r="J1242" t="s">
        <v>11</v>
      </c>
      <c r="K1242">
        <f>IF(J1242="Yes", 1, 0)</f>
        <v>1</v>
      </c>
      <c r="L1242" t="str">
        <f>IF(G1242=0,"0 Failures","1+ Failures")</f>
        <v>1+ Failures</v>
      </c>
      <c r="M1242" t="str">
        <f t="shared" si="59"/>
        <v>5-10 hrs</v>
      </c>
      <c r="N1242" t="str">
        <f t="shared" si="57"/>
        <v>12+ months</v>
      </c>
      <c r="O1242" t="str">
        <f t="shared" si="58"/>
        <v>Basic</v>
      </c>
      <c r="P1242" s="7">
        <v>45657</v>
      </c>
    </row>
    <row r="1243" spans="1:16" x14ac:dyDescent="0.3">
      <c r="A1243">
        <v>1242</v>
      </c>
      <c r="B1243" s="7">
        <v>45533</v>
      </c>
      <c r="C1243" t="s">
        <v>12</v>
      </c>
      <c r="D1243">
        <v>199</v>
      </c>
      <c r="E1243">
        <v>1.8</v>
      </c>
      <c r="F1243">
        <v>2</v>
      </c>
      <c r="G1243">
        <v>1</v>
      </c>
      <c r="H1243">
        <v>13</v>
      </c>
      <c r="I1243">
        <v>8</v>
      </c>
      <c r="J1243" t="s">
        <v>11</v>
      </c>
      <c r="K1243">
        <f>IF(J1243="Yes", 1, 0)</f>
        <v>1</v>
      </c>
      <c r="L1243" t="str">
        <f>IF(G1243=0,"0 Failures","1+ Failures")</f>
        <v>1+ Failures</v>
      </c>
      <c r="M1243" t="str">
        <f t="shared" si="59"/>
        <v>0-5 hrs</v>
      </c>
      <c r="N1243" t="str">
        <f t="shared" si="57"/>
        <v>12+ months</v>
      </c>
      <c r="O1243" t="str">
        <f t="shared" si="58"/>
        <v>Basic</v>
      </c>
      <c r="P1243" s="7">
        <v>45657</v>
      </c>
    </row>
    <row r="1244" spans="1:16" x14ac:dyDescent="0.3">
      <c r="A1244">
        <v>1243</v>
      </c>
      <c r="B1244" s="7">
        <v>45095</v>
      </c>
      <c r="C1244" t="s">
        <v>10</v>
      </c>
      <c r="D1244">
        <v>699</v>
      </c>
      <c r="E1244">
        <v>6.3</v>
      </c>
      <c r="F1244">
        <v>1</v>
      </c>
      <c r="G1244">
        <v>3</v>
      </c>
      <c r="H1244">
        <v>14</v>
      </c>
      <c r="I1244">
        <v>46</v>
      </c>
      <c r="J1244" t="s">
        <v>11</v>
      </c>
      <c r="K1244">
        <f>IF(J1244="Yes", 1, 0)</f>
        <v>1</v>
      </c>
      <c r="L1244" t="str">
        <f>IF(G1244=0,"0 Failures","1+ Failures")</f>
        <v>1+ Failures</v>
      </c>
      <c r="M1244" t="str">
        <f t="shared" si="59"/>
        <v>5-10 hrs</v>
      </c>
      <c r="N1244" t="str">
        <f t="shared" si="57"/>
        <v>12+ months</v>
      </c>
      <c r="O1244" t="str">
        <f t="shared" si="58"/>
        <v>Premium</v>
      </c>
      <c r="P1244" s="7">
        <v>45657</v>
      </c>
    </row>
    <row r="1245" spans="1:16" x14ac:dyDescent="0.3">
      <c r="A1245">
        <v>1244</v>
      </c>
      <c r="B1245" s="7">
        <v>45517</v>
      </c>
      <c r="C1245" t="s">
        <v>10</v>
      </c>
      <c r="D1245">
        <v>699</v>
      </c>
      <c r="E1245">
        <v>6.5</v>
      </c>
      <c r="F1245">
        <v>2</v>
      </c>
      <c r="G1245">
        <v>4</v>
      </c>
      <c r="H1245">
        <v>13</v>
      </c>
      <c r="I1245">
        <v>15</v>
      </c>
      <c r="J1245" t="s">
        <v>11</v>
      </c>
      <c r="K1245">
        <f>IF(J1245="Yes", 1, 0)</f>
        <v>1</v>
      </c>
      <c r="L1245" t="str">
        <f>IF(G1245=0,"0 Failures","1+ Failures")</f>
        <v>1+ Failures</v>
      </c>
      <c r="M1245" t="str">
        <f t="shared" si="59"/>
        <v>5-10 hrs</v>
      </c>
      <c r="N1245" t="str">
        <f t="shared" si="57"/>
        <v>12+ months</v>
      </c>
      <c r="O1245" t="str">
        <f t="shared" si="58"/>
        <v>Premium</v>
      </c>
      <c r="P1245" s="7">
        <v>45657</v>
      </c>
    </row>
    <row r="1246" spans="1:16" x14ac:dyDescent="0.3">
      <c r="A1246">
        <v>1245</v>
      </c>
      <c r="B1246" s="7">
        <v>45334</v>
      </c>
      <c r="C1246" t="s">
        <v>14</v>
      </c>
      <c r="D1246">
        <v>399</v>
      </c>
      <c r="E1246">
        <v>7.2</v>
      </c>
      <c r="F1246">
        <v>7</v>
      </c>
      <c r="G1246">
        <v>0</v>
      </c>
      <c r="H1246">
        <v>13</v>
      </c>
      <c r="I1246">
        <v>60</v>
      </c>
      <c r="J1246" t="s">
        <v>13</v>
      </c>
      <c r="K1246">
        <f>IF(J1246="Yes", 1, 0)</f>
        <v>0</v>
      </c>
      <c r="L1246" t="str">
        <f>IF(G1246=0,"0 Failures","1+ Failures")</f>
        <v>0 Failures</v>
      </c>
      <c r="M1246" t="str">
        <f t="shared" si="59"/>
        <v>5-10 hrs</v>
      </c>
      <c r="N1246" t="str">
        <f t="shared" si="57"/>
        <v>12+ months</v>
      </c>
      <c r="O1246" t="str">
        <f t="shared" si="58"/>
        <v>Basic</v>
      </c>
      <c r="P1246" s="7">
        <v>45657</v>
      </c>
    </row>
    <row r="1247" spans="1:16" x14ac:dyDescent="0.3">
      <c r="A1247">
        <v>1246</v>
      </c>
      <c r="B1247" s="7">
        <v>45086</v>
      </c>
      <c r="C1247" t="s">
        <v>14</v>
      </c>
      <c r="D1247">
        <v>399</v>
      </c>
      <c r="E1247">
        <v>12</v>
      </c>
      <c r="F1247">
        <v>6</v>
      </c>
      <c r="G1247">
        <v>4</v>
      </c>
      <c r="H1247">
        <v>11</v>
      </c>
      <c r="I1247">
        <v>39</v>
      </c>
      <c r="J1247" t="s">
        <v>11</v>
      </c>
      <c r="K1247">
        <f>IF(J1247="Yes", 1, 0)</f>
        <v>1</v>
      </c>
      <c r="L1247" t="str">
        <f>IF(G1247=0,"0 Failures","1+ Failures")</f>
        <v>1+ Failures</v>
      </c>
      <c r="M1247" t="str">
        <f t="shared" si="59"/>
        <v>10-20hrs</v>
      </c>
      <c r="N1247" t="str">
        <f t="shared" si="57"/>
        <v>6-12months</v>
      </c>
      <c r="O1247" t="str">
        <f t="shared" si="58"/>
        <v>Basic</v>
      </c>
      <c r="P1247" s="7">
        <v>45657</v>
      </c>
    </row>
    <row r="1248" spans="1:16" x14ac:dyDescent="0.3">
      <c r="A1248">
        <v>1247</v>
      </c>
      <c r="B1248" s="7">
        <v>45234</v>
      </c>
      <c r="C1248" t="s">
        <v>14</v>
      </c>
      <c r="D1248">
        <v>399</v>
      </c>
      <c r="E1248">
        <v>19.2</v>
      </c>
      <c r="F1248">
        <v>6</v>
      </c>
      <c r="G1248">
        <v>0</v>
      </c>
      <c r="H1248">
        <v>2</v>
      </c>
      <c r="I1248">
        <v>48</v>
      </c>
      <c r="J1248" t="s">
        <v>13</v>
      </c>
      <c r="K1248">
        <f>IF(J1248="Yes", 1, 0)</f>
        <v>0</v>
      </c>
      <c r="L1248" t="str">
        <f>IF(G1248=0,"0 Failures","1+ Failures")</f>
        <v>0 Failures</v>
      </c>
      <c r="M1248" t="str">
        <f t="shared" si="59"/>
        <v>10-20hrs</v>
      </c>
      <c r="N1248" t="str">
        <f t="shared" si="57"/>
        <v>0-3months</v>
      </c>
      <c r="O1248" t="str">
        <f t="shared" si="58"/>
        <v>Basic</v>
      </c>
      <c r="P1248" s="7">
        <v>45657</v>
      </c>
    </row>
    <row r="1249" spans="1:16" x14ac:dyDescent="0.3">
      <c r="A1249">
        <v>1248</v>
      </c>
      <c r="B1249" s="7">
        <v>45391</v>
      </c>
      <c r="C1249" t="s">
        <v>10</v>
      </c>
      <c r="D1249">
        <v>699</v>
      </c>
      <c r="E1249">
        <v>4.2</v>
      </c>
      <c r="F1249">
        <v>2</v>
      </c>
      <c r="G1249">
        <v>2</v>
      </c>
      <c r="H1249">
        <v>35</v>
      </c>
      <c r="I1249">
        <v>24</v>
      </c>
      <c r="J1249" t="s">
        <v>11</v>
      </c>
      <c r="K1249">
        <f>IF(J1249="Yes", 1, 0)</f>
        <v>1</v>
      </c>
      <c r="L1249" t="str">
        <f>IF(G1249=0,"0 Failures","1+ Failures")</f>
        <v>1+ Failures</v>
      </c>
      <c r="M1249" t="str">
        <f t="shared" si="59"/>
        <v>0-5 hrs</v>
      </c>
      <c r="N1249" t="str">
        <f t="shared" si="57"/>
        <v>12+ months</v>
      </c>
      <c r="O1249" t="str">
        <f t="shared" si="58"/>
        <v>Premium</v>
      </c>
      <c r="P1249" s="7">
        <v>45657</v>
      </c>
    </row>
    <row r="1250" spans="1:16" x14ac:dyDescent="0.3">
      <c r="A1250">
        <v>1249</v>
      </c>
      <c r="B1250" s="7">
        <v>45407</v>
      </c>
      <c r="C1250" t="s">
        <v>14</v>
      </c>
      <c r="D1250">
        <v>399</v>
      </c>
      <c r="E1250">
        <v>14.3</v>
      </c>
      <c r="F1250">
        <v>7</v>
      </c>
      <c r="G1250">
        <v>0</v>
      </c>
      <c r="H1250">
        <v>25</v>
      </c>
      <c r="I1250">
        <v>21</v>
      </c>
      <c r="J1250" t="s">
        <v>11</v>
      </c>
      <c r="K1250">
        <f>IF(J1250="Yes", 1, 0)</f>
        <v>1</v>
      </c>
      <c r="L1250" t="str">
        <f>IF(G1250=0,"0 Failures","1+ Failures")</f>
        <v>0 Failures</v>
      </c>
      <c r="M1250" t="str">
        <f t="shared" si="59"/>
        <v>10-20hrs</v>
      </c>
      <c r="N1250" t="str">
        <f t="shared" si="57"/>
        <v>12+ months</v>
      </c>
      <c r="O1250" t="str">
        <f t="shared" si="58"/>
        <v>Basic</v>
      </c>
      <c r="P1250" s="7">
        <v>45657</v>
      </c>
    </row>
    <row r="1251" spans="1:16" x14ac:dyDescent="0.3">
      <c r="A1251">
        <v>1250</v>
      </c>
      <c r="B1251" s="7">
        <v>45310</v>
      </c>
      <c r="C1251" t="s">
        <v>12</v>
      </c>
      <c r="D1251">
        <v>199</v>
      </c>
      <c r="E1251">
        <v>22.9</v>
      </c>
      <c r="F1251">
        <v>0</v>
      </c>
      <c r="G1251">
        <v>0</v>
      </c>
      <c r="H1251">
        <v>10</v>
      </c>
      <c r="I1251">
        <v>55</v>
      </c>
      <c r="J1251" t="s">
        <v>13</v>
      </c>
      <c r="K1251">
        <f>IF(J1251="Yes", 1, 0)</f>
        <v>0</v>
      </c>
      <c r="L1251" t="str">
        <f>IF(G1251=0,"0 Failures","1+ Failures")</f>
        <v>0 Failures</v>
      </c>
      <c r="M1251" t="str">
        <f t="shared" si="59"/>
        <v>20+ hrs</v>
      </c>
      <c r="N1251" t="str">
        <f t="shared" si="57"/>
        <v>6-12months</v>
      </c>
      <c r="O1251" t="str">
        <f t="shared" si="58"/>
        <v>Basic</v>
      </c>
      <c r="P1251" s="7">
        <v>45657</v>
      </c>
    </row>
    <row r="1252" spans="1:16" x14ac:dyDescent="0.3">
      <c r="A1252">
        <v>1251</v>
      </c>
      <c r="B1252" s="7">
        <v>45242</v>
      </c>
      <c r="C1252" t="s">
        <v>14</v>
      </c>
      <c r="D1252">
        <v>399</v>
      </c>
      <c r="E1252">
        <v>23.2</v>
      </c>
      <c r="F1252">
        <v>6</v>
      </c>
      <c r="G1252">
        <v>5</v>
      </c>
      <c r="H1252">
        <v>26</v>
      </c>
      <c r="I1252">
        <v>23</v>
      </c>
      <c r="J1252" t="s">
        <v>11</v>
      </c>
      <c r="K1252">
        <f>IF(J1252="Yes", 1, 0)</f>
        <v>1</v>
      </c>
      <c r="L1252" t="str">
        <f>IF(G1252=0,"0 Failures","1+ Failures")</f>
        <v>1+ Failures</v>
      </c>
      <c r="M1252" t="str">
        <f t="shared" si="59"/>
        <v>20+ hrs</v>
      </c>
      <c r="N1252" t="str">
        <f t="shared" si="57"/>
        <v>12+ months</v>
      </c>
      <c r="O1252" t="str">
        <f t="shared" si="58"/>
        <v>Basic</v>
      </c>
      <c r="P1252" s="7">
        <v>45657</v>
      </c>
    </row>
    <row r="1253" spans="1:16" x14ac:dyDescent="0.3">
      <c r="A1253">
        <v>1252</v>
      </c>
      <c r="B1253" s="7">
        <v>45093</v>
      </c>
      <c r="C1253" t="s">
        <v>10</v>
      </c>
      <c r="D1253">
        <v>699</v>
      </c>
      <c r="E1253">
        <v>10.5</v>
      </c>
      <c r="F1253">
        <v>0</v>
      </c>
      <c r="G1253">
        <v>0</v>
      </c>
      <c r="H1253">
        <v>5</v>
      </c>
      <c r="I1253">
        <v>24</v>
      </c>
      <c r="J1253" t="s">
        <v>13</v>
      </c>
      <c r="K1253">
        <f>IF(J1253="Yes", 1, 0)</f>
        <v>0</v>
      </c>
      <c r="L1253" t="str">
        <f>IF(G1253=0,"0 Failures","1+ Failures")</f>
        <v>0 Failures</v>
      </c>
      <c r="M1253" t="str">
        <f t="shared" si="59"/>
        <v>10-20hrs</v>
      </c>
      <c r="N1253" t="str">
        <f t="shared" si="57"/>
        <v>3-6months</v>
      </c>
      <c r="O1253" t="str">
        <f t="shared" si="58"/>
        <v>Premium</v>
      </c>
      <c r="P1253" s="7">
        <v>45657</v>
      </c>
    </row>
    <row r="1254" spans="1:16" x14ac:dyDescent="0.3">
      <c r="A1254">
        <v>1253</v>
      </c>
      <c r="B1254" s="7">
        <v>45632</v>
      </c>
      <c r="C1254" t="s">
        <v>12</v>
      </c>
      <c r="D1254">
        <v>199</v>
      </c>
      <c r="E1254">
        <v>23.9</v>
      </c>
      <c r="F1254">
        <v>5</v>
      </c>
      <c r="G1254">
        <v>4</v>
      </c>
      <c r="H1254">
        <v>28</v>
      </c>
      <c r="I1254">
        <v>45</v>
      </c>
      <c r="J1254" t="s">
        <v>11</v>
      </c>
      <c r="K1254">
        <f>IF(J1254="Yes", 1, 0)</f>
        <v>1</v>
      </c>
      <c r="L1254" t="str">
        <f>IF(G1254=0,"0 Failures","1+ Failures")</f>
        <v>1+ Failures</v>
      </c>
      <c r="M1254" t="str">
        <f t="shared" si="59"/>
        <v>20+ hrs</v>
      </c>
      <c r="N1254" t="str">
        <f t="shared" si="57"/>
        <v>12+ months</v>
      </c>
      <c r="O1254" t="str">
        <f t="shared" si="58"/>
        <v>Basic</v>
      </c>
      <c r="P1254" s="7">
        <v>45657</v>
      </c>
    </row>
    <row r="1255" spans="1:16" x14ac:dyDescent="0.3">
      <c r="A1255">
        <v>1254</v>
      </c>
      <c r="B1255" s="7">
        <v>44962</v>
      </c>
      <c r="C1255" t="s">
        <v>14</v>
      </c>
      <c r="D1255">
        <v>399</v>
      </c>
      <c r="E1255">
        <v>16.399999999999999</v>
      </c>
      <c r="F1255">
        <v>6</v>
      </c>
      <c r="G1255">
        <v>5</v>
      </c>
      <c r="H1255">
        <v>4</v>
      </c>
      <c r="I1255">
        <v>15</v>
      </c>
      <c r="J1255" t="s">
        <v>11</v>
      </c>
      <c r="K1255">
        <f>IF(J1255="Yes", 1, 0)</f>
        <v>1</v>
      </c>
      <c r="L1255" t="str">
        <f>IF(G1255=0,"0 Failures","1+ Failures")</f>
        <v>1+ Failures</v>
      </c>
      <c r="M1255" t="str">
        <f t="shared" si="59"/>
        <v>10-20hrs</v>
      </c>
      <c r="N1255" t="str">
        <f t="shared" si="57"/>
        <v>3-6months</v>
      </c>
      <c r="O1255" t="str">
        <f t="shared" si="58"/>
        <v>Basic</v>
      </c>
      <c r="P1255" s="7">
        <v>45657</v>
      </c>
    </row>
    <row r="1256" spans="1:16" x14ac:dyDescent="0.3">
      <c r="A1256">
        <v>1255</v>
      </c>
      <c r="B1256" s="7">
        <v>45624</v>
      </c>
      <c r="C1256" t="s">
        <v>14</v>
      </c>
      <c r="D1256">
        <v>399</v>
      </c>
      <c r="E1256">
        <v>17.600000000000001</v>
      </c>
      <c r="F1256">
        <v>2</v>
      </c>
      <c r="G1256">
        <v>2</v>
      </c>
      <c r="H1256">
        <v>2</v>
      </c>
      <c r="I1256">
        <v>38</v>
      </c>
      <c r="J1256" t="s">
        <v>11</v>
      </c>
      <c r="K1256">
        <f>IF(J1256="Yes", 1, 0)</f>
        <v>1</v>
      </c>
      <c r="L1256" t="str">
        <f>IF(G1256=0,"0 Failures","1+ Failures")</f>
        <v>1+ Failures</v>
      </c>
      <c r="M1256" t="str">
        <f t="shared" si="59"/>
        <v>10-20hrs</v>
      </c>
      <c r="N1256" t="str">
        <f t="shared" si="57"/>
        <v>0-3months</v>
      </c>
      <c r="O1256" t="str">
        <f t="shared" si="58"/>
        <v>Basic</v>
      </c>
      <c r="P1256" s="7">
        <v>45657</v>
      </c>
    </row>
    <row r="1257" spans="1:16" x14ac:dyDescent="0.3">
      <c r="A1257">
        <v>1256</v>
      </c>
      <c r="B1257" s="7">
        <v>45586</v>
      </c>
      <c r="C1257" t="s">
        <v>12</v>
      </c>
      <c r="D1257">
        <v>199</v>
      </c>
      <c r="E1257">
        <v>6.6</v>
      </c>
      <c r="F1257">
        <v>2</v>
      </c>
      <c r="G1257">
        <v>0</v>
      </c>
      <c r="H1257">
        <v>17</v>
      </c>
      <c r="I1257">
        <v>7</v>
      </c>
      <c r="J1257" t="s">
        <v>13</v>
      </c>
      <c r="K1257">
        <f>IF(J1257="Yes", 1, 0)</f>
        <v>0</v>
      </c>
      <c r="L1257" t="str">
        <f>IF(G1257=0,"0 Failures","1+ Failures")</f>
        <v>0 Failures</v>
      </c>
      <c r="M1257" t="str">
        <f t="shared" si="59"/>
        <v>5-10 hrs</v>
      </c>
      <c r="N1257" t="str">
        <f t="shared" si="57"/>
        <v>12+ months</v>
      </c>
      <c r="O1257" t="str">
        <f t="shared" si="58"/>
        <v>Basic</v>
      </c>
      <c r="P1257" s="7">
        <v>45657</v>
      </c>
    </row>
    <row r="1258" spans="1:16" x14ac:dyDescent="0.3">
      <c r="A1258">
        <v>1257</v>
      </c>
      <c r="B1258" s="7">
        <v>45360</v>
      </c>
      <c r="C1258" t="s">
        <v>10</v>
      </c>
      <c r="D1258">
        <v>699</v>
      </c>
      <c r="E1258">
        <v>10.199999999999999</v>
      </c>
      <c r="F1258">
        <v>1</v>
      </c>
      <c r="G1258">
        <v>4</v>
      </c>
      <c r="H1258">
        <v>25</v>
      </c>
      <c r="I1258">
        <v>58</v>
      </c>
      <c r="J1258" t="s">
        <v>11</v>
      </c>
      <c r="K1258">
        <f>IF(J1258="Yes", 1, 0)</f>
        <v>1</v>
      </c>
      <c r="L1258" t="str">
        <f>IF(G1258=0,"0 Failures","1+ Failures")</f>
        <v>1+ Failures</v>
      </c>
      <c r="M1258" t="str">
        <f t="shared" si="59"/>
        <v>10-20hrs</v>
      </c>
      <c r="N1258" t="str">
        <f t="shared" si="57"/>
        <v>12+ months</v>
      </c>
      <c r="O1258" t="str">
        <f t="shared" si="58"/>
        <v>Premium</v>
      </c>
      <c r="P1258" s="7">
        <v>45657</v>
      </c>
    </row>
    <row r="1259" spans="1:16" x14ac:dyDescent="0.3">
      <c r="A1259">
        <v>1258</v>
      </c>
      <c r="B1259" s="7">
        <v>45318</v>
      </c>
      <c r="C1259" t="s">
        <v>12</v>
      </c>
      <c r="D1259">
        <v>199</v>
      </c>
      <c r="E1259">
        <v>6.7</v>
      </c>
      <c r="F1259">
        <v>4</v>
      </c>
      <c r="G1259">
        <v>4</v>
      </c>
      <c r="H1259">
        <v>28</v>
      </c>
      <c r="I1259">
        <v>34</v>
      </c>
      <c r="J1259" t="s">
        <v>11</v>
      </c>
      <c r="K1259">
        <f>IF(J1259="Yes", 1, 0)</f>
        <v>1</v>
      </c>
      <c r="L1259" t="str">
        <f>IF(G1259=0,"0 Failures","1+ Failures")</f>
        <v>1+ Failures</v>
      </c>
      <c r="M1259" t="str">
        <f t="shared" si="59"/>
        <v>5-10 hrs</v>
      </c>
      <c r="N1259" t="str">
        <f t="shared" si="57"/>
        <v>12+ months</v>
      </c>
      <c r="O1259" t="str">
        <f t="shared" si="58"/>
        <v>Basic</v>
      </c>
      <c r="P1259" s="7">
        <v>45657</v>
      </c>
    </row>
    <row r="1260" spans="1:16" x14ac:dyDescent="0.3">
      <c r="A1260">
        <v>1259</v>
      </c>
      <c r="B1260" s="7">
        <v>45279</v>
      </c>
      <c r="C1260" t="s">
        <v>10</v>
      </c>
      <c r="D1260">
        <v>699</v>
      </c>
      <c r="E1260">
        <v>18.5</v>
      </c>
      <c r="F1260">
        <v>1</v>
      </c>
      <c r="G1260">
        <v>0</v>
      </c>
      <c r="H1260">
        <v>20</v>
      </c>
      <c r="I1260">
        <v>40</v>
      </c>
      <c r="J1260" t="s">
        <v>13</v>
      </c>
      <c r="K1260">
        <f>IF(J1260="Yes", 1, 0)</f>
        <v>0</v>
      </c>
      <c r="L1260" t="str">
        <f>IF(G1260=0,"0 Failures","1+ Failures")</f>
        <v>0 Failures</v>
      </c>
      <c r="M1260" t="str">
        <f t="shared" si="59"/>
        <v>10-20hrs</v>
      </c>
      <c r="N1260" t="str">
        <f t="shared" si="57"/>
        <v>12+ months</v>
      </c>
      <c r="O1260" t="str">
        <f t="shared" si="58"/>
        <v>Premium</v>
      </c>
      <c r="P1260" s="7">
        <v>45657</v>
      </c>
    </row>
    <row r="1261" spans="1:16" x14ac:dyDescent="0.3">
      <c r="A1261">
        <v>1260</v>
      </c>
      <c r="B1261" s="7">
        <v>45099</v>
      </c>
      <c r="C1261" t="s">
        <v>12</v>
      </c>
      <c r="D1261">
        <v>199</v>
      </c>
      <c r="E1261">
        <v>18.8</v>
      </c>
      <c r="F1261">
        <v>6</v>
      </c>
      <c r="G1261">
        <v>5</v>
      </c>
      <c r="H1261">
        <v>18</v>
      </c>
      <c r="I1261">
        <v>19</v>
      </c>
      <c r="J1261" t="s">
        <v>11</v>
      </c>
      <c r="K1261">
        <f>IF(J1261="Yes", 1, 0)</f>
        <v>1</v>
      </c>
      <c r="L1261" t="str">
        <f>IF(G1261=0,"0 Failures","1+ Failures")</f>
        <v>1+ Failures</v>
      </c>
      <c r="M1261" t="str">
        <f t="shared" si="59"/>
        <v>10-20hrs</v>
      </c>
      <c r="N1261" t="str">
        <f t="shared" si="57"/>
        <v>12+ months</v>
      </c>
      <c r="O1261" t="str">
        <f t="shared" si="58"/>
        <v>Basic</v>
      </c>
      <c r="P1261" s="7">
        <v>45657</v>
      </c>
    </row>
    <row r="1262" spans="1:16" x14ac:dyDescent="0.3">
      <c r="A1262">
        <v>1261</v>
      </c>
      <c r="B1262" s="7">
        <v>45368</v>
      </c>
      <c r="C1262" t="s">
        <v>14</v>
      </c>
      <c r="D1262">
        <v>399</v>
      </c>
      <c r="E1262">
        <v>2.9</v>
      </c>
      <c r="F1262">
        <v>6</v>
      </c>
      <c r="G1262">
        <v>4</v>
      </c>
      <c r="H1262">
        <v>1</v>
      </c>
      <c r="I1262">
        <v>26</v>
      </c>
      <c r="J1262" t="s">
        <v>11</v>
      </c>
      <c r="K1262">
        <f>IF(J1262="Yes", 1, 0)</f>
        <v>1</v>
      </c>
      <c r="L1262" t="str">
        <f>IF(G1262=0,"0 Failures","1+ Failures")</f>
        <v>1+ Failures</v>
      </c>
      <c r="M1262" t="str">
        <f t="shared" si="59"/>
        <v>0-5 hrs</v>
      </c>
      <c r="N1262" t="str">
        <f t="shared" si="57"/>
        <v>0-3months</v>
      </c>
      <c r="O1262" t="str">
        <f t="shared" si="58"/>
        <v>Basic</v>
      </c>
      <c r="P1262" s="7">
        <v>45657</v>
      </c>
    </row>
    <row r="1263" spans="1:16" x14ac:dyDescent="0.3">
      <c r="A1263">
        <v>1262</v>
      </c>
      <c r="B1263" s="7">
        <v>45039</v>
      </c>
      <c r="C1263" t="s">
        <v>12</v>
      </c>
      <c r="D1263">
        <v>199</v>
      </c>
      <c r="E1263">
        <v>9.6999999999999993</v>
      </c>
      <c r="F1263">
        <v>2</v>
      </c>
      <c r="G1263">
        <v>1</v>
      </c>
      <c r="H1263">
        <v>12</v>
      </c>
      <c r="I1263">
        <v>31</v>
      </c>
      <c r="J1263" t="s">
        <v>11</v>
      </c>
      <c r="K1263">
        <f>IF(J1263="Yes", 1, 0)</f>
        <v>1</v>
      </c>
      <c r="L1263" t="str">
        <f>IF(G1263=0,"0 Failures","1+ Failures")</f>
        <v>1+ Failures</v>
      </c>
      <c r="M1263" t="str">
        <f t="shared" si="59"/>
        <v>5-10 hrs</v>
      </c>
      <c r="N1263" t="str">
        <f t="shared" si="57"/>
        <v>6-12months</v>
      </c>
      <c r="O1263" t="str">
        <f t="shared" si="58"/>
        <v>Basic</v>
      </c>
      <c r="P1263" s="7">
        <v>45657</v>
      </c>
    </row>
    <row r="1264" spans="1:16" x14ac:dyDescent="0.3">
      <c r="A1264">
        <v>1263</v>
      </c>
      <c r="B1264" s="7">
        <v>45123</v>
      </c>
      <c r="C1264" t="s">
        <v>14</v>
      </c>
      <c r="D1264">
        <v>399</v>
      </c>
      <c r="E1264">
        <v>5</v>
      </c>
      <c r="F1264">
        <v>0</v>
      </c>
      <c r="G1264">
        <v>5</v>
      </c>
      <c r="H1264">
        <v>14</v>
      </c>
      <c r="I1264">
        <v>11</v>
      </c>
      <c r="J1264" t="s">
        <v>13</v>
      </c>
      <c r="K1264">
        <f>IF(J1264="Yes", 1, 0)</f>
        <v>0</v>
      </c>
      <c r="L1264" t="str">
        <f>IF(G1264=0,"0 Failures","1+ Failures")</f>
        <v>1+ Failures</v>
      </c>
      <c r="M1264" t="str">
        <f t="shared" si="59"/>
        <v>0-5 hrs</v>
      </c>
      <c r="N1264" t="str">
        <f t="shared" si="57"/>
        <v>12+ months</v>
      </c>
      <c r="O1264" t="str">
        <f t="shared" si="58"/>
        <v>Basic</v>
      </c>
      <c r="P1264" s="7">
        <v>45657</v>
      </c>
    </row>
    <row r="1265" spans="1:16" x14ac:dyDescent="0.3">
      <c r="A1265">
        <v>1264</v>
      </c>
      <c r="B1265" s="7">
        <v>45014</v>
      </c>
      <c r="C1265" t="s">
        <v>14</v>
      </c>
      <c r="D1265">
        <v>399</v>
      </c>
      <c r="E1265">
        <v>11.3</v>
      </c>
      <c r="F1265">
        <v>1</v>
      </c>
      <c r="G1265">
        <v>5</v>
      </c>
      <c r="H1265">
        <v>27</v>
      </c>
      <c r="I1265">
        <v>10</v>
      </c>
      <c r="J1265" t="s">
        <v>11</v>
      </c>
      <c r="K1265">
        <f>IF(J1265="Yes", 1, 0)</f>
        <v>1</v>
      </c>
      <c r="L1265" t="str">
        <f>IF(G1265=0,"0 Failures","1+ Failures")</f>
        <v>1+ Failures</v>
      </c>
      <c r="M1265" t="str">
        <f t="shared" si="59"/>
        <v>10-20hrs</v>
      </c>
      <c r="N1265" t="str">
        <f t="shared" si="57"/>
        <v>12+ months</v>
      </c>
      <c r="O1265" t="str">
        <f t="shared" si="58"/>
        <v>Basic</v>
      </c>
      <c r="P1265" s="7">
        <v>45657</v>
      </c>
    </row>
    <row r="1266" spans="1:16" x14ac:dyDescent="0.3">
      <c r="A1266">
        <v>1265</v>
      </c>
      <c r="B1266" s="7">
        <v>45423</v>
      </c>
      <c r="C1266" t="s">
        <v>14</v>
      </c>
      <c r="D1266">
        <v>399</v>
      </c>
      <c r="E1266">
        <v>7.3</v>
      </c>
      <c r="F1266">
        <v>5</v>
      </c>
      <c r="G1266">
        <v>0</v>
      </c>
      <c r="H1266">
        <v>8</v>
      </c>
      <c r="I1266">
        <v>37</v>
      </c>
      <c r="J1266" t="s">
        <v>11</v>
      </c>
      <c r="K1266">
        <f>IF(J1266="Yes", 1, 0)</f>
        <v>1</v>
      </c>
      <c r="L1266" t="str">
        <f>IF(G1266=0,"0 Failures","1+ Failures")</f>
        <v>0 Failures</v>
      </c>
      <c r="M1266" t="str">
        <f t="shared" si="59"/>
        <v>5-10 hrs</v>
      </c>
      <c r="N1266" t="str">
        <f t="shared" si="57"/>
        <v>6-12months</v>
      </c>
      <c r="O1266" t="str">
        <f t="shared" si="58"/>
        <v>Basic</v>
      </c>
      <c r="P1266" s="7">
        <v>45657</v>
      </c>
    </row>
    <row r="1267" spans="1:16" x14ac:dyDescent="0.3">
      <c r="A1267">
        <v>1266</v>
      </c>
      <c r="B1267" s="7">
        <v>44969</v>
      </c>
      <c r="C1267" t="s">
        <v>10</v>
      </c>
      <c r="D1267">
        <v>699</v>
      </c>
      <c r="E1267">
        <v>0.7</v>
      </c>
      <c r="F1267">
        <v>4</v>
      </c>
      <c r="G1267">
        <v>0</v>
      </c>
      <c r="H1267">
        <v>7</v>
      </c>
      <c r="I1267">
        <v>42</v>
      </c>
      <c r="J1267" t="s">
        <v>11</v>
      </c>
      <c r="K1267">
        <f>IF(J1267="Yes", 1, 0)</f>
        <v>1</v>
      </c>
      <c r="L1267" t="str">
        <f>IF(G1267=0,"0 Failures","1+ Failures")</f>
        <v>0 Failures</v>
      </c>
      <c r="M1267" t="str">
        <f t="shared" si="59"/>
        <v>0-5 hrs</v>
      </c>
      <c r="N1267" t="str">
        <f t="shared" si="57"/>
        <v>6-12months</v>
      </c>
      <c r="O1267" t="str">
        <f t="shared" si="58"/>
        <v>Premium</v>
      </c>
      <c r="P1267" s="7">
        <v>45657</v>
      </c>
    </row>
    <row r="1268" spans="1:16" x14ac:dyDescent="0.3">
      <c r="A1268">
        <v>1267</v>
      </c>
      <c r="B1268" s="7">
        <v>45199</v>
      </c>
      <c r="C1268" t="s">
        <v>12</v>
      </c>
      <c r="D1268">
        <v>199</v>
      </c>
      <c r="E1268">
        <v>13.3</v>
      </c>
      <c r="F1268">
        <v>0</v>
      </c>
      <c r="G1268">
        <v>3</v>
      </c>
      <c r="H1268">
        <v>14</v>
      </c>
      <c r="I1268">
        <v>38</v>
      </c>
      <c r="J1268" t="s">
        <v>11</v>
      </c>
      <c r="K1268">
        <f>IF(J1268="Yes", 1, 0)</f>
        <v>1</v>
      </c>
      <c r="L1268" t="str">
        <f>IF(G1268=0,"0 Failures","1+ Failures")</f>
        <v>1+ Failures</v>
      </c>
      <c r="M1268" t="str">
        <f t="shared" si="59"/>
        <v>10-20hrs</v>
      </c>
      <c r="N1268" t="str">
        <f t="shared" si="57"/>
        <v>12+ months</v>
      </c>
      <c r="O1268" t="str">
        <f t="shared" si="58"/>
        <v>Basic</v>
      </c>
      <c r="P1268" s="7">
        <v>45657</v>
      </c>
    </row>
    <row r="1269" spans="1:16" x14ac:dyDescent="0.3">
      <c r="A1269">
        <v>1268</v>
      </c>
      <c r="B1269" s="7">
        <v>45278</v>
      </c>
      <c r="C1269" t="s">
        <v>14</v>
      </c>
      <c r="D1269">
        <v>399</v>
      </c>
      <c r="E1269">
        <v>19</v>
      </c>
      <c r="F1269">
        <v>6</v>
      </c>
      <c r="G1269">
        <v>2</v>
      </c>
      <c r="H1269">
        <v>31</v>
      </c>
      <c r="I1269">
        <v>23</v>
      </c>
      <c r="J1269" t="s">
        <v>11</v>
      </c>
      <c r="K1269">
        <f>IF(J1269="Yes", 1, 0)</f>
        <v>1</v>
      </c>
      <c r="L1269" t="str">
        <f>IF(G1269=0,"0 Failures","1+ Failures")</f>
        <v>1+ Failures</v>
      </c>
      <c r="M1269" t="str">
        <f t="shared" si="59"/>
        <v>10-20hrs</v>
      </c>
      <c r="N1269" t="str">
        <f t="shared" si="57"/>
        <v>12+ months</v>
      </c>
      <c r="O1269" t="str">
        <f t="shared" si="58"/>
        <v>Basic</v>
      </c>
      <c r="P1269" s="7">
        <v>45657</v>
      </c>
    </row>
    <row r="1270" spans="1:16" x14ac:dyDescent="0.3">
      <c r="A1270">
        <v>1269</v>
      </c>
      <c r="B1270" s="7">
        <v>45291</v>
      </c>
      <c r="C1270" t="s">
        <v>14</v>
      </c>
      <c r="D1270">
        <v>399</v>
      </c>
      <c r="E1270">
        <v>23.6</v>
      </c>
      <c r="F1270">
        <v>6</v>
      </c>
      <c r="G1270">
        <v>3</v>
      </c>
      <c r="H1270">
        <v>16</v>
      </c>
      <c r="I1270">
        <v>39</v>
      </c>
      <c r="J1270" t="s">
        <v>11</v>
      </c>
      <c r="K1270">
        <f>IF(J1270="Yes", 1, 0)</f>
        <v>1</v>
      </c>
      <c r="L1270" t="str">
        <f>IF(G1270=0,"0 Failures","1+ Failures")</f>
        <v>1+ Failures</v>
      </c>
      <c r="M1270" t="str">
        <f t="shared" si="59"/>
        <v>20+ hrs</v>
      </c>
      <c r="N1270" t="str">
        <f t="shared" si="57"/>
        <v>12+ months</v>
      </c>
      <c r="O1270" t="str">
        <f t="shared" si="58"/>
        <v>Basic</v>
      </c>
      <c r="P1270" s="7">
        <v>45657</v>
      </c>
    </row>
    <row r="1271" spans="1:16" x14ac:dyDescent="0.3">
      <c r="A1271">
        <v>1270</v>
      </c>
      <c r="B1271" s="7">
        <v>45069</v>
      </c>
      <c r="C1271" t="s">
        <v>14</v>
      </c>
      <c r="D1271">
        <v>399</v>
      </c>
      <c r="E1271">
        <v>0.6</v>
      </c>
      <c r="F1271">
        <v>6</v>
      </c>
      <c r="G1271">
        <v>5</v>
      </c>
      <c r="H1271">
        <v>7</v>
      </c>
      <c r="I1271">
        <v>53</v>
      </c>
      <c r="J1271" t="s">
        <v>11</v>
      </c>
      <c r="K1271">
        <f>IF(J1271="Yes", 1, 0)</f>
        <v>1</v>
      </c>
      <c r="L1271" t="str">
        <f>IF(G1271=0,"0 Failures","1+ Failures")</f>
        <v>1+ Failures</v>
      </c>
      <c r="M1271" t="str">
        <f t="shared" si="59"/>
        <v>0-5 hrs</v>
      </c>
      <c r="N1271" t="str">
        <f t="shared" si="57"/>
        <v>6-12months</v>
      </c>
      <c r="O1271" t="str">
        <f t="shared" si="58"/>
        <v>Basic</v>
      </c>
      <c r="P1271" s="7">
        <v>45657</v>
      </c>
    </row>
    <row r="1272" spans="1:16" x14ac:dyDescent="0.3">
      <c r="A1272">
        <v>1271</v>
      </c>
      <c r="B1272" s="7">
        <v>45304</v>
      </c>
      <c r="C1272" t="s">
        <v>12</v>
      </c>
      <c r="D1272">
        <v>199</v>
      </c>
      <c r="E1272">
        <v>21.8</v>
      </c>
      <c r="F1272">
        <v>4</v>
      </c>
      <c r="G1272">
        <v>5</v>
      </c>
      <c r="H1272">
        <v>8</v>
      </c>
      <c r="I1272">
        <v>48</v>
      </c>
      <c r="J1272" t="s">
        <v>13</v>
      </c>
      <c r="K1272">
        <f>IF(J1272="Yes", 1, 0)</f>
        <v>0</v>
      </c>
      <c r="L1272" t="str">
        <f>IF(G1272=0,"0 Failures","1+ Failures")</f>
        <v>1+ Failures</v>
      </c>
      <c r="M1272" t="str">
        <f t="shared" si="59"/>
        <v>20+ hrs</v>
      </c>
      <c r="N1272" t="str">
        <f t="shared" si="57"/>
        <v>6-12months</v>
      </c>
      <c r="O1272" t="str">
        <f t="shared" si="58"/>
        <v>Basic</v>
      </c>
      <c r="P1272" s="7">
        <v>45657</v>
      </c>
    </row>
    <row r="1273" spans="1:16" x14ac:dyDescent="0.3">
      <c r="A1273">
        <v>1272</v>
      </c>
      <c r="B1273" s="7">
        <v>45256</v>
      </c>
      <c r="C1273" t="s">
        <v>14</v>
      </c>
      <c r="D1273">
        <v>399</v>
      </c>
      <c r="E1273">
        <v>13.1</v>
      </c>
      <c r="F1273">
        <v>3</v>
      </c>
      <c r="G1273">
        <v>0</v>
      </c>
      <c r="H1273">
        <v>31</v>
      </c>
      <c r="I1273">
        <v>40</v>
      </c>
      <c r="J1273" t="s">
        <v>13</v>
      </c>
      <c r="K1273">
        <f>IF(J1273="Yes", 1, 0)</f>
        <v>0</v>
      </c>
      <c r="L1273" t="str">
        <f>IF(G1273=0,"0 Failures","1+ Failures")</f>
        <v>0 Failures</v>
      </c>
      <c r="M1273" t="str">
        <f t="shared" si="59"/>
        <v>10-20hrs</v>
      </c>
      <c r="N1273" t="str">
        <f t="shared" si="57"/>
        <v>12+ months</v>
      </c>
      <c r="O1273" t="str">
        <f t="shared" si="58"/>
        <v>Basic</v>
      </c>
      <c r="P1273" s="7">
        <v>45657</v>
      </c>
    </row>
    <row r="1274" spans="1:16" x14ac:dyDescent="0.3">
      <c r="A1274">
        <v>1273</v>
      </c>
      <c r="B1274" s="7">
        <v>45423</v>
      </c>
      <c r="C1274" t="s">
        <v>12</v>
      </c>
      <c r="D1274">
        <v>199</v>
      </c>
      <c r="E1274">
        <v>21.9</v>
      </c>
      <c r="F1274">
        <v>5</v>
      </c>
      <c r="G1274">
        <v>5</v>
      </c>
      <c r="H1274">
        <v>24</v>
      </c>
      <c r="I1274">
        <v>28</v>
      </c>
      <c r="J1274" t="s">
        <v>11</v>
      </c>
      <c r="K1274">
        <f>IF(J1274="Yes", 1, 0)</f>
        <v>1</v>
      </c>
      <c r="L1274" t="str">
        <f>IF(G1274=0,"0 Failures","1+ Failures")</f>
        <v>1+ Failures</v>
      </c>
      <c r="M1274" t="str">
        <f t="shared" si="59"/>
        <v>20+ hrs</v>
      </c>
      <c r="N1274" t="str">
        <f t="shared" si="57"/>
        <v>12+ months</v>
      </c>
      <c r="O1274" t="str">
        <f t="shared" si="58"/>
        <v>Basic</v>
      </c>
      <c r="P1274" s="7">
        <v>45657</v>
      </c>
    </row>
    <row r="1275" spans="1:16" x14ac:dyDescent="0.3">
      <c r="A1275">
        <v>1274</v>
      </c>
      <c r="B1275" s="7">
        <v>45029</v>
      </c>
      <c r="C1275" t="s">
        <v>14</v>
      </c>
      <c r="D1275">
        <v>399</v>
      </c>
      <c r="E1275">
        <v>9</v>
      </c>
      <c r="F1275">
        <v>7</v>
      </c>
      <c r="G1275">
        <v>5</v>
      </c>
      <c r="H1275">
        <v>6</v>
      </c>
      <c r="I1275">
        <v>54</v>
      </c>
      <c r="J1275" t="s">
        <v>11</v>
      </c>
      <c r="K1275">
        <f>IF(J1275="Yes", 1, 0)</f>
        <v>1</v>
      </c>
      <c r="L1275" t="str">
        <f>IF(G1275=0,"0 Failures","1+ Failures")</f>
        <v>1+ Failures</v>
      </c>
      <c r="M1275" t="str">
        <f t="shared" si="59"/>
        <v>5-10 hrs</v>
      </c>
      <c r="N1275" t="str">
        <f t="shared" si="57"/>
        <v>3-6months</v>
      </c>
      <c r="O1275" t="str">
        <f t="shared" si="58"/>
        <v>Basic</v>
      </c>
      <c r="P1275" s="7">
        <v>45657</v>
      </c>
    </row>
    <row r="1276" spans="1:16" x14ac:dyDescent="0.3">
      <c r="A1276">
        <v>1275</v>
      </c>
      <c r="B1276" s="7">
        <v>45512</v>
      </c>
      <c r="C1276" t="s">
        <v>10</v>
      </c>
      <c r="D1276">
        <v>699</v>
      </c>
      <c r="E1276">
        <v>7.7</v>
      </c>
      <c r="F1276">
        <v>3</v>
      </c>
      <c r="G1276">
        <v>5</v>
      </c>
      <c r="H1276">
        <v>25</v>
      </c>
      <c r="I1276">
        <v>9</v>
      </c>
      <c r="J1276" t="s">
        <v>13</v>
      </c>
      <c r="K1276">
        <f>IF(J1276="Yes", 1, 0)</f>
        <v>0</v>
      </c>
      <c r="L1276" t="str">
        <f>IF(G1276=0,"0 Failures","1+ Failures")</f>
        <v>1+ Failures</v>
      </c>
      <c r="M1276" t="str">
        <f t="shared" si="59"/>
        <v>5-10 hrs</v>
      </c>
      <c r="N1276" t="str">
        <f t="shared" si="57"/>
        <v>12+ months</v>
      </c>
      <c r="O1276" t="str">
        <f t="shared" si="58"/>
        <v>Premium</v>
      </c>
      <c r="P1276" s="7">
        <v>45657</v>
      </c>
    </row>
    <row r="1277" spans="1:16" x14ac:dyDescent="0.3">
      <c r="A1277">
        <v>1276</v>
      </c>
      <c r="B1277" s="7">
        <v>45488</v>
      </c>
      <c r="C1277" t="s">
        <v>10</v>
      </c>
      <c r="D1277">
        <v>699</v>
      </c>
      <c r="E1277">
        <v>1.3</v>
      </c>
      <c r="F1277">
        <v>7</v>
      </c>
      <c r="G1277">
        <v>0</v>
      </c>
      <c r="H1277">
        <v>33</v>
      </c>
      <c r="I1277">
        <v>19</v>
      </c>
      <c r="J1277" t="s">
        <v>13</v>
      </c>
      <c r="K1277">
        <f>IF(J1277="Yes", 1, 0)</f>
        <v>0</v>
      </c>
      <c r="L1277" t="str">
        <f>IF(G1277=0,"0 Failures","1+ Failures")</f>
        <v>0 Failures</v>
      </c>
      <c r="M1277" t="str">
        <f t="shared" si="59"/>
        <v>0-5 hrs</v>
      </c>
      <c r="N1277" t="str">
        <f t="shared" si="57"/>
        <v>12+ months</v>
      </c>
      <c r="O1277" t="str">
        <f t="shared" si="58"/>
        <v>Premium</v>
      </c>
      <c r="P1277" s="7">
        <v>45657</v>
      </c>
    </row>
    <row r="1278" spans="1:16" x14ac:dyDescent="0.3">
      <c r="A1278">
        <v>1277</v>
      </c>
      <c r="B1278" s="7">
        <v>45176</v>
      </c>
      <c r="C1278" t="s">
        <v>14</v>
      </c>
      <c r="D1278">
        <v>399</v>
      </c>
      <c r="E1278">
        <v>22.5</v>
      </c>
      <c r="F1278">
        <v>1</v>
      </c>
      <c r="G1278">
        <v>3</v>
      </c>
      <c r="H1278">
        <v>11</v>
      </c>
      <c r="I1278">
        <v>42</v>
      </c>
      <c r="J1278" t="s">
        <v>11</v>
      </c>
      <c r="K1278">
        <f>IF(J1278="Yes", 1, 0)</f>
        <v>1</v>
      </c>
      <c r="L1278" t="str">
        <f>IF(G1278=0,"0 Failures","1+ Failures")</f>
        <v>1+ Failures</v>
      </c>
      <c r="M1278" t="str">
        <f t="shared" si="59"/>
        <v>20+ hrs</v>
      </c>
      <c r="N1278" t="str">
        <f t="shared" si="57"/>
        <v>6-12months</v>
      </c>
      <c r="O1278" t="str">
        <f t="shared" si="58"/>
        <v>Basic</v>
      </c>
      <c r="P1278" s="7">
        <v>45657</v>
      </c>
    </row>
    <row r="1279" spans="1:16" x14ac:dyDescent="0.3">
      <c r="A1279">
        <v>1278</v>
      </c>
      <c r="B1279" s="7">
        <v>44956</v>
      </c>
      <c r="C1279" t="s">
        <v>12</v>
      </c>
      <c r="D1279">
        <v>199</v>
      </c>
      <c r="E1279">
        <v>19</v>
      </c>
      <c r="F1279">
        <v>1</v>
      </c>
      <c r="G1279">
        <v>0</v>
      </c>
      <c r="H1279">
        <v>11</v>
      </c>
      <c r="I1279">
        <v>27</v>
      </c>
      <c r="J1279" t="s">
        <v>13</v>
      </c>
      <c r="K1279">
        <f>IF(J1279="Yes", 1, 0)</f>
        <v>0</v>
      </c>
      <c r="L1279" t="str">
        <f>IF(G1279=0,"0 Failures","1+ Failures")</f>
        <v>0 Failures</v>
      </c>
      <c r="M1279" t="str">
        <f t="shared" si="59"/>
        <v>10-20hrs</v>
      </c>
      <c r="N1279" t="str">
        <f t="shared" si="57"/>
        <v>6-12months</v>
      </c>
      <c r="O1279" t="str">
        <f t="shared" si="58"/>
        <v>Basic</v>
      </c>
      <c r="P1279" s="7">
        <v>45657</v>
      </c>
    </row>
    <row r="1280" spans="1:16" x14ac:dyDescent="0.3">
      <c r="A1280">
        <v>1279</v>
      </c>
      <c r="B1280" s="7">
        <v>45414</v>
      </c>
      <c r="C1280" t="s">
        <v>12</v>
      </c>
      <c r="D1280">
        <v>199</v>
      </c>
      <c r="E1280">
        <v>22.6</v>
      </c>
      <c r="F1280">
        <v>4</v>
      </c>
      <c r="G1280">
        <v>1</v>
      </c>
      <c r="H1280">
        <v>21</v>
      </c>
      <c r="I1280">
        <v>46</v>
      </c>
      <c r="J1280" t="s">
        <v>11</v>
      </c>
      <c r="K1280">
        <f>IF(J1280="Yes", 1, 0)</f>
        <v>1</v>
      </c>
      <c r="L1280" t="str">
        <f>IF(G1280=0,"0 Failures","1+ Failures")</f>
        <v>1+ Failures</v>
      </c>
      <c r="M1280" t="str">
        <f t="shared" si="59"/>
        <v>20+ hrs</v>
      </c>
      <c r="N1280" t="str">
        <f t="shared" si="57"/>
        <v>12+ months</v>
      </c>
      <c r="O1280" t="str">
        <f t="shared" si="58"/>
        <v>Basic</v>
      </c>
      <c r="P1280" s="7">
        <v>45657</v>
      </c>
    </row>
    <row r="1281" spans="1:16" x14ac:dyDescent="0.3">
      <c r="A1281">
        <v>1280</v>
      </c>
      <c r="B1281" s="7">
        <v>45635</v>
      </c>
      <c r="C1281" t="s">
        <v>10</v>
      </c>
      <c r="D1281">
        <v>699</v>
      </c>
      <c r="E1281">
        <v>16.8</v>
      </c>
      <c r="F1281">
        <v>8</v>
      </c>
      <c r="G1281">
        <v>5</v>
      </c>
      <c r="H1281">
        <v>8</v>
      </c>
      <c r="I1281">
        <v>46</v>
      </c>
      <c r="J1281" t="s">
        <v>11</v>
      </c>
      <c r="K1281">
        <f>IF(J1281="Yes", 1, 0)</f>
        <v>1</v>
      </c>
      <c r="L1281" t="str">
        <f>IF(G1281=0,"0 Failures","1+ Failures")</f>
        <v>1+ Failures</v>
      </c>
      <c r="M1281" t="str">
        <f t="shared" si="59"/>
        <v>10-20hrs</v>
      </c>
      <c r="N1281" t="str">
        <f t="shared" si="57"/>
        <v>6-12months</v>
      </c>
      <c r="O1281" t="str">
        <f t="shared" si="58"/>
        <v>Premium</v>
      </c>
      <c r="P1281" s="7">
        <v>45657</v>
      </c>
    </row>
    <row r="1282" spans="1:16" x14ac:dyDescent="0.3">
      <c r="A1282">
        <v>1281</v>
      </c>
      <c r="B1282" s="7">
        <v>45317</v>
      </c>
      <c r="C1282" t="s">
        <v>14</v>
      </c>
      <c r="D1282">
        <v>399</v>
      </c>
      <c r="E1282">
        <v>23.3</v>
      </c>
      <c r="F1282">
        <v>1</v>
      </c>
      <c r="G1282">
        <v>5</v>
      </c>
      <c r="H1282">
        <v>15</v>
      </c>
      <c r="I1282">
        <v>21</v>
      </c>
      <c r="J1282" t="s">
        <v>11</v>
      </c>
      <c r="K1282">
        <f>IF(J1282="Yes", 1, 0)</f>
        <v>1</v>
      </c>
      <c r="L1282" t="str">
        <f>IF(G1282=0,"0 Failures","1+ Failures")</f>
        <v>1+ Failures</v>
      </c>
      <c r="M1282" t="str">
        <f t="shared" si="59"/>
        <v>20+ hrs</v>
      </c>
      <c r="N1282" t="str">
        <f t="shared" si="57"/>
        <v>12+ months</v>
      </c>
      <c r="O1282" t="str">
        <f t="shared" si="58"/>
        <v>Basic</v>
      </c>
      <c r="P1282" s="7">
        <v>45657</v>
      </c>
    </row>
    <row r="1283" spans="1:16" x14ac:dyDescent="0.3">
      <c r="A1283">
        <v>1282</v>
      </c>
      <c r="B1283" s="7">
        <v>45224</v>
      </c>
      <c r="C1283" t="s">
        <v>10</v>
      </c>
      <c r="D1283">
        <v>699</v>
      </c>
      <c r="E1283">
        <v>24.2</v>
      </c>
      <c r="F1283">
        <v>6</v>
      </c>
      <c r="G1283">
        <v>1</v>
      </c>
      <c r="H1283">
        <v>36</v>
      </c>
      <c r="I1283">
        <v>14</v>
      </c>
      <c r="J1283" t="s">
        <v>13</v>
      </c>
      <c r="K1283">
        <f>IF(J1283="Yes", 1, 0)</f>
        <v>0</v>
      </c>
      <c r="L1283" t="str">
        <f>IF(G1283=0,"0 Failures","1+ Failures")</f>
        <v>1+ Failures</v>
      </c>
      <c r="M1283" t="str">
        <f t="shared" si="59"/>
        <v>20+ hrs</v>
      </c>
      <c r="N1283" t="str">
        <f t="shared" ref="N1283:N1346" si="60">IF(H1283&lt;=3, "0-3months", IF(H1283&lt;=6, "3-6months", IF(H1283&lt;=12, "6-12months", "12+ months")))</f>
        <v>12+ months</v>
      </c>
      <c r="O1283" t="str">
        <f t="shared" ref="O1283:O1346" si="61">IF(C1283="premium", "Premium", "Basic")</f>
        <v>Premium</v>
      </c>
      <c r="P1283" s="7">
        <v>45657</v>
      </c>
    </row>
    <row r="1284" spans="1:16" x14ac:dyDescent="0.3">
      <c r="A1284">
        <v>1283</v>
      </c>
      <c r="B1284" s="7">
        <v>45303</v>
      </c>
      <c r="C1284" t="s">
        <v>12</v>
      </c>
      <c r="D1284">
        <v>199</v>
      </c>
      <c r="E1284">
        <v>2.7</v>
      </c>
      <c r="F1284">
        <v>3</v>
      </c>
      <c r="G1284">
        <v>5</v>
      </c>
      <c r="H1284">
        <v>8</v>
      </c>
      <c r="I1284">
        <v>60</v>
      </c>
      <c r="J1284" t="s">
        <v>11</v>
      </c>
      <c r="K1284">
        <f>IF(J1284="Yes", 1, 0)</f>
        <v>1</v>
      </c>
      <c r="L1284" t="str">
        <f>IF(G1284=0,"0 Failures","1+ Failures")</f>
        <v>1+ Failures</v>
      </c>
      <c r="M1284" t="str">
        <f t="shared" si="59"/>
        <v>0-5 hrs</v>
      </c>
      <c r="N1284" t="str">
        <f t="shared" si="60"/>
        <v>6-12months</v>
      </c>
      <c r="O1284" t="str">
        <f t="shared" si="61"/>
        <v>Basic</v>
      </c>
      <c r="P1284" s="7">
        <v>45657</v>
      </c>
    </row>
    <row r="1285" spans="1:16" x14ac:dyDescent="0.3">
      <c r="A1285">
        <v>1284</v>
      </c>
      <c r="B1285" s="7">
        <v>45121</v>
      </c>
      <c r="C1285" t="s">
        <v>12</v>
      </c>
      <c r="D1285">
        <v>199</v>
      </c>
      <c r="E1285">
        <v>23.9</v>
      </c>
      <c r="F1285">
        <v>0</v>
      </c>
      <c r="G1285">
        <v>2</v>
      </c>
      <c r="H1285">
        <v>21</v>
      </c>
      <c r="I1285">
        <v>3</v>
      </c>
      <c r="J1285" t="s">
        <v>13</v>
      </c>
      <c r="K1285">
        <f>IF(J1285="Yes", 1, 0)</f>
        <v>0</v>
      </c>
      <c r="L1285" t="str">
        <f>IF(G1285=0,"0 Failures","1+ Failures")</f>
        <v>1+ Failures</v>
      </c>
      <c r="M1285" t="str">
        <f t="shared" si="59"/>
        <v>20+ hrs</v>
      </c>
      <c r="N1285" t="str">
        <f t="shared" si="60"/>
        <v>12+ months</v>
      </c>
      <c r="O1285" t="str">
        <f t="shared" si="61"/>
        <v>Basic</v>
      </c>
      <c r="P1285" s="7">
        <v>45657</v>
      </c>
    </row>
    <row r="1286" spans="1:16" x14ac:dyDescent="0.3">
      <c r="A1286">
        <v>1285</v>
      </c>
      <c r="B1286" s="7">
        <v>45459</v>
      </c>
      <c r="C1286" t="s">
        <v>14</v>
      </c>
      <c r="D1286">
        <v>399</v>
      </c>
      <c r="E1286">
        <v>8.3000000000000007</v>
      </c>
      <c r="F1286">
        <v>5</v>
      </c>
      <c r="G1286">
        <v>5</v>
      </c>
      <c r="H1286">
        <v>28</v>
      </c>
      <c r="I1286">
        <v>59</v>
      </c>
      <c r="J1286" t="s">
        <v>13</v>
      </c>
      <c r="K1286">
        <f>IF(J1286="Yes", 1, 0)</f>
        <v>0</v>
      </c>
      <c r="L1286" t="str">
        <f>IF(G1286=0,"0 Failures","1+ Failures")</f>
        <v>1+ Failures</v>
      </c>
      <c r="M1286" t="str">
        <f t="shared" si="59"/>
        <v>5-10 hrs</v>
      </c>
      <c r="N1286" t="str">
        <f t="shared" si="60"/>
        <v>12+ months</v>
      </c>
      <c r="O1286" t="str">
        <f t="shared" si="61"/>
        <v>Basic</v>
      </c>
      <c r="P1286" s="7">
        <v>45657</v>
      </c>
    </row>
    <row r="1287" spans="1:16" x14ac:dyDescent="0.3">
      <c r="A1287">
        <v>1286</v>
      </c>
      <c r="B1287" s="7">
        <v>45075</v>
      </c>
      <c r="C1287" t="s">
        <v>10</v>
      </c>
      <c r="D1287">
        <v>699</v>
      </c>
      <c r="E1287">
        <v>3.1</v>
      </c>
      <c r="F1287">
        <v>0</v>
      </c>
      <c r="G1287">
        <v>4</v>
      </c>
      <c r="H1287">
        <v>15</v>
      </c>
      <c r="I1287">
        <v>54</v>
      </c>
      <c r="J1287" t="s">
        <v>11</v>
      </c>
      <c r="K1287">
        <f>IF(J1287="Yes", 1, 0)</f>
        <v>1</v>
      </c>
      <c r="L1287" t="str">
        <f>IF(G1287=0,"0 Failures","1+ Failures")</f>
        <v>1+ Failures</v>
      </c>
      <c r="M1287" t="str">
        <f t="shared" si="59"/>
        <v>0-5 hrs</v>
      </c>
      <c r="N1287" t="str">
        <f t="shared" si="60"/>
        <v>12+ months</v>
      </c>
      <c r="O1287" t="str">
        <f t="shared" si="61"/>
        <v>Premium</v>
      </c>
      <c r="P1287" s="7">
        <v>45657</v>
      </c>
    </row>
    <row r="1288" spans="1:16" x14ac:dyDescent="0.3">
      <c r="A1288">
        <v>1287</v>
      </c>
      <c r="B1288" s="7">
        <v>45608</v>
      </c>
      <c r="C1288" t="s">
        <v>14</v>
      </c>
      <c r="D1288">
        <v>399</v>
      </c>
      <c r="E1288">
        <v>12.7</v>
      </c>
      <c r="F1288">
        <v>7</v>
      </c>
      <c r="G1288">
        <v>1</v>
      </c>
      <c r="H1288">
        <v>15</v>
      </c>
      <c r="I1288">
        <v>38</v>
      </c>
      <c r="J1288" t="s">
        <v>11</v>
      </c>
      <c r="K1288">
        <f>IF(J1288="Yes", 1, 0)</f>
        <v>1</v>
      </c>
      <c r="L1288" t="str">
        <f>IF(G1288=0,"0 Failures","1+ Failures")</f>
        <v>1+ Failures</v>
      </c>
      <c r="M1288" t="str">
        <f t="shared" si="59"/>
        <v>10-20hrs</v>
      </c>
      <c r="N1288" t="str">
        <f t="shared" si="60"/>
        <v>12+ months</v>
      </c>
      <c r="O1288" t="str">
        <f t="shared" si="61"/>
        <v>Basic</v>
      </c>
      <c r="P1288" s="7">
        <v>45657</v>
      </c>
    </row>
    <row r="1289" spans="1:16" x14ac:dyDescent="0.3">
      <c r="A1289">
        <v>1288</v>
      </c>
      <c r="B1289" s="7">
        <v>45650</v>
      </c>
      <c r="C1289" t="s">
        <v>10</v>
      </c>
      <c r="D1289">
        <v>699</v>
      </c>
      <c r="E1289">
        <v>15.2</v>
      </c>
      <c r="F1289">
        <v>4</v>
      </c>
      <c r="G1289">
        <v>4</v>
      </c>
      <c r="H1289">
        <v>3</v>
      </c>
      <c r="I1289">
        <v>44</v>
      </c>
      <c r="J1289" t="s">
        <v>11</v>
      </c>
      <c r="K1289">
        <f>IF(J1289="Yes", 1, 0)</f>
        <v>1</v>
      </c>
      <c r="L1289" t="str">
        <f>IF(G1289=0,"0 Failures","1+ Failures")</f>
        <v>1+ Failures</v>
      </c>
      <c r="M1289" t="str">
        <f t="shared" si="59"/>
        <v>10-20hrs</v>
      </c>
      <c r="N1289" t="str">
        <f t="shared" si="60"/>
        <v>0-3months</v>
      </c>
      <c r="O1289" t="str">
        <f t="shared" si="61"/>
        <v>Premium</v>
      </c>
      <c r="P1289" s="7">
        <v>45657</v>
      </c>
    </row>
    <row r="1290" spans="1:16" x14ac:dyDescent="0.3">
      <c r="A1290">
        <v>1289</v>
      </c>
      <c r="B1290" s="7">
        <v>45312</v>
      </c>
      <c r="C1290" t="s">
        <v>10</v>
      </c>
      <c r="D1290">
        <v>699</v>
      </c>
      <c r="E1290">
        <v>16</v>
      </c>
      <c r="F1290">
        <v>3</v>
      </c>
      <c r="G1290">
        <v>3</v>
      </c>
      <c r="H1290">
        <v>31</v>
      </c>
      <c r="I1290">
        <v>18</v>
      </c>
      <c r="J1290" t="s">
        <v>13</v>
      </c>
      <c r="K1290">
        <f>IF(J1290="Yes", 1, 0)</f>
        <v>0</v>
      </c>
      <c r="L1290" t="str">
        <f>IF(G1290=0,"0 Failures","1+ Failures")</f>
        <v>1+ Failures</v>
      </c>
      <c r="M1290" t="str">
        <f t="shared" si="59"/>
        <v>10-20hrs</v>
      </c>
      <c r="N1290" t="str">
        <f t="shared" si="60"/>
        <v>12+ months</v>
      </c>
      <c r="O1290" t="str">
        <f t="shared" si="61"/>
        <v>Premium</v>
      </c>
      <c r="P1290" s="7">
        <v>45657</v>
      </c>
    </row>
    <row r="1291" spans="1:16" x14ac:dyDescent="0.3">
      <c r="A1291">
        <v>1290</v>
      </c>
      <c r="B1291" s="7">
        <v>45644</v>
      </c>
      <c r="C1291" t="s">
        <v>12</v>
      </c>
      <c r="D1291">
        <v>199</v>
      </c>
      <c r="E1291">
        <v>4.2</v>
      </c>
      <c r="F1291">
        <v>3</v>
      </c>
      <c r="G1291">
        <v>5</v>
      </c>
      <c r="H1291">
        <v>22</v>
      </c>
      <c r="I1291">
        <v>59</v>
      </c>
      <c r="J1291" t="s">
        <v>11</v>
      </c>
      <c r="K1291">
        <f>IF(J1291="Yes", 1, 0)</f>
        <v>1</v>
      </c>
      <c r="L1291" t="str">
        <f>IF(G1291=0,"0 Failures","1+ Failures")</f>
        <v>1+ Failures</v>
      </c>
      <c r="M1291" t="str">
        <f t="shared" ref="M1291:M1354" si="62">IF(E1291&lt;=5, "0-5 hrs",    IF(E1291&lt;=10, "5-10 hrs",    IF(E1291&lt;=20, "10-20hrs", "20+ hrs")))</f>
        <v>0-5 hrs</v>
      </c>
      <c r="N1291" t="str">
        <f t="shared" si="60"/>
        <v>12+ months</v>
      </c>
      <c r="O1291" t="str">
        <f t="shared" si="61"/>
        <v>Basic</v>
      </c>
      <c r="P1291" s="7">
        <v>45657</v>
      </c>
    </row>
    <row r="1292" spans="1:16" x14ac:dyDescent="0.3">
      <c r="A1292">
        <v>1291</v>
      </c>
      <c r="B1292" s="7">
        <v>45602</v>
      </c>
      <c r="C1292" t="s">
        <v>10</v>
      </c>
      <c r="D1292">
        <v>699</v>
      </c>
      <c r="E1292">
        <v>23.1</v>
      </c>
      <c r="F1292">
        <v>2</v>
      </c>
      <c r="G1292">
        <v>3</v>
      </c>
      <c r="H1292">
        <v>4</v>
      </c>
      <c r="I1292">
        <v>46</v>
      </c>
      <c r="J1292" t="s">
        <v>11</v>
      </c>
      <c r="K1292">
        <f>IF(J1292="Yes", 1, 0)</f>
        <v>1</v>
      </c>
      <c r="L1292" t="str">
        <f>IF(G1292=0,"0 Failures","1+ Failures")</f>
        <v>1+ Failures</v>
      </c>
      <c r="M1292" t="str">
        <f t="shared" si="62"/>
        <v>20+ hrs</v>
      </c>
      <c r="N1292" t="str">
        <f t="shared" si="60"/>
        <v>3-6months</v>
      </c>
      <c r="O1292" t="str">
        <f t="shared" si="61"/>
        <v>Premium</v>
      </c>
      <c r="P1292" s="7">
        <v>45657</v>
      </c>
    </row>
    <row r="1293" spans="1:16" x14ac:dyDescent="0.3">
      <c r="A1293">
        <v>1292</v>
      </c>
      <c r="B1293" s="7">
        <v>45283</v>
      </c>
      <c r="C1293" t="s">
        <v>12</v>
      </c>
      <c r="D1293">
        <v>199</v>
      </c>
      <c r="E1293">
        <v>13.9</v>
      </c>
      <c r="F1293">
        <v>5</v>
      </c>
      <c r="G1293">
        <v>3</v>
      </c>
      <c r="H1293">
        <v>2</v>
      </c>
      <c r="I1293">
        <v>43</v>
      </c>
      <c r="J1293" t="s">
        <v>11</v>
      </c>
      <c r="K1293">
        <f>IF(J1293="Yes", 1, 0)</f>
        <v>1</v>
      </c>
      <c r="L1293" t="str">
        <f>IF(G1293=0,"0 Failures","1+ Failures")</f>
        <v>1+ Failures</v>
      </c>
      <c r="M1293" t="str">
        <f t="shared" si="62"/>
        <v>10-20hrs</v>
      </c>
      <c r="N1293" t="str">
        <f t="shared" si="60"/>
        <v>0-3months</v>
      </c>
      <c r="O1293" t="str">
        <f t="shared" si="61"/>
        <v>Basic</v>
      </c>
      <c r="P1293" s="7">
        <v>45657</v>
      </c>
    </row>
    <row r="1294" spans="1:16" x14ac:dyDescent="0.3">
      <c r="A1294">
        <v>1293</v>
      </c>
      <c r="B1294" s="7">
        <v>45644</v>
      </c>
      <c r="C1294" t="s">
        <v>14</v>
      </c>
      <c r="D1294">
        <v>399</v>
      </c>
      <c r="E1294">
        <v>2.2999999999999998</v>
      </c>
      <c r="F1294">
        <v>4</v>
      </c>
      <c r="G1294">
        <v>2</v>
      </c>
      <c r="H1294">
        <v>26</v>
      </c>
      <c r="I1294">
        <v>44</v>
      </c>
      <c r="J1294" t="s">
        <v>11</v>
      </c>
      <c r="K1294">
        <f>IF(J1294="Yes", 1, 0)</f>
        <v>1</v>
      </c>
      <c r="L1294" t="str">
        <f>IF(G1294=0,"0 Failures","1+ Failures")</f>
        <v>1+ Failures</v>
      </c>
      <c r="M1294" t="str">
        <f t="shared" si="62"/>
        <v>0-5 hrs</v>
      </c>
      <c r="N1294" t="str">
        <f t="shared" si="60"/>
        <v>12+ months</v>
      </c>
      <c r="O1294" t="str">
        <f t="shared" si="61"/>
        <v>Basic</v>
      </c>
      <c r="P1294" s="7">
        <v>45657</v>
      </c>
    </row>
    <row r="1295" spans="1:16" x14ac:dyDescent="0.3">
      <c r="A1295">
        <v>1294</v>
      </c>
      <c r="B1295" s="7">
        <v>45653</v>
      </c>
      <c r="C1295" t="s">
        <v>10</v>
      </c>
      <c r="D1295">
        <v>699</v>
      </c>
      <c r="E1295">
        <v>2.9</v>
      </c>
      <c r="F1295">
        <v>5</v>
      </c>
      <c r="G1295">
        <v>4</v>
      </c>
      <c r="H1295">
        <v>26</v>
      </c>
      <c r="I1295">
        <v>55</v>
      </c>
      <c r="J1295" t="s">
        <v>11</v>
      </c>
      <c r="K1295">
        <f>IF(J1295="Yes", 1, 0)</f>
        <v>1</v>
      </c>
      <c r="L1295" t="str">
        <f>IF(G1295=0,"0 Failures","1+ Failures")</f>
        <v>1+ Failures</v>
      </c>
      <c r="M1295" t="str">
        <f t="shared" si="62"/>
        <v>0-5 hrs</v>
      </c>
      <c r="N1295" t="str">
        <f t="shared" si="60"/>
        <v>12+ months</v>
      </c>
      <c r="O1295" t="str">
        <f t="shared" si="61"/>
        <v>Premium</v>
      </c>
      <c r="P1295" s="7">
        <v>45657</v>
      </c>
    </row>
    <row r="1296" spans="1:16" x14ac:dyDescent="0.3">
      <c r="A1296">
        <v>1295</v>
      </c>
      <c r="B1296" s="7">
        <v>45075</v>
      </c>
      <c r="C1296" t="s">
        <v>14</v>
      </c>
      <c r="D1296">
        <v>399</v>
      </c>
      <c r="E1296">
        <v>16.5</v>
      </c>
      <c r="F1296">
        <v>2</v>
      </c>
      <c r="G1296">
        <v>3</v>
      </c>
      <c r="H1296">
        <v>30</v>
      </c>
      <c r="I1296">
        <v>44</v>
      </c>
      <c r="J1296" t="s">
        <v>11</v>
      </c>
      <c r="K1296">
        <f>IF(J1296="Yes", 1, 0)</f>
        <v>1</v>
      </c>
      <c r="L1296" t="str">
        <f>IF(G1296=0,"0 Failures","1+ Failures")</f>
        <v>1+ Failures</v>
      </c>
      <c r="M1296" t="str">
        <f t="shared" si="62"/>
        <v>10-20hrs</v>
      </c>
      <c r="N1296" t="str">
        <f t="shared" si="60"/>
        <v>12+ months</v>
      </c>
      <c r="O1296" t="str">
        <f t="shared" si="61"/>
        <v>Basic</v>
      </c>
      <c r="P1296" s="7">
        <v>45657</v>
      </c>
    </row>
    <row r="1297" spans="1:16" x14ac:dyDescent="0.3">
      <c r="A1297">
        <v>1296</v>
      </c>
      <c r="B1297" s="7">
        <v>45516</v>
      </c>
      <c r="C1297" t="s">
        <v>12</v>
      </c>
      <c r="D1297">
        <v>199</v>
      </c>
      <c r="E1297">
        <v>20.2</v>
      </c>
      <c r="F1297">
        <v>3</v>
      </c>
      <c r="G1297">
        <v>5</v>
      </c>
      <c r="H1297">
        <v>14</v>
      </c>
      <c r="I1297">
        <v>41</v>
      </c>
      <c r="J1297" t="s">
        <v>11</v>
      </c>
      <c r="K1297">
        <f>IF(J1297="Yes", 1, 0)</f>
        <v>1</v>
      </c>
      <c r="L1297" t="str">
        <f>IF(G1297=0,"0 Failures","1+ Failures")</f>
        <v>1+ Failures</v>
      </c>
      <c r="M1297" t="str">
        <f t="shared" si="62"/>
        <v>20+ hrs</v>
      </c>
      <c r="N1297" t="str">
        <f t="shared" si="60"/>
        <v>12+ months</v>
      </c>
      <c r="O1297" t="str">
        <f t="shared" si="61"/>
        <v>Basic</v>
      </c>
      <c r="P1297" s="7">
        <v>45657</v>
      </c>
    </row>
    <row r="1298" spans="1:16" x14ac:dyDescent="0.3">
      <c r="A1298">
        <v>1297</v>
      </c>
      <c r="B1298" s="7">
        <v>44984</v>
      </c>
      <c r="C1298" t="s">
        <v>12</v>
      </c>
      <c r="D1298">
        <v>199</v>
      </c>
      <c r="E1298">
        <v>9.6999999999999993</v>
      </c>
      <c r="F1298">
        <v>6</v>
      </c>
      <c r="G1298">
        <v>5</v>
      </c>
      <c r="H1298">
        <v>10</v>
      </c>
      <c r="I1298">
        <v>53</v>
      </c>
      <c r="J1298" t="s">
        <v>11</v>
      </c>
      <c r="K1298">
        <f>IF(J1298="Yes", 1, 0)</f>
        <v>1</v>
      </c>
      <c r="L1298" t="str">
        <f>IF(G1298=0,"0 Failures","1+ Failures")</f>
        <v>1+ Failures</v>
      </c>
      <c r="M1298" t="str">
        <f t="shared" si="62"/>
        <v>5-10 hrs</v>
      </c>
      <c r="N1298" t="str">
        <f t="shared" si="60"/>
        <v>6-12months</v>
      </c>
      <c r="O1298" t="str">
        <f t="shared" si="61"/>
        <v>Basic</v>
      </c>
      <c r="P1298" s="7">
        <v>45657</v>
      </c>
    </row>
    <row r="1299" spans="1:16" x14ac:dyDescent="0.3">
      <c r="A1299">
        <v>1298</v>
      </c>
      <c r="B1299" s="7">
        <v>45592</v>
      </c>
      <c r="C1299" t="s">
        <v>12</v>
      </c>
      <c r="D1299">
        <v>199</v>
      </c>
      <c r="E1299">
        <v>24.4</v>
      </c>
      <c r="F1299">
        <v>2</v>
      </c>
      <c r="G1299">
        <v>0</v>
      </c>
      <c r="H1299">
        <v>23</v>
      </c>
      <c r="I1299">
        <v>7</v>
      </c>
      <c r="J1299" t="s">
        <v>13</v>
      </c>
      <c r="K1299">
        <f>IF(J1299="Yes", 1, 0)</f>
        <v>0</v>
      </c>
      <c r="L1299" t="str">
        <f>IF(G1299=0,"0 Failures","1+ Failures")</f>
        <v>0 Failures</v>
      </c>
      <c r="M1299" t="str">
        <f t="shared" si="62"/>
        <v>20+ hrs</v>
      </c>
      <c r="N1299" t="str">
        <f t="shared" si="60"/>
        <v>12+ months</v>
      </c>
      <c r="O1299" t="str">
        <f t="shared" si="61"/>
        <v>Basic</v>
      </c>
      <c r="P1299" s="7">
        <v>45657</v>
      </c>
    </row>
    <row r="1300" spans="1:16" x14ac:dyDescent="0.3">
      <c r="A1300">
        <v>1299</v>
      </c>
      <c r="B1300" s="7">
        <v>45333</v>
      </c>
      <c r="C1300" t="s">
        <v>14</v>
      </c>
      <c r="D1300">
        <v>399</v>
      </c>
      <c r="E1300">
        <v>24.3</v>
      </c>
      <c r="F1300">
        <v>6</v>
      </c>
      <c r="G1300">
        <v>1</v>
      </c>
      <c r="H1300">
        <v>28</v>
      </c>
      <c r="I1300">
        <v>2</v>
      </c>
      <c r="J1300" t="s">
        <v>11</v>
      </c>
      <c r="K1300">
        <f>IF(J1300="Yes", 1, 0)</f>
        <v>1</v>
      </c>
      <c r="L1300" t="str">
        <f>IF(G1300=0,"0 Failures","1+ Failures")</f>
        <v>1+ Failures</v>
      </c>
      <c r="M1300" t="str">
        <f t="shared" si="62"/>
        <v>20+ hrs</v>
      </c>
      <c r="N1300" t="str">
        <f t="shared" si="60"/>
        <v>12+ months</v>
      </c>
      <c r="O1300" t="str">
        <f t="shared" si="61"/>
        <v>Basic</v>
      </c>
      <c r="P1300" s="7">
        <v>45657</v>
      </c>
    </row>
    <row r="1301" spans="1:16" x14ac:dyDescent="0.3">
      <c r="A1301">
        <v>1300</v>
      </c>
      <c r="B1301" s="7">
        <v>45635</v>
      </c>
      <c r="C1301" t="s">
        <v>14</v>
      </c>
      <c r="D1301">
        <v>399</v>
      </c>
      <c r="E1301">
        <v>17.399999999999999</v>
      </c>
      <c r="F1301">
        <v>2</v>
      </c>
      <c r="G1301">
        <v>5</v>
      </c>
      <c r="H1301">
        <v>20</v>
      </c>
      <c r="I1301">
        <v>47</v>
      </c>
      <c r="J1301" t="s">
        <v>11</v>
      </c>
      <c r="K1301">
        <f>IF(J1301="Yes", 1, 0)</f>
        <v>1</v>
      </c>
      <c r="L1301" t="str">
        <f>IF(G1301=0,"0 Failures","1+ Failures")</f>
        <v>1+ Failures</v>
      </c>
      <c r="M1301" t="str">
        <f t="shared" si="62"/>
        <v>10-20hrs</v>
      </c>
      <c r="N1301" t="str">
        <f t="shared" si="60"/>
        <v>12+ months</v>
      </c>
      <c r="O1301" t="str">
        <f t="shared" si="61"/>
        <v>Basic</v>
      </c>
      <c r="P1301" s="7">
        <v>45657</v>
      </c>
    </row>
    <row r="1302" spans="1:16" x14ac:dyDescent="0.3">
      <c r="A1302">
        <v>1301</v>
      </c>
      <c r="B1302" s="7">
        <v>45303</v>
      </c>
      <c r="C1302" t="s">
        <v>10</v>
      </c>
      <c r="D1302">
        <v>699</v>
      </c>
      <c r="E1302">
        <v>19.600000000000001</v>
      </c>
      <c r="F1302">
        <v>6</v>
      </c>
      <c r="G1302">
        <v>2</v>
      </c>
      <c r="H1302">
        <v>6</v>
      </c>
      <c r="I1302">
        <v>40</v>
      </c>
      <c r="J1302" t="s">
        <v>11</v>
      </c>
      <c r="K1302">
        <f>IF(J1302="Yes", 1, 0)</f>
        <v>1</v>
      </c>
      <c r="L1302" t="str">
        <f>IF(G1302=0,"0 Failures","1+ Failures")</f>
        <v>1+ Failures</v>
      </c>
      <c r="M1302" t="str">
        <f t="shared" si="62"/>
        <v>10-20hrs</v>
      </c>
      <c r="N1302" t="str">
        <f t="shared" si="60"/>
        <v>3-6months</v>
      </c>
      <c r="O1302" t="str">
        <f t="shared" si="61"/>
        <v>Premium</v>
      </c>
      <c r="P1302" s="7">
        <v>45657</v>
      </c>
    </row>
    <row r="1303" spans="1:16" x14ac:dyDescent="0.3">
      <c r="A1303">
        <v>1302</v>
      </c>
      <c r="B1303" s="7">
        <v>45448</v>
      </c>
      <c r="C1303" t="s">
        <v>12</v>
      </c>
      <c r="D1303">
        <v>199</v>
      </c>
      <c r="E1303">
        <v>3.4</v>
      </c>
      <c r="F1303">
        <v>1</v>
      </c>
      <c r="G1303">
        <v>3</v>
      </c>
      <c r="H1303">
        <v>8</v>
      </c>
      <c r="I1303">
        <v>41</v>
      </c>
      <c r="J1303" t="s">
        <v>11</v>
      </c>
      <c r="K1303">
        <f>IF(J1303="Yes", 1, 0)</f>
        <v>1</v>
      </c>
      <c r="L1303" t="str">
        <f>IF(G1303=0,"0 Failures","1+ Failures")</f>
        <v>1+ Failures</v>
      </c>
      <c r="M1303" t="str">
        <f t="shared" si="62"/>
        <v>0-5 hrs</v>
      </c>
      <c r="N1303" t="str">
        <f t="shared" si="60"/>
        <v>6-12months</v>
      </c>
      <c r="O1303" t="str">
        <f t="shared" si="61"/>
        <v>Basic</v>
      </c>
      <c r="P1303" s="7">
        <v>45657</v>
      </c>
    </row>
    <row r="1304" spans="1:16" x14ac:dyDescent="0.3">
      <c r="A1304">
        <v>1303</v>
      </c>
      <c r="B1304" s="7">
        <v>45534</v>
      </c>
      <c r="C1304" t="s">
        <v>12</v>
      </c>
      <c r="D1304">
        <v>199</v>
      </c>
      <c r="E1304">
        <v>14.9</v>
      </c>
      <c r="F1304">
        <v>7</v>
      </c>
      <c r="G1304">
        <v>2</v>
      </c>
      <c r="H1304">
        <v>2</v>
      </c>
      <c r="I1304">
        <v>44</v>
      </c>
      <c r="J1304" t="s">
        <v>11</v>
      </c>
      <c r="K1304">
        <f>IF(J1304="Yes", 1, 0)</f>
        <v>1</v>
      </c>
      <c r="L1304" t="str">
        <f>IF(G1304=0,"0 Failures","1+ Failures")</f>
        <v>1+ Failures</v>
      </c>
      <c r="M1304" t="str">
        <f t="shared" si="62"/>
        <v>10-20hrs</v>
      </c>
      <c r="N1304" t="str">
        <f t="shared" si="60"/>
        <v>0-3months</v>
      </c>
      <c r="O1304" t="str">
        <f t="shared" si="61"/>
        <v>Basic</v>
      </c>
      <c r="P1304" s="7">
        <v>45657</v>
      </c>
    </row>
    <row r="1305" spans="1:16" x14ac:dyDescent="0.3">
      <c r="A1305">
        <v>1304</v>
      </c>
      <c r="B1305" s="7">
        <v>45260</v>
      </c>
      <c r="C1305" t="s">
        <v>12</v>
      </c>
      <c r="D1305">
        <v>199</v>
      </c>
      <c r="E1305">
        <v>12.4</v>
      </c>
      <c r="F1305">
        <v>6</v>
      </c>
      <c r="G1305">
        <v>2</v>
      </c>
      <c r="H1305">
        <v>25</v>
      </c>
      <c r="I1305">
        <v>36</v>
      </c>
      <c r="J1305" t="s">
        <v>11</v>
      </c>
      <c r="K1305">
        <f>IF(J1305="Yes", 1, 0)</f>
        <v>1</v>
      </c>
      <c r="L1305" t="str">
        <f>IF(G1305=0,"0 Failures","1+ Failures")</f>
        <v>1+ Failures</v>
      </c>
      <c r="M1305" t="str">
        <f t="shared" si="62"/>
        <v>10-20hrs</v>
      </c>
      <c r="N1305" t="str">
        <f t="shared" si="60"/>
        <v>12+ months</v>
      </c>
      <c r="O1305" t="str">
        <f t="shared" si="61"/>
        <v>Basic</v>
      </c>
      <c r="P1305" s="7">
        <v>45657</v>
      </c>
    </row>
    <row r="1306" spans="1:16" x14ac:dyDescent="0.3">
      <c r="A1306">
        <v>1305</v>
      </c>
      <c r="B1306" s="7">
        <v>45469</v>
      </c>
      <c r="C1306" t="s">
        <v>12</v>
      </c>
      <c r="D1306">
        <v>199</v>
      </c>
      <c r="E1306">
        <v>5</v>
      </c>
      <c r="F1306">
        <v>0</v>
      </c>
      <c r="G1306">
        <v>3</v>
      </c>
      <c r="H1306">
        <v>35</v>
      </c>
      <c r="I1306">
        <v>35</v>
      </c>
      <c r="J1306" t="s">
        <v>13</v>
      </c>
      <c r="K1306">
        <f>IF(J1306="Yes", 1, 0)</f>
        <v>0</v>
      </c>
      <c r="L1306" t="str">
        <f>IF(G1306=0,"0 Failures","1+ Failures")</f>
        <v>1+ Failures</v>
      </c>
      <c r="M1306" t="str">
        <f t="shared" si="62"/>
        <v>0-5 hrs</v>
      </c>
      <c r="N1306" t="str">
        <f t="shared" si="60"/>
        <v>12+ months</v>
      </c>
      <c r="O1306" t="str">
        <f t="shared" si="61"/>
        <v>Basic</v>
      </c>
      <c r="P1306" s="7">
        <v>45657</v>
      </c>
    </row>
    <row r="1307" spans="1:16" x14ac:dyDescent="0.3">
      <c r="A1307">
        <v>1306</v>
      </c>
      <c r="B1307" s="7">
        <v>45054</v>
      </c>
      <c r="C1307" t="s">
        <v>14</v>
      </c>
      <c r="D1307">
        <v>399</v>
      </c>
      <c r="E1307">
        <v>13.2</v>
      </c>
      <c r="F1307">
        <v>8</v>
      </c>
      <c r="G1307">
        <v>5</v>
      </c>
      <c r="H1307">
        <v>5</v>
      </c>
      <c r="I1307">
        <v>52</v>
      </c>
      <c r="J1307" t="s">
        <v>13</v>
      </c>
      <c r="K1307">
        <f>IF(J1307="Yes", 1, 0)</f>
        <v>0</v>
      </c>
      <c r="L1307" t="str">
        <f>IF(G1307=0,"0 Failures","1+ Failures")</f>
        <v>1+ Failures</v>
      </c>
      <c r="M1307" t="str">
        <f t="shared" si="62"/>
        <v>10-20hrs</v>
      </c>
      <c r="N1307" t="str">
        <f t="shared" si="60"/>
        <v>3-6months</v>
      </c>
      <c r="O1307" t="str">
        <f t="shared" si="61"/>
        <v>Basic</v>
      </c>
      <c r="P1307" s="7">
        <v>45657</v>
      </c>
    </row>
    <row r="1308" spans="1:16" x14ac:dyDescent="0.3">
      <c r="A1308">
        <v>1307</v>
      </c>
      <c r="B1308" s="7">
        <v>45248</v>
      </c>
      <c r="C1308" t="s">
        <v>12</v>
      </c>
      <c r="D1308">
        <v>199</v>
      </c>
      <c r="E1308">
        <v>4.9000000000000004</v>
      </c>
      <c r="F1308">
        <v>2</v>
      </c>
      <c r="G1308">
        <v>0</v>
      </c>
      <c r="H1308">
        <v>8</v>
      </c>
      <c r="I1308">
        <v>35</v>
      </c>
      <c r="J1308" t="s">
        <v>11</v>
      </c>
      <c r="K1308">
        <f>IF(J1308="Yes", 1, 0)</f>
        <v>1</v>
      </c>
      <c r="L1308" t="str">
        <f>IF(G1308=0,"0 Failures","1+ Failures")</f>
        <v>0 Failures</v>
      </c>
      <c r="M1308" t="str">
        <f t="shared" si="62"/>
        <v>0-5 hrs</v>
      </c>
      <c r="N1308" t="str">
        <f t="shared" si="60"/>
        <v>6-12months</v>
      </c>
      <c r="O1308" t="str">
        <f t="shared" si="61"/>
        <v>Basic</v>
      </c>
      <c r="P1308" s="7">
        <v>45657</v>
      </c>
    </row>
    <row r="1309" spans="1:16" x14ac:dyDescent="0.3">
      <c r="A1309">
        <v>1308</v>
      </c>
      <c r="B1309" s="7">
        <v>45189</v>
      </c>
      <c r="C1309" t="s">
        <v>12</v>
      </c>
      <c r="D1309">
        <v>199</v>
      </c>
      <c r="E1309">
        <v>3.7</v>
      </c>
      <c r="F1309">
        <v>3</v>
      </c>
      <c r="G1309">
        <v>5</v>
      </c>
      <c r="H1309">
        <v>3</v>
      </c>
      <c r="I1309">
        <v>10</v>
      </c>
      <c r="J1309" t="s">
        <v>11</v>
      </c>
      <c r="K1309">
        <f>IF(J1309="Yes", 1, 0)</f>
        <v>1</v>
      </c>
      <c r="L1309" t="str">
        <f>IF(G1309=0,"0 Failures","1+ Failures")</f>
        <v>1+ Failures</v>
      </c>
      <c r="M1309" t="str">
        <f t="shared" si="62"/>
        <v>0-5 hrs</v>
      </c>
      <c r="N1309" t="str">
        <f t="shared" si="60"/>
        <v>0-3months</v>
      </c>
      <c r="O1309" t="str">
        <f t="shared" si="61"/>
        <v>Basic</v>
      </c>
      <c r="P1309" s="7">
        <v>45657</v>
      </c>
    </row>
    <row r="1310" spans="1:16" x14ac:dyDescent="0.3">
      <c r="A1310">
        <v>1309</v>
      </c>
      <c r="B1310" s="7">
        <v>45102</v>
      </c>
      <c r="C1310" t="s">
        <v>12</v>
      </c>
      <c r="D1310">
        <v>199</v>
      </c>
      <c r="E1310">
        <v>24.5</v>
      </c>
      <c r="F1310">
        <v>8</v>
      </c>
      <c r="G1310">
        <v>2</v>
      </c>
      <c r="H1310">
        <v>6</v>
      </c>
      <c r="I1310">
        <v>23</v>
      </c>
      <c r="J1310" t="s">
        <v>13</v>
      </c>
      <c r="K1310">
        <f>IF(J1310="Yes", 1, 0)</f>
        <v>0</v>
      </c>
      <c r="L1310" t="str">
        <f>IF(G1310=0,"0 Failures","1+ Failures")</f>
        <v>1+ Failures</v>
      </c>
      <c r="M1310" t="str">
        <f t="shared" si="62"/>
        <v>20+ hrs</v>
      </c>
      <c r="N1310" t="str">
        <f t="shared" si="60"/>
        <v>3-6months</v>
      </c>
      <c r="O1310" t="str">
        <f t="shared" si="61"/>
        <v>Basic</v>
      </c>
      <c r="P1310" s="7">
        <v>45657</v>
      </c>
    </row>
    <row r="1311" spans="1:16" x14ac:dyDescent="0.3">
      <c r="A1311">
        <v>1310</v>
      </c>
      <c r="B1311" s="7">
        <v>45601</v>
      </c>
      <c r="C1311" t="s">
        <v>14</v>
      </c>
      <c r="D1311">
        <v>399</v>
      </c>
      <c r="E1311">
        <v>6.6</v>
      </c>
      <c r="F1311">
        <v>0</v>
      </c>
      <c r="G1311">
        <v>4</v>
      </c>
      <c r="H1311">
        <v>1</v>
      </c>
      <c r="I1311">
        <v>57</v>
      </c>
      <c r="J1311" t="s">
        <v>13</v>
      </c>
      <c r="K1311">
        <f>IF(J1311="Yes", 1, 0)</f>
        <v>0</v>
      </c>
      <c r="L1311" t="str">
        <f>IF(G1311=0,"0 Failures","1+ Failures")</f>
        <v>1+ Failures</v>
      </c>
      <c r="M1311" t="str">
        <f t="shared" si="62"/>
        <v>5-10 hrs</v>
      </c>
      <c r="N1311" t="str">
        <f t="shared" si="60"/>
        <v>0-3months</v>
      </c>
      <c r="O1311" t="str">
        <f t="shared" si="61"/>
        <v>Basic</v>
      </c>
      <c r="P1311" s="7">
        <v>45657</v>
      </c>
    </row>
    <row r="1312" spans="1:16" x14ac:dyDescent="0.3">
      <c r="A1312">
        <v>1311</v>
      </c>
      <c r="B1312" s="7">
        <v>45287</v>
      </c>
      <c r="C1312" t="s">
        <v>10</v>
      </c>
      <c r="D1312">
        <v>699</v>
      </c>
      <c r="E1312">
        <v>3.9</v>
      </c>
      <c r="F1312">
        <v>7</v>
      </c>
      <c r="G1312">
        <v>5</v>
      </c>
      <c r="H1312">
        <v>29</v>
      </c>
      <c r="I1312">
        <v>20</v>
      </c>
      <c r="J1312" t="s">
        <v>11</v>
      </c>
      <c r="K1312">
        <f>IF(J1312="Yes", 1, 0)</f>
        <v>1</v>
      </c>
      <c r="L1312" t="str">
        <f>IF(G1312=0,"0 Failures","1+ Failures")</f>
        <v>1+ Failures</v>
      </c>
      <c r="M1312" t="str">
        <f t="shared" si="62"/>
        <v>0-5 hrs</v>
      </c>
      <c r="N1312" t="str">
        <f t="shared" si="60"/>
        <v>12+ months</v>
      </c>
      <c r="O1312" t="str">
        <f t="shared" si="61"/>
        <v>Premium</v>
      </c>
      <c r="P1312" s="7">
        <v>45657</v>
      </c>
    </row>
    <row r="1313" spans="1:16" x14ac:dyDescent="0.3">
      <c r="A1313">
        <v>1312</v>
      </c>
      <c r="B1313" s="7">
        <v>44964</v>
      </c>
      <c r="C1313" t="s">
        <v>10</v>
      </c>
      <c r="D1313">
        <v>699</v>
      </c>
      <c r="E1313">
        <v>13</v>
      </c>
      <c r="F1313">
        <v>1</v>
      </c>
      <c r="G1313">
        <v>5</v>
      </c>
      <c r="H1313">
        <v>35</v>
      </c>
      <c r="I1313">
        <v>52</v>
      </c>
      <c r="J1313" t="s">
        <v>11</v>
      </c>
      <c r="K1313">
        <f>IF(J1313="Yes", 1, 0)</f>
        <v>1</v>
      </c>
      <c r="L1313" t="str">
        <f>IF(G1313=0,"0 Failures","1+ Failures")</f>
        <v>1+ Failures</v>
      </c>
      <c r="M1313" t="str">
        <f t="shared" si="62"/>
        <v>10-20hrs</v>
      </c>
      <c r="N1313" t="str">
        <f t="shared" si="60"/>
        <v>12+ months</v>
      </c>
      <c r="O1313" t="str">
        <f t="shared" si="61"/>
        <v>Premium</v>
      </c>
      <c r="P1313" s="7">
        <v>45657</v>
      </c>
    </row>
    <row r="1314" spans="1:16" x14ac:dyDescent="0.3">
      <c r="A1314">
        <v>1313</v>
      </c>
      <c r="B1314" s="7">
        <v>45532</v>
      </c>
      <c r="C1314" t="s">
        <v>12</v>
      </c>
      <c r="D1314">
        <v>199</v>
      </c>
      <c r="E1314">
        <v>7.8</v>
      </c>
      <c r="F1314">
        <v>3</v>
      </c>
      <c r="G1314">
        <v>1</v>
      </c>
      <c r="H1314">
        <v>10</v>
      </c>
      <c r="I1314">
        <v>38</v>
      </c>
      <c r="J1314" t="s">
        <v>13</v>
      </c>
      <c r="K1314">
        <f>IF(J1314="Yes", 1, 0)</f>
        <v>0</v>
      </c>
      <c r="L1314" t="str">
        <f>IF(G1314=0,"0 Failures","1+ Failures")</f>
        <v>1+ Failures</v>
      </c>
      <c r="M1314" t="str">
        <f t="shared" si="62"/>
        <v>5-10 hrs</v>
      </c>
      <c r="N1314" t="str">
        <f t="shared" si="60"/>
        <v>6-12months</v>
      </c>
      <c r="O1314" t="str">
        <f t="shared" si="61"/>
        <v>Basic</v>
      </c>
      <c r="P1314" s="7">
        <v>45657</v>
      </c>
    </row>
    <row r="1315" spans="1:16" x14ac:dyDescent="0.3">
      <c r="A1315">
        <v>1314</v>
      </c>
      <c r="B1315" s="7">
        <v>45317</v>
      </c>
      <c r="C1315" t="s">
        <v>14</v>
      </c>
      <c r="D1315">
        <v>399</v>
      </c>
      <c r="E1315">
        <v>3.6</v>
      </c>
      <c r="F1315">
        <v>6</v>
      </c>
      <c r="G1315">
        <v>0</v>
      </c>
      <c r="H1315">
        <v>18</v>
      </c>
      <c r="I1315">
        <v>35</v>
      </c>
      <c r="J1315" t="s">
        <v>11</v>
      </c>
      <c r="K1315">
        <f>IF(J1315="Yes", 1, 0)</f>
        <v>1</v>
      </c>
      <c r="L1315" t="str">
        <f>IF(G1315=0,"0 Failures","1+ Failures")</f>
        <v>0 Failures</v>
      </c>
      <c r="M1315" t="str">
        <f t="shared" si="62"/>
        <v>0-5 hrs</v>
      </c>
      <c r="N1315" t="str">
        <f t="shared" si="60"/>
        <v>12+ months</v>
      </c>
      <c r="O1315" t="str">
        <f t="shared" si="61"/>
        <v>Basic</v>
      </c>
      <c r="P1315" s="7">
        <v>45657</v>
      </c>
    </row>
    <row r="1316" spans="1:16" x14ac:dyDescent="0.3">
      <c r="A1316">
        <v>1315</v>
      </c>
      <c r="B1316" s="7">
        <v>45638</v>
      </c>
      <c r="C1316" t="s">
        <v>10</v>
      </c>
      <c r="D1316">
        <v>699</v>
      </c>
      <c r="E1316">
        <v>10.3</v>
      </c>
      <c r="F1316">
        <v>1</v>
      </c>
      <c r="G1316">
        <v>2</v>
      </c>
      <c r="H1316">
        <v>11</v>
      </c>
      <c r="I1316">
        <v>43</v>
      </c>
      <c r="J1316" t="s">
        <v>11</v>
      </c>
      <c r="K1316">
        <f>IF(J1316="Yes", 1, 0)</f>
        <v>1</v>
      </c>
      <c r="L1316" t="str">
        <f>IF(G1316=0,"0 Failures","1+ Failures")</f>
        <v>1+ Failures</v>
      </c>
      <c r="M1316" t="str">
        <f t="shared" si="62"/>
        <v>10-20hrs</v>
      </c>
      <c r="N1316" t="str">
        <f t="shared" si="60"/>
        <v>6-12months</v>
      </c>
      <c r="O1316" t="str">
        <f t="shared" si="61"/>
        <v>Premium</v>
      </c>
      <c r="P1316" s="7">
        <v>45657</v>
      </c>
    </row>
    <row r="1317" spans="1:16" x14ac:dyDescent="0.3">
      <c r="A1317">
        <v>1316</v>
      </c>
      <c r="B1317" s="7">
        <v>45308</v>
      </c>
      <c r="C1317" t="s">
        <v>12</v>
      </c>
      <c r="D1317">
        <v>199</v>
      </c>
      <c r="E1317">
        <v>5.5</v>
      </c>
      <c r="F1317">
        <v>4</v>
      </c>
      <c r="G1317">
        <v>5</v>
      </c>
      <c r="H1317">
        <v>35</v>
      </c>
      <c r="I1317">
        <v>44</v>
      </c>
      <c r="J1317" t="s">
        <v>11</v>
      </c>
      <c r="K1317">
        <f>IF(J1317="Yes", 1, 0)</f>
        <v>1</v>
      </c>
      <c r="L1317" t="str">
        <f>IF(G1317=0,"0 Failures","1+ Failures")</f>
        <v>1+ Failures</v>
      </c>
      <c r="M1317" t="str">
        <f t="shared" si="62"/>
        <v>5-10 hrs</v>
      </c>
      <c r="N1317" t="str">
        <f t="shared" si="60"/>
        <v>12+ months</v>
      </c>
      <c r="O1317" t="str">
        <f t="shared" si="61"/>
        <v>Basic</v>
      </c>
      <c r="P1317" s="7">
        <v>45657</v>
      </c>
    </row>
    <row r="1318" spans="1:16" x14ac:dyDescent="0.3">
      <c r="A1318">
        <v>1317</v>
      </c>
      <c r="B1318" s="7">
        <v>45371</v>
      </c>
      <c r="C1318" t="s">
        <v>10</v>
      </c>
      <c r="D1318">
        <v>699</v>
      </c>
      <c r="E1318">
        <v>15.3</v>
      </c>
      <c r="F1318">
        <v>6</v>
      </c>
      <c r="G1318">
        <v>1</v>
      </c>
      <c r="H1318">
        <v>33</v>
      </c>
      <c r="I1318">
        <v>20</v>
      </c>
      <c r="J1318" t="s">
        <v>13</v>
      </c>
      <c r="K1318">
        <f>IF(J1318="Yes", 1, 0)</f>
        <v>0</v>
      </c>
      <c r="L1318" t="str">
        <f>IF(G1318=0,"0 Failures","1+ Failures")</f>
        <v>1+ Failures</v>
      </c>
      <c r="M1318" t="str">
        <f t="shared" si="62"/>
        <v>10-20hrs</v>
      </c>
      <c r="N1318" t="str">
        <f t="shared" si="60"/>
        <v>12+ months</v>
      </c>
      <c r="O1318" t="str">
        <f t="shared" si="61"/>
        <v>Premium</v>
      </c>
      <c r="P1318" s="7">
        <v>45657</v>
      </c>
    </row>
    <row r="1319" spans="1:16" x14ac:dyDescent="0.3">
      <c r="A1319">
        <v>1318</v>
      </c>
      <c r="B1319" s="7">
        <v>45039</v>
      </c>
      <c r="C1319" t="s">
        <v>14</v>
      </c>
      <c r="D1319">
        <v>399</v>
      </c>
      <c r="E1319">
        <v>24.1</v>
      </c>
      <c r="F1319">
        <v>3</v>
      </c>
      <c r="G1319">
        <v>0</v>
      </c>
      <c r="H1319">
        <v>2</v>
      </c>
      <c r="I1319">
        <v>17</v>
      </c>
      <c r="J1319" t="s">
        <v>13</v>
      </c>
      <c r="K1319">
        <f>IF(J1319="Yes", 1, 0)</f>
        <v>0</v>
      </c>
      <c r="L1319" t="str">
        <f>IF(G1319=0,"0 Failures","1+ Failures")</f>
        <v>0 Failures</v>
      </c>
      <c r="M1319" t="str">
        <f t="shared" si="62"/>
        <v>20+ hrs</v>
      </c>
      <c r="N1319" t="str">
        <f t="shared" si="60"/>
        <v>0-3months</v>
      </c>
      <c r="O1319" t="str">
        <f t="shared" si="61"/>
        <v>Basic</v>
      </c>
      <c r="P1319" s="7">
        <v>45657</v>
      </c>
    </row>
    <row r="1320" spans="1:16" x14ac:dyDescent="0.3">
      <c r="A1320">
        <v>1319</v>
      </c>
      <c r="B1320" s="7">
        <v>45268</v>
      </c>
      <c r="C1320" t="s">
        <v>10</v>
      </c>
      <c r="D1320">
        <v>699</v>
      </c>
      <c r="E1320">
        <v>10.5</v>
      </c>
      <c r="F1320">
        <v>5</v>
      </c>
      <c r="G1320">
        <v>5</v>
      </c>
      <c r="H1320">
        <v>36</v>
      </c>
      <c r="I1320">
        <v>5</v>
      </c>
      <c r="J1320" t="s">
        <v>11</v>
      </c>
      <c r="K1320">
        <f>IF(J1320="Yes", 1, 0)</f>
        <v>1</v>
      </c>
      <c r="L1320" t="str">
        <f>IF(G1320=0,"0 Failures","1+ Failures")</f>
        <v>1+ Failures</v>
      </c>
      <c r="M1320" t="str">
        <f t="shared" si="62"/>
        <v>10-20hrs</v>
      </c>
      <c r="N1320" t="str">
        <f t="shared" si="60"/>
        <v>12+ months</v>
      </c>
      <c r="O1320" t="str">
        <f t="shared" si="61"/>
        <v>Premium</v>
      </c>
      <c r="P1320" s="7">
        <v>45657</v>
      </c>
    </row>
    <row r="1321" spans="1:16" x14ac:dyDescent="0.3">
      <c r="A1321">
        <v>1320</v>
      </c>
      <c r="B1321" s="7">
        <v>45154</v>
      </c>
      <c r="C1321" t="s">
        <v>14</v>
      </c>
      <c r="D1321">
        <v>399</v>
      </c>
      <c r="E1321">
        <v>21.8</v>
      </c>
      <c r="F1321">
        <v>3</v>
      </c>
      <c r="G1321">
        <v>2</v>
      </c>
      <c r="H1321">
        <v>10</v>
      </c>
      <c r="I1321">
        <v>0</v>
      </c>
      <c r="J1321" t="s">
        <v>11</v>
      </c>
      <c r="K1321">
        <f>IF(J1321="Yes", 1, 0)</f>
        <v>1</v>
      </c>
      <c r="L1321" t="str">
        <f>IF(G1321=0,"0 Failures","1+ Failures")</f>
        <v>1+ Failures</v>
      </c>
      <c r="M1321" t="str">
        <f t="shared" si="62"/>
        <v>20+ hrs</v>
      </c>
      <c r="N1321" t="str">
        <f t="shared" si="60"/>
        <v>6-12months</v>
      </c>
      <c r="O1321" t="str">
        <f t="shared" si="61"/>
        <v>Basic</v>
      </c>
      <c r="P1321" s="7">
        <v>45657</v>
      </c>
    </row>
    <row r="1322" spans="1:16" x14ac:dyDescent="0.3">
      <c r="A1322">
        <v>1321</v>
      </c>
      <c r="B1322" s="7">
        <v>45240</v>
      </c>
      <c r="C1322" t="s">
        <v>14</v>
      </c>
      <c r="D1322">
        <v>399</v>
      </c>
      <c r="E1322">
        <v>19.7</v>
      </c>
      <c r="F1322">
        <v>1</v>
      </c>
      <c r="G1322">
        <v>1</v>
      </c>
      <c r="H1322">
        <v>7</v>
      </c>
      <c r="I1322">
        <v>33</v>
      </c>
      <c r="J1322" t="s">
        <v>13</v>
      </c>
      <c r="K1322">
        <f>IF(J1322="Yes", 1, 0)</f>
        <v>0</v>
      </c>
      <c r="L1322" t="str">
        <f>IF(G1322=0,"0 Failures","1+ Failures")</f>
        <v>1+ Failures</v>
      </c>
      <c r="M1322" t="str">
        <f t="shared" si="62"/>
        <v>10-20hrs</v>
      </c>
      <c r="N1322" t="str">
        <f t="shared" si="60"/>
        <v>6-12months</v>
      </c>
      <c r="O1322" t="str">
        <f t="shared" si="61"/>
        <v>Basic</v>
      </c>
      <c r="P1322" s="7">
        <v>45657</v>
      </c>
    </row>
    <row r="1323" spans="1:16" x14ac:dyDescent="0.3">
      <c r="A1323">
        <v>1322</v>
      </c>
      <c r="B1323" s="7">
        <v>45491</v>
      </c>
      <c r="C1323" t="s">
        <v>10</v>
      </c>
      <c r="D1323">
        <v>699</v>
      </c>
      <c r="E1323">
        <v>2.8</v>
      </c>
      <c r="F1323">
        <v>5</v>
      </c>
      <c r="G1323">
        <v>5</v>
      </c>
      <c r="H1323">
        <v>32</v>
      </c>
      <c r="I1323">
        <v>36</v>
      </c>
      <c r="J1323" t="s">
        <v>11</v>
      </c>
      <c r="K1323">
        <f>IF(J1323="Yes", 1, 0)</f>
        <v>1</v>
      </c>
      <c r="L1323" t="str">
        <f>IF(G1323=0,"0 Failures","1+ Failures")</f>
        <v>1+ Failures</v>
      </c>
      <c r="M1323" t="str">
        <f t="shared" si="62"/>
        <v>0-5 hrs</v>
      </c>
      <c r="N1323" t="str">
        <f t="shared" si="60"/>
        <v>12+ months</v>
      </c>
      <c r="O1323" t="str">
        <f t="shared" si="61"/>
        <v>Premium</v>
      </c>
      <c r="P1323" s="7">
        <v>45657</v>
      </c>
    </row>
    <row r="1324" spans="1:16" x14ac:dyDescent="0.3">
      <c r="A1324">
        <v>1323</v>
      </c>
      <c r="B1324" s="7">
        <v>45112</v>
      </c>
      <c r="C1324" t="s">
        <v>14</v>
      </c>
      <c r="D1324">
        <v>399</v>
      </c>
      <c r="E1324">
        <v>22.5</v>
      </c>
      <c r="F1324">
        <v>2</v>
      </c>
      <c r="G1324">
        <v>2</v>
      </c>
      <c r="H1324">
        <v>7</v>
      </c>
      <c r="I1324">
        <v>60</v>
      </c>
      <c r="J1324" t="s">
        <v>13</v>
      </c>
      <c r="K1324">
        <f>IF(J1324="Yes", 1, 0)</f>
        <v>0</v>
      </c>
      <c r="L1324" t="str">
        <f>IF(G1324=0,"0 Failures","1+ Failures")</f>
        <v>1+ Failures</v>
      </c>
      <c r="M1324" t="str">
        <f t="shared" si="62"/>
        <v>20+ hrs</v>
      </c>
      <c r="N1324" t="str">
        <f t="shared" si="60"/>
        <v>6-12months</v>
      </c>
      <c r="O1324" t="str">
        <f t="shared" si="61"/>
        <v>Basic</v>
      </c>
      <c r="P1324" s="7">
        <v>45657</v>
      </c>
    </row>
    <row r="1325" spans="1:16" x14ac:dyDescent="0.3">
      <c r="A1325">
        <v>1324</v>
      </c>
      <c r="B1325" s="7">
        <v>44936</v>
      </c>
      <c r="C1325" t="s">
        <v>14</v>
      </c>
      <c r="D1325">
        <v>399</v>
      </c>
      <c r="E1325">
        <v>14</v>
      </c>
      <c r="F1325">
        <v>6</v>
      </c>
      <c r="G1325">
        <v>3</v>
      </c>
      <c r="H1325">
        <v>35</v>
      </c>
      <c r="I1325">
        <v>37</v>
      </c>
      <c r="J1325" t="s">
        <v>11</v>
      </c>
      <c r="K1325">
        <f>IF(J1325="Yes", 1, 0)</f>
        <v>1</v>
      </c>
      <c r="L1325" t="str">
        <f>IF(G1325=0,"0 Failures","1+ Failures")</f>
        <v>1+ Failures</v>
      </c>
      <c r="M1325" t="str">
        <f t="shared" si="62"/>
        <v>10-20hrs</v>
      </c>
      <c r="N1325" t="str">
        <f t="shared" si="60"/>
        <v>12+ months</v>
      </c>
      <c r="O1325" t="str">
        <f t="shared" si="61"/>
        <v>Basic</v>
      </c>
      <c r="P1325" s="7">
        <v>45657</v>
      </c>
    </row>
    <row r="1326" spans="1:16" x14ac:dyDescent="0.3">
      <c r="A1326">
        <v>1325</v>
      </c>
      <c r="B1326" s="7">
        <v>45200</v>
      </c>
      <c r="C1326" t="s">
        <v>10</v>
      </c>
      <c r="D1326">
        <v>699</v>
      </c>
      <c r="E1326">
        <v>18</v>
      </c>
      <c r="F1326">
        <v>2</v>
      </c>
      <c r="G1326">
        <v>1</v>
      </c>
      <c r="H1326">
        <v>33</v>
      </c>
      <c r="I1326">
        <v>24</v>
      </c>
      <c r="J1326" t="s">
        <v>13</v>
      </c>
      <c r="K1326">
        <f>IF(J1326="Yes", 1, 0)</f>
        <v>0</v>
      </c>
      <c r="L1326" t="str">
        <f>IF(G1326=0,"0 Failures","1+ Failures")</f>
        <v>1+ Failures</v>
      </c>
      <c r="M1326" t="str">
        <f t="shared" si="62"/>
        <v>10-20hrs</v>
      </c>
      <c r="N1326" t="str">
        <f t="shared" si="60"/>
        <v>12+ months</v>
      </c>
      <c r="O1326" t="str">
        <f t="shared" si="61"/>
        <v>Premium</v>
      </c>
      <c r="P1326" s="7">
        <v>45657</v>
      </c>
    </row>
    <row r="1327" spans="1:16" x14ac:dyDescent="0.3">
      <c r="A1327">
        <v>1326</v>
      </c>
      <c r="B1327" s="7">
        <v>45395</v>
      </c>
      <c r="C1327" t="s">
        <v>12</v>
      </c>
      <c r="D1327">
        <v>199</v>
      </c>
      <c r="E1327">
        <v>17.8</v>
      </c>
      <c r="F1327">
        <v>3</v>
      </c>
      <c r="G1327">
        <v>5</v>
      </c>
      <c r="H1327">
        <v>24</v>
      </c>
      <c r="I1327">
        <v>38</v>
      </c>
      <c r="J1327" t="s">
        <v>11</v>
      </c>
      <c r="K1327">
        <f>IF(J1327="Yes", 1, 0)</f>
        <v>1</v>
      </c>
      <c r="L1327" t="str">
        <f>IF(G1327=0,"0 Failures","1+ Failures")</f>
        <v>1+ Failures</v>
      </c>
      <c r="M1327" t="str">
        <f t="shared" si="62"/>
        <v>10-20hrs</v>
      </c>
      <c r="N1327" t="str">
        <f t="shared" si="60"/>
        <v>12+ months</v>
      </c>
      <c r="O1327" t="str">
        <f t="shared" si="61"/>
        <v>Basic</v>
      </c>
      <c r="P1327" s="7">
        <v>45657</v>
      </c>
    </row>
    <row r="1328" spans="1:16" x14ac:dyDescent="0.3">
      <c r="A1328">
        <v>1327</v>
      </c>
      <c r="B1328" s="7">
        <v>45365</v>
      </c>
      <c r="C1328" t="s">
        <v>12</v>
      </c>
      <c r="D1328">
        <v>199</v>
      </c>
      <c r="E1328">
        <v>24.7</v>
      </c>
      <c r="F1328">
        <v>7</v>
      </c>
      <c r="G1328">
        <v>4</v>
      </c>
      <c r="H1328">
        <v>29</v>
      </c>
      <c r="I1328">
        <v>18</v>
      </c>
      <c r="J1328" t="s">
        <v>11</v>
      </c>
      <c r="K1328">
        <f>IF(J1328="Yes", 1, 0)</f>
        <v>1</v>
      </c>
      <c r="L1328" t="str">
        <f>IF(G1328=0,"0 Failures","1+ Failures")</f>
        <v>1+ Failures</v>
      </c>
      <c r="M1328" t="str">
        <f t="shared" si="62"/>
        <v>20+ hrs</v>
      </c>
      <c r="N1328" t="str">
        <f t="shared" si="60"/>
        <v>12+ months</v>
      </c>
      <c r="O1328" t="str">
        <f t="shared" si="61"/>
        <v>Basic</v>
      </c>
      <c r="P1328" s="7">
        <v>45657</v>
      </c>
    </row>
    <row r="1329" spans="1:16" x14ac:dyDescent="0.3">
      <c r="A1329">
        <v>1328</v>
      </c>
      <c r="B1329" s="7">
        <v>45019</v>
      </c>
      <c r="C1329" t="s">
        <v>10</v>
      </c>
      <c r="D1329">
        <v>699</v>
      </c>
      <c r="E1329">
        <v>8</v>
      </c>
      <c r="F1329">
        <v>1</v>
      </c>
      <c r="G1329">
        <v>2</v>
      </c>
      <c r="H1329">
        <v>15</v>
      </c>
      <c r="I1329">
        <v>26</v>
      </c>
      <c r="J1329" t="s">
        <v>13</v>
      </c>
      <c r="K1329">
        <f>IF(J1329="Yes", 1, 0)</f>
        <v>0</v>
      </c>
      <c r="L1329" t="str">
        <f>IF(G1329=0,"0 Failures","1+ Failures")</f>
        <v>1+ Failures</v>
      </c>
      <c r="M1329" t="str">
        <f t="shared" si="62"/>
        <v>5-10 hrs</v>
      </c>
      <c r="N1329" t="str">
        <f t="shared" si="60"/>
        <v>12+ months</v>
      </c>
      <c r="O1329" t="str">
        <f t="shared" si="61"/>
        <v>Premium</v>
      </c>
      <c r="P1329" s="7">
        <v>45657</v>
      </c>
    </row>
    <row r="1330" spans="1:16" x14ac:dyDescent="0.3">
      <c r="A1330">
        <v>1329</v>
      </c>
      <c r="B1330" s="7">
        <v>45013</v>
      </c>
      <c r="C1330" t="s">
        <v>10</v>
      </c>
      <c r="D1330">
        <v>699</v>
      </c>
      <c r="E1330">
        <v>2.4</v>
      </c>
      <c r="F1330">
        <v>3</v>
      </c>
      <c r="G1330">
        <v>0</v>
      </c>
      <c r="H1330">
        <v>6</v>
      </c>
      <c r="I1330">
        <v>10</v>
      </c>
      <c r="J1330" t="s">
        <v>13</v>
      </c>
      <c r="K1330">
        <f>IF(J1330="Yes", 1, 0)</f>
        <v>0</v>
      </c>
      <c r="L1330" t="str">
        <f>IF(G1330=0,"0 Failures","1+ Failures")</f>
        <v>0 Failures</v>
      </c>
      <c r="M1330" t="str">
        <f t="shared" si="62"/>
        <v>0-5 hrs</v>
      </c>
      <c r="N1330" t="str">
        <f t="shared" si="60"/>
        <v>3-6months</v>
      </c>
      <c r="O1330" t="str">
        <f t="shared" si="61"/>
        <v>Premium</v>
      </c>
      <c r="P1330" s="7">
        <v>45657</v>
      </c>
    </row>
    <row r="1331" spans="1:16" x14ac:dyDescent="0.3">
      <c r="A1331">
        <v>1330</v>
      </c>
      <c r="B1331" s="7">
        <v>45447</v>
      </c>
      <c r="C1331" t="s">
        <v>10</v>
      </c>
      <c r="D1331">
        <v>699</v>
      </c>
      <c r="E1331">
        <v>14.1</v>
      </c>
      <c r="F1331">
        <v>7</v>
      </c>
      <c r="G1331">
        <v>0</v>
      </c>
      <c r="H1331">
        <v>19</v>
      </c>
      <c r="I1331">
        <v>60</v>
      </c>
      <c r="J1331" t="s">
        <v>11</v>
      </c>
      <c r="K1331">
        <f>IF(J1331="Yes", 1, 0)</f>
        <v>1</v>
      </c>
      <c r="L1331" t="str">
        <f>IF(G1331=0,"0 Failures","1+ Failures")</f>
        <v>0 Failures</v>
      </c>
      <c r="M1331" t="str">
        <f t="shared" si="62"/>
        <v>10-20hrs</v>
      </c>
      <c r="N1331" t="str">
        <f t="shared" si="60"/>
        <v>12+ months</v>
      </c>
      <c r="O1331" t="str">
        <f t="shared" si="61"/>
        <v>Premium</v>
      </c>
      <c r="P1331" s="7">
        <v>45657</v>
      </c>
    </row>
    <row r="1332" spans="1:16" x14ac:dyDescent="0.3">
      <c r="A1332">
        <v>1331</v>
      </c>
      <c r="B1332" s="7">
        <v>45641</v>
      </c>
      <c r="C1332" t="s">
        <v>10</v>
      </c>
      <c r="D1332">
        <v>699</v>
      </c>
      <c r="E1332">
        <v>12.3</v>
      </c>
      <c r="F1332">
        <v>8</v>
      </c>
      <c r="G1332">
        <v>5</v>
      </c>
      <c r="H1332">
        <v>9</v>
      </c>
      <c r="I1332">
        <v>43</v>
      </c>
      <c r="J1332" t="s">
        <v>13</v>
      </c>
      <c r="K1332">
        <f>IF(J1332="Yes", 1, 0)</f>
        <v>0</v>
      </c>
      <c r="L1332" t="str">
        <f>IF(G1332=0,"0 Failures","1+ Failures")</f>
        <v>1+ Failures</v>
      </c>
      <c r="M1332" t="str">
        <f t="shared" si="62"/>
        <v>10-20hrs</v>
      </c>
      <c r="N1332" t="str">
        <f t="shared" si="60"/>
        <v>6-12months</v>
      </c>
      <c r="O1332" t="str">
        <f t="shared" si="61"/>
        <v>Premium</v>
      </c>
      <c r="P1332" s="7">
        <v>45657</v>
      </c>
    </row>
    <row r="1333" spans="1:16" x14ac:dyDescent="0.3">
      <c r="A1333">
        <v>1332</v>
      </c>
      <c r="B1333" s="7">
        <v>45646</v>
      </c>
      <c r="C1333" t="s">
        <v>12</v>
      </c>
      <c r="D1333">
        <v>199</v>
      </c>
      <c r="E1333">
        <v>0.8</v>
      </c>
      <c r="F1333">
        <v>3</v>
      </c>
      <c r="G1333">
        <v>5</v>
      </c>
      <c r="H1333">
        <v>26</v>
      </c>
      <c r="I1333">
        <v>0</v>
      </c>
      <c r="J1333" t="s">
        <v>13</v>
      </c>
      <c r="K1333">
        <f>IF(J1333="Yes", 1, 0)</f>
        <v>0</v>
      </c>
      <c r="L1333" t="str">
        <f>IF(G1333=0,"0 Failures","1+ Failures")</f>
        <v>1+ Failures</v>
      </c>
      <c r="M1333" t="str">
        <f t="shared" si="62"/>
        <v>0-5 hrs</v>
      </c>
      <c r="N1333" t="str">
        <f t="shared" si="60"/>
        <v>12+ months</v>
      </c>
      <c r="O1333" t="str">
        <f t="shared" si="61"/>
        <v>Basic</v>
      </c>
      <c r="P1333" s="7">
        <v>45657</v>
      </c>
    </row>
    <row r="1334" spans="1:16" x14ac:dyDescent="0.3">
      <c r="A1334">
        <v>1333</v>
      </c>
      <c r="B1334" s="7">
        <v>45386</v>
      </c>
      <c r="C1334" t="s">
        <v>10</v>
      </c>
      <c r="D1334">
        <v>699</v>
      </c>
      <c r="E1334">
        <v>6.5</v>
      </c>
      <c r="F1334">
        <v>8</v>
      </c>
      <c r="G1334">
        <v>5</v>
      </c>
      <c r="H1334">
        <v>23</v>
      </c>
      <c r="I1334">
        <v>38</v>
      </c>
      <c r="J1334" t="s">
        <v>11</v>
      </c>
      <c r="K1334">
        <f>IF(J1334="Yes", 1, 0)</f>
        <v>1</v>
      </c>
      <c r="L1334" t="str">
        <f>IF(G1334=0,"0 Failures","1+ Failures")</f>
        <v>1+ Failures</v>
      </c>
      <c r="M1334" t="str">
        <f t="shared" si="62"/>
        <v>5-10 hrs</v>
      </c>
      <c r="N1334" t="str">
        <f t="shared" si="60"/>
        <v>12+ months</v>
      </c>
      <c r="O1334" t="str">
        <f t="shared" si="61"/>
        <v>Premium</v>
      </c>
      <c r="P1334" s="7">
        <v>45657</v>
      </c>
    </row>
    <row r="1335" spans="1:16" x14ac:dyDescent="0.3">
      <c r="A1335">
        <v>1334</v>
      </c>
      <c r="B1335" s="7">
        <v>45453</v>
      </c>
      <c r="C1335" t="s">
        <v>12</v>
      </c>
      <c r="D1335">
        <v>199</v>
      </c>
      <c r="E1335">
        <v>22.6</v>
      </c>
      <c r="F1335">
        <v>2</v>
      </c>
      <c r="G1335">
        <v>0</v>
      </c>
      <c r="H1335">
        <v>34</v>
      </c>
      <c r="I1335">
        <v>23</v>
      </c>
      <c r="J1335" t="s">
        <v>13</v>
      </c>
      <c r="K1335">
        <f>IF(J1335="Yes", 1, 0)</f>
        <v>0</v>
      </c>
      <c r="L1335" t="str">
        <f>IF(G1335=0,"0 Failures","1+ Failures")</f>
        <v>0 Failures</v>
      </c>
      <c r="M1335" t="str">
        <f t="shared" si="62"/>
        <v>20+ hrs</v>
      </c>
      <c r="N1335" t="str">
        <f t="shared" si="60"/>
        <v>12+ months</v>
      </c>
      <c r="O1335" t="str">
        <f t="shared" si="61"/>
        <v>Basic</v>
      </c>
      <c r="P1335" s="7">
        <v>45657</v>
      </c>
    </row>
    <row r="1336" spans="1:16" x14ac:dyDescent="0.3">
      <c r="A1336">
        <v>1335</v>
      </c>
      <c r="B1336" s="7">
        <v>45273</v>
      </c>
      <c r="C1336" t="s">
        <v>14</v>
      </c>
      <c r="D1336">
        <v>399</v>
      </c>
      <c r="E1336">
        <v>10.9</v>
      </c>
      <c r="F1336">
        <v>6</v>
      </c>
      <c r="G1336">
        <v>1</v>
      </c>
      <c r="H1336">
        <v>4</v>
      </c>
      <c r="I1336">
        <v>23</v>
      </c>
      <c r="J1336" t="s">
        <v>13</v>
      </c>
      <c r="K1336">
        <f>IF(J1336="Yes", 1, 0)</f>
        <v>0</v>
      </c>
      <c r="L1336" t="str">
        <f>IF(G1336=0,"0 Failures","1+ Failures")</f>
        <v>1+ Failures</v>
      </c>
      <c r="M1336" t="str">
        <f t="shared" si="62"/>
        <v>10-20hrs</v>
      </c>
      <c r="N1336" t="str">
        <f t="shared" si="60"/>
        <v>3-6months</v>
      </c>
      <c r="O1336" t="str">
        <f t="shared" si="61"/>
        <v>Basic</v>
      </c>
      <c r="P1336" s="7">
        <v>45657</v>
      </c>
    </row>
    <row r="1337" spans="1:16" x14ac:dyDescent="0.3">
      <c r="A1337">
        <v>1336</v>
      </c>
      <c r="B1337" s="7">
        <v>45198</v>
      </c>
      <c r="C1337" t="s">
        <v>10</v>
      </c>
      <c r="D1337">
        <v>699</v>
      </c>
      <c r="E1337">
        <v>20.9</v>
      </c>
      <c r="F1337">
        <v>1</v>
      </c>
      <c r="G1337">
        <v>2</v>
      </c>
      <c r="H1337">
        <v>16</v>
      </c>
      <c r="I1337">
        <v>19</v>
      </c>
      <c r="J1337" t="s">
        <v>13</v>
      </c>
      <c r="K1337">
        <f>IF(J1337="Yes", 1, 0)</f>
        <v>0</v>
      </c>
      <c r="L1337" t="str">
        <f>IF(G1337=0,"0 Failures","1+ Failures")</f>
        <v>1+ Failures</v>
      </c>
      <c r="M1337" t="str">
        <f t="shared" si="62"/>
        <v>20+ hrs</v>
      </c>
      <c r="N1337" t="str">
        <f t="shared" si="60"/>
        <v>12+ months</v>
      </c>
      <c r="O1337" t="str">
        <f t="shared" si="61"/>
        <v>Premium</v>
      </c>
      <c r="P1337" s="7">
        <v>45657</v>
      </c>
    </row>
    <row r="1338" spans="1:16" x14ac:dyDescent="0.3">
      <c r="A1338">
        <v>1337</v>
      </c>
      <c r="B1338" s="7">
        <v>45585</v>
      </c>
      <c r="C1338" t="s">
        <v>12</v>
      </c>
      <c r="D1338">
        <v>199</v>
      </c>
      <c r="E1338">
        <v>18.600000000000001</v>
      </c>
      <c r="F1338">
        <v>6</v>
      </c>
      <c r="G1338">
        <v>1</v>
      </c>
      <c r="H1338">
        <v>1</v>
      </c>
      <c r="I1338">
        <v>59</v>
      </c>
      <c r="J1338" t="s">
        <v>11</v>
      </c>
      <c r="K1338">
        <f>IF(J1338="Yes", 1, 0)</f>
        <v>1</v>
      </c>
      <c r="L1338" t="str">
        <f>IF(G1338=0,"0 Failures","1+ Failures")</f>
        <v>1+ Failures</v>
      </c>
      <c r="M1338" t="str">
        <f t="shared" si="62"/>
        <v>10-20hrs</v>
      </c>
      <c r="N1338" t="str">
        <f t="shared" si="60"/>
        <v>0-3months</v>
      </c>
      <c r="O1338" t="str">
        <f t="shared" si="61"/>
        <v>Basic</v>
      </c>
      <c r="P1338" s="7">
        <v>45657</v>
      </c>
    </row>
    <row r="1339" spans="1:16" x14ac:dyDescent="0.3">
      <c r="A1339">
        <v>1338</v>
      </c>
      <c r="B1339" s="7">
        <v>45398</v>
      </c>
      <c r="C1339" t="s">
        <v>10</v>
      </c>
      <c r="D1339">
        <v>699</v>
      </c>
      <c r="E1339">
        <v>23.4</v>
      </c>
      <c r="F1339">
        <v>7</v>
      </c>
      <c r="G1339">
        <v>0</v>
      </c>
      <c r="H1339">
        <v>3</v>
      </c>
      <c r="I1339">
        <v>22</v>
      </c>
      <c r="J1339" t="s">
        <v>11</v>
      </c>
      <c r="K1339">
        <f>IF(J1339="Yes", 1, 0)</f>
        <v>1</v>
      </c>
      <c r="L1339" t="str">
        <f>IF(G1339=0,"0 Failures","1+ Failures")</f>
        <v>0 Failures</v>
      </c>
      <c r="M1339" t="str">
        <f t="shared" si="62"/>
        <v>20+ hrs</v>
      </c>
      <c r="N1339" t="str">
        <f t="shared" si="60"/>
        <v>0-3months</v>
      </c>
      <c r="O1339" t="str">
        <f t="shared" si="61"/>
        <v>Premium</v>
      </c>
      <c r="P1339" s="7">
        <v>45657</v>
      </c>
    </row>
    <row r="1340" spans="1:16" x14ac:dyDescent="0.3">
      <c r="A1340">
        <v>1339</v>
      </c>
      <c r="B1340" s="7">
        <v>45338</v>
      </c>
      <c r="C1340" t="s">
        <v>14</v>
      </c>
      <c r="D1340">
        <v>399</v>
      </c>
      <c r="E1340">
        <v>9.1999999999999993</v>
      </c>
      <c r="F1340">
        <v>0</v>
      </c>
      <c r="G1340">
        <v>2</v>
      </c>
      <c r="H1340">
        <v>20</v>
      </c>
      <c r="I1340">
        <v>56</v>
      </c>
      <c r="J1340" t="s">
        <v>13</v>
      </c>
      <c r="K1340">
        <f>IF(J1340="Yes", 1, 0)</f>
        <v>0</v>
      </c>
      <c r="L1340" t="str">
        <f>IF(G1340=0,"0 Failures","1+ Failures")</f>
        <v>1+ Failures</v>
      </c>
      <c r="M1340" t="str">
        <f t="shared" si="62"/>
        <v>5-10 hrs</v>
      </c>
      <c r="N1340" t="str">
        <f t="shared" si="60"/>
        <v>12+ months</v>
      </c>
      <c r="O1340" t="str">
        <f t="shared" si="61"/>
        <v>Basic</v>
      </c>
      <c r="P1340" s="7">
        <v>45657</v>
      </c>
    </row>
    <row r="1341" spans="1:16" x14ac:dyDescent="0.3">
      <c r="A1341">
        <v>1340</v>
      </c>
      <c r="B1341" s="7">
        <v>45084</v>
      </c>
      <c r="C1341" t="s">
        <v>14</v>
      </c>
      <c r="D1341">
        <v>399</v>
      </c>
      <c r="E1341">
        <v>3</v>
      </c>
      <c r="F1341">
        <v>7</v>
      </c>
      <c r="G1341">
        <v>1</v>
      </c>
      <c r="H1341">
        <v>1</v>
      </c>
      <c r="I1341">
        <v>5</v>
      </c>
      <c r="J1341" t="s">
        <v>13</v>
      </c>
      <c r="K1341">
        <f>IF(J1341="Yes", 1, 0)</f>
        <v>0</v>
      </c>
      <c r="L1341" t="str">
        <f>IF(G1341=0,"0 Failures","1+ Failures")</f>
        <v>1+ Failures</v>
      </c>
      <c r="M1341" t="str">
        <f t="shared" si="62"/>
        <v>0-5 hrs</v>
      </c>
      <c r="N1341" t="str">
        <f t="shared" si="60"/>
        <v>0-3months</v>
      </c>
      <c r="O1341" t="str">
        <f t="shared" si="61"/>
        <v>Basic</v>
      </c>
      <c r="P1341" s="7">
        <v>45657</v>
      </c>
    </row>
    <row r="1342" spans="1:16" x14ac:dyDescent="0.3">
      <c r="A1342">
        <v>1341</v>
      </c>
      <c r="B1342" s="7">
        <v>45158</v>
      </c>
      <c r="C1342" t="s">
        <v>14</v>
      </c>
      <c r="D1342">
        <v>399</v>
      </c>
      <c r="E1342">
        <v>22.9</v>
      </c>
      <c r="F1342">
        <v>0</v>
      </c>
      <c r="G1342">
        <v>1</v>
      </c>
      <c r="H1342">
        <v>8</v>
      </c>
      <c r="I1342">
        <v>49</v>
      </c>
      <c r="J1342" t="s">
        <v>13</v>
      </c>
      <c r="K1342">
        <f>IF(J1342="Yes", 1, 0)</f>
        <v>0</v>
      </c>
      <c r="L1342" t="str">
        <f>IF(G1342=0,"0 Failures","1+ Failures")</f>
        <v>1+ Failures</v>
      </c>
      <c r="M1342" t="str">
        <f t="shared" si="62"/>
        <v>20+ hrs</v>
      </c>
      <c r="N1342" t="str">
        <f t="shared" si="60"/>
        <v>6-12months</v>
      </c>
      <c r="O1342" t="str">
        <f t="shared" si="61"/>
        <v>Basic</v>
      </c>
      <c r="P1342" s="7">
        <v>45657</v>
      </c>
    </row>
    <row r="1343" spans="1:16" x14ac:dyDescent="0.3">
      <c r="A1343">
        <v>1342</v>
      </c>
      <c r="B1343" s="7">
        <v>45202</v>
      </c>
      <c r="C1343" t="s">
        <v>14</v>
      </c>
      <c r="D1343">
        <v>399</v>
      </c>
      <c r="E1343">
        <v>9.6999999999999993</v>
      </c>
      <c r="F1343">
        <v>5</v>
      </c>
      <c r="G1343">
        <v>3</v>
      </c>
      <c r="H1343">
        <v>26</v>
      </c>
      <c r="I1343">
        <v>57</v>
      </c>
      <c r="J1343" t="s">
        <v>11</v>
      </c>
      <c r="K1343">
        <f>IF(J1343="Yes", 1, 0)</f>
        <v>1</v>
      </c>
      <c r="L1343" t="str">
        <f>IF(G1343=0,"0 Failures","1+ Failures")</f>
        <v>1+ Failures</v>
      </c>
      <c r="M1343" t="str">
        <f t="shared" si="62"/>
        <v>5-10 hrs</v>
      </c>
      <c r="N1343" t="str">
        <f t="shared" si="60"/>
        <v>12+ months</v>
      </c>
      <c r="O1343" t="str">
        <f t="shared" si="61"/>
        <v>Basic</v>
      </c>
      <c r="P1343" s="7">
        <v>45657</v>
      </c>
    </row>
    <row r="1344" spans="1:16" x14ac:dyDescent="0.3">
      <c r="A1344">
        <v>1343</v>
      </c>
      <c r="B1344" s="7">
        <v>45371</v>
      </c>
      <c r="C1344" t="s">
        <v>12</v>
      </c>
      <c r="D1344">
        <v>199</v>
      </c>
      <c r="E1344">
        <v>16.600000000000001</v>
      </c>
      <c r="F1344">
        <v>7</v>
      </c>
      <c r="G1344">
        <v>1</v>
      </c>
      <c r="H1344">
        <v>29</v>
      </c>
      <c r="I1344">
        <v>8</v>
      </c>
      <c r="J1344" t="s">
        <v>13</v>
      </c>
      <c r="K1344">
        <f>IF(J1344="Yes", 1, 0)</f>
        <v>0</v>
      </c>
      <c r="L1344" t="str">
        <f>IF(G1344=0,"0 Failures","1+ Failures")</f>
        <v>1+ Failures</v>
      </c>
      <c r="M1344" t="str">
        <f t="shared" si="62"/>
        <v>10-20hrs</v>
      </c>
      <c r="N1344" t="str">
        <f t="shared" si="60"/>
        <v>12+ months</v>
      </c>
      <c r="O1344" t="str">
        <f t="shared" si="61"/>
        <v>Basic</v>
      </c>
      <c r="P1344" s="7">
        <v>45657</v>
      </c>
    </row>
    <row r="1345" spans="1:16" x14ac:dyDescent="0.3">
      <c r="A1345">
        <v>1344</v>
      </c>
      <c r="B1345" s="7">
        <v>45063</v>
      </c>
      <c r="C1345" t="s">
        <v>12</v>
      </c>
      <c r="D1345">
        <v>199</v>
      </c>
      <c r="E1345">
        <v>22.1</v>
      </c>
      <c r="F1345">
        <v>3</v>
      </c>
      <c r="G1345">
        <v>0</v>
      </c>
      <c r="H1345">
        <v>23</v>
      </c>
      <c r="I1345">
        <v>12</v>
      </c>
      <c r="J1345" t="s">
        <v>13</v>
      </c>
      <c r="K1345">
        <f>IF(J1345="Yes", 1, 0)</f>
        <v>0</v>
      </c>
      <c r="L1345" t="str">
        <f>IF(G1345=0,"0 Failures","1+ Failures")</f>
        <v>0 Failures</v>
      </c>
      <c r="M1345" t="str">
        <f t="shared" si="62"/>
        <v>20+ hrs</v>
      </c>
      <c r="N1345" t="str">
        <f t="shared" si="60"/>
        <v>12+ months</v>
      </c>
      <c r="O1345" t="str">
        <f t="shared" si="61"/>
        <v>Basic</v>
      </c>
      <c r="P1345" s="7">
        <v>45657</v>
      </c>
    </row>
    <row r="1346" spans="1:16" x14ac:dyDescent="0.3">
      <c r="A1346">
        <v>1345</v>
      </c>
      <c r="B1346" s="7">
        <v>45417</v>
      </c>
      <c r="C1346" t="s">
        <v>14</v>
      </c>
      <c r="D1346">
        <v>399</v>
      </c>
      <c r="E1346">
        <v>18.7</v>
      </c>
      <c r="F1346">
        <v>0</v>
      </c>
      <c r="G1346">
        <v>1</v>
      </c>
      <c r="H1346">
        <v>27</v>
      </c>
      <c r="I1346">
        <v>42</v>
      </c>
      <c r="J1346" t="s">
        <v>11</v>
      </c>
      <c r="K1346">
        <f>IF(J1346="Yes", 1, 0)</f>
        <v>1</v>
      </c>
      <c r="L1346" t="str">
        <f>IF(G1346=0,"0 Failures","1+ Failures")</f>
        <v>1+ Failures</v>
      </c>
      <c r="M1346" t="str">
        <f t="shared" si="62"/>
        <v>10-20hrs</v>
      </c>
      <c r="N1346" t="str">
        <f t="shared" si="60"/>
        <v>12+ months</v>
      </c>
      <c r="O1346" t="str">
        <f t="shared" si="61"/>
        <v>Basic</v>
      </c>
      <c r="P1346" s="7">
        <v>45657</v>
      </c>
    </row>
    <row r="1347" spans="1:16" x14ac:dyDescent="0.3">
      <c r="A1347">
        <v>1346</v>
      </c>
      <c r="B1347" s="7">
        <v>45057</v>
      </c>
      <c r="C1347" t="s">
        <v>10</v>
      </c>
      <c r="D1347">
        <v>699</v>
      </c>
      <c r="E1347">
        <v>3.4</v>
      </c>
      <c r="F1347">
        <v>7</v>
      </c>
      <c r="G1347">
        <v>4</v>
      </c>
      <c r="H1347">
        <v>18</v>
      </c>
      <c r="I1347">
        <v>31</v>
      </c>
      <c r="J1347" t="s">
        <v>11</v>
      </c>
      <c r="K1347">
        <f>IF(J1347="Yes", 1, 0)</f>
        <v>1</v>
      </c>
      <c r="L1347" t="str">
        <f>IF(G1347=0,"0 Failures","1+ Failures")</f>
        <v>1+ Failures</v>
      </c>
      <c r="M1347" t="str">
        <f t="shared" si="62"/>
        <v>0-5 hrs</v>
      </c>
      <c r="N1347" t="str">
        <f t="shared" ref="N1347:N1410" si="63">IF(H1347&lt;=3, "0-3months", IF(H1347&lt;=6, "3-6months", IF(H1347&lt;=12, "6-12months", "12+ months")))</f>
        <v>12+ months</v>
      </c>
      <c r="O1347" t="str">
        <f t="shared" ref="O1347:O1410" si="64">IF(C1347="premium", "Premium", "Basic")</f>
        <v>Premium</v>
      </c>
      <c r="P1347" s="7">
        <v>45657</v>
      </c>
    </row>
    <row r="1348" spans="1:16" x14ac:dyDescent="0.3">
      <c r="A1348">
        <v>1347</v>
      </c>
      <c r="B1348" s="7">
        <v>44948</v>
      </c>
      <c r="C1348" t="s">
        <v>14</v>
      </c>
      <c r="D1348">
        <v>399</v>
      </c>
      <c r="E1348">
        <v>12.8</v>
      </c>
      <c r="F1348">
        <v>6</v>
      </c>
      <c r="G1348">
        <v>1</v>
      </c>
      <c r="H1348">
        <v>26</v>
      </c>
      <c r="I1348">
        <v>7</v>
      </c>
      <c r="J1348" t="s">
        <v>13</v>
      </c>
      <c r="K1348">
        <f>IF(J1348="Yes", 1, 0)</f>
        <v>0</v>
      </c>
      <c r="L1348" t="str">
        <f>IF(G1348=0,"0 Failures","1+ Failures")</f>
        <v>1+ Failures</v>
      </c>
      <c r="M1348" t="str">
        <f t="shared" si="62"/>
        <v>10-20hrs</v>
      </c>
      <c r="N1348" t="str">
        <f t="shared" si="63"/>
        <v>12+ months</v>
      </c>
      <c r="O1348" t="str">
        <f t="shared" si="64"/>
        <v>Basic</v>
      </c>
      <c r="P1348" s="7">
        <v>45657</v>
      </c>
    </row>
    <row r="1349" spans="1:16" x14ac:dyDescent="0.3">
      <c r="A1349">
        <v>1348</v>
      </c>
      <c r="B1349" s="7">
        <v>45277</v>
      </c>
      <c r="C1349" t="s">
        <v>12</v>
      </c>
      <c r="D1349">
        <v>199</v>
      </c>
      <c r="E1349">
        <v>8.9</v>
      </c>
      <c r="F1349">
        <v>0</v>
      </c>
      <c r="G1349">
        <v>5</v>
      </c>
      <c r="H1349">
        <v>10</v>
      </c>
      <c r="I1349">
        <v>15</v>
      </c>
      <c r="J1349" t="s">
        <v>11</v>
      </c>
      <c r="K1349">
        <f>IF(J1349="Yes", 1, 0)</f>
        <v>1</v>
      </c>
      <c r="L1349" t="str">
        <f>IF(G1349=0,"0 Failures","1+ Failures")</f>
        <v>1+ Failures</v>
      </c>
      <c r="M1349" t="str">
        <f t="shared" si="62"/>
        <v>5-10 hrs</v>
      </c>
      <c r="N1349" t="str">
        <f t="shared" si="63"/>
        <v>6-12months</v>
      </c>
      <c r="O1349" t="str">
        <f t="shared" si="64"/>
        <v>Basic</v>
      </c>
      <c r="P1349" s="7">
        <v>45657</v>
      </c>
    </row>
    <row r="1350" spans="1:16" x14ac:dyDescent="0.3">
      <c r="A1350">
        <v>1349</v>
      </c>
      <c r="B1350" s="7">
        <v>45366</v>
      </c>
      <c r="C1350" t="s">
        <v>14</v>
      </c>
      <c r="D1350">
        <v>399</v>
      </c>
      <c r="E1350">
        <v>11.1</v>
      </c>
      <c r="F1350">
        <v>4</v>
      </c>
      <c r="G1350">
        <v>2</v>
      </c>
      <c r="H1350">
        <v>1</v>
      </c>
      <c r="I1350">
        <v>31</v>
      </c>
      <c r="J1350" t="s">
        <v>11</v>
      </c>
      <c r="K1350">
        <f>IF(J1350="Yes", 1, 0)</f>
        <v>1</v>
      </c>
      <c r="L1350" t="str">
        <f>IF(G1350=0,"0 Failures","1+ Failures")</f>
        <v>1+ Failures</v>
      </c>
      <c r="M1350" t="str">
        <f t="shared" si="62"/>
        <v>10-20hrs</v>
      </c>
      <c r="N1350" t="str">
        <f t="shared" si="63"/>
        <v>0-3months</v>
      </c>
      <c r="O1350" t="str">
        <f t="shared" si="64"/>
        <v>Basic</v>
      </c>
      <c r="P1350" s="7">
        <v>45657</v>
      </c>
    </row>
    <row r="1351" spans="1:16" x14ac:dyDescent="0.3">
      <c r="A1351">
        <v>1350</v>
      </c>
      <c r="B1351" s="7">
        <v>45196</v>
      </c>
      <c r="C1351" t="s">
        <v>12</v>
      </c>
      <c r="D1351">
        <v>199</v>
      </c>
      <c r="E1351">
        <v>18.399999999999999</v>
      </c>
      <c r="F1351">
        <v>2</v>
      </c>
      <c r="G1351">
        <v>1</v>
      </c>
      <c r="H1351">
        <v>10</v>
      </c>
      <c r="I1351">
        <v>17</v>
      </c>
      <c r="J1351" t="s">
        <v>13</v>
      </c>
      <c r="K1351">
        <f>IF(J1351="Yes", 1, 0)</f>
        <v>0</v>
      </c>
      <c r="L1351" t="str">
        <f>IF(G1351=0,"0 Failures","1+ Failures")</f>
        <v>1+ Failures</v>
      </c>
      <c r="M1351" t="str">
        <f t="shared" si="62"/>
        <v>10-20hrs</v>
      </c>
      <c r="N1351" t="str">
        <f t="shared" si="63"/>
        <v>6-12months</v>
      </c>
      <c r="O1351" t="str">
        <f t="shared" si="64"/>
        <v>Basic</v>
      </c>
      <c r="P1351" s="7">
        <v>45657</v>
      </c>
    </row>
    <row r="1352" spans="1:16" x14ac:dyDescent="0.3">
      <c r="A1352">
        <v>1351</v>
      </c>
      <c r="B1352" s="7">
        <v>45032</v>
      </c>
      <c r="C1352" t="s">
        <v>10</v>
      </c>
      <c r="D1352">
        <v>699</v>
      </c>
      <c r="E1352">
        <v>16.8</v>
      </c>
      <c r="F1352">
        <v>6</v>
      </c>
      <c r="G1352">
        <v>1</v>
      </c>
      <c r="H1352">
        <v>16</v>
      </c>
      <c r="I1352">
        <v>30</v>
      </c>
      <c r="J1352" t="s">
        <v>13</v>
      </c>
      <c r="K1352">
        <f>IF(J1352="Yes", 1, 0)</f>
        <v>0</v>
      </c>
      <c r="L1352" t="str">
        <f>IF(G1352=0,"0 Failures","1+ Failures")</f>
        <v>1+ Failures</v>
      </c>
      <c r="M1352" t="str">
        <f t="shared" si="62"/>
        <v>10-20hrs</v>
      </c>
      <c r="N1352" t="str">
        <f t="shared" si="63"/>
        <v>12+ months</v>
      </c>
      <c r="O1352" t="str">
        <f t="shared" si="64"/>
        <v>Premium</v>
      </c>
      <c r="P1352" s="7">
        <v>45657</v>
      </c>
    </row>
    <row r="1353" spans="1:16" x14ac:dyDescent="0.3">
      <c r="A1353">
        <v>1352</v>
      </c>
      <c r="B1353" s="7">
        <v>45161</v>
      </c>
      <c r="C1353" t="s">
        <v>10</v>
      </c>
      <c r="D1353">
        <v>699</v>
      </c>
      <c r="E1353">
        <v>15.5</v>
      </c>
      <c r="F1353">
        <v>3</v>
      </c>
      <c r="G1353">
        <v>4</v>
      </c>
      <c r="H1353">
        <v>33</v>
      </c>
      <c r="I1353">
        <v>40</v>
      </c>
      <c r="J1353" t="s">
        <v>13</v>
      </c>
      <c r="K1353">
        <f>IF(J1353="Yes", 1, 0)</f>
        <v>0</v>
      </c>
      <c r="L1353" t="str">
        <f>IF(G1353=0,"0 Failures","1+ Failures")</f>
        <v>1+ Failures</v>
      </c>
      <c r="M1353" t="str">
        <f t="shared" si="62"/>
        <v>10-20hrs</v>
      </c>
      <c r="N1353" t="str">
        <f t="shared" si="63"/>
        <v>12+ months</v>
      </c>
      <c r="O1353" t="str">
        <f t="shared" si="64"/>
        <v>Premium</v>
      </c>
      <c r="P1353" s="7">
        <v>45657</v>
      </c>
    </row>
    <row r="1354" spans="1:16" x14ac:dyDescent="0.3">
      <c r="A1354">
        <v>1353</v>
      </c>
      <c r="B1354" s="7">
        <v>44945</v>
      </c>
      <c r="C1354" t="s">
        <v>12</v>
      </c>
      <c r="D1354">
        <v>199</v>
      </c>
      <c r="E1354">
        <v>10.3</v>
      </c>
      <c r="F1354">
        <v>4</v>
      </c>
      <c r="G1354">
        <v>1</v>
      </c>
      <c r="H1354">
        <v>9</v>
      </c>
      <c r="I1354">
        <v>59</v>
      </c>
      <c r="J1354" t="s">
        <v>11</v>
      </c>
      <c r="K1354">
        <f>IF(J1354="Yes", 1, 0)</f>
        <v>1</v>
      </c>
      <c r="L1354" t="str">
        <f>IF(G1354=0,"0 Failures","1+ Failures")</f>
        <v>1+ Failures</v>
      </c>
      <c r="M1354" t="str">
        <f t="shared" si="62"/>
        <v>10-20hrs</v>
      </c>
      <c r="N1354" t="str">
        <f t="shared" si="63"/>
        <v>6-12months</v>
      </c>
      <c r="O1354" t="str">
        <f t="shared" si="64"/>
        <v>Basic</v>
      </c>
      <c r="P1354" s="7">
        <v>45657</v>
      </c>
    </row>
    <row r="1355" spans="1:16" x14ac:dyDescent="0.3">
      <c r="A1355">
        <v>1354</v>
      </c>
      <c r="B1355" s="7">
        <v>45643</v>
      </c>
      <c r="C1355" t="s">
        <v>10</v>
      </c>
      <c r="D1355">
        <v>699</v>
      </c>
      <c r="E1355">
        <v>2.7</v>
      </c>
      <c r="F1355">
        <v>0</v>
      </c>
      <c r="G1355">
        <v>3</v>
      </c>
      <c r="H1355">
        <v>13</v>
      </c>
      <c r="I1355">
        <v>26</v>
      </c>
      <c r="J1355" t="s">
        <v>11</v>
      </c>
      <c r="K1355">
        <f>IF(J1355="Yes", 1, 0)</f>
        <v>1</v>
      </c>
      <c r="L1355" t="str">
        <f>IF(G1355=0,"0 Failures","1+ Failures")</f>
        <v>1+ Failures</v>
      </c>
      <c r="M1355" t="str">
        <f t="shared" ref="M1355:M1418" si="65">IF(E1355&lt;=5, "0-5 hrs",    IF(E1355&lt;=10, "5-10 hrs",    IF(E1355&lt;=20, "10-20hrs", "20+ hrs")))</f>
        <v>0-5 hrs</v>
      </c>
      <c r="N1355" t="str">
        <f t="shared" si="63"/>
        <v>12+ months</v>
      </c>
      <c r="O1355" t="str">
        <f t="shared" si="64"/>
        <v>Premium</v>
      </c>
      <c r="P1355" s="7">
        <v>45657</v>
      </c>
    </row>
    <row r="1356" spans="1:16" x14ac:dyDescent="0.3">
      <c r="A1356">
        <v>1355</v>
      </c>
      <c r="B1356" s="7">
        <v>45586</v>
      </c>
      <c r="C1356" t="s">
        <v>10</v>
      </c>
      <c r="D1356">
        <v>699</v>
      </c>
      <c r="E1356">
        <v>5.9</v>
      </c>
      <c r="F1356">
        <v>6</v>
      </c>
      <c r="G1356">
        <v>3</v>
      </c>
      <c r="H1356">
        <v>15</v>
      </c>
      <c r="I1356">
        <v>3</v>
      </c>
      <c r="J1356" t="s">
        <v>13</v>
      </c>
      <c r="K1356">
        <f>IF(J1356="Yes", 1, 0)</f>
        <v>0</v>
      </c>
      <c r="L1356" t="str">
        <f>IF(G1356=0,"0 Failures","1+ Failures")</f>
        <v>1+ Failures</v>
      </c>
      <c r="M1356" t="str">
        <f t="shared" si="65"/>
        <v>5-10 hrs</v>
      </c>
      <c r="N1356" t="str">
        <f t="shared" si="63"/>
        <v>12+ months</v>
      </c>
      <c r="O1356" t="str">
        <f t="shared" si="64"/>
        <v>Premium</v>
      </c>
      <c r="P1356" s="7">
        <v>45657</v>
      </c>
    </row>
    <row r="1357" spans="1:16" x14ac:dyDescent="0.3">
      <c r="A1357">
        <v>1356</v>
      </c>
      <c r="B1357" s="7">
        <v>45355</v>
      </c>
      <c r="C1357" t="s">
        <v>12</v>
      </c>
      <c r="D1357">
        <v>199</v>
      </c>
      <c r="E1357">
        <v>3.2</v>
      </c>
      <c r="F1357">
        <v>5</v>
      </c>
      <c r="G1357">
        <v>2</v>
      </c>
      <c r="H1357">
        <v>20</v>
      </c>
      <c r="I1357">
        <v>60</v>
      </c>
      <c r="J1357" t="s">
        <v>11</v>
      </c>
      <c r="K1357">
        <f>IF(J1357="Yes", 1, 0)</f>
        <v>1</v>
      </c>
      <c r="L1357" t="str">
        <f>IF(G1357=0,"0 Failures","1+ Failures")</f>
        <v>1+ Failures</v>
      </c>
      <c r="M1357" t="str">
        <f t="shared" si="65"/>
        <v>0-5 hrs</v>
      </c>
      <c r="N1357" t="str">
        <f t="shared" si="63"/>
        <v>12+ months</v>
      </c>
      <c r="O1357" t="str">
        <f t="shared" si="64"/>
        <v>Basic</v>
      </c>
      <c r="P1357" s="7">
        <v>45657</v>
      </c>
    </row>
    <row r="1358" spans="1:16" x14ac:dyDescent="0.3">
      <c r="A1358">
        <v>1357</v>
      </c>
      <c r="B1358" s="7">
        <v>45256</v>
      </c>
      <c r="C1358" t="s">
        <v>12</v>
      </c>
      <c r="D1358">
        <v>199</v>
      </c>
      <c r="E1358">
        <v>22.4</v>
      </c>
      <c r="F1358">
        <v>2</v>
      </c>
      <c r="G1358">
        <v>0</v>
      </c>
      <c r="H1358">
        <v>21</v>
      </c>
      <c r="I1358">
        <v>0</v>
      </c>
      <c r="J1358" t="s">
        <v>11</v>
      </c>
      <c r="K1358">
        <f>IF(J1358="Yes", 1, 0)</f>
        <v>1</v>
      </c>
      <c r="L1358" t="str">
        <f>IF(G1358=0,"0 Failures","1+ Failures")</f>
        <v>0 Failures</v>
      </c>
      <c r="M1358" t="str">
        <f t="shared" si="65"/>
        <v>20+ hrs</v>
      </c>
      <c r="N1358" t="str">
        <f t="shared" si="63"/>
        <v>12+ months</v>
      </c>
      <c r="O1358" t="str">
        <f t="shared" si="64"/>
        <v>Basic</v>
      </c>
      <c r="P1358" s="7">
        <v>45657</v>
      </c>
    </row>
    <row r="1359" spans="1:16" x14ac:dyDescent="0.3">
      <c r="A1359">
        <v>1358</v>
      </c>
      <c r="B1359" s="7">
        <v>45430</v>
      </c>
      <c r="C1359" t="s">
        <v>12</v>
      </c>
      <c r="D1359">
        <v>199</v>
      </c>
      <c r="E1359">
        <v>12.1</v>
      </c>
      <c r="F1359">
        <v>1</v>
      </c>
      <c r="G1359">
        <v>3</v>
      </c>
      <c r="H1359">
        <v>19</v>
      </c>
      <c r="I1359">
        <v>11</v>
      </c>
      <c r="J1359" t="s">
        <v>11</v>
      </c>
      <c r="K1359">
        <f>IF(J1359="Yes", 1, 0)</f>
        <v>1</v>
      </c>
      <c r="L1359" t="str">
        <f>IF(G1359=0,"0 Failures","1+ Failures")</f>
        <v>1+ Failures</v>
      </c>
      <c r="M1359" t="str">
        <f t="shared" si="65"/>
        <v>10-20hrs</v>
      </c>
      <c r="N1359" t="str">
        <f t="shared" si="63"/>
        <v>12+ months</v>
      </c>
      <c r="O1359" t="str">
        <f t="shared" si="64"/>
        <v>Basic</v>
      </c>
      <c r="P1359" s="7">
        <v>45657</v>
      </c>
    </row>
    <row r="1360" spans="1:16" x14ac:dyDescent="0.3">
      <c r="A1360">
        <v>1359</v>
      </c>
      <c r="B1360" s="7">
        <v>45060</v>
      </c>
      <c r="C1360" t="s">
        <v>14</v>
      </c>
      <c r="D1360">
        <v>399</v>
      </c>
      <c r="E1360">
        <v>8</v>
      </c>
      <c r="F1360">
        <v>1</v>
      </c>
      <c r="G1360">
        <v>5</v>
      </c>
      <c r="H1360">
        <v>22</v>
      </c>
      <c r="I1360">
        <v>0</v>
      </c>
      <c r="J1360" t="s">
        <v>13</v>
      </c>
      <c r="K1360">
        <f>IF(J1360="Yes", 1, 0)</f>
        <v>0</v>
      </c>
      <c r="L1360" t="str">
        <f>IF(G1360=0,"0 Failures","1+ Failures")</f>
        <v>1+ Failures</v>
      </c>
      <c r="M1360" t="str">
        <f t="shared" si="65"/>
        <v>5-10 hrs</v>
      </c>
      <c r="N1360" t="str">
        <f t="shared" si="63"/>
        <v>12+ months</v>
      </c>
      <c r="O1360" t="str">
        <f t="shared" si="64"/>
        <v>Basic</v>
      </c>
      <c r="P1360" s="7">
        <v>45657</v>
      </c>
    </row>
    <row r="1361" spans="1:16" x14ac:dyDescent="0.3">
      <c r="A1361">
        <v>1360</v>
      </c>
      <c r="B1361" s="7">
        <v>45546</v>
      </c>
      <c r="C1361" t="s">
        <v>14</v>
      </c>
      <c r="D1361">
        <v>399</v>
      </c>
      <c r="E1361">
        <v>18.7</v>
      </c>
      <c r="F1361">
        <v>5</v>
      </c>
      <c r="G1361">
        <v>5</v>
      </c>
      <c r="H1361">
        <v>24</v>
      </c>
      <c r="I1361">
        <v>49</v>
      </c>
      <c r="J1361" t="s">
        <v>11</v>
      </c>
      <c r="K1361">
        <f>IF(J1361="Yes", 1, 0)</f>
        <v>1</v>
      </c>
      <c r="L1361" t="str">
        <f>IF(G1361=0,"0 Failures","1+ Failures")</f>
        <v>1+ Failures</v>
      </c>
      <c r="M1361" t="str">
        <f t="shared" si="65"/>
        <v>10-20hrs</v>
      </c>
      <c r="N1361" t="str">
        <f t="shared" si="63"/>
        <v>12+ months</v>
      </c>
      <c r="O1361" t="str">
        <f t="shared" si="64"/>
        <v>Basic</v>
      </c>
      <c r="P1361" s="7">
        <v>45657</v>
      </c>
    </row>
    <row r="1362" spans="1:16" x14ac:dyDescent="0.3">
      <c r="A1362">
        <v>1361</v>
      </c>
      <c r="B1362" s="7">
        <v>45035</v>
      </c>
      <c r="C1362" t="s">
        <v>14</v>
      </c>
      <c r="D1362">
        <v>399</v>
      </c>
      <c r="E1362">
        <v>16.399999999999999</v>
      </c>
      <c r="F1362">
        <v>3</v>
      </c>
      <c r="G1362">
        <v>4</v>
      </c>
      <c r="H1362">
        <v>16</v>
      </c>
      <c r="I1362">
        <v>24</v>
      </c>
      <c r="J1362" t="s">
        <v>11</v>
      </c>
      <c r="K1362">
        <f>IF(J1362="Yes", 1, 0)</f>
        <v>1</v>
      </c>
      <c r="L1362" t="str">
        <f>IF(G1362=0,"0 Failures","1+ Failures")</f>
        <v>1+ Failures</v>
      </c>
      <c r="M1362" t="str">
        <f t="shared" si="65"/>
        <v>10-20hrs</v>
      </c>
      <c r="N1362" t="str">
        <f t="shared" si="63"/>
        <v>12+ months</v>
      </c>
      <c r="O1362" t="str">
        <f t="shared" si="64"/>
        <v>Basic</v>
      </c>
      <c r="P1362" s="7">
        <v>45657</v>
      </c>
    </row>
    <row r="1363" spans="1:16" x14ac:dyDescent="0.3">
      <c r="A1363">
        <v>1362</v>
      </c>
      <c r="B1363" s="7">
        <v>45028</v>
      </c>
      <c r="C1363" t="s">
        <v>12</v>
      </c>
      <c r="D1363">
        <v>199</v>
      </c>
      <c r="E1363">
        <v>1.5</v>
      </c>
      <c r="F1363">
        <v>3</v>
      </c>
      <c r="G1363">
        <v>1</v>
      </c>
      <c r="H1363">
        <v>8</v>
      </c>
      <c r="I1363">
        <v>45</v>
      </c>
      <c r="J1363" t="s">
        <v>11</v>
      </c>
      <c r="K1363">
        <f>IF(J1363="Yes", 1, 0)</f>
        <v>1</v>
      </c>
      <c r="L1363" t="str">
        <f>IF(G1363=0,"0 Failures","1+ Failures")</f>
        <v>1+ Failures</v>
      </c>
      <c r="M1363" t="str">
        <f t="shared" si="65"/>
        <v>0-5 hrs</v>
      </c>
      <c r="N1363" t="str">
        <f t="shared" si="63"/>
        <v>6-12months</v>
      </c>
      <c r="O1363" t="str">
        <f t="shared" si="64"/>
        <v>Basic</v>
      </c>
      <c r="P1363" s="7">
        <v>45657</v>
      </c>
    </row>
    <row r="1364" spans="1:16" x14ac:dyDescent="0.3">
      <c r="A1364">
        <v>1363</v>
      </c>
      <c r="B1364" s="7">
        <v>45133</v>
      </c>
      <c r="C1364" t="s">
        <v>12</v>
      </c>
      <c r="D1364">
        <v>199</v>
      </c>
      <c r="E1364">
        <v>15.7</v>
      </c>
      <c r="F1364">
        <v>4</v>
      </c>
      <c r="G1364">
        <v>5</v>
      </c>
      <c r="H1364">
        <v>35</v>
      </c>
      <c r="I1364">
        <v>30</v>
      </c>
      <c r="J1364" t="s">
        <v>13</v>
      </c>
      <c r="K1364">
        <f>IF(J1364="Yes", 1, 0)</f>
        <v>0</v>
      </c>
      <c r="L1364" t="str">
        <f>IF(G1364=0,"0 Failures","1+ Failures")</f>
        <v>1+ Failures</v>
      </c>
      <c r="M1364" t="str">
        <f t="shared" si="65"/>
        <v>10-20hrs</v>
      </c>
      <c r="N1364" t="str">
        <f t="shared" si="63"/>
        <v>12+ months</v>
      </c>
      <c r="O1364" t="str">
        <f t="shared" si="64"/>
        <v>Basic</v>
      </c>
      <c r="P1364" s="7">
        <v>45657</v>
      </c>
    </row>
    <row r="1365" spans="1:16" x14ac:dyDescent="0.3">
      <c r="A1365">
        <v>1364</v>
      </c>
      <c r="B1365" s="7">
        <v>45500</v>
      </c>
      <c r="C1365" t="s">
        <v>10</v>
      </c>
      <c r="D1365">
        <v>699</v>
      </c>
      <c r="E1365">
        <v>1.6</v>
      </c>
      <c r="F1365">
        <v>3</v>
      </c>
      <c r="G1365">
        <v>3</v>
      </c>
      <c r="H1365">
        <v>10</v>
      </c>
      <c r="I1365">
        <v>35</v>
      </c>
      <c r="J1365" t="s">
        <v>11</v>
      </c>
      <c r="K1365">
        <f>IF(J1365="Yes", 1, 0)</f>
        <v>1</v>
      </c>
      <c r="L1365" t="str">
        <f>IF(G1365=0,"0 Failures","1+ Failures")</f>
        <v>1+ Failures</v>
      </c>
      <c r="M1365" t="str">
        <f t="shared" si="65"/>
        <v>0-5 hrs</v>
      </c>
      <c r="N1365" t="str">
        <f t="shared" si="63"/>
        <v>6-12months</v>
      </c>
      <c r="O1365" t="str">
        <f t="shared" si="64"/>
        <v>Premium</v>
      </c>
      <c r="P1365" s="7">
        <v>45657</v>
      </c>
    </row>
    <row r="1366" spans="1:16" x14ac:dyDescent="0.3">
      <c r="A1366">
        <v>1365</v>
      </c>
      <c r="B1366" s="7">
        <v>45463</v>
      </c>
      <c r="C1366" t="s">
        <v>14</v>
      </c>
      <c r="D1366">
        <v>399</v>
      </c>
      <c r="E1366">
        <v>11.5</v>
      </c>
      <c r="F1366">
        <v>1</v>
      </c>
      <c r="G1366">
        <v>3</v>
      </c>
      <c r="H1366">
        <v>24</v>
      </c>
      <c r="I1366">
        <v>4</v>
      </c>
      <c r="J1366" t="s">
        <v>13</v>
      </c>
      <c r="K1366">
        <f>IF(J1366="Yes", 1, 0)</f>
        <v>0</v>
      </c>
      <c r="L1366" t="str">
        <f>IF(G1366=0,"0 Failures","1+ Failures")</f>
        <v>1+ Failures</v>
      </c>
      <c r="M1366" t="str">
        <f t="shared" si="65"/>
        <v>10-20hrs</v>
      </c>
      <c r="N1366" t="str">
        <f t="shared" si="63"/>
        <v>12+ months</v>
      </c>
      <c r="O1366" t="str">
        <f t="shared" si="64"/>
        <v>Basic</v>
      </c>
      <c r="P1366" s="7">
        <v>45657</v>
      </c>
    </row>
    <row r="1367" spans="1:16" x14ac:dyDescent="0.3">
      <c r="A1367">
        <v>1366</v>
      </c>
      <c r="B1367" s="7">
        <v>45506</v>
      </c>
      <c r="C1367" t="s">
        <v>10</v>
      </c>
      <c r="D1367">
        <v>699</v>
      </c>
      <c r="E1367">
        <v>4.5999999999999996</v>
      </c>
      <c r="F1367">
        <v>4</v>
      </c>
      <c r="G1367">
        <v>5</v>
      </c>
      <c r="H1367">
        <v>2</v>
      </c>
      <c r="I1367">
        <v>8</v>
      </c>
      <c r="J1367" t="s">
        <v>11</v>
      </c>
      <c r="K1367">
        <f>IF(J1367="Yes", 1, 0)</f>
        <v>1</v>
      </c>
      <c r="L1367" t="str">
        <f>IF(G1367=0,"0 Failures","1+ Failures")</f>
        <v>1+ Failures</v>
      </c>
      <c r="M1367" t="str">
        <f t="shared" si="65"/>
        <v>0-5 hrs</v>
      </c>
      <c r="N1367" t="str">
        <f t="shared" si="63"/>
        <v>0-3months</v>
      </c>
      <c r="O1367" t="str">
        <f t="shared" si="64"/>
        <v>Premium</v>
      </c>
      <c r="P1367" s="7">
        <v>45657</v>
      </c>
    </row>
    <row r="1368" spans="1:16" x14ac:dyDescent="0.3">
      <c r="A1368">
        <v>1367</v>
      </c>
      <c r="B1368" s="7">
        <v>45452</v>
      </c>
      <c r="C1368" t="s">
        <v>12</v>
      </c>
      <c r="D1368">
        <v>199</v>
      </c>
      <c r="E1368">
        <v>18.600000000000001</v>
      </c>
      <c r="F1368">
        <v>6</v>
      </c>
      <c r="G1368">
        <v>3</v>
      </c>
      <c r="H1368">
        <v>13</v>
      </c>
      <c r="I1368">
        <v>43</v>
      </c>
      <c r="J1368" t="s">
        <v>11</v>
      </c>
      <c r="K1368">
        <f>IF(J1368="Yes", 1, 0)</f>
        <v>1</v>
      </c>
      <c r="L1368" t="str">
        <f>IF(G1368=0,"0 Failures","1+ Failures")</f>
        <v>1+ Failures</v>
      </c>
      <c r="M1368" t="str">
        <f t="shared" si="65"/>
        <v>10-20hrs</v>
      </c>
      <c r="N1368" t="str">
        <f t="shared" si="63"/>
        <v>12+ months</v>
      </c>
      <c r="O1368" t="str">
        <f t="shared" si="64"/>
        <v>Basic</v>
      </c>
      <c r="P1368" s="7">
        <v>45657</v>
      </c>
    </row>
    <row r="1369" spans="1:16" x14ac:dyDescent="0.3">
      <c r="A1369">
        <v>1368</v>
      </c>
      <c r="B1369" s="7">
        <v>45337</v>
      </c>
      <c r="C1369" t="s">
        <v>12</v>
      </c>
      <c r="D1369">
        <v>199</v>
      </c>
      <c r="E1369">
        <v>11.2</v>
      </c>
      <c r="F1369">
        <v>8</v>
      </c>
      <c r="G1369">
        <v>3</v>
      </c>
      <c r="H1369">
        <v>11</v>
      </c>
      <c r="I1369">
        <v>35</v>
      </c>
      <c r="J1369" t="s">
        <v>13</v>
      </c>
      <c r="K1369">
        <f>IF(J1369="Yes", 1, 0)</f>
        <v>0</v>
      </c>
      <c r="L1369" t="str">
        <f>IF(G1369=0,"0 Failures","1+ Failures")</f>
        <v>1+ Failures</v>
      </c>
      <c r="M1369" t="str">
        <f t="shared" si="65"/>
        <v>10-20hrs</v>
      </c>
      <c r="N1369" t="str">
        <f t="shared" si="63"/>
        <v>6-12months</v>
      </c>
      <c r="O1369" t="str">
        <f t="shared" si="64"/>
        <v>Basic</v>
      </c>
      <c r="P1369" s="7">
        <v>45657</v>
      </c>
    </row>
    <row r="1370" spans="1:16" x14ac:dyDescent="0.3">
      <c r="A1370">
        <v>1369</v>
      </c>
      <c r="B1370" s="7">
        <v>45640</v>
      </c>
      <c r="C1370" t="s">
        <v>10</v>
      </c>
      <c r="D1370">
        <v>699</v>
      </c>
      <c r="E1370">
        <v>5.6</v>
      </c>
      <c r="F1370">
        <v>0</v>
      </c>
      <c r="G1370">
        <v>1</v>
      </c>
      <c r="H1370">
        <v>18</v>
      </c>
      <c r="I1370">
        <v>36</v>
      </c>
      <c r="J1370" t="s">
        <v>11</v>
      </c>
      <c r="K1370">
        <f>IF(J1370="Yes", 1, 0)</f>
        <v>1</v>
      </c>
      <c r="L1370" t="str">
        <f>IF(G1370=0,"0 Failures","1+ Failures")</f>
        <v>1+ Failures</v>
      </c>
      <c r="M1370" t="str">
        <f t="shared" si="65"/>
        <v>5-10 hrs</v>
      </c>
      <c r="N1370" t="str">
        <f t="shared" si="63"/>
        <v>12+ months</v>
      </c>
      <c r="O1370" t="str">
        <f t="shared" si="64"/>
        <v>Premium</v>
      </c>
      <c r="P1370" s="7">
        <v>45657</v>
      </c>
    </row>
    <row r="1371" spans="1:16" x14ac:dyDescent="0.3">
      <c r="A1371">
        <v>1370</v>
      </c>
      <c r="B1371" s="7">
        <v>45230</v>
      </c>
      <c r="C1371" t="s">
        <v>12</v>
      </c>
      <c r="D1371">
        <v>199</v>
      </c>
      <c r="E1371">
        <v>11.7</v>
      </c>
      <c r="F1371">
        <v>8</v>
      </c>
      <c r="G1371">
        <v>2</v>
      </c>
      <c r="H1371">
        <v>33</v>
      </c>
      <c r="I1371">
        <v>19</v>
      </c>
      <c r="J1371" t="s">
        <v>13</v>
      </c>
      <c r="K1371">
        <f>IF(J1371="Yes", 1, 0)</f>
        <v>0</v>
      </c>
      <c r="L1371" t="str">
        <f>IF(G1371=0,"0 Failures","1+ Failures")</f>
        <v>1+ Failures</v>
      </c>
      <c r="M1371" t="str">
        <f t="shared" si="65"/>
        <v>10-20hrs</v>
      </c>
      <c r="N1371" t="str">
        <f t="shared" si="63"/>
        <v>12+ months</v>
      </c>
      <c r="O1371" t="str">
        <f t="shared" si="64"/>
        <v>Basic</v>
      </c>
      <c r="P1371" s="7">
        <v>45657</v>
      </c>
    </row>
    <row r="1372" spans="1:16" x14ac:dyDescent="0.3">
      <c r="A1372">
        <v>1371</v>
      </c>
      <c r="B1372" s="7">
        <v>45225</v>
      </c>
      <c r="C1372" t="s">
        <v>10</v>
      </c>
      <c r="D1372">
        <v>699</v>
      </c>
      <c r="E1372">
        <v>14</v>
      </c>
      <c r="F1372">
        <v>2</v>
      </c>
      <c r="G1372">
        <v>1</v>
      </c>
      <c r="H1372">
        <v>18</v>
      </c>
      <c r="I1372">
        <v>2</v>
      </c>
      <c r="J1372" t="s">
        <v>13</v>
      </c>
      <c r="K1372">
        <f>IF(J1372="Yes", 1, 0)</f>
        <v>0</v>
      </c>
      <c r="L1372" t="str">
        <f>IF(G1372=0,"0 Failures","1+ Failures")</f>
        <v>1+ Failures</v>
      </c>
      <c r="M1372" t="str">
        <f t="shared" si="65"/>
        <v>10-20hrs</v>
      </c>
      <c r="N1372" t="str">
        <f t="shared" si="63"/>
        <v>12+ months</v>
      </c>
      <c r="O1372" t="str">
        <f t="shared" si="64"/>
        <v>Premium</v>
      </c>
      <c r="P1372" s="7">
        <v>45657</v>
      </c>
    </row>
    <row r="1373" spans="1:16" x14ac:dyDescent="0.3">
      <c r="A1373">
        <v>1372</v>
      </c>
      <c r="B1373" s="7">
        <v>44979</v>
      </c>
      <c r="C1373" t="s">
        <v>12</v>
      </c>
      <c r="D1373">
        <v>199</v>
      </c>
      <c r="E1373">
        <v>23.6</v>
      </c>
      <c r="F1373">
        <v>4</v>
      </c>
      <c r="G1373">
        <v>1</v>
      </c>
      <c r="H1373">
        <v>10</v>
      </c>
      <c r="I1373">
        <v>17</v>
      </c>
      <c r="J1373" t="s">
        <v>13</v>
      </c>
      <c r="K1373">
        <f>IF(J1373="Yes", 1, 0)</f>
        <v>0</v>
      </c>
      <c r="L1373" t="str">
        <f>IF(G1373=0,"0 Failures","1+ Failures")</f>
        <v>1+ Failures</v>
      </c>
      <c r="M1373" t="str">
        <f t="shared" si="65"/>
        <v>20+ hrs</v>
      </c>
      <c r="N1373" t="str">
        <f t="shared" si="63"/>
        <v>6-12months</v>
      </c>
      <c r="O1373" t="str">
        <f t="shared" si="64"/>
        <v>Basic</v>
      </c>
      <c r="P1373" s="7">
        <v>45657</v>
      </c>
    </row>
    <row r="1374" spans="1:16" x14ac:dyDescent="0.3">
      <c r="A1374">
        <v>1373</v>
      </c>
      <c r="B1374" s="7">
        <v>45282</v>
      </c>
      <c r="C1374" t="s">
        <v>10</v>
      </c>
      <c r="D1374">
        <v>699</v>
      </c>
      <c r="E1374">
        <v>24.7</v>
      </c>
      <c r="F1374">
        <v>3</v>
      </c>
      <c r="G1374">
        <v>4</v>
      </c>
      <c r="H1374">
        <v>16</v>
      </c>
      <c r="I1374">
        <v>7</v>
      </c>
      <c r="J1374" t="s">
        <v>11</v>
      </c>
      <c r="K1374">
        <f>IF(J1374="Yes", 1, 0)</f>
        <v>1</v>
      </c>
      <c r="L1374" t="str">
        <f>IF(G1374=0,"0 Failures","1+ Failures")</f>
        <v>1+ Failures</v>
      </c>
      <c r="M1374" t="str">
        <f t="shared" si="65"/>
        <v>20+ hrs</v>
      </c>
      <c r="N1374" t="str">
        <f t="shared" si="63"/>
        <v>12+ months</v>
      </c>
      <c r="O1374" t="str">
        <f t="shared" si="64"/>
        <v>Premium</v>
      </c>
      <c r="P1374" s="7">
        <v>45657</v>
      </c>
    </row>
    <row r="1375" spans="1:16" x14ac:dyDescent="0.3">
      <c r="A1375">
        <v>1374</v>
      </c>
      <c r="B1375" s="7">
        <v>45553</v>
      </c>
      <c r="C1375" t="s">
        <v>10</v>
      </c>
      <c r="D1375">
        <v>699</v>
      </c>
      <c r="E1375">
        <v>8.5</v>
      </c>
      <c r="F1375">
        <v>8</v>
      </c>
      <c r="G1375">
        <v>2</v>
      </c>
      <c r="H1375">
        <v>24</v>
      </c>
      <c r="I1375">
        <v>46</v>
      </c>
      <c r="J1375" t="s">
        <v>11</v>
      </c>
      <c r="K1375">
        <f>IF(J1375="Yes", 1, 0)</f>
        <v>1</v>
      </c>
      <c r="L1375" t="str">
        <f>IF(G1375=0,"0 Failures","1+ Failures")</f>
        <v>1+ Failures</v>
      </c>
      <c r="M1375" t="str">
        <f t="shared" si="65"/>
        <v>5-10 hrs</v>
      </c>
      <c r="N1375" t="str">
        <f t="shared" si="63"/>
        <v>12+ months</v>
      </c>
      <c r="O1375" t="str">
        <f t="shared" si="64"/>
        <v>Premium</v>
      </c>
      <c r="P1375" s="7">
        <v>45657</v>
      </c>
    </row>
    <row r="1376" spans="1:16" x14ac:dyDescent="0.3">
      <c r="A1376">
        <v>1375</v>
      </c>
      <c r="B1376" s="7">
        <v>45213</v>
      </c>
      <c r="C1376" t="s">
        <v>14</v>
      </c>
      <c r="D1376">
        <v>399</v>
      </c>
      <c r="E1376">
        <v>24.6</v>
      </c>
      <c r="F1376">
        <v>0</v>
      </c>
      <c r="G1376">
        <v>2</v>
      </c>
      <c r="H1376">
        <v>21</v>
      </c>
      <c r="I1376">
        <v>14</v>
      </c>
      <c r="J1376" t="s">
        <v>13</v>
      </c>
      <c r="K1376">
        <f>IF(J1376="Yes", 1, 0)</f>
        <v>0</v>
      </c>
      <c r="L1376" t="str">
        <f>IF(G1376=0,"0 Failures","1+ Failures")</f>
        <v>1+ Failures</v>
      </c>
      <c r="M1376" t="str">
        <f t="shared" si="65"/>
        <v>20+ hrs</v>
      </c>
      <c r="N1376" t="str">
        <f t="shared" si="63"/>
        <v>12+ months</v>
      </c>
      <c r="O1376" t="str">
        <f t="shared" si="64"/>
        <v>Basic</v>
      </c>
      <c r="P1376" s="7">
        <v>45657</v>
      </c>
    </row>
    <row r="1377" spans="1:16" x14ac:dyDescent="0.3">
      <c r="A1377">
        <v>1376</v>
      </c>
      <c r="B1377" s="7">
        <v>45524</v>
      </c>
      <c r="C1377" t="s">
        <v>12</v>
      </c>
      <c r="D1377">
        <v>199</v>
      </c>
      <c r="E1377">
        <v>24.3</v>
      </c>
      <c r="F1377">
        <v>8</v>
      </c>
      <c r="G1377">
        <v>5</v>
      </c>
      <c r="H1377">
        <v>17</v>
      </c>
      <c r="I1377">
        <v>55</v>
      </c>
      <c r="J1377" t="s">
        <v>13</v>
      </c>
      <c r="K1377">
        <f>IF(J1377="Yes", 1, 0)</f>
        <v>0</v>
      </c>
      <c r="L1377" t="str">
        <f>IF(G1377=0,"0 Failures","1+ Failures")</f>
        <v>1+ Failures</v>
      </c>
      <c r="M1377" t="str">
        <f t="shared" si="65"/>
        <v>20+ hrs</v>
      </c>
      <c r="N1377" t="str">
        <f t="shared" si="63"/>
        <v>12+ months</v>
      </c>
      <c r="O1377" t="str">
        <f t="shared" si="64"/>
        <v>Basic</v>
      </c>
      <c r="P1377" s="7">
        <v>45657</v>
      </c>
    </row>
    <row r="1378" spans="1:16" x14ac:dyDescent="0.3">
      <c r="A1378">
        <v>1377</v>
      </c>
      <c r="B1378" s="7">
        <v>45138</v>
      </c>
      <c r="C1378" t="s">
        <v>12</v>
      </c>
      <c r="D1378">
        <v>199</v>
      </c>
      <c r="E1378">
        <v>23.7</v>
      </c>
      <c r="F1378">
        <v>4</v>
      </c>
      <c r="G1378">
        <v>5</v>
      </c>
      <c r="H1378">
        <v>25</v>
      </c>
      <c r="I1378">
        <v>40</v>
      </c>
      <c r="J1378" t="s">
        <v>11</v>
      </c>
      <c r="K1378">
        <f>IF(J1378="Yes", 1, 0)</f>
        <v>1</v>
      </c>
      <c r="L1378" t="str">
        <f>IF(G1378=0,"0 Failures","1+ Failures")</f>
        <v>1+ Failures</v>
      </c>
      <c r="M1378" t="str">
        <f t="shared" si="65"/>
        <v>20+ hrs</v>
      </c>
      <c r="N1378" t="str">
        <f t="shared" si="63"/>
        <v>12+ months</v>
      </c>
      <c r="O1378" t="str">
        <f t="shared" si="64"/>
        <v>Basic</v>
      </c>
      <c r="P1378" s="7">
        <v>45657</v>
      </c>
    </row>
    <row r="1379" spans="1:16" x14ac:dyDescent="0.3">
      <c r="A1379">
        <v>1378</v>
      </c>
      <c r="B1379" s="7">
        <v>45331</v>
      </c>
      <c r="C1379" t="s">
        <v>14</v>
      </c>
      <c r="D1379">
        <v>399</v>
      </c>
      <c r="E1379">
        <v>8.4</v>
      </c>
      <c r="F1379">
        <v>3</v>
      </c>
      <c r="G1379">
        <v>4</v>
      </c>
      <c r="H1379">
        <v>15</v>
      </c>
      <c r="I1379">
        <v>40</v>
      </c>
      <c r="J1379" t="s">
        <v>13</v>
      </c>
      <c r="K1379">
        <f>IF(J1379="Yes", 1, 0)</f>
        <v>0</v>
      </c>
      <c r="L1379" t="str">
        <f>IF(G1379=0,"0 Failures","1+ Failures")</f>
        <v>1+ Failures</v>
      </c>
      <c r="M1379" t="str">
        <f t="shared" si="65"/>
        <v>5-10 hrs</v>
      </c>
      <c r="N1379" t="str">
        <f t="shared" si="63"/>
        <v>12+ months</v>
      </c>
      <c r="O1379" t="str">
        <f t="shared" si="64"/>
        <v>Basic</v>
      </c>
      <c r="P1379" s="7">
        <v>45657</v>
      </c>
    </row>
    <row r="1380" spans="1:16" x14ac:dyDescent="0.3">
      <c r="A1380">
        <v>1379</v>
      </c>
      <c r="B1380" s="7">
        <v>45022</v>
      </c>
      <c r="C1380" t="s">
        <v>12</v>
      </c>
      <c r="D1380">
        <v>199</v>
      </c>
      <c r="E1380">
        <v>6.2</v>
      </c>
      <c r="F1380">
        <v>6</v>
      </c>
      <c r="G1380">
        <v>2</v>
      </c>
      <c r="H1380">
        <v>29</v>
      </c>
      <c r="I1380">
        <v>9</v>
      </c>
      <c r="J1380" t="s">
        <v>13</v>
      </c>
      <c r="K1380">
        <f>IF(J1380="Yes", 1, 0)</f>
        <v>0</v>
      </c>
      <c r="L1380" t="str">
        <f>IF(G1380=0,"0 Failures","1+ Failures")</f>
        <v>1+ Failures</v>
      </c>
      <c r="M1380" t="str">
        <f t="shared" si="65"/>
        <v>5-10 hrs</v>
      </c>
      <c r="N1380" t="str">
        <f t="shared" si="63"/>
        <v>12+ months</v>
      </c>
      <c r="O1380" t="str">
        <f t="shared" si="64"/>
        <v>Basic</v>
      </c>
      <c r="P1380" s="7">
        <v>45657</v>
      </c>
    </row>
    <row r="1381" spans="1:16" x14ac:dyDescent="0.3">
      <c r="A1381">
        <v>1380</v>
      </c>
      <c r="B1381" s="7">
        <v>45111</v>
      </c>
      <c r="C1381" t="s">
        <v>14</v>
      </c>
      <c r="D1381">
        <v>399</v>
      </c>
      <c r="E1381">
        <v>11.8</v>
      </c>
      <c r="F1381">
        <v>2</v>
      </c>
      <c r="G1381">
        <v>1</v>
      </c>
      <c r="H1381">
        <v>12</v>
      </c>
      <c r="I1381">
        <v>36</v>
      </c>
      <c r="J1381" t="s">
        <v>13</v>
      </c>
      <c r="K1381">
        <f>IF(J1381="Yes", 1, 0)</f>
        <v>0</v>
      </c>
      <c r="L1381" t="str">
        <f>IF(G1381=0,"0 Failures","1+ Failures")</f>
        <v>1+ Failures</v>
      </c>
      <c r="M1381" t="str">
        <f t="shared" si="65"/>
        <v>10-20hrs</v>
      </c>
      <c r="N1381" t="str">
        <f t="shared" si="63"/>
        <v>6-12months</v>
      </c>
      <c r="O1381" t="str">
        <f t="shared" si="64"/>
        <v>Basic</v>
      </c>
      <c r="P1381" s="7">
        <v>45657</v>
      </c>
    </row>
    <row r="1382" spans="1:16" x14ac:dyDescent="0.3">
      <c r="A1382">
        <v>1381</v>
      </c>
      <c r="B1382" s="7">
        <v>45549</v>
      </c>
      <c r="C1382" t="s">
        <v>10</v>
      </c>
      <c r="D1382">
        <v>699</v>
      </c>
      <c r="E1382">
        <v>1</v>
      </c>
      <c r="F1382">
        <v>2</v>
      </c>
      <c r="G1382">
        <v>1</v>
      </c>
      <c r="H1382">
        <v>19</v>
      </c>
      <c r="I1382">
        <v>52</v>
      </c>
      <c r="J1382" t="s">
        <v>11</v>
      </c>
      <c r="K1382">
        <f>IF(J1382="Yes", 1, 0)</f>
        <v>1</v>
      </c>
      <c r="L1382" t="str">
        <f>IF(G1382=0,"0 Failures","1+ Failures")</f>
        <v>1+ Failures</v>
      </c>
      <c r="M1382" t="str">
        <f t="shared" si="65"/>
        <v>0-5 hrs</v>
      </c>
      <c r="N1382" t="str">
        <f t="shared" si="63"/>
        <v>12+ months</v>
      </c>
      <c r="O1382" t="str">
        <f t="shared" si="64"/>
        <v>Premium</v>
      </c>
      <c r="P1382" s="7">
        <v>45657</v>
      </c>
    </row>
    <row r="1383" spans="1:16" x14ac:dyDescent="0.3">
      <c r="A1383">
        <v>1382</v>
      </c>
      <c r="B1383" s="7">
        <v>45339</v>
      </c>
      <c r="C1383" t="s">
        <v>12</v>
      </c>
      <c r="D1383">
        <v>199</v>
      </c>
      <c r="E1383">
        <v>4</v>
      </c>
      <c r="F1383">
        <v>6</v>
      </c>
      <c r="G1383">
        <v>1</v>
      </c>
      <c r="H1383">
        <v>5</v>
      </c>
      <c r="I1383">
        <v>29</v>
      </c>
      <c r="J1383" t="s">
        <v>13</v>
      </c>
      <c r="K1383">
        <f>IF(J1383="Yes", 1, 0)</f>
        <v>0</v>
      </c>
      <c r="L1383" t="str">
        <f>IF(G1383=0,"0 Failures","1+ Failures")</f>
        <v>1+ Failures</v>
      </c>
      <c r="M1383" t="str">
        <f t="shared" si="65"/>
        <v>0-5 hrs</v>
      </c>
      <c r="N1383" t="str">
        <f t="shared" si="63"/>
        <v>3-6months</v>
      </c>
      <c r="O1383" t="str">
        <f t="shared" si="64"/>
        <v>Basic</v>
      </c>
      <c r="P1383" s="7">
        <v>45657</v>
      </c>
    </row>
    <row r="1384" spans="1:16" x14ac:dyDescent="0.3">
      <c r="A1384">
        <v>1383</v>
      </c>
      <c r="B1384" s="7">
        <v>44948</v>
      </c>
      <c r="C1384" t="s">
        <v>12</v>
      </c>
      <c r="D1384">
        <v>199</v>
      </c>
      <c r="E1384">
        <v>3.9</v>
      </c>
      <c r="F1384">
        <v>0</v>
      </c>
      <c r="G1384">
        <v>4</v>
      </c>
      <c r="H1384">
        <v>34</v>
      </c>
      <c r="I1384">
        <v>6</v>
      </c>
      <c r="J1384" t="s">
        <v>11</v>
      </c>
      <c r="K1384">
        <f>IF(J1384="Yes", 1, 0)</f>
        <v>1</v>
      </c>
      <c r="L1384" t="str">
        <f>IF(G1384=0,"0 Failures","1+ Failures")</f>
        <v>1+ Failures</v>
      </c>
      <c r="M1384" t="str">
        <f t="shared" si="65"/>
        <v>0-5 hrs</v>
      </c>
      <c r="N1384" t="str">
        <f t="shared" si="63"/>
        <v>12+ months</v>
      </c>
      <c r="O1384" t="str">
        <f t="shared" si="64"/>
        <v>Basic</v>
      </c>
      <c r="P1384" s="7">
        <v>45657</v>
      </c>
    </row>
    <row r="1385" spans="1:16" x14ac:dyDescent="0.3">
      <c r="A1385">
        <v>1384</v>
      </c>
      <c r="B1385" s="7">
        <v>45201</v>
      </c>
      <c r="C1385" t="s">
        <v>12</v>
      </c>
      <c r="D1385">
        <v>199</v>
      </c>
      <c r="E1385">
        <v>19.2</v>
      </c>
      <c r="F1385">
        <v>0</v>
      </c>
      <c r="G1385">
        <v>1</v>
      </c>
      <c r="H1385">
        <v>1</v>
      </c>
      <c r="I1385">
        <v>15</v>
      </c>
      <c r="J1385" t="s">
        <v>13</v>
      </c>
      <c r="K1385">
        <f>IF(J1385="Yes", 1, 0)</f>
        <v>0</v>
      </c>
      <c r="L1385" t="str">
        <f>IF(G1385=0,"0 Failures","1+ Failures")</f>
        <v>1+ Failures</v>
      </c>
      <c r="M1385" t="str">
        <f t="shared" si="65"/>
        <v>10-20hrs</v>
      </c>
      <c r="N1385" t="str">
        <f t="shared" si="63"/>
        <v>0-3months</v>
      </c>
      <c r="O1385" t="str">
        <f t="shared" si="64"/>
        <v>Basic</v>
      </c>
      <c r="P1385" s="7">
        <v>45657</v>
      </c>
    </row>
    <row r="1386" spans="1:16" x14ac:dyDescent="0.3">
      <c r="A1386">
        <v>1385</v>
      </c>
      <c r="B1386" s="7">
        <v>45273</v>
      </c>
      <c r="C1386" t="s">
        <v>12</v>
      </c>
      <c r="D1386">
        <v>199</v>
      </c>
      <c r="E1386">
        <v>19.899999999999999</v>
      </c>
      <c r="F1386">
        <v>0</v>
      </c>
      <c r="G1386">
        <v>0</v>
      </c>
      <c r="H1386">
        <v>1</v>
      </c>
      <c r="I1386">
        <v>34</v>
      </c>
      <c r="J1386" t="s">
        <v>13</v>
      </c>
      <c r="K1386">
        <f>IF(J1386="Yes", 1, 0)</f>
        <v>0</v>
      </c>
      <c r="L1386" t="str">
        <f>IF(G1386=0,"0 Failures","1+ Failures")</f>
        <v>0 Failures</v>
      </c>
      <c r="M1386" t="str">
        <f t="shared" si="65"/>
        <v>10-20hrs</v>
      </c>
      <c r="N1386" t="str">
        <f t="shared" si="63"/>
        <v>0-3months</v>
      </c>
      <c r="O1386" t="str">
        <f t="shared" si="64"/>
        <v>Basic</v>
      </c>
      <c r="P1386" s="7">
        <v>45657</v>
      </c>
    </row>
    <row r="1387" spans="1:16" x14ac:dyDescent="0.3">
      <c r="A1387">
        <v>1386</v>
      </c>
      <c r="B1387" s="7">
        <v>45094</v>
      </c>
      <c r="C1387" t="s">
        <v>10</v>
      </c>
      <c r="D1387">
        <v>699</v>
      </c>
      <c r="E1387">
        <v>5.5</v>
      </c>
      <c r="F1387">
        <v>7</v>
      </c>
      <c r="G1387">
        <v>4</v>
      </c>
      <c r="H1387">
        <v>6</v>
      </c>
      <c r="I1387">
        <v>57</v>
      </c>
      <c r="J1387" t="s">
        <v>11</v>
      </c>
      <c r="K1387">
        <f>IF(J1387="Yes", 1, 0)</f>
        <v>1</v>
      </c>
      <c r="L1387" t="str">
        <f>IF(G1387=0,"0 Failures","1+ Failures")</f>
        <v>1+ Failures</v>
      </c>
      <c r="M1387" t="str">
        <f t="shared" si="65"/>
        <v>5-10 hrs</v>
      </c>
      <c r="N1387" t="str">
        <f t="shared" si="63"/>
        <v>3-6months</v>
      </c>
      <c r="O1387" t="str">
        <f t="shared" si="64"/>
        <v>Premium</v>
      </c>
      <c r="P1387" s="7">
        <v>45657</v>
      </c>
    </row>
    <row r="1388" spans="1:16" x14ac:dyDescent="0.3">
      <c r="A1388">
        <v>1387</v>
      </c>
      <c r="B1388" s="7">
        <v>45569</v>
      </c>
      <c r="C1388" t="s">
        <v>14</v>
      </c>
      <c r="D1388">
        <v>399</v>
      </c>
      <c r="E1388">
        <v>12.2</v>
      </c>
      <c r="F1388">
        <v>3</v>
      </c>
      <c r="G1388">
        <v>0</v>
      </c>
      <c r="H1388">
        <v>22</v>
      </c>
      <c r="I1388">
        <v>34</v>
      </c>
      <c r="J1388" t="s">
        <v>13</v>
      </c>
      <c r="K1388">
        <f>IF(J1388="Yes", 1, 0)</f>
        <v>0</v>
      </c>
      <c r="L1388" t="str">
        <f>IF(G1388=0,"0 Failures","1+ Failures")</f>
        <v>0 Failures</v>
      </c>
      <c r="M1388" t="str">
        <f t="shared" si="65"/>
        <v>10-20hrs</v>
      </c>
      <c r="N1388" t="str">
        <f t="shared" si="63"/>
        <v>12+ months</v>
      </c>
      <c r="O1388" t="str">
        <f t="shared" si="64"/>
        <v>Basic</v>
      </c>
      <c r="P1388" s="7">
        <v>45657</v>
      </c>
    </row>
    <row r="1389" spans="1:16" x14ac:dyDescent="0.3">
      <c r="A1389">
        <v>1388</v>
      </c>
      <c r="B1389" s="7">
        <v>45450</v>
      </c>
      <c r="C1389" t="s">
        <v>10</v>
      </c>
      <c r="D1389">
        <v>699</v>
      </c>
      <c r="E1389">
        <v>1</v>
      </c>
      <c r="F1389">
        <v>0</v>
      </c>
      <c r="G1389">
        <v>0</v>
      </c>
      <c r="H1389">
        <v>8</v>
      </c>
      <c r="I1389">
        <v>34</v>
      </c>
      <c r="J1389" t="s">
        <v>11</v>
      </c>
      <c r="K1389">
        <f>IF(J1389="Yes", 1, 0)</f>
        <v>1</v>
      </c>
      <c r="L1389" t="str">
        <f>IF(G1389=0,"0 Failures","1+ Failures")</f>
        <v>0 Failures</v>
      </c>
      <c r="M1389" t="str">
        <f t="shared" si="65"/>
        <v>0-5 hrs</v>
      </c>
      <c r="N1389" t="str">
        <f t="shared" si="63"/>
        <v>6-12months</v>
      </c>
      <c r="O1389" t="str">
        <f t="shared" si="64"/>
        <v>Premium</v>
      </c>
      <c r="P1389" s="7">
        <v>45657</v>
      </c>
    </row>
    <row r="1390" spans="1:16" x14ac:dyDescent="0.3">
      <c r="A1390">
        <v>1389</v>
      </c>
      <c r="B1390" s="7">
        <v>45077</v>
      </c>
      <c r="C1390" t="s">
        <v>14</v>
      </c>
      <c r="D1390">
        <v>399</v>
      </c>
      <c r="E1390">
        <v>0.5</v>
      </c>
      <c r="F1390">
        <v>3</v>
      </c>
      <c r="G1390">
        <v>0</v>
      </c>
      <c r="H1390">
        <v>10</v>
      </c>
      <c r="I1390">
        <v>14</v>
      </c>
      <c r="J1390" t="s">
        <v>13</v>
      </c>
      <c r="K1390">
        <f>IF(J1390="Yes", 1, 0)</f>
        <v>0</v>
      </c>
      <c r="L1390" t="str">
        <f>IF(G1390=0,"0 Failures","1+ Failures")</f>
        <v>0 Failures</v>
      </c>
      <c r="M1390" t="str">
        <f t="shared" si="65"/>
        <v>0-5 hrs</v>
      </c>
      <c r="N1390" t="str">
        <f t="shared" si="63"/>
        <v>6-12months</v>
      </c>
      <c r="O1390" t="str">
        <f t="shared" si="64"/>
        <v>Basic</v>
      </c>
      <c r="P1390" s="7">
        <v>45657</v>
      </c>
    </row>
    <row r="1391" spans="1:16" x14ac:dyDescent="0.3">
      <c r="A1391">
        <v>1390</v>
      </c>
      <c r="B1391" s="7">
        <v>45042</v>
      </c>
      <c r="C1391" t="s">
        <v>14</v>
      </c>
      <c r="D1391">
        <v>399</v>
      </c>
      <c r="E1391">
        <v>6</v>
      </c>
      <c r="F1391">
        <v>6</v>
      </c>
      <c r="G1391">
        <v>5</v>
      </c>
      <c r="H1391">
        <v>19</v>
      </c>
      <c r="I1391">
        <v>56</v>
      </c>
      <c r="J1391" t="s">
        <v>11</v>
      </c>
      <c r="K1391">
        <f>IF(J1391="Yes", 1, 0)</f>
        <v>1</v>
      </c>
      <c r="L1391" t="str">
        <f>IF(G1391=0,"0 Failures","1+ Failures")</f>
        <v>1+ Failures</v>
      </c>
      <c r="M1391" t="str">
        <f t="shared" si="65"/>
        <v>5-10 hrs</v>
      </c>
      <c r="N1391" t="str">
        <f t="shared" si="63"/>
        <v>12+ months</v>
      </c>
      <c r="O1391" t="str">
        <f t="shared" si="64"/>
        <v>Basic</v>
      </c>
      <c r="P1391" s="7">
        <v>45657</v>
      </c>
    </row>
    <row r="1392" spans="1:16" x14ac:dyDescent="0.3">
      <c r="A1392">
        <v>1391</v>
      </c>
      <c r="B1392" s="7">
        <v>45557</v>
      </c>
      <c r="C1392" t="s">
        <v>14</v>
      </c>
      <c r="D1392">
        <v>399</v>
      </c>
      <c r="E1392">
        <v>24.8</v>
      </c>
      <c r="F1392">
        <v>3</v>
      </c>
      <c r="G1392">
        <v>0</v>
      </c>
      <c r="H1392">
        <v>11</v>
      </c>
      <c r="I1392">
        <v>18</v>
      </c>
      <c r="J1392" t="s">
        <v>13</v>
      </c>
      <c r="K1392">
        <f>IF(J1392="Yes", 1, 0)</f>
        <v>0</v>
      </c>
      <c r="L1392" t="str">
        <f>IF(G1392=0,"0 Failures","1+ Failures")</f>
        <v>0 Failures</v>
      </c>
      <c r="M1392" t="str">
        <f t="shared" si="65"/>
        <v>20+ hrs</v>
      </c>
      <c r="N1392" t="str">
        <f t="shared" si="63"/>
        <v>6-12months</v>
      </c>
      <c r="O1392" t="str">
        <f t="shared" si="64"/>
        <v>Basic</v>
      </c>
      <c r="P1392" s="7">
        <v>45657</v>
      </c>
    </row>
    <row r="1393" spans="1:16" x14ac:dyDescent="0.3">
      <c r="A1393">
        <v>1392</v>
      </c>
      <c r="B1393" s="7">
        <v>45365</v>
      </c>
      <c r="C1393" t="s">
        <v>14</v>
      </c>
      <c r="D1393">
        <v>399</v>
      </c>
      <c r="E1393">
        <v>9.3000000000000007</v>
      </c>
      <c r="F1393">
        <v>1</v>
      </c>
      <c r="G1393">
        <v>0</v>
      </c>
      <c r="H1393">
        <v>8</v>
      </c>
      <c r="I1393">
        <v>38</v>
      </c>
      <c r="J1393" t="s">
        <v>11</v>
      </c>
      <c r="K1393">
        <f>IF(J1393="Yes", 1, 0)</f>
        <v>1</v>
      </c>
      <c r="L1393" t="str">
        <f>IF(G1393=0,"0 Failures","1+ Failures")</f>
        <v>0 Failures</v>
      </c>
      <c r="M1393" t="str">
        <f t="shared" si="65"/>
        <v>5-10 hrs</v>
      </c>
      <c r="N1393" t="str">
        <f t="shared" si="63"/>
        <v>6-12months</v>
      </c>
      <c r="O1393" t="str">
        <f t="shared" si="64"/>
        <v>Basic</v>
      </c>
      <c r="P1393" s="7">
        <v>45657</v>
      </c>
    </row>
    <row r="1394" spans="1:16" x14ac:dyDescent="0.3">
      <c r="A1394">
        <v>1393</v>
      </c>
      <c r="B1394" s="7">
        <v>45235</v>
      </c>
      <c r="C1394" t="s">
        <v>10</v>
      </c>
      <c r="D1394">
        <v>699</v>
      </c>
      <c r="E1394">
        <v>15.2</v>
      </c>
      <c r="F1394">
        <v>6</v>
      </c>
      <c r="G1394">
        <v>1</v>
      </c>
      <c r="H1394">
        <v>22</v>
      </c>
      <c r="I1394">
        <v>57</v>
      </c>
      <c r="J1394" t="s">
        <v>13</v>
      </c>
      <c r="K1394">
        <f>IF(J1394="Yes", 1, 0)</f>
        <v>0</v>
      </c>
      <c r="L1394" t="str">
        <f>IF(G1394=0,"0 Failures","1+ Failures")</f>
        <v>1+ Failures</v>
      </c>
      <c r="M1394" t="str">
        <f t="shared" si="65"/>
        <v>10-20hrs</v>
      </c>
      <c r="N1394" t="str">
        <f t="shared" si="63"/>
        <v>12+ months</v>
      </c>
      <c r="O1394" t="str">
        <f t="shared" si="64"/>
        <v>Premium</v>
      </c>
      <c r="P1394" s="7">
        <v>45657</v>
      </c>
    </row>
    <row r="1395" spans="1:16" x14ac:dyDescent="0.3">
      <c r="A1395">
        <v>1394</v>
      </c>
      <c r="B1395" s="7">
        <v>45304</v>
      </c>
      <c r="C1395" t="s">
        <v>10</v>
      </c>
      <c r="D1395">
        <v>699</v>
      </c>
      <c r="E1395">
        <v>9</v>
      </c>
      <c r="F1395">
        <v>1</v>
      </c>
      <c r="G1395">
        <v>2</v>
      </c>
      <c r="H1395">
        <v>19</v>
      </c>
      <c r="I1395">
        <v>58</v>
      </c>
      <c r="J1395" t="s">
        <v>11</v>
      </c>
      <c r="K1395">
        <f>IF(J1395="Yes", 1, 0)</f>
        <v>1</v>
      </c>
      <c r="L1395" t="str">
        <f>IF(G1395=0,"0 Failures","1+ Failures")</f>
        <v>1+ Failures</v>
      </c>
      <c r="M1395" t="str">
        <f t="shared" si="65"/>
        <v>5-10 hrs</v>
      </c>
      <c r="N1395" t="str">
        <f t="shared" si="63"/>
        <v>12+ months</v>
      </c>
      <c r="O1395" t="str">
        <f t="shared" si="64"/>
        <v>Premium</v>
      </c>
      <c r="P1395" s="7">
        <v>45657</v>
      </c>
    </row>
    <row r="1396" spans="1:16" x14ac:dyDescent="0.3">
      <c r="A1396">
        <v>1395</v>
      </c>
      <c r="B1396" s="7">
        <v>45326</v>
      </c>
      <c r="C1396" t="s">
        <v>14</v>
      </c>
      <c r="D1396">
        <v>399</v>
      </c>
      <c r="E1396">
        <v>19.8</v>
      </c>
      <c r="F1396">
        <v>2</v>
      </c>
      <c r="G1396">
        <v>5</v>
      </c>
      <c r="H1396">
        <v>5</v>
      </c>
      <c r="I1396">
        <v>9</v>
      </c>
      <c r="J1396" t="s">
        <v>11</v>
      </c>
      <c r="K1396">
        <f>IF(J1396="Yes", 1, 0)</f>
        <v>1</v>
      </c>
      <c r="L1396" t="str">
        <f>IF(G1396=0,"0 Failures","1+ Failures")</f>
        <v>1+ Failures</v>
      </c>
      <c r="M1396" t="str">
        <f t="shared" si="65"/>
        <v>10-20hrs</v>
      </c>
      <c r="N1396" t="str">
        <f t="shared" si="63"/>
        <v>3-6months</v>
      </c>
      <c r="O1396" t="str">
        <f t="shared" si="64"/>
        <v>Basic</v>
      </c>
      <c r="P1396" s="7">
        <v>45657</v>
      </c>
    </row>
    <row r="1397" spans="1:16" x14ac:dyDescent="0.3">
      <c r="A1397">
        <v>1396</v>
      </c>
      <c r="B1397" s="7">
        <v>45212</v>
      </c>
      <c r="C1397" t="s">
        <v>14</v>
      </c>
      <c r="D1397">
        <v>399</v>
      </c>
      <c r="E1397">
        <v>20.5</v>
      </c>
      <c r="F1397">
        <v>1</v>
      </c>
      <c r="G1397">
        <v>4</v>
      </c>
      <c r="H1397">
        <v>31</v>
      </c>
      <c r="I1397">
        <v>27</v>
      </c>
      <c r="J1397" t="s">
        <v>13</v>
      </c>
      <c r="K1397">
        <f>IF(J1397="Yes", 1, 0)</f>
        <v>0</v>
      </c>
      <c r="L1397" t="str">
        <f>IF(G1397=0,"0 Failures","1+ Failures")</f>
        <v>1+ Failures</v>
      </c>
      <c r="M1397" t="str">
        <f t="shared" si="65"/>
        <v>20+ hrs</v>
      </c>
      <c r="N1397" t="str">
        <f t="shared" si="63"/>
        <v>12+ months</v>
      </c>
      <c r="O1397" t="str">
        <f t="shared" si="64"/>
        <v>Basic</v>
      </c>
      <c r="P1397" s="7">
        <v>45657</v>
      </c>
    </row>
    <row r="1398" spans="1:16" x14ac:dyDescent="0.3">
      <c r="A1398">
        <v>1397</v>
      </c>
      <c r="B1398" s="7">
        <v>45253</v>
      </c>
      <c r="C1398" t="s">
        <v>12</v>
      </c>
      <c r="D1398">
        <v>199</v>
      </c>
      <c r="E1398">
        <v>8.4</v>
      </c>
      <c r="F1398">
        <v>2</v>
      </c>
      <c r="G1398">
        <v>1</v>
      </c>
      <c r="H1398">
        <v>6</v>
      </c>
      <c r="I1398">
        <v>49</v>
      </c>
      <c r="J1398" t="s">
        <v>13</v>
      </c>
      <c r="K1398">
        <f>IF(J1398="Yes", 1, 0)</f>
        <v>0</v>
      </c>
      <c r="L1398" t="str">
        <f>IF(G1398=0,"0 Failures","1+ Failures")</f>
        <v>1+ Failures</v>
      </c>
      <c r="M1398" t="str">
        <f t="shared" si="65"/>
        <v>5-10 hrs</v>
      </c>
      <c r="N1398" t="str">
        <f t="shared" si="63"/>
        <v>3-6months</v>
      </c>
      <c r="O1398" t="str">
        <f t="shared" si="64"/>
        <v>Basic</v>
      </c>
      <c r="P1398" s="7">
        <v>45657</v>
      </c>
    </row>
    <row r="1399" spans="1:16" x14ac:dyDescent="0.3">
      <c r="A1399">
        <v>1398</v>
      </c>
      <c r="B1399" s="7">
        <v>45068</v>
      </c>
      <c r="C1399" t="s">
        <v>14</v>
      </c>
      <c r="D1399">
        <v>399</v>
      </c>
      <c r="E1399">
        <v>12.3</v>
      </c>
      <c r="F1399">
        <v>6</v>
      </c>
      <c r="G1399">
        <v>4</v>
      </c>
      <c r="H1399">
        <v>28</v>
      </c>
      <c r="I1399">
        <v>50</v>
      </c>
      <c r="J1399" t="s">
        <v>11</v>
      </c>
      <c r="K1399">
        <f>IF(J1399="Yes", 1, 0)</f>
        <v>1</v>
      </c>
      <c r="L1399" t="str">
        <f>IF(G1399=0,"0 Failures","1+ Failures")</f>
        <v>1+ Failures</v>
      </c>
      <c r="M1399" t="str">
        <f t="shared" si="65"/>
        <v>10-20hrs</v>
      </c>
      <c r="N1399" t="str">
        <f t="shared" si="63"/>
        <v>12+ months</v>
      </c>
      <c r="O1399" t="str">
        <f t="shared" si="64"/>
        <v>Basic</v>
      </c>
      <c r="P1399" s="7">
        <v>45657</v>
      </c>
    </row>
    <row r="1400" spans="1:16" x14ac:dyDescent="0.3">
      <c r="A1400">
        <v>1399</v>
      </c>
      <c r="B1400" s="7">
        <v>45472</v>
      </c>
      <c r="C1400" t="s">
        <v>10</v>
      </c>
      <c r="D1400">
        <v>699</v>
      </c>
      <c r="E1400">
        <v>9.9</v>
      </c>
      <c r="F1400">
        <v>8</v>
      </c>
      <c r="G1400">
        <v>3</v>
      </c>
      <c r="H1400">
        <v>16</v>
      </c>
      <c r="I1400">
        <v>34</v>
      </c>
      <c r="J1400" t="s">
        <v>11</v>
      </c>
      <c r="K1400">
        <f>IF(J1400="Yes", 1, 0)</f>
        <v>1</v>
      </c>
      <c r="L1400" t="str">
        <f>IF(G1400=0,"0 Failures","1+ Failures")</f>
        <v>1+ Failures</v>
      </c>
      <c r="M1400" t="str">
        <f t="shared" si="65"/>
        <v>5-10 hrs</v>
      </c>
      <c r="N1400" t="str">
        <f t="shared" si="63"/>
        <v>12+ months</v>
      </c>
      <c r="O1400" t="str">
        <f t="shared" si="64"/>
        <v>Premium</v>
      </c>
      <c r="P1400" s="7">
        <v>45657</v>
      </c>
    </row>
    <row r="1401" spans="1:16" x14ac:dyDescent="0.3">
      <c r="A1401">
        <v>1400</v>
      </c>
      <c r="B1401" s="7">
        <v>45151</v>
      </c>
      <c r="C1401" t="s">
        <v>10</v>
      </c>
      <c r="D1401">
        <v>699</v>
      </c>
      <c r="E1401">
        <v>9.9</v>
      </c>
      <c r="F1401">
        <v>6</v>
      </c>
      <c r="G1401">
        <v>4</v>
      </c>
      <c r="H1401">
        <v>15</v>
      </c>
      <c r="I1401">
        <v>36</v>
      </c>
      <c r="J1401" t="s">
        <v>13</v>
      </c>
      <c r="K1401">
        <f>IF(J1401="Yes", 1, 0)</f>
        <v>0</v>
      </c>
      <c r="L1401" t="str">
        <f>IF(G1401=0,"0 Failures","1+ Failures")</f>
        <v>1+ Failures</v>
      </c>
      <c r="M1401" t="str">
        <f t="shared" si="65"/>
        <v>5-10 hrs</v>
      </c>
      <c r="N1401" t="str">
        <f t="shared" si="63"/>
        <v>12+ months</v>
      </c>
      <c r="O1401" t="str">
        <f t="shared" si="64"/>
        <v>Premium</v>
      </c>
      <c r="P1401" s="7">
        <v>45657</v>
      </c>
    </row>
    <row r="1402" spans="1:16" x14ac:dyDescent="0.3">
      <c r="A1402">
        <v>1401</v>
      </c>
      <c r="B1402" s="7">
        <v>45498</v>
      </c>
      <c r="C1402" t="s">
        <v>10</v>
      </c>
      <c r="D1402">
        <v>699</v>
      </c>
      <c r="E1402">
        <v>6.3</v>
      </c>
      <c r="F1402">
        <v>0</v>
      </c>
      <c r="G1402">
        <v>1</v>
      </c>
      <c r="H1402">
        <v>6</v>
      </c>
      <c r="I1402">
        <v>54</v>
      </c>
      <c r="J1402" t="s">
        <v>11</v>
      </c>
      <c r="K1402">
        <f>IF(J1402="Yes", 1, 0)</f>
        <v>1</v>
      </c>
      <c r="L1402" t="str">
        <f>IF(G1402=0,"0 Failures","1+ Failures")</f>
        <v>1+ Failures</v>
      </c>
      <c r="M1402" t="str">
        <f t="shared" si="65"/>
        <v>5-10 hrs</v>
      </c>
      <c r="N1402" t="str">
        <f t="shared" si="63"/>
        <v>3-6months</v>
      </c>
      <c r="O1402" t="str">
        <f t="shared" si="64"/>
        <v>Premium</v>
      </c>
      <c r="P1402" s="7">
        <v>45657</v>
      </c>
    </row>
    <row r="1403" spans="1:16" x14ac:dyDescent="0.3">
      <c r="A1403">
        <v>1402</v>
      </c>
      <c r="B1403" s="7">
        <v>45069</v>
      </c>
      <c r="C1403" t="s">
        <v>14</v>
      </c>
      <c r="D1403">
        <v>399</v>
      </c>
      <c r="E1403">
        <v>23.1</v>
      </c>
      <c r="F1403">
        <v>0</v>
      </c>
      <c r="G1403">
        <v>2</v>
      </c>
      <c r="H1403">
        <v>9</v>
      </c>
      <c r="I1403">
        <v>23</v>
      </c>
      <c r="J1403" t="s">
        <v>13</v>
      </c>
      <c r="K1403">
        <f>IF(J1403="Yes", 1, 0)</f>
        <v>0</v>
      </c>
      <c r="L1403" t="str">
        <f>IF(G1403=0,"0 Failures","1+ Failures")</f>
        <v>1+ Failures</v>
      </c>
      <c r="M1403" t="str">
        <f t="shared" si="65"/>
        <v>20+ hrs</v>
      </c>
      <c r="N1403" t="str">
        <f t="shared" si="63"/>
        <v>6-12months</v>
      </c>
      <c r="O1403" t="str">
        <f t="shared" si="64"/>
        <v>Basic</v>
      </c>
      <c r="P1403" s="7">
        <v>45657</v>
      </c>
    </row>
    <row r="1404" spans="1:16" x14ac:dyDescent="0.3">
      <c r="A1404">
        <v>1403</v>
      </c>
      <c r="B1404" s="7">
        <v>45156</v>
      </c>
      <c r="C1404" t="s">
        <v>14</v>
      </c>
      <c r="D1404">
        <v>399</v>
      </c>
      <c r="E1404">
        <v>4</v>
      </c>
      <c r="F1404">
        <v>8</v>
      </c>
      <c r="G1404">
        <v>3</v>
      </c>
      <c r="H1404">
        <v>30</v>
      </c>
      <c r="I1404">
        <v>15</v>
      </c>
      <c r="J1404" t="s">
        <v>11</v>
      </c>
      <c r="K1404">
        <f>IF(J1404="Yes", 1, 0)</f>
        <v>1</v>
      </c>
      <c r="L1404" t="str">
        <f>IF(G1404=0,"0 Failures","1+ Failures")</f>
        <v>1+ Failures</v>
      </c>
      <c r="M1404" t="str">
        <f t="shared" si="65"/>
        <v>0-5 hrs</v>
      </c>
      <c r="N1404" t="str">
        <f t="shared" si="63"/>
        <v>12+ months</v>
      </c>
      <c r="O1404" t="str">
        <f t="shared" si="64"/>
        <v>Basic</v>
      </c>
      <c r="P1404" s="7">
        <v>45657</v>
      </c>
    </row>
    <row r="1405" spans="1:16" x14ac:dyDescent="0.3">
      <c r="A1405">
        <v>1404</v>
      </c>
      <c r="B1405" s="7">
        <v>45361</v>
      </c>
      <c r="C1405" t="s">
        <v>12</v>
      </c>
      <c r="D1405">
        <v>199</v>
      </c>
      <c r="E1405">
        <v>3.4</v>
      </c>
      <c r="F1405">
        <v>2</v>
      </c>
      <c r="G1405">
        <v>3</v>
      </c>
      <c r="H1405">
        <v>9</v>
      </c>
      <c r="I1405">
        <v>46</v>
      </c>
      <c r="J1405" t="s">
        <v>11</v>
      </c>
      <c r="K1405">
        <f>IF(J1405="Yes", 1, 0)</f>
        <v>1</v>
      </c>
      <c r="L1405" t="str">
        <f>IF(G1405=0,"0 Failures","1+ Failures")</f>
        <v>1+ Failures</v>
      </c>
      <c r="M1405" t="str">
        <f t="shared" si="65"/>
        <v>0-5 hrs</v>
      </c>
      <c r="N1405" t="str">
        <f t="shared" si="63"/>
        <v>6-12months</v>
      </c>
      <c r="O1405" t="str">
        <f t="shared" si="64"/>
        <v>Basic</v>
      </c>
      <c r="P1405" s="7">
        <v>45657</v>
      </c>
    </row>
    <row r="1406" spans="1:16" x14ac:dyDescent="0.3">
      <c r="A1406">
        <v>1405</v>
      </c>
      <c r="B1406" s="7">
        <v>45088</v>
      </c>
      <c r="C1406" t="s">
        <v>14</v>
      </c>
      <c r="D1406">
        <v>399</v>
      </c>
      <c r="E1406">
        <v>17.7</v>
      </c>
      <c r="F1406">
        <v>1</v>
      </c>
      <c r="G1406">
        <v>3</v>
      </c>
      <c r="H1406">
        <v>4</v>
      </c>
      <c r="I1406">
        <v>53</v>
      </c>
      <c r="J1406" t="s">
        <v>11</v>
      </c>
      <c r="K1406">
        <f>IF(J1406="Yes", 1, 0)</f>
        <v>1</v>
      </c>
      <c r="L1406" t="str">
        <f>IF(G1406=0,"0 Failures","1+ Failures")</f>
        <v>1+ Failures</v>
      </c>
      <c r="M1406" t="str">
        <f t="shared" si="65"/>
        <v>10-20hrs</v>
      </c>
      <c r="N1406" t="str">
        <f t="shared" si="63"/>
        <v>3-6months</v>
      </c>
      <c r="O1406" t="str">
        <f t="shared" si="64"/>
        <v>Basic</v>
      </c>
      <c r="P1406" s="7">
        <v>45657</v>
      </c>
    </row>
    <row r="1407" spans="1:16" x14ac:dyDescent="0.3">
      <c r="A1407">
        <v>1406</v>
      </c>
      <c r="B1407" s="7">
        <v>45353</v>
      </c>
      <c r="C1407" t="s">
        <v>12</v>
      </c>
      <c r="D1407">
        <v>199</v>
      </c>
      <c r="E1407">
        <v>9.4</v>
      </c>
      <c r="F1407">
        <v>1</v>
      </c>
      <c r="G1407">
        <v>1</v>
      </c>
      <c r="H1407">
        <v>10</v>
      </c>
      <c r="I1407">
        <v>4</v>
      </c>
      <c r="J1407" t="s">
        <v>11</v>
      </c>
      <c r="K1407">
        <f>IF(J1407="Yes", 1, 0)</f>
        <v>1</v>
      </c>
      <c r="L1407" t="str">
        <f>IF(G1407=0,"0 Failures","1+ Failures")</f>
        <v>1+ Failures</v>
      </c>
      <c r="M1407" t="str">
        <f t="shared" si="65"/>
        <v>5-10 hrs</v>
      </c>
      <c r="N1407" t="str">
        <f t="shared" si="63"/>
        <v>6-12months</v>
      </c>
      <c r="O1407" t="str">
        <f t="shared" si="64"/>
        <v>Basic</v>
      </c>
      <c r="P1407" s="7">
        <v>45657</v>
      </c>
    </row>
    <row r="1408" spans="1:16" x14ac:dyDescent="0.3">
      <c r="A1408">
        <v>1407</v>
      </c>
      <c r="B1408" s="7">
        <v>45233</v>
      </c>
      <c r="C1408" t="s">
        <v>12</v>
      </c>
      <c r="D1408">
        <v>199</v>
      </c>
      <c r="E1408">
        <v>12</v>
      </c>
      <c r="F1408">
        <v>2</v>
      </c>
      <c r="G1408">
        <v>5</v>
      </c>
      <c r="H1408">
        <v>12</v>
      </c>
      <c r="I1408">
        <v>33</v>
      </c>
      <c r="J1408" t="s">
        <v>13</v>
      </c>
      <c r="K1408">
        <f>IF(J1408="Yes", 1, 0)</f>
        <v>0</v>
      </c>
      <c r="L1408" t="str">
        <f>IF(G1408=0,"0 Failures","1+ Failures")</f>
        <v>1+ Failures</v>
      </c>
      <c r="M1408" t="str">
        <f t="shared" si="65"/>
        <v>10-20hrs</v>
      </c>
      <c r="N1408" t="str">
        <f t="shared" si="63"/>
        <v>6-12months</v>
      </c>
      <c r="O1408" t="str">
        <f t="shared" si="64"/>
        <v>Basic</v>
      </c>
      <c r="P1408" s="7">
        <v>45657</v>
      </c>
    </row>
    <row r="1409" spans="1:16" x14ac:dyDescent="0.3">
      <c r="A1409">
        <v>1408</v>
      </c>
      <c r="B1409" s="7">
        <v>45040</v>
      </c>
      <c r="C1409" t="s">
        <v>14</v>
      </c>
      <c r="D1409">
        <v>399</v>
      </c>
      <c r="E1409">
        <v>18.2</v>
      </c>
      <c r="F1409">
        <v>7</v>
      </c>
      <c r="G1409">
        <v>5</v>
      </c>
      <c r="H1409">
        <v>27</v>
      </c>
      <c r="I1409">
        <v>44</v>
      </c>
      <c r="J1409" t="s">
        <v>11</v>
      </c>
      <c r="K1409">
        <f>IF(J1409="Yes", 1, 0)</f>
        <v>1</v>
      </c>
      <c r="L1409" t="str">
        <f>IF(G1409=0,"0 Failures","1+ Failures")</f>
        <v>1+ Failures</v>
      </c>
      <c r="M1409" t="str">
        <f t="shared" si="65"/>
        <v>10-20hrs</v>
      </c>
      <c r="N1409" t="str">
        <f t="shared" si="63"/>
        <v>12+ months</v>
      </c>
      <c r="O1409" t="str">
        <f t="shared" si="64"/>
        <v>Basic</v>
      </c>
      <c r="P1409" s="7">
        <v>45657</v>
      </c>
    </row>
    <row r="1410" spans="1:16" x14ac:dyDescent="0.3">
      <c r="A1410">
        <v>1409</v>
      </c>
      <c r="B1410" s="7">
        <v>45091</v>
      </c>
      <c r="C1410" t="s">
        <v>12</v>
      </c>
      <c r="D1410">
        <v>199</v>
      </c>
      <c r="E1410">
        <v>22.1</v>
      </c>
      <c r="F1410">
        <v>0</v>
      </c>
      <c r="G1410">
        <v>4</v>
      </c>
      <c r="H1410">
        <v>4</v>
      </c>
      <c r="I1410">
        <v>48</v>
      </c>
      <c r="J1410" t="s">
        <v>11</v>
      </c>
      <c r="K1410">
        <f>IF(J1410="Yes", 1, 0)</f>
        <v>1</v>
      </c>
      <c r="L1410" t="str">
        <f>IF(G1410=0,"0 Failures","1+ Failures")</f>
        <v>1+ Failures</v>
      </c>
      <c r="M1410" t="str">
        <f t="shared" si="65"/>
        <v>20+ hrs</v>
      </c>
      <c r="N1410" t="str">
        <f t="shared" si="63"/>
        <v>3-6months</v>
      </c>
      <c r="O1410" t="str">
        <f t="shared" si="64"/>
        <v>Basic</v>
      </c>
      <c r="P1410" s="7">
        <v>45657</v>
      </c>
    </row>
    <row r="1411" spans="1:16" x14ac:dyDescent="0.3">
      <c r="A1411">
        <v>1410</v>
      </c>
      <c r="B1411" s="7">
        <v>45512</v>
      </c>
      <c r="C1411" t="s">
        <v>12</v>
      </c>
      <c r="D1411">
        <v>199</v>
      </c>
      <c r="E1411">
        <v>20.9</v>
      </c>
      <c r="F1411">
        <v>7</v>
      </c>
      <c r="G1411">
        <v>4</v>
      </c>
      <c r="H1411">
        <v>26</v>
      </c>
      <c r="I1411">
        <v>45</v>
      </c>
      <c r="J1411" t="s">
        <v>13</v>
      </c>
      <c r="K1411">
        <f>IF(J1411="Yes", 1, 0)</f>
        <v>0</v>
      </c>
      <c r="L1411" t="str">
        <f>IF(G1411=0,"0 Failures","1+ Failures")</f>
        <v>1+ Failures</v>
      </c>
      <c r="M1411" t="str">
        <f t="shared" si="65"/>
        <v>20+ hrs</v>
      </c>
      <c r="N1411" t="str">
        <f t="shared" ref="N1411:N1474" si="66">IF(H1411&lt;=3, "0-3months", IF(H1411&lt;=6, "3-6months", IF(H1411&lt;=12, "6-12months", "12+ months")))</f>
        <v>12+ months</v>
      </c>
      <c r="O1411" t="str">
        <f t="shared" ref="O1411:O1474" si="67">IF(C1411="premium", "Premium", "Basic")</f>
        <v>Basic</v>
      </c>
      <c r="P1411" s="7">
        <v>45657</v>
      </c>
    </row>
    <row r="1412" spans="1:16" x14ac:dyDescent="0.3">
      <c r="A1412">
        <v>1411</v>
      </c>
      <c r="B1412" s="7">
        <v>45461</v>
      </c>
      <c r="C1412" t="s">
        <v>10</v>
      </c>
      <c r="D1412">
        <v>699</v>
      </c>
      <c r="E1412">
        <v>17.899999999999999</v>
      </c>
      <c r="F1412">
        <v>6</v>
      </c>
      <c r="G1412">
        <v>1</v>
      </c>
      <c r="H1412">
        <v>20</v>
      </c>
      <c r="I1412">
        <v>17</v>
      </c>
      <c r="J1412" t="s">
        <v>13</v>
      </c>
      <c r="K1412">
        <f>IF(J1412="Yes", 1, 0)</f>
        <v>0</v>
      </c>
      <c r="L1412" t="str">
        <f>IF(G1412=0,"0 Failures","1+ Failures")</f>
        <v>1+ Failures</v>
      </c>
      <c r="M1412" t="str">
        <f t="shared" si="65"/>
        <v>10-20hrs</v>
      </c>
      <c r="N1412" t="str">
        <f t="shared" si="66"/>
        <v>12+ months</v>
      </c>
      <c r="O1412" t="str">
        <f t="shared" si="67"/>
        <v>Premium</v>
      </c>
      <c r="P1412" s="7">
        <v>45657</v>
      </c>
    </row>
    <row r="1413" spans="1:16" x14ac:dyDescent="0.3">
      <c r="A1413">
        <v>1412</v>
      </c>
      <c r="B1413" s="7">
        <v>45115</v>
      </c>
      <c r="C1413" t="s">
        <v>14</v>
      </c>
      <c r="D1413">
        <v>399</v>
      </c>
      <c r="E1413">
        <v>18.7</v>
      </c>
      <c r="F1413">
        <v>6</v>
      </c>
      <c r="G1413">
        <v>4</v>
      </c>
      <c r="H1413">
        <v>9</v>
      </c>
      <c r="I1413">
        <v>3</v>
      </c>
      <c r="J1413" t="s">
        <v>11</v>
      </c>
      <c r="K1413">
        <f>IF(J1413="Yes", 1, 0)</f>
        <v>1</v>
      </c>
      <c r="L1413" t="str">
        <f>IF(G1413=0,"0 Failures","1+ Failures")</f>
        <v>1+ Failures</v>
      </c>
      <c r="M1413" t="str">
        <f t="shared" si="65"/>
        <v>10-20hrs</v>
      </c>
      <c r="N1413" t="str">
        <f t="shared" si="66"/>
        <v>6-12months</v>
      </c>
      <c r="O1413" t="str">
        <f t="shared" si="67"/>
        <v>Basic</v>
      </c>
      <c r="P1413" s="7">
        <v>45657</v>
      </c>
    </row>
    <row r="1414" spans="1:16" x14ac:dyDescent="0.3">
      <c r="A1414">
        <v>1413</v>
      </c>
      <c r="B1414" s="7">
        <v>45595</v>
      </c>
      <c r="C1414" t="s">
        <v>10</v>
      </c>
      <c r="D1414">
        <v>699</v>
      </c>
      <c r="E1414">
        <v>15.3</v>
      </c>
      <c r="F1414">
        <v>1</v>
      </c>
      <c r="G1414">
        <v>5</v>
      </c>
      <c r="H1414">
        <v>36</v>
      </c>
      <c r="I1414">
        <v>29</v>
      </c>
      <c r="J1414" t="s">
        <v>11</v>
      </c>
      <c r="K1414">
        <f>IF(J1414="Yes", 1, 0)</f>
        <v>1</v>
      </c>
      <c r="L1414" t="str">
        <f>IF(G1414=0,"0 Failures","1+ Failures")</f>
        <v>1+ Failures</v>
      </c>
      <c r="M1414" t="str">
        <f t="shared" si="65"/>
        <v>10-20hrs</v>
      </c>
      <c r="N1414" t="str">
        <f t="shared" si="66"/>
        <v>12+ months</v>
      </c>
      <c r="O1414" t="str">
        <f t="shared" si="67"/>
        <v>Premium</v>
      </c>
      <c r="P1414" s="7">
        <v>45657</v>
      </c>
    </row>
    <row r="1415" spans="1:16" x14ac:dyDescent="0.3">
      <c r="A1415">
        <v>1414</v>
      </c>
      <c r="B1415" s="7">
        <v>45361</v>
      </c>
      <c r="C1415" t="s">
        <v>10</v>
      </c>
      <c r="D1415">
        <v>699</v>
      </c>
      <c r="E1415">
        <v>20.8</v>
      </c>
      <c r="F1415">
        <v>2</v>
      </c>
      <c r="G1415">
        <v>0</v>
      </c>
      <c r="H1415">
        <v>26</v>
      </c>
      <c r="I1415">
        <v>51</v>
      </c>
      <c r="J1415" t="s">
        <v>13</v>
      </c>
      <c r="K1415">
        <f>IF(J1415="Yes", 1, 0)</f>
        <v>0</v>
      </c>
      <c r="L1415" t="str">
        <f>IF(G1415=0,"0 Failures","1+ Failures")</f>
        <v>0 Failures</v>
      </c>
      <c r="M1415" t="str">
        <f t="shared" si="65"/>
        <v>20+ hrs</v>
      </c>
      <c r="N1415" t="str">
        <f t="shared" si="66"/>
        <v>12+ months</v>
      </c>
      <c r="O1415" t="str">
        <f t="shared" si="67"/>
        <v>Premium</v>
      </c>
      <c r="P1415" s="7">
        <v>45657</v>
      </c>
    </row>
    <row r="1416" spans="1:16" x14ac:dyDescent="0.3">
      <c r="A1416">
        <v>1415</v>
      </c>
      <c r="B1416" s="7">
        <v>45270</v>
      </c>
      <c r="C1416" t="s">
        <v>12</v>
      </c>
      <c r="D1416">
        <v>199</v>
      </c>
      <c r="E1416">
        <v>3.2</v>
      </c>
      <c r="F1416">
        <v>1</v>
      </c>
      <c r="G1416">
        <v>2</v>
      </c>
      <c r="H1416">
        <v>18</v>
      </c>
      <c r="I1416">
        <v>38</v>
      </c>
      <c r="J1416" t="s">
        <v>11</v>
      </c>
      <c r="K1416">
        <f>IF(J1416="Yes", 1, 0)</f>
        <v>1</v>
      </c>
      <c r="L1416" t="str">
        <f>IF(G1416=0,"0 Failures","1+ Failures")</f>
        <v>1+ Failures</v>
      </c>
      <c r="M1416" t="str">
        <f t="shared" si="65"/>
        <v>0-5 hrs</v>
      </c>
      <c r="N1416" t="str">
        <f t="shared" si="66"/>
        <v>12+ months</v>
      </c>
      <c r="O1416" t="str">
        <f t="shared" si="67"/>
        <v>Basic</v>
      </c>
      <c r="P1416" s="7">
        <v>45657</v>
      </c>
    </row>
    <row r="1417" spans="1:16" x14ac:dyDescent="0.3">
      <c r="A1417">
        <v>1416</v>
      </c>
      <c r="B1417" s="7">
        <v>44938</v>
      </c>
      <c r="C1417" t="s">
        <v>12</v>
      </c>
      <c r="D1417">
        <v>199</v>
      </c>
      <c r="E1417">
        <v>7.4</v>
      </c>
      <c r="F1417">
        <v>8</v>
      </c>
      <c r="G1417">
        <v>0</v>
      </c>
      <c r="H1417">
        <v>16</v>
      </c>
      <c r="I1417">
        <v>4</v>
      </c>
      <c r="J1417" t="s">
        <v>11</v>
      </c>
      <c r="K1417">
        <f>IF(J1417="Yes", 1, 0)</f>
        <v>1</v>
      </c>
      <c r="L1417" t="str">
        <f>IF(G1417=0,"0 Failures","1+ Failures")</f>
        <v>0 Failures</v>
      </c>
      <c r="M1417" t="str">
        <f t="shared" si="65"/>
        <v>5-10 hrs</v>
      </c>
      <c r="N1417" t="str">
        <f t="shared" si="66"/>
        <v>12+ months</v>
      </c>
      <c r="O1417" t="str">
        <f t="shared" si="67"/>
        <v>Basic</v>
      </c>
      <c r="P1417" s="7">
        <v>45657</v>
      </c>
    </row>
    <row r="1418" spans="1:16" x14ac:dyDescent="0.3">
      <c r="A1418">
        <v>1417</v>
      </c>
      <c r="B1418" s="7">
        <v>45510</v>
      </c>
      <c r="C1418" t="s">
        <v>14</v>
      </c>
      <c r="D1418">
        <v>399</v>
      </c>
      <c r="E1418">
        <v>14</v>
      </c>
      <c r="F1418">
        <v>0</v>
      </c>
      <c r="G1418">
        <v>1</v>
      </c>
      <c r="H1418">
        <v>13</v>
      </c>
      <c r="I1418">
        <v>17</v>
      </c>
      <c r="J1418" t="s">
        <v>11</v>
      </c>
      <c r="K1418">
        <f>IF(J1418="Yes", 1, 0)</f>
        <v>1</v>
      </c>
      <c r="L1418" t="str">
        <f>IF(G1418=0,"0 Failures","1+ Failures")</f>
        <v>1+ Failures</v>
      </c>
      <c r="M1418" t="str">
        <f t="shared" si="65"/>
        <v>10-20hrs</v>
      </c>
      <c r="N1418" t="str">
        <f t="shared" si="66"/>
        <v>12+ months</v>
      </c>
      <c r="O1418" t="str">
        <f t="shared" si="67"/>
        <v>Basic</v>
      </c>
      <c r="P1418" s="7">
        <v>45657</v>
      </c>
    </row>
    <row r="1419" spans="1:16" x14ac:dyDescent="0.3">
      <c r="A1419">
        <v>1418</v>
      </c>
      <c r="B1419" s="7">
        <v>45243</v>
      </c>
      <c r="C1419" t="s">
        <v>10</v>
      </c>
      <c r="D1419">
        <v>699</v>
      </c>
      <c r="E1419">
        <v>14.3</v>
      </c>
      <c r="F1419">
        <v>7</v>
      </c>
      <c r="G1419">
        <v>0</v>
      </c>
      <c r="H1419">
        <v>3</v>
      </c>
      <c r="I1419">
        <v>3</v>
      </c>
      <c r="J1419" t="s">
        <v>13</v>
      </c>
      <c r="K1419">
        <f>IF(J1419="Yes", 1, 0)</f>
        <v>0</v>
      </c>
      <c r="L1419" t="str">
        <f>IF(G1419=0,"0 Failures","1+ Failures")</f>
        <v>0 Failures</v>
      </c>
      <c r="M1419" t="str">
        <f t="shared" ref="M1419:M1482" si="68">IF(E1419&lt;=5, "0-5 hrs",    IF(E1419&lt;=10, "5-10 hrs",    IF(E1419&lt;=20, "10-20hrs", "20+ hrs")))</f>
        <v>10-20hrs</v>
      </c>
      <c r="N1419" t="str">
        <f t="shared" si="66"/>
        <v>0-3months</v>
      </c>
      <c r="O1419" t="str">
        <f t="shared" si="67"/>
        <v>Premium</v>
      </c>
      <c r="P1419" s="7">
        <v>45657</v>
      </c>
    </row>
    <row r="1420" spans="1:16" x14ac:dyDescent="0.3">
      <c r="A1420">
        <v>1419</v>
      </c>
      <c r="B1420" s="7">
        <v>45327</v>
      </c>
      <c r="C1420" t="s">
        <v>12</v>
      </c>
      <c r="D1420">
        <v>199</v>
      </c>
      <c r="E1420">
        <v>18.899999999999999</v>
      </c>
      <c r="F1420">
        <v>6</v>
      </c>
      <c r="G1420">
        <v>4</v>
      </c>
      <c r="H1420">
        <v>23</v>
      </c>
      <c r="I1420">
        <v>12</v>
      </c>
      <c r="J1420" t="s">
        <v>11</v>
      </c>
      <c r="K1420">
        <f>IF(J1420="Yes", 1, 0)</f>
        <v>1</v>
      </c>
      <c r="L1420" t="str">
        <f>IF(G1420=0,"0 Failures","1+ Failures")</f>
        <v>1+ Failures</v>
      </c>
      <c r="M1420" t="str">
        <f t="shared" si="68"/>
        <v>10-20hrs</v>
      </c>
      <c r="N1420" t="str">
        <f t="shared" si="66"/>
        <v>12+ months</v>
      </c>
      <c r="O1420" t="str">
        <f t="shared" si="67"/>
        <v>Basic</v>
      </c>
      <c r="P1420" s="7">
        <v>45657</v>
      </c>
    </row>
    <row r="1421" spans="1:16" x14ac:dyDescent="0.3">
      <c r="A1421">
        <v>1420</v>
      </c>
      <c r="B1421" s="7">
        <v>45442</v>
      </c>
      <c r="C1421" t="s">
        <v>10</v>
      </c>
      <c r="D1421">
        <v>699</v>
      </c>
      <c r="E1421">
        <v>24.4</v>
      </c>
      <c r="F1421">
        <v>1</v>
      </c>
      <c r="G1421">
        <v>2</v>
      </c>
      <c r="H1421">
        <v>23</v>
      </c>
      <c r="I1421">
        <v>26</v>
      </c>
      <c r="J1421" t="s">
        <v>13</v>
      </c>
      <c r="K1421">
        <f>IF(J1421="Yes", 1, 0)</f>
        <v>0</v>
      </c>
      <c r="L1421" t="str">
        <f>IF(G1421=0,"0 Failures","1+ Failures")</f>
        <v>1+ Failures</v>
      </c>
      <c r="M1421" t="str">
        <f t="shared" si="68"/>
        <v>20+ hrs</v>
      </c>
      <c r="N1421" t="str">
        <f t="shared" si="66"/>
        <v>12+ months</v>
      </c>
      <c r="O1421" t="str">
        <f t="shared" si="67"/>
        <v>Premium</v>
      </c>
      <c r="P1421" s="7">
        <v>45657</v>
      </c>
    </row>
    <row r="1422" spans="1:16" x14ac:dyDescent="0.3">
      <c r="A1422">
        <v>1421</v>
      </c>
      <c r="B1422" s="7">
        <v>45415</v>
      </c>
      <c r="C1422" t="s">
        <v>12</v>
      </c>
      <c r="D1422">
        <v>199</v>
      </c>
      <c r="E1422">
        <v>20.3</v>
      </c>
      <c r="F1422">
        <v>2</v>
      </c>
      <c r="G1422">
        <v>0</v>
      </c>
      <c r="H1422">
        <v>33</v>
      </c>
      <c r="I1422">
        <v>37</v>
      </c>
      <c r="J1422" t="s">
        <v>13</v>
      </c>
      <c r="K1422">
        <f>IF(J1422="Yes", 1, 0)</f>
        <v>0</v>
      </c>
      <c r="L1422" t="str">
        <f>IF(G1422=0,"0 Failures","1+ Failures")</f>
        <v>0 Failures</v>
      </c>
      <c r="M1422" t="str">
        <f t="shared" si="68"/>
        <v>20+ hrs</v>
      </c>
      <c r="N1422" t="str">
        <f t="shared" si="66"/>
        <v>12+ months</v>
      </c>
      <c r="O1422" t="str">
        <f t="shared" si="67"/>
        <v>Basic</v>
      </c>
      <c r="P1422" s="7">
        <v>45657</v>
      </c>
    </row>
    <row r="1423" spans="1:16" x14ac:dyDescent="0.3">
      <c r="A1423">
        <v>1422</v>
      </c>
      <c r="B1423" s="7">
        <v>45567</v>
      </c>
      <c r="C1423" t="s">
        <v>10</v>
      </c>
      <c r="D1423">
        <v>699</v>
      </c>
      <c r="E1423">
        <v>7.6</v>
      </c>
      <c r="F1423">
        <v>2</v>
      </c>
      <c r="G1423">
        <v>5</v>
      </c>
      <c r="H1423">
        <v>3</v>
      </c>
      <c r="I1423">
        <v>29</v>
      </c>
      <c r="J1423" t="s">
        <v>11</v>
      </c>
      <c r="K1423">
        <f>IF(J1423="Yes", 1, 0)</f>
        <v>1</v>
      </c>
      <c r="L1423" t="str">
        <f>IF(G1423=0,"0 Failures","1+ Failures")</f>
        <v>1+ Failures</v>
      </c>
      <c r="M1423" t="str">
        <f t="shared" si="68"/>
        <v>5-10 hrs</v>
      </c>
      <c r="N1423" t="str">
        <f t="shared" si="66"/>
        <v>0-3months</v>
      </c>
      <c r="O1423" t="str">
        <f t="shared" si="67"/>
        <v>Premium</v>
      </c>
      <c r="P1423" s="7">
        <v>45657</v>
      </c>
    </row>
    <row r="1424" spans="1:16" x14ac:dyDescent="0.3">
      <c r="A1424">
        <v>1423</v>
      </c>
      <c r="B1424" s="7">
        <v>45440</v>
      </c>
      <c r="C1424" t="s">
        <v>12</v>
      </c>
      <c r="D1424">
        <v>199</v>
      </c>
      <c r="E1424">
        <v>22.2</v>
      </c>
      <c r="F1424">
        <v>2</v>
      </c>
      <c r="G1424">
        <v>5</v>
      </c>
      <c r="H1424">
        <v>15</v>
      </c>
      <c r="I1424">
        <v>10</v>
      </c>
      <c r="J1424" t="s">
        <v>13</v>
      </c>
      <c r="K1424">
        <f>IF(J1424="Yes", 1, 0)</f>
        <v>0</v>
      </c>
      <c r="L1424" t="str">
        <f>IF(G1424=0,"0 Failures","1+ Failures")</f>
        <v>1+ Failures</v>
      </c>
      <c r="M1424" t="str">
        <f t="shared" si="68"/>
        <v>20+ hrs</v>
      </c>
      <c r="N1424" t="str">
        <f t="shared" si="66"/>
        <v>12+ months</v>
      </c>
      <c r="O1424" t="str">
        <f t="shared" si="67"/>
        <v>Basic</v>
      </c>
      <c r="P1424" s="7">
        <v>45657</v>
      </c>
    </row>
    <row r="1425" spans="1:16" x14ac:dyDescent="0.3">
      <c r="A1425">
        <v>1424</v>
      </c>
      <c r="B1425" s="7">
        <v>45224</v>
      </c>
      <c r="C1425" t="s">
        <v>10</v>
      </c>
      <c r="D1425">
        <v>699</v>
      </c>
      <c r="E1425">
        <v>23.3</v>
      </c>
      <c r="F1425">
        <v>5</v>
      </c>
      <c r="G1425">
        <v>3</v>
      </c>
      <c r="H1425">
        <v>34</v>
      </c>
      <c r="I1425">
        <v>50</v>
      </c>
      <c r="J1425" t="s">
        <v>11</v>
      </c>
      <c r="K1425">
        <f>IF(J1425="Yes", 1, 0)</f>
        <v>1</v>
      </c>
      <c r="L1425" t="str">
        <f>IF(G1425=0,"0 Failures","1+ Failures")</f>
        <v>1+ Failures</v>
      </c>
      <c r="M1425" t="str">
        <f t="shared" si="68"/>
        <v>20+ hrs</v>
      </c>
      <c r="N1425" t="str">
        <f t="shared" si="66"/>
        <v>12+ months</v>
      </c>
      <c r="O1425" t="str">
        <f t="shared" si="67"/>
        <v>Premium</v>
      </c>
      <c r="P1425" s="7">
        <v>45657</v>
      </c>
    </row>
    <row r="1426" spans="1:16" x14ac:dyDescent="0.3">
      <c r="A1426">
        <v>1425</v>
      </c>
      <c r="B1426" s="7">
        <v>45548</v>
      </c>
      <c r="C1426" t="s">
        <v>14</v>
      </c>
      <c r="D1426">
        <v>399</v>
      </c>
      <c r="E1426">
        <v>1.5</v>
      </c>
      <c r="F1426">
        <v>6</v>
      </c>
      <c r="G1426">
        <v>1</v>
      </c>
      <c r="H1426">
        <v>28</v>
      </c>
      <c r="I1426">
        <v>13</v>
      </c>
      <c r="J1426" t="s">
        <v>13</v>
      </c>
      <c r="K1426">
        <f>IF(J1426="Yes", 1, 0)</f>
        <v>0</v>
      </c>
      <c r="L1426" t="str">
        <f>IF(G1426=0,"0 Failures","1+ Failures")</f>
        <v>1+ Failures</v>
      </c>
      <c r="M1426" t="str">
        <f t="shared" si="68"/>
        <v>0-5 hrs</v>
      </c>
      <c r="N1426" t="str">
        <f t="shared" si="66"/>
        <v>12+ months</v>
      </c>
      <c r="O1426" t="str">
        <f t="shared" si="67"/>
        <v>Basic</v>
      </c>
      <c r="P1426" s="7">
        <v>45657</v>
      </c>
    </row>
    <row r="1427" spans="1:16" x14ac:dyDescent="0.3">
      <c r="A1427">
        <v>1426</v>
      </c>
      <c r="B1427" s="7">
        <v>45243</v>
      </c>
      <c r="C1427" t="s">
        <v>12</v>
      </c>
      <c r="D1427">
        <v>199</v>
      </c>
      <c r="E1427">
        <v>14.4</v>
      </c>
      <c r="F1427">
        <v>7</v>
      </c>
      <c r="G1427">
        <v>0</v>
      </c>
      <c r="H1427">
        <v>10</v>
      </c>
      <c r="I1427">
        <v>51</v>
      </c>
      <c r="J1427" t="s">
        <v>11</v>
      </c>
      <c r="K1427">
        <f>IF(J1427="Yes", 1, 0)</f>
        <v>1</v>
      </c>
      <c r="L1427" t="str">
        <f>IF(G1427=0,"0 Failures","1+ Failures")</f>
        <v>0 Failures</v>
      </c>
      <c r="M1427" t="str">
        <f t="shared" si="68"/>
        <v>10-20hrs</v>
      </c>
      <c r="N1427" t="str">
        <f t="shared" si="66"/>
        <v>6-12months</v>
      </c>
      <c r="O1427" t="str">
        <f t="shared" si="67"/>
        <v>Basic</v>
      </c>
      <c r="P1427" s="7">
        <v>45657</v>
      </c>
    </row>
    <row r="1428" spans="1:16" x14ac:dyDescent="0.3">
      <c r="A1428">
        <v>1427</v>
      </c>
      <c r="B1428" s="7">
        <v>45092</v>
      </c>
      <c r="C1428" t="s">
        <v>10</v>
      </c>
      <c r="D1428">
        <v>699</v>
      </c>
      <c r="E1428">
        <v>12.7</v>
      </c>
      <c r="F1428">
        <v>7</v>
      </c>
      <c r="G1428">
        <v>2</v>
      </c>
      <c r="H1428">
        <v>6</v>
      </c>
      <c r="I1428">
        <v>10</v>
      </c>
      <c r="J1428" t="s">
        <v>13</v>
      </c>
      <c r="K1428">
        <f>IF(J1428="Yes", 1, 0)</f>
        <v>0</v>
      </c>
      <c r="L1428" t="str">
        <f>IF(G1428=0,"0 Failures","1+ Failures")</f>
        <v>1+ Failures</v>
      </c>
      <c r="M1428" t="str">
        <f t="shared" si="68"/>
        <v>10-20hrs</v>
      </c>
      <c r="N1428" t="str">
        <f t="shared" si="66"/>
        <v>3-6months</v>
      </c>
      <c r="O1428" t="str">
        <f t="shared" si="67"/>
        <v>Premium</v>
      </c>
      <c r="P1428" s="7">
        <v>45657</v>
      </c>
    </row>
    <row r="1429" spans="1:16" x14ac:dyDescent="0.3">
      <c r="A1429">
        <v>1428</v>
      </c>
      <c r="B1429" s="7">
        <v>45398</v>
      </c>
      <c r="C1429" t="s">
        <v>12</v>
      </c>
      <c r="D1429">
        <v>199</v>
      </c>
      <c r="E1429">
        <v>14.6</v>
      </c>
      <c r="F1429">
        <v>5</v>
      </c>
      <c r="G1429">
        <v>0</v>
      </c>
      <c r="H1429">
        <v>18</v>
      </c>
      <c r="I1429">
        <v>4</v>
      </c>
      <c r="J1429" t="s">
        <v>11</v>
      </c>
      <c r="K1429">
        <f>IF(J1429="Yes", 1, 0)</f>
        <v>1</v>
      </c>
      <c r="L1429" t="str">
        <f>IF(G1429=0,"0 Failures","1+ Failures")</f>
        <v>0 Failures</v>
      </c>
      <c r="M1429" t="str">
        <f t="shared" si="68"/>
        <v>10-20hrs</v>
      </c>
      <c r="N1429" t="str">
        <f t="shared" si="66"/>
        <v>12+ months</v>
      </c>
      <c r="O1429" t="str">
        <f t="shared" si="67"/>
        <v>Basic</v>
      </c>
      <c r="P1429" s="7">
        <v>45657</v>
      </c>
    </row>
    <row r="1430" spans="1:16" x14ac:dyDescent="0.3">
      <c r="A1430">
        <v>1429</v>
      </c>
      <c r="B1430" s="7">
        <v>45053</v>
      </c>
      <c r="C1430" t="s">
        <v>14</v>
      </c>
      <c r="D1430">
        <v>399</v>
      </c>
      <c r="E1430">
        <v>24.5</v>
      </c>
      <c r="F1430">
        <v>7</v>
      </c>
      <c r="G1430">
        <v>5</v>
      </c>
      <c r="H1430">
        <v>31</v>
      </c>
      <c r="I1430">
        <v>59</v>
      </c>
      <c r="J1430" t="s">
        <v>11</v>
      </c>
      <c r="K1430">
        <f>IF(J1430="Yes", 1, 0)</f>
        <v>1</v>
      </c>
      <c r="L1430" t="str">
        <f>IF(G1430=0,"0 Failures","1+ Failures")</f>
        <v>1+ Failures</v>
      </c>
      <c r="M1430" t="str">
        <f t="shared" si="68"/>
        <v>20+ hrs</v>
      </c>
      <c r="N1430" t="str">
        <f t="shared" si="66"/>
        <v>12+ months</v>
      </c>
      <c r="O1430" t="str">
        <f t="shared" si="67"/>
        <v>Basic</v>
      </c>
      <c r="P1430" s="7">
        <v>45657</v>
      </c>
    </row>
    <row r="1431" spans="1:16" x14ac:dyDescent="0.3">
      <c r="A1431">
        <v>1430</v>
      </c>
      <c r="B1431" s="7">
        <v>45623</v>
      </c>
      <c r="C1431" t="s">
        <v>10</v>
      </c>
      <c r="D1431">
        <v>699</v>
      </c>
      <c r="E1431">
        <v>1.5</v>
      </c>
      <c r="F1431">
        <v>4</v>
      </c>
      <c r="G1431">
        <v>3</v>
      </c>
      <c r="H1431">
        <v>32</v>
      </c>
      <c r="I1431">
        <v>26</v>
      </c>
      <c r="J1431" t="s">
        <v>11</v>
      </c>
      <c r="K1431">
        <f>IF(J1431="Yes", 1, 0)</f>
        <v>1</v>
      </c>
      <c r="L1431" t="str">
        <f>IF(G1431=0,"0 Failures","1+ Failures")</f>
        <v>1+ Failures</v>
      </c>
      <c r="M1431" t="str">
        <f t="shared" si="68"/>
        <v>0-5 hrs</v>
      </c>
      <c r="N1431" t="str">
        <f t="shared" si="66"/>
        <v>12+ months</v>
      </c>
      <c r="O1431" t="str">
        <f t="shared" si="67"/>
        <v>Premium</v>
      </c>
      <c r="P1431" s="7">
        <v>45657</v>
      </c>
    </row>
    <row r="1432" spans="1:16" x14ac:dyDescent="0.3">
      <c r="A1432">
        <v>1431</v>
      </c>
      <c r="B1432" s="7">
        <v>45445</v>
      </c>
      <c r="C1432" t="s">
        <v>12</v>
      </c>
      <c r="D1432">
        <v>199</v>
      </c>
      <c r="E1432">
        <v>9.5</v>
      </c>
      <c r="F1432">
        <v>5</v>
      </c>
      <c r="G1432">
        <v>2</v>
      </c>
      <c r="H1432">
        <v>29</v>
      </c>
      <c r="I1432">
        <v>5</v>
      </c>
      <c r="J1432" t="s">
        <v>13</v>
      </c>
      <c r="K1432">
        <f>IF(J1432="Yes", 1, 0)</f>
        <v>0</v>
      </c>
      <c r="L1432" t="str">
        <f>IF(G1432=0,"0 Failures","1+ Failures")</f>
        <v>1+ Failures</v>
      </c>
      <c r="M1432" t="str">
        <f t="shared" si="68"/>
        <v>5-10 hrs</v>
      </c>
      <c r="N1432" t="str">
        <f t="shared" si="66"/>
        <v>12+ months</v>
      </c>
      <c r="O1432" t="str">
        <f t="shared" si="67"/>
        <v>Basic</v>
      </c>
      <c r="P1432" s="7">
        <v>45657</v>
      </c>
    </row>
    <row r="1433" spans="1:16" x14ac:dyDescent="0.3">
      <c r="A1433">
        <v>1432</v>
      </c>
      <c r="B1433" s="7">
        <v>45177</v>
      </c>
      <c r="C1433" t="s">
        <v>14</v>
      </c>
      <c r="D1433">
        <v>399</v>
      </c>
      <c r="E1433">
        <v>22</v>
      </c>
      <c r="F1433">
        <v>0</v>
      </c>
      <c r="G1433">
        <v>4</v>
      </c>
      <c r="H1433">
        <v>17</v>
      </c>
      <c r="I1433">
        <v>41</v>
      </c>
      <c r="J1433" t="s">
        <v>11</v>
      </c>
      <c r="K1433">
        <f>IF(J1433="Yes", 1, 0)</f>
        <v>1</v>
      </c>
      <c r="L1433" t="str">
        <f>IF(G1433=0,"0 Failures","1+ Failures")</f>
        <v>1+ Failures</v>
      </c>
      <c r="M1433" t="str">
        <f t="shared" si="68"/>
        <v>20+ hrs</v>
      </c>
      <c r="N1433" t="str">
        <f t="shared" si="66"/>
        <v>12+ months</v>
      </c>
      <c r="O1433" t="str">
        <f t="shared" si="67"/>
        <v>Basic</v>
      </c>
      <c r="P1433" s="7">
        <v>45657</v>
      </c>
    </row>
    <row r="1434" spans="1:16" x14ac:dyDescent="0.3">
      <c r="A1434">
        <v>1433</v>
      </c>
      <c r="B1434" s="7">
        <v>45335</v>
      </c>
      <c r="C1434" t="s">
        <v>10</v>
      </c>
      <c r="D1434">
        <v>699</v>
      </c>
      <c r="E1434">
        <v>0.7</v>
      </c>
      <c r="F1434">
        <v>1</v>
      </c>
      <c r="G1434">
        <v>2</v>
      </c>
      <c r="H1434">
        <v>36</v>
      </c>
      <c r="I1434">
        <v>24</v>
      </c>
      <c r="J1434" t="s">
        <v>11</v>
      </c>
      <c r="K1434">
        <f>IF(J1434="Yes", 1, 0)</f>
        <v>1</v>
      </c>
      <c r="L1434" t="str">
        <f>IF(G1434=0,"0 Failures","1+ Failures")</f>
        <v>1+ Failures</v>
      </c>
      <c r="M1434" t="str">
        <f t="shared" si="68"/>
        <v>0-5 hrs</v>
      </c>
      <c r="N1434" t="str">
        <f t="shared" si="66"/>
        <v>12+ months</v>
      </c>
      <c r="O1434" t="str">
        <f t="shared" si="67"/>
        <v>Premium</v>
      </c>
      <c r="P1434" s="7">
        <v>45657</v>
      </c>
    </row>
    <row r="1435" spans="1:16" x14ac:dyDescent="0.3">
      <c r="A1435">
        <v>1434</v>
      </c>
      <c r="B1435" s="7">
        <v>45406</v>
      </c>
      <c r="C1435" t="s">
        <v>12</v>
      </c>
      <c r="D1435">
        <v>199</v>
      </c>
      <c r="E1435">
        <v>10</v>
      </c>
      <c r="F1435">
        <v>7</v>
      </c>
      <c r="G1435">
        <v>5</v>
      </c>
      <c r="H1435">
        <v>15</v>
      </c>
      <c r="I1435">
        <v>5</v>
      </c>
      <c r="J1435" t="s">
        <v>11</v>
      </c>
      <c r="K1435">
        <f>IF(J1435="Yes", 1, 0)</f>
        <v>1</v>
      </c>
      <c r="L1435" t="str">
        <f>IF(G1435=0,"0 Failures","1+ Failures")</f>
        <v>1+ Failures</v>
      </c>
      <c r="M1435" t="str">
        <f t="shared" si="68"/>
        <v>5-10 hrs</v>
      </c>
      <c r="N1435" t="str">
        <f t="shared" si="66"/>
        <v>12+ months</v>
      </c>
      <c r="O1435" t="str">
        <f t="shared" si="67"/>
        <v>Basic</v>
      </c>
      <c r="P1435" s="7">
        <v>45657</v>
      </c>
    </row>
    <row r="1436" spans="1:16" x14ac:dyDescent="0.3">
      <c r="A1436">
        <v>1435</v>
      </c>
      <c r="B1436" s="7">
        <v>45037</v>
      </c>
      <c r="C1436" t="s">
        <v>10</v>
      </c>
      <c r="D1436">
        <v>699</v>
      </c>
      <c r="E1436">
        <v>22.6</v>
      </c>
      <c r="F1436">
        <v>7</v>
      </c>
      <c r="G1436">
        <v>0</v>
      </c>
      <c r="H1436">
        <v>35</v>
      </c>
      <c r="I1436">
        <v>5</v>
      </c>
      <c r="J1436" t="s">
        <v>11</v>
      </c>
      <c r="K1436">
        <f>IF(J1436="Yes", 1, 0)</f>
        <v>1</v>
      </c>
      <c r="L1436" t="str">
        <f>IF(G1436=0,"0 Failures","1+ Failures")</f>
        <v>0 Failures</v>
      </c>
      <c r="M1436" t="str">
        <f t="shared" si="68"/>
        <v>20+ hrs</v>
      </c>
      <c r="N1436" t="str">
        <f t="shared" si="66"/>
        <v>12+ months</v>
      </c>
      <c r="O1436" t="str">
        <f t="shared" si="67"/>
        <v>Premium</v>
      </c>
      <c r="P1436" s="7">
        <v>45657</v>
      </c>
    </row>
    <row r="1437" spans="1:16" x14ac:dyDescent="0.3">
      <c r="A1437">
        <v>1436</v>
      </c>
      <c r="B1437" s="7">
        <v>45545</v>
      </c>
      <c r="C1437" t="s">
        <v>14</v>
      </c>
      <c r="D1437">
        <v>399</v>
      </c>
      <c r="E1437">
        <v>5.4</v>
      </c>
      <c r="F1437">
        <v>5</v>
      </c>
      <c r="G1437">
        <v>0</v>
      </c>
      <c r="H1437">
        <v>28</v>
      </c>
      <c r="I1437">
        <v>20</v>
      </c>
      <c r="J1437" t="s">
        <v>13</v>
      </c>
      <c r="K1437">
        <f>IF(J1437="Yes", 1, 0)</f>
        <v>0</v>
      </c>
      <c r="L1437" t="str">
        <f>IF(G1437=0,"0 Failures","1+ Failures")</f>
        <v>0 Failures</v>
      </c>
      <c r="M1437" t="str">
        <f t="shared" si="68"/>
        <v>5-10 hrs</v>
      </c>
      <c r="N1437" t="str">
        <f t="shared" si="66"/>
        <v>12+ months</v>
      </c>
      <c r="O1437" t="str">
        <f t="shared" si="67"/>
        <v>Basic</v>
      </c>
      <c r="P1437" s="7">
        <v>45657</v>
      </c>
    </row>
    <row r="1438" spans="1:16" x14ac:dyDescent="0.3">
      <c r="A1438">
        <v>1437</v>
      </c>
      <c r="B1438" s="7">
        <v>45485</v>
      </c>
      <c r="C1438" t="s">
        <v>14</v>
      </c>
      <c r="D1438">
        <v>399</v>
      </c>
      <c r="E1438">
        <v>17.7</v>
      </c>
      <c r="F1438">
        <v>7</v>
      </c>
      <c r="G1438">
        <v>0</v>
      </c>
      <c r="H1438">
        <v>14</v>
      </c>
      <c r="I1438">
        <v>17</v>
      </c>
      <c r="J1438" t="s">
        <v>13</v>
      </c>
      <c r="K1438">
        <f>IF(J1438="Yes", 1, 0)</f>
        <v>0</v>
      </c>
      <c r="L1438" t="str">
        <f>IF(G1438=0,"0 Failures","1+ Failures")</f>
        <v>0 Failures</v>
      </c>
      <c r="M1438" t="str">
        <f t="shared" si="68"/>
        <v>10-20hrs</v>
      </c>
      <c r="N1438" t="str">
        <f t="shared" si="66"/>
        <v>12+ months</v>
      </c>
      <c r="O1438" t="str">
        <f t="shared" si="67"/>
        <v>Basic</v>
      </c>
      <c r="P1438" s="7">
        <v>45657</v>
      </c>
    </row>
    <row r="1439" spans="1:16" x14ac:dyDescent="0.3">
      <c r="A1439">
        <v>1438</v>
      </c>
      <c r="B1439" s="7">
        <v>45542</v>
      </c>
      <c r="C1439" t="s">
        <v>12</v>
      </c>
      <c r="D1439">
        <v>199</v>
      </c>
      <c r="E1439">
        <v>4.0999999999999996</v>
      </c>
      <c r="F1439">
        <v>3</v>
      </c>
      <c r="G1439">
        <v>2</v>
      </c>
      <c r="H1439">
        <v>31</v>
      </c>
      <c r="I1439">
        <v>36</v>
      </c>
      <c r="J1439" t="s">
        <v>11</v>
      </c>
      <c r="K1439">
        <f>IF(J1439="Yes", 1, 0)</f>
        <v>1</v>
      </c>
      <c r="L1439" t="str">
        <f>IF(G1439=0,"0 Failures","1+ Failures")</f>
        <v>1+ Failures</v>
      </c>
      <c r="M1439" t="str">
        <f t="shared" si="68"/>
        <v>0-5 hrs</v>
      </c>
      <c r="N1439" t="str">
        <f t="shared" si="66"/>
        <v>12+ months</v>
      </c>
      <c r="O1439" t="str">
        <f t="shared" si="67"/>
        <v>Basic</v>
      </c>
      <c r="P1439" s="7">
        <v>45657</v>
      </c>
    </row>
    <row r="1440" spans="1:16" x14ac:dyDescent="0.3">
      <c r="A1440">
        <v>1439</v>
      </c>
      <c r="B1440" s="7">
        <v>45143</v>
      </c>
      <c r="C1440" t="s">
        <v>14</v>
      </c>
      <c r="D1440">
        <v>399</v>
      </c>
      <c r="E1440">
        <v>23.4</v>
      </c>
      <c r="F1440">
        <v>5</v>
      </c>
      <c r="G1440">
        <v>3</v>
      </c>
      <c r="H1440">
        <v>4</v>
      </c>
      <c r="I1440">
        <v>30</v>
      </c>
      <c r="J1440" t="s">
        <v>11</v>
      </c>
      <c r="K1440">
        <f>IF(J1440="Yes", 1, 0)</f>
        <v>1</v>
      </c>
      <c r="L1440" t="str">
        <f>IF(G1440=0,"0 Failures","1+ Failures")</f>
        <v>1+ Failures</v>
      </c>
      <c r="M1440" t="str">
        <f t="shared" si="68"/>
        <v>20+ hrs</v>
      </c>
      <c r="N1440" t="str">
        <f t="shared" si="66"/>
        <v>3-6months</v>
      </c>
      <c r="O1440" t="str">
        <f t="shared" si="67"/>
        <v>Basic</v>
      </c>
      <c r="P1440" s="7">
        <v>45657</v>
      </c>
    </row>
    <row r="1441" spans="1:16" x14ac:dyDescent="0.3">
      <c r="A1441">
        <v>1440</v>
      </c>
      <c r="B1441" s="7">
        <v>45341</v>
      </c>
      <c r="C1441" t="s">
        <v>12</v>
      </c>
      <c r="D1441">
        <v>199</v>
      </c>
      <c r="E1441">
        <v>7.1</v>
      </c>
      <c r="F1441">
        <v>2</v>
      </c>
      <c r="G1441">
        <v>0</v>
      </c>
      <c r="H1441">
        <v>28</v>
      </c>
      <c r="I1441">
        <v>9</v>
      </c>
      <c r="J1441" t="s">
        <v>11</v>
      </c>
      <c r="K1441">
        <f>IF(J1441="Yes", 1, 0)</f>
        <v>1</v>
      </c>
      <c r="L1441" t="str">
        <f>IF(G1441=0,"0 Failures","1+ Failures")</f>
        <v>0 Failures</v>
      </c>
      <c r="M1441" t="str">
        <f t="shared" si="68"/>
        <v>5-10 hrs</v>
      </c>
      <c r="N1441" t="str">
        <f t="shared" si="66"/>
        <v>12+ months</v>
      </c>
      <c r="O1441" t="str">
        <f t="shared" si="67"/>
        <v>Basic</v>
      </c>
      <c r="P1441" s="7">
        <v>45657</v>
      </c>
    </row>
    <row r="1442" spans="1:16" x14ac:dyDescent="0.3">
      <c r="A1442">
        <v>1441</v>
      </c>
      <c r="B1442" s="7">
        <v>45192</v>
      </c>
      <c r="C1442" t="s">
        <v>12</v>
      </c>
      <c r="D1442">
        <v>199</v>
      </c>
      <c r="E1442">
        <v>21.9</v>
      </c>
      <c r="F1442">
        <v>7</v>
      </c>
      <c r="G1442">
        <v>3</v>
      </c>
      <c r="H1442">
        <v>20</v>
      </c>
      <c r="I1442">
        <v>33</v>
      </c>
      <c r="J1442" t="s">
        <v>11</v>
      </c>
      <c r="K1442">
        <f>IF(J1442="Yes", 1, 0)</f>
        <v>1</v>
      </c>
      <c r="L1442" t="str">
        <f>IF(G1442=0,"0 Failures","1+ Failures")</f>
        <v>1+ Failures</v>
      </c>
      <c r="M1442" t="str">
        <f t="shared" si="68"/>
        <v>20+ hrs</v>
      </c>
      <c r="N1442" t="str">
        <f t="shared" si="66"/>
        <v>12+ months</v>
      </c>
      <c r="O1442" t="str">
        <f t="shared" si="67"/>
        <v>Basic</v>
      </c>
      <c r="P1442" s="7">
        <v>45657</v>
      </c>
    </row>
    <row r="1443" spans="1:16" x14ac:dyDescent="0.3">
      <c r="A1443">
        <v>1442</v>
      </c>
      <c r="B1443" s="7">
        <v>45130</v>
      </c>
      <c r="C1443" t="s">
        <v>12</v>
      </c>
      <c r="D1443">
        <v>199</v>
      </c>
      <c r="E1443">
        <v>2.8</v>
      </c>
      <c r="F1443">
        <v>6</v>
      </c>
      <c r="G1443">
        <v>2</v>
      </c>
      <c r="H1443">
        <v>4</v>
      </c>
      <c r="I1443">
        <v>48</v>
      </c>
      <c r="J1443" t="s">
        <v>11</v>
      </c>
      <c r="K1443">
        <f>IF(J1443="Yes", 1, 0)</f>
        <v>1</v>
      </c>
      <c r="L1443" t="str">
        <f>IF(G1443=0,"0 Failures","1+ Failures")</f>
        <v>1+ Failures</v>
      </c>
      <c r="M1443" t="str">
        <f t="shared" si="68"/>
        <v>0-5 hrs</v>
      </c>
      <c r="N1443" t="str">
        <f t="shared" si="66"/>
        <v>3-6months</v>
      </c>
      <c r="O1443" t="str">
        <f t="shared" si="67"/>
        <v>Basic</v>
      </c>
      <c r="P1443" s="7">
        <v>45657</v>
      </c>
    </row>
    <row r="1444" spans="1:16" x14ac:dyDescent="0.3">
      <c r="A1444">
        <v>1443</v>
      </c>
      <c r="B1444" s="7">
        <v>45640</v>
      </c>
      <c r="C1444" t="s">
        <v>14</v>
      </c>
      <c r="D1444">
        <v>399</v>
      </c>
      <c r="E1444">
        <v>12.3</v>
      </c>
      <c r="F1444">
        <v>8</v>
      </c>
      <c r="G1444">
        <v>5</v>
      </c>
      <c r="H1444">
        <v>27</v>
      </c>
      <c r="I1444">
        <v>50</v>
      </c>
      <c r="J1444" t="s">
        <v>11</v>
      </c>
      <c r="K1444">
        <f>IF(J1444="Yes", 1, 0)</f>
        <v>1</v>
      </c>
      <c r="L1444" t="str">
        <f>IF(G1444=0,"0 Failures","1+ Failures")</f>
        <v>1+ Failures</v>
      </c>
      <c r="M1444" t="str">
        <f t="shared" si="68"/>
        <v>10-20hrs</v>
      </c>
      <c r="N1444" t="str">
        <f t="shared" si="66"/>
        <v>12+ months</v>
      </c>
      <c r="O1444" t="str">
        <f t="shared" si="67"/>
        <v>Basic</v>
      </c>
      <c r="P1444" s="7">
        <v>45657</v>
      </c>
    </row>
    <row r="1445" spans="1:16" x14ac:dyDescent="0.3">
      <c r="A1445">
        <v>1444</v>
      </c>
      <c r="B1445" s="7">
        <v>45538</v>
      </c>
      <c r="C1445" t="s">
        <v>14</v>
      </c>
      <c r="D1445">
        <v>399</v>
      </c>
      <c r="E1445">
        <v>22.9</v>
      </c>
      <c r="F1445">
        <v>6</v>
      </c>
      <c r="G1445">
        <v>0</v>
      </c>
      <c r="H1445">
        <v>23</v>
      </c>
      <c r="I1445">
        <v>35</v>
      </c>
      <c r="J1445" t="s">
        <v>13</v>
      </c>
      <c r="K1445">
        <f>IF(J1445="Yes", 1, 0)</f>
        <v>0</v>
      </c>
      <c r="L1445" t="str">
        <f>IF(G1445=0,"0 Failures","1+ Failures")</f>
        <v>0 Failures</v>
      </c>
      <c r="M1445" t="str">
        <f t="shared" si="68"/>
        <v>20+ hrs</v>
      </c>
      <c r="N1445" t="str">
        <f t="shared" si="66"/>
        <v>12+ months</v>
      </c>
      <c r="O1445" t="str">
        <f t="shared" si="67"/>
        <v>Basic</v>
      </c>
      <c r="P1445" s="7">
        <v>45657</v>
      </c>
    </row>
    <row r="1446" spans="1:16" x14ac:dyDescent="0.3">
      <c r="A1446">
        <v>1445</v>
      </c>
      <c r="B1446" s="7">
        <v>45251</v>
      </c>
      <c r="C1446" t="s">
        <v>12</v>
      </c>
      <c r="D1446">
        <v>199</v>
      </c>
      <c r="E1446">
        <v>18.2</v>
      </c>
      <c r="F1446">
        <v>2</v>
      </c>
      <c r="G1446">
        <v>2</v>
      </c>
      <c r="H1446">
        <v>5</v>
      </c>
      <c r="I1446">
        <v>42</v>
      </c>
      <c r="J1446" t="s">
        <v>13</v>
      </c>
      <c r="K1446">
        <f>IF(J1446="Yes", 1, 0)</f>
        <v>0</v>
      </c>
      <c r="L1446" t="str">
        <f>IF(G1446=0,"0 Failures","1+ Failures")</f>
        <v>1+ Failures</v>
      </c>
      <c r="M1446" t="str">
        <f t="shared" si="68"/>
        <v>10-20hrs</v>
      </c>
      <c r="N1446" t="str">
        <f t="shared" si="66"/>
        <v>3-6months</v>
      </c>
      <c r="O1446" t="str">
        <f t="shared" si="67"/>
        <v>Basic</v>
      </c>
      <c r="P1446" s="7">
        <v>45657</v>
      </c>
    </row>
    <row r="1447" spans="1:16" x14ac:dyDescent="0.3">
      <c r="A1447">
        <v>1446</v>
      </c>
      <c r="B1447" s="7">
        <v>45617</v>
      </c>
      <c r="C1447" t="s">
        <v>12</v>
      </c>
      <c r="D1447">
        <v>199</v>
      </c>
      <c r="E1447">
        <v>22.5</v>
      </c>
      <c r="F1447">
        <v>2</v>
      </c>
      <c r="G1447">
        <v>3</v>
      </c>
      <c r="H1447">
        <v>10</v>
      </c>
      <c r="I1447">
        <v>55</v>
      </c>
      <c r="J1447" t="s">
        <v>11</v>
      </c>
      <c r="K1447">
        <f>IF(J1447="Yes", 1, 0)</f>
        <v>1</v>
      </c>
      <c r="L1447" t="str">
        <f>IF(G1447=0,"0 Failures","1+ Failures")</f>
        <v>1+ Failures</v>
      </c>
      <c r="M1447" t="str">
        <f t="shared" si="68"/>
        <v>20+ hrs</v>
      </c>
      <c r="N1447" t="str">
        <f t="shared" si="66"/>
        <v>6-12months</v>
      </c>
      <c r="O1447" t="str">
        <f t="shared" si="67"/>
        <v>Basic</v>
      </c>
      <c r="P1447" s="7">
        <v>45657</v>
      </c>
    </row>
    <row r="1448" spans="1:16" x14ac:dyDescent="0.3">
      <c r="A1448">
        <v>1447</v>
      </c>
      <c r="B1448" s="7">
        <v>45055</v>
      </c>
      <c r="C1448" t="s">
        <v>14</v>
      </c>
      <c r="D1448">
        <v>399</v>
      </c>
      <c r="E1448">
        <v>13.3</v>
      </c>
      <c r="F1448">
        <v>0</v>
      </c>
      <c r="G1448">
        <v>3</v>
      </c>
      <c r="H1448">
        <v>17</v>
      </c>
      <c r="I1448">
        <v>60</v>
      </c>
      <c r="J1448" t="s">
        <v>13</v>
      </c>
      <c r="K1448">
        <f>IF(J1448="Yes", 1, 0)</f>
        <v>0</v>
      </c>
      <c r="L1448" t="str">
        <f>IF(G1448=0,"0 Failures","1+ Failures")</f>
        <v>1+ Failures</v>
      </c>
      <c r="M1448" t="str">
        <f t="shared" si="68"/>
        <v>10-20hrs</v>
      </c>
      <c r="N1448" t="str">
        <f t="shared" si="66"/>
        <v>12+ months</v>
      </c>
      <c r="O1448" t="str">
        <f t="shared" si="67"/>
        <v>Basic</v>
      </c>
      <c r="P1448" s="7">
        <v>45657</v>
      </c>
    </row>
    <row r="1449" spans="1:16" x14ac:dyDescent="0.3">
      <c r="A1449">
        <v>1448</v>
      </c>
      <c r="B1449" s="7">
        <v>45119</v>
      </c>
      <c r="C1449" t="s">
        <v>10</v>
      </c>
      <c r="D1449">
        <v>699</v>
      </c>
      <c r="E1449">
        <v>16.2</v>
      </c>
      <c r="F1449">
        <v>1</v>
      </c>
      <c r="G1449">
        <v>0</v>
      </c>
      <c r="H1449">
        <v>29</v>
      </c>
      <c r="I1449">
        <v>13</v>
      </c>
      <c r="J1449" t="s">
        <v>13</v>
      </c>
      <c r="K1449">
        <f>IF(J1449="Yes", 1, 0)</f>
        <v>0</v>
      </c>
      <c r="L1449" t="str">
        <f>IF(G1449=0,"0 Failures","1+ Failures")</f>
        <v>0 Failures</v>
      </c>
      <c r="M1449" t="str">
        <f t="shared" si="68"/>
        <v>10-20hrs</v>
      </c>
      <c r="N1449" t="str">
        <f t="shared" si="66"/>
        <v>12+ months</v>
      </c>
      <c r="O1449" t="str">
        <f t="shared" si="67"/>
        <v>Premium</v>
      </c>
      <c r="P1449" s="7">
        <v>45657</v>
      </c>
    </row>
    <row r="1450" spans="1:16" x14ac:dyDescent="0.3">
      <c r="A1450">
        <v>1449</v>
      </c>
      <c r="B1450" s="7">
        <v>45122</v>
      </c>
      <c r="C1450" t="s">
        <v>14</v>
      </c>
      <c r="D1450">
        <v>399</v>
      </c>
      <c r="E1450">
        <v>19.5</v>
      </c>
      <c r="F1450">
        <v>6</v>
      </c>
      <c r="G1450">
        <v>1</v>
      </c>
      <c r="H1450">
        <v>35</v>
      </c>
      <c r="I1450">
        <v>22</v>
      </c>
      <c r="J1450" t="s">
        <v>11</v>
      </c>
      <c r="K1450">
        <f>IF(J1450="Yes", 1, 0)</f>
        <v>1</v>
      </c>
      <c r="L1450" t="str">
        <f>IF(G1450=0,"0 Failures","1+ Failures")</f>
        <v>1+ Failures</v>
      </c>
      <c r="M1450" t="str">
        <f t="shared" si="68"/>
        <v>10-20hrs</v>
      </c>
      <c r="N1450" t="str">
        <f t="shared" si="66"/>
        <v>12+ months</v>
      </c>
      <c r="O1450" t="str">
        <f t="shared" si="67"/>
        <v>Basic</v>
      </c>
      <c r="P1450" s="7">
        <v>45657</v>
      </c>
    </row>
    <row r="1451" spans="1:16" x14ac:dyDescent="0.3">
      <c r="A1451">
        <v>1450</v>
      </c>
      <c r="B1451" s="7">
        <v>45441</v>
      </c>
      <c r="C1451" t="s">
        <v>10</v>
      </c>
      <c r="D1451">
        <v>699</v>
      </c>
      <c r="E1451">
        <v>9.6</v>
      </c>
      <c r="F1451">
        <v>5</v>
      </c>
      <c r="G1451">
        <v>0</v>
      </c>
      <c r="H1451">
        <v>1</v>
      </c>
      <c r="I1451">
        <v>19</v>
      </c>
      <c r="J1451" t="s">
        <v>13</v>
      </c>
      <c r="K1451">
        <f>IF(J1451="Yes", 1, 0)</f>
        <v>0</v>
      </c>
      <c r="L1451" t="str">
        <f>IF(G1451=0,"0 Failures","1+ Failures")</f>
        <v>0 Failures</v>
      </c>
      <c r="M1451" t="str">
        <f t="shared" si="68"/>
        <v>5-10 hrs</v>
      </c>
      <c r="N1451" t="str">
        <f t="shared" si="66"/>
        <v>0-3months</v>
      </c>
      <c r="O1451" t="str">
        <f t="shared" si="67"/>
        <v>Premium</v>
      </c>
      <c r="P1451" s="7">
        <v>45657</v>
      </c>
    </row>
    <row r="1452" spans="1:16" x14ac:dyDescent="0.3">
      <c r="A1452">
        <v>1451</v>
      </c>
      <c r="B1452" s="7">
        <v>45482</v>
      </c>
      <c r="C1452" t="s">
        <v>12</v>
      </c>
      <c r="D1452">
        <v>199</v>
      </c>
      <c r="E1452">
        <v>16.399999999999999</v>
      </c>
      <c r="F1452">
        <v>7</v>
      </c>
      <c r="G1452">
        <v>3</v>
      </c>
      <c r="H1452">
        <v>32</v>
      </c>
      <c r="I1452">
        <v>26</v>
      </c>
      <c r="J1452" t="s">
        <v>11</v>
      </c>
      <c r="K1452">
        <f>IF(J1452="Yes", 1, 0)</f>
        <v>1</v>
      </c>
      <c r="L1452" t="str">
        <f>IF(G1452=0,"0 Failures","1+ Failures")</f>
        <v>1+ Failures</v>
      </c>
      <c r="M1452" t="str">
        <f t="shared" si="68"/>
        <v>10-20hrs</v>
      </c>
      <c r="N1452" t="str">
        <f t="shared" si="66"/>
        <v>12+ months</v>
      </c>
      <c r="O1452" t="str">
        <f t="shared" si="67"/>
        <v>Basic</v>
      </c>
      <c r="P1452" s="7">
        <v>45657</v>
      </c>
    </row>
    <row r="1453" spans="1:16" x14ac:dyDescent="0.3">
      <c r="A1453">
        <v>1452</v>
      </c>
      <c r="B1453" s="7">
        <v>45365</v>
      </c>
      <c r="C1453" t="s">
        <v>14</v>
      </c>
      <c r="D1453">
        <v>399</v>
      </c>
      <c r="E1453">
        <v>24.4</v>
      </c>
      <c r="F1453">
        <v>5</v>
      </c>
      <c r="G1453">
        <v>0</v>
      </c>
      <c r="H1453">
        <v>34</v>
      </c>
      <c r="I1453">
        <v>59</v>
      </c>
      <c r="J1453" t="s">
        <v>11</v>
      </c>
      <c r="K1453">
        <f>IF(J1453="Yes", 1, 0)</f>
        <v>1</v>
      </c>
      <c r="L1453" t="str">
        <f>IF(G1453=0,"0 Failures","1+ Failures")</f>
        <v>0 Failures</v>
      </c>
      <c r="M1453" t="str">
        <f t="shared" si="68"/>
        <v>20+ hrs</v>
      </c>
      <c r="N1453" t="str">
        <f t="shared" si="66"/>
        <v>12+ months</v>
      </c>
      <c r="O1453" t="str">
        <f t="shared" si="67"/>
        <v>Basic</v>
      </c>
      <c r="P1453" s="7">
        <v>45657</v>
      </c>
    </row>
    <row r="1454" spans="1:16" x14ac:dyDescent="0.3">
      <c r="A1454">
        <v>1453</v>
      </c>
      <c r="B1454" s="7">
        <v>45602</v>
      </c>
      <c r="C1454" t="s">
        <v>14</v>
      </c>
      <c r="D1454">
        <v>399</v>
      </c>
      <c r="E1454">
        <v>14</v>
      </c>
      <c r="F1454">
        <v>2</v>
      </c>
      <c r="G1454">
        <v>4</v>
      </c>
      <c r="H1454">
        <v>12</v>
      </c>
      <c r="I1454">
        <v>27</v>
      </c>
      <c r="J1454" t="s">
        <v>11</v>
      </c>
      <c r="K1454">
        <f>IF(J1454="Yes", 1, 0)</f>
        <v>1</v>
      </c>
      <c r="L1454" t="str">
        <f>IF(G1454=0,"0 Failures","1+ Failures")</f>
        <v>1+ Failures</v>
      </c>
      <c r="M1454" t="str">
        <f t="shared" si="68"/>
        <v>10-20hrs</v>
      </c>
      <c r="N1454" t="str">
        <f t="shared" si="66"/>
        <v>6-12months</v>
      </c>
      <c r="O1454" t="str">
        <f t="shared" si="67"/>
        <v>Basic</v>
      </c>
      <c r="P1454" s="7">
        <v>45657</v>
      </c>
    </row>
    <row r="1455" spans="1:16" x14ac:dyDescent="0.3">
      <c r="A1455">
        <v>1454</v>
      </c>
      <c r="B1455" s="7">
        <v>45018</v>
      </c>
      <c r="C1455" t="s">
        <v>10</v>
      </c>
      <c r="D1455">
        <v>699</v>
      </c>
      <c r="E1455">
        <v>16</v>
      </c>
      <c r="F1455">
        <v>1</v>
      </c>
      <c r="G1455">
        <v>0</v>
      </c>
      <c r="H1455">
        <v>28</v>
      </c>
      <c r="I1455">
        <v>51</v>
      </c>
      <c r="J1455" t="s">
        <v>13</v>
      </c>
      <c r="K1455">
        <f>IF(J1455="Yes", 1, 0)</f>
        <v>0</v>
      </c>
      <c r="L1455" t="str">
        <f>IF(G1455=0,"0 Failures","1+ Failures")</f>
        <v>0 Failures</v>
      </c>
      <c r="M1455" t="str">
        <f t="shared" si="68"/>
        <v>10-20hrs</v>
      </c>
      <c r="N1455" t="str">
        <f t="shared" si="66"/>
        <v>12+ months</v>
      </c>
      <c r="O1455" t="str">
        <f t="shared" si="67"/>
        <v>Premium</v>
      </c>
      <c r="P1455" s="7">
        <v>45657</v>
      </c>
    </row>
    <row r="1456" spans="1:16" x14ac:dyDescent="0.3">
      <c r="A1456">
        <v>1455</v>
      </c>
      <c r="B1456" s="7">
        <v>45565</v>
      </c>
      <c r="C1456" t="s">
        <v>10</v>
      </c>
      <c r="D1456">
        <v>699</v>
      </c>
      <c r="E1456">
        <v>15.6</v>
      </c>
      <c r="F1456">
        <v>6</v>
      </c>
      <c r="G1456">
        <v>0</v>
      </c>
      <c r="H1456">
        <v>2</v>
      </c>
      <c r="I1456">
        <v>31</v>
      </c>
      <c r="J1456" t="s">
        <v>13</v>
      </c>
      <c r="K1456">
        <f>IF(J1456="Yes", 1, 0)</f>
        <v>0</v>
      </c>
      <c r="L1456" t="str">
        <f>IF(G1456=0,"0 Failures","1+ Failures")</f>
        <v>0 Failures</v>
      </c>
      <c r="M1456" t="str">
        <f t="shared" si="68"/>
        <v>10-20hrs</v>
      </c>
      <c r="N1456" t="str">
        <f t="shared" si="66"/>
        <v>0-3months</v>
      </c>
      <c r="O1456" t="str">
        <f t="shared" si="67"/>
        <v>Premium</v>
      </c>
      <c r="P1456" s="7">
        <v>45657</v>
      </c>
    </row>
    <row r="1457" spans="1:16" x14ac:dyDescent="0.3">
      <c r="A1457">
        <v>1456</v>
      </c>
      <c r="B1457" s="7">
        <v>45223</v>
      </c>
      <c r="C1457" t="s">
        <v>10</v>
      </c>
      <c r="D1457">
        <v>699</v>
      </c>
      <c r="E1457">
        <v>16</v>
      </c>
      <c r="F1457">
        <v>8</v>
      </c>
      <c r="G1457">
        <v>4</v>
      </c>
      <c r="H1457">
        <v>7</v>
      </c>
      <c r="I1457">
        <v>51</v>
      </c>
      <c r="J1457" t="s">
        <v>11</v>
      </c>
      <c r="K1457">
        <f>IF(J1457="Yes", 1, 0)</f>
        <v>1</v>
      </c>
      <c r="L1457" t="str">
        <f>IF(G1457=0,"0 Failures","1+ Failures")</f>
        <v>1+ Failures</v>
      </c>
      <c r="M1457" t="str">
        <f t="shared" si="68"/>
        <v>10-20hrs</v>
      </c>
      <c r="N1457" t="str">
        <f t="shared" si="66"/>
        <v>6-12months</v>
      </c>
      <c r="O1457" t="str">
        <f t="shared" si="67"/>
        <v>Premium</v>
      </c>
      <c r="P1457" s="7">
        <v>45657</v>
      </c>
    </row>
    <row r="1458" spans="1:16" x14ac:dyDescent="0.3">
      <c r="A1458">
        <v>1457</v>
      </c>
      <c r="B1458" s="7">
        <v>45407</v>
      </c>
      <c r="C1458" t="s">
        <v>14</v>
      </c>
      <c r="D1458">
        <v>399</v>
      </c>
      <c r="E1458">
        <v>6</v>
      </c>
      <c r="F1458">
        <v>7</v>
      </c>
      <c r="G1458">
        <v>4</v>
      </c>
      <c r="H1458">
        <v>14</v>
      </c>
      <c r="I1458">
        <v>24</v>
      </c>
      <c r="J1458" t="s">
        <v>11</v>
      </c>
      <c r="K1458">
        <f>IF(J1458="Yes", 1, 0)</f>
        <v>1</v>
      </c>
      <c r="L1458" t="str">
        <f>IF(G1458=0,"0 Failures","1+ Failures")</f>
        <v>1+ Failures</v>
      </c>
      <c r="M1458" t="str">
        <f t="shared" si="68"/>
        <v>5-10 hrs</v>
      </c>
      <c r="N1458" t="str">
        <f t="shared" si="66"/>
        <v>12+ months</v>
      </c>
      <c r="O1458" t="str">
        <f t="shared" si="67"/>
        <v>Basic</v>
      </c>
      <c r="P1458" s="7">
        <v>45657</v>
      </c>
    </row>
    <row r="1459" spans="1:16" x14ac:dyDescent="0.3">
      <c r="A1459">
        <v>1458</v>
      </c>
      <c r="B1459" s="7">
        <v>45647</v>
      </c>
      <c r="C1459" t="s">
        <v>12</v>
      </c>
      <c r="D1459">
        <v>199</v>
      </c>
      <c r="E1459">
        <v>24.2</v>
      </c>
      <c r="F1459">
        <v>7</v>
      </c>
      <c r="G1459">
        <v>3</v>
      </c>
      <c r="H1459">
        <v>23</v>
      </c>
      <c r="I1459">
        <v>58</v>
      </c>
      <c r="J1459" t="s">
        <v>13</v>
      </c>
      <c r="K1459">
        <f>IF(J1459="Yes", 1, 0)</f>
        <v>0</v>
      </c>
      <c r="L1459" t="str">
        <f>IF(G1459=0,"0 Failures","1+ Failures")</f>
        <v>1+ Failures</v>
      </c>
      <c r="M1459" t="str">
        <f t="shared" si="68"/>
        <v>20+ hrs</v>
      </c>
      <c r="N1459" t="str">
        <f t="shared" si="66"/>
        <v>12+ months</v>
      </c>
      <c r="O1459" t="str">
        <f t="shared" si="67"/>
        <v>Basic</v>
      </c>
      <c r="P1459" s="7">
        <v>45657</v>
      </c>
    </row>
    <row r="1460" spans="1:16" x14ac:dyDescent="0.3">
      <c r="A1460">
        <v>1459</v>
      </c>
      <c r="B1460" s="7">
        <v>45601</v>
      </c>
      <c r="C1460" t="s">
        <v>10</v>
      </c>
      <c r="D1460">
        <v>699</v>
      </c>
      <c r="E1460">
        <v>0.7</v>
      </c>
      <c r="F1460">
        <v>5</v>
      </c>
      <c r="G1460">
        <v>1</v>
      </c>
      <c r="H1460">
        <v>26</v>
      </c>
      <c r="I1460">
        <v>32</v>
      </c>
      <c r="J1460" t="s">
        <v>11</v>
      </c>
      <c r="K1460">
        <f>IF(J1460="Yes", 1, 0)</f>
        <v>1</v>
      </c>
      <c r="L1460" t="str">
        <f>IF(G1460=0,"0 Failures","1+ Failures")</f>
        <v>1+ Failures</v>
      </c>
      <c r="M1460" t="str">
        <f t="shared" si="68"/>
        <v>0-5 hrs</v>
      </c>
      <c r="N1460" t="str">
        <f t="shared" si="66"/>
        <v>12+ months</v>
      </c>
      <c r="O1460" t="str">
        <f t="shared" si="67"/>
        <v>Premium</v>
      </c>
      <c r="P1460" s="7">
        <v>45657</v>
      </c>
    </row>
    <row r="1461" spans="1:16" x14ac:dyDescent="0.3">
      <c r="A1461">
        <v>1460</v>
      </c>
      <c r="B1461" s="7">
        <v>45351</v>
      </c>
      <c r="C1461" t="s">
        <v>14</v>
      </c>
      <c r="D1461">
        <v>399</v>
      </c>
      <c r="E1461">
        <v>21</v>
      </c>
      <c r="F1461">
        <v>6</v>
      </c>
      <c r="G1461">
        <v>5</v>
      </c>
      <c r="H1461">
        <v>20</v>
      </c>
      <c r="I1461">
        <v>15</v>
      </c>
      <c r="J1461" t="s">
        <v>11</v>
      </c>
      <c r="K1461">
        <f>IF(J1461="Yes", 1, 0)</f>
        <v>1</v>
      </c>
      <c r="L1461" t="str">
        <f>IF(G1461=0,"0 Failures","1+ Failures")</f>
        <v>1+ Failures</v>
      </c>
      <c r="M1461" t="str">
        <f t="shared" si="68"/>
        <v>20+ hrs</v>
      </c>
      <c r="N1461" t="str">
        <f t="shared" si="66"/>
        <v>12+ months</v>
      </c>
      <c r="O1461" t="str">
        <f t="shared" si="67"/>
        <v>Basic</v>
      </c>
      <c r="P1461" s="7">
        <v>45657</v>
      </c>
    </row>
    <row r="1462" spans="1:16" x14ac:dyDescent="0.3">
      <c r="A1462">
        <v>1461</v>
      </c>
      <c r="B1462" s="7">
        <v>45252</v>
      </c>
      <c r="C1462" t="s">
        <v>12</v>
      </c>
      <c r="D1462">
        <v>199</v>
      </c>
      <c r="E1462">
        <v>1.1000000000000001</v>
      </c>
      <c r="F1462">
        <v>5</v>
      </c>
      <c r="G1462">
        <v>4</v>
      </c>
      <c r="H1462">
        <v>1</v>
      </c>
      <c r="I1462">
        <v>52</v>
      </c>
      <c r="J1462" t="s">
        <v>11</v>
      </c>
      <c r="K1462">
        <f>IF(J1462="Yes", 1, 0)</f>
        <v>1</v>
      </c>
      <c r="L1462" t="str">
        <f>IF(G1462=0,"0 Failures","1+ Failures")</f>
        <v>1+ Failures</v>
      </c>
      <c r="M1462" t="str">
        <f t="shared" si="68"/>
        <v>0-5 hrs</v>
      </c>
      <c r="N1462" t="str">
        <f t="shared" si="66"/>
        <v>0-3months</v>
      </c>
      <c r="O1462" t="str">
        <f t="shared" si="67"/>
        <v>Basic</v>
      </c>
      <c r="P1462" s="7">
        <v>45657</v>
      </c>
    </row>
    <row r="1463" spans="1:16" x14ac:dyDescent="0.3">
      <c r="A1463">
        <v>1462</v>
      </c>
      <c r="B1463" s="7">
        <v>45124</v>
      </c>
      <c r="C1463" t="s">
        <v>14</v>
      </c>
      <c r="D1463">
        <v>399</v>
      </c>
      <c r="E1463">
        <v>24</v>
      </c>
      <c r="F1463">
        <v>6</v>
      </c>
      <c r="G1463">
        <v>1</v>
      </c>
      <c r="H1463">
        <v>11</v>
      </c>
      <c r="I1463">
        <v>35</v>
      </c>
      <c r="J1463" t="s">
        <v>13</v>
      </c>
      <c r="K1463">
        <f>IF(J1463="Yes", 1, 0)</f>
        <v>0</v>
      </c>
      <c r="L1463" t="str">
        <f>IF(G1463=0,"0 Failures","1+ Failures")</f>
        <v>1+ Failures</v>
      </c>
      <c r="M1463" t="str">
        <f t="shared" si="68"/>
        <v>20+ hrs</v>
      </c>
      <c r="N1463" t="str">
        <f t="shared" si="66"/>
        <v>6-12months</v>
      </c>
      <c r="O1463" t="str">
        <f t="shared" si="67"/>
        <v>Basic</v>
      </c>
      <c r="P1463" s="7">
        <v>45657</v>
      </c>
    </row>
    <row r="1464" spans="1:16" x14ac:dyDescent="0.3">
      <c r="A1464">
        <v>1463</v>
      </c>
      <c r="B1464" s="7">
        <v>45104</v>
      </c>
      <c r="C1464" t="s">
        <v>10</v>
      </c>
      <c r="D1464">
        <v>699</v>
      </c>
      <c r="E1464">
        <v>20.8</v>
      </c>
      <c r="F1464">
        <v>6</v>
      </c>
      <c r="G1464">
        <v>1</v>
      </c>
      <c r="H1464">
        <v>26</v>
      </c>
      <c r="I1464">
        <v>60</v>
      </c>
      <c r="J1464" t="s">
        <v>13</v>
      </c>
      <c r="K1464">
        <f>IF(J1464="Yes", 1, 0)</f>
        <v>0</v>
      </c>
      <c r="L1464" t="str">
        <f>IF(G1464=0,"0 Failures","1+ Failures")</f>
        <v>1+ Failures</v>
      </c>
      <c r="M1464" t="str">
        <f t="shared" si="68"/>
        <v>20+ hrs</v>
      </c>
      <c r="N1464" t="str">
        <f t="shared" si="66"/>
        <v>12+ months</v>
      </c>
      <c r="O1464" t="str">
        <f t="shared" si="67"/>
        <v>Premium</v>
      </c>
      <c r="P1464" s="7">
        <v>45657</v>
      </c>
    </row>
    <row r="1465" spans="1:16" x14ac:dyDescent="0.3">
      <c r="A1465">
        <v>1464</v>
      </c>
      <c r="B1465" s="7">
        <v>45056</v>
      </c>
      <c r="C1465" t="s">
        <v>14</v>
      </c>
      <c r="D1465">
        <v>399</v>
      </c>
      <c r="E1465">
        <v>13.2</v>
      </c>
      <c r="F1465">
        <v>6</v>
      </c>
      <c r="G1465">
        <v>1</v>
      </c>
      <c r="H1465">
        <v>21</v>
      </c>
      <c r="I1465">
        <v>6</v>
      </c>
      <c r="J1465" t="s">
        <v>13</v>
      </c>
      <c r="K1465">
        <f>IF(J1465="Yes", 1, 0)</f>
        <v>0</v>
      </c>
      <c r="L1465" t="str">
        <f>IF(G1465=0,"0 Failures","1+ Failures")</f>
        <v>1+ Failures</v>
      </c>
      <c r="M1465" t="str">
        <f t="shared" si="68"/>
        <v>10-20hrs</v>
      </c>
      <c r="N1465" t="str">
        <f t="shared" si="66"/>
        <v>12+ months</v>
      </c>
      <c r="O1465" t="str">
        <f t="shared" si="67"/>
        <v>Basic</v>
      </c>
      <c r="P1465" s="7">
        <v>45657</v>
      </c>
    </row>
    <row r="1466" spans="1:16" x14ac:dyDescent="0.3">
      <c r="A1466">
        <v>1465</v>
      </c>
      <c r="B1466" s="7">
        <v>45493</v>
      </c>
      <c r="C1466" t="s">
        <v>10</v>
      </c>
      <c r="D1466">
        <v>699</v>
      </c>
      <c r="E1466">
        <v>16</v>
      </c>
      <c r="F1466">
        <v>6</v>
      </c>
      <c r="G1466">
        <v>5</v>
      </c>
      <c r="H1466">
        <v>8</v>
      </c>
      <c r="I1466">
        <v>58</v>
      </c>
      <c r="J1466" t="s">
        <v>11</v>
      </c>
      <c r="K1466">
        <f>IF(J1466="Yes", 1, 0)</f>
        <v>1</v>
      </c>
      <c r="L1466" t="str">
        <f>IF(G1466=0,"0 Failures","1+ Failures")</f>
        <v>1+ Failures</v>
      </c>
      <c r="M1466" t="str">
        <f t="shared" si="68"/>
        <v>10-20hrs</v>
      </c>
      <c r="N1466" t="str">
        <f t="shared" si="66"/>
        <v>6-12months</v>
      </c>
      <c r="O1466" t="str">
        <f t="shared" si="67"/>
        <v>Premium</v>
      </c>
      <c r="P1466" s="7">
        <v>45657</v>
      </c>
    </row>
    <row r="1467" spans="1:16" x14ac:dyDescent="0.3">
      <c r="A1467">
        <v>1466</v>
      </c>
      <c r="B1467" s="7">
        <v>45534</v>
      </c>
      <c r="C1467" t="s">
        <v>12</v>
      </c>
      <c r="D1467">
        <v>199</v>
      </c>
      <c r="E1467">
        <v>5.5</v>
      </c>
      <c r="F1467">
        <v>1</v>
      </c>
      <c r="G1467">
        <v>0</v>
      </c>
      <c r="H1467">
        <v>21</v>
      </c>
      <c r="I1467">
        <v>27</v>
      </c>
      <c r="J1467" t="s">
        <v>11</v>
      </c>
      <c r="K1467">
        <f>IF(J1467="Yes", 1, 0)</f>
        <v>1</v>
      </c>
      <c r="L1467" t="str">
        <f>IF(G1467=0,"0 Failures","1+ Failures")</f>
        <v>0 Failures</v>
      </c>
      <c r="M1467" t="str">
        <f t="shared" si="68"/>
        <v>5-10 hrs</v>
      </c>
      <c r="N1467" t="str">
        <f t="shared" si="66"/>
        <v>12+ months</v>
      </c>
      <c r="O1467" t="str">
        <f t="shared" si="67"/>
        <v>Basic</v>
      </c>
      <c r="P1467" s="7">
        <v>45657</v>
      </c>
    </row>
    <row r="1468" spans="1:16" x14ac:dyDescent="0.3">
      <c r="A1468">
        <v>1467</v>
      </c>
      <c r="B1468" s="7">
        <v>45060</v>
      </c>
      <c r="C1468" t="s">
        <v>12</v>
      </c>
      <c r="D1468">
        <v>199</v>
      </c>
      <c r="E1468">
        <v>15.6</v>
      </c>
      <c r="F1468">
        <v>8</v>
      </c>
      <c r="G1468">
        <v>0</v>
      </c>
      <c r="H1468">
        <v>2</v>
      </c>
      <c r="I1468">
        <v>36</v>
      </c>
      <c r="J1468" t="s">
        <v>11</v>
      </c>
      <c r="K1468">
        <f>IF(J1468="Yes", 1, 0)</f>
        <v>1</v>
      </c>
      <c r="L1468" t="str">
        <f>IF(G1468=0,"0 Failures","1+ Failures")</f>
        <v>0 Failures</v>
      </c>
      <c r="M1468" t="str">
        <f t="shared" si="68"/>
        <v>10-20hrs</v>
      </c>
      <c r="N1468" t="str">
        <f t="shared" si="66"/>
        <v>0-3months</v>
      </c>
      <c r="O1468" t="str">
        <f t="shared" si="67"/>
        <v>Basic</v>
      </c>
      <c r="P1468" s="7">
        <v>45657</v>
      </c>
    </row>
    <row r="1469" spans="1:16" x14ac:dyDescent="0.3">
      <c r="A1469">
        <v>1468</v>
      </c>
      <c r="B1469" s="7">
        <v>45178</v>
      </c>
      <c r="C1469" t="s">
        <v>14</v>
      </c>
      <c r="D1469">
        <v>399</v>
      </c>
      <c r="E1469">
        <v>5.0999999999999996</v>
      </c>
      <c r="F1469">
        <v>3</v>
      </c>
      <c r="G1469">
        <v>2</v>
      </c>
      <c r="H1469">
        <v>23</v>
      </c>
      <c r="I1469">
        <v>12</v>
      </c>
      <c r="J1469" t="s">
        <v>13</v>
      </c>
      <c r="K1469">
        <f>IF(J1469="Yes", 1, 0)</f>
        <v>0</v>
      </c>
      <c r="L1469" t="str">
        <f>IF(G1469=0,"0 Failures","1+ Failures")</f>
        <v>1+ Failures</v>
      </c>
      <c r="M1469" t="str">
        <f t="shared" si="68"/>
        <v>5-10 hrs</v>
      </c>
      <c r="N1469" t="str">
        <f t="shared" si="66"/>
        <v>12+ months</v>
      </c>
      <c r="O1469" t="str">
        <f t="shared" si="67"/>
        <v>Basic</v>
      </c>
      <c r="P1469" s="7">
        <v>45657</v>
      </c>
    </row>
    <row r="1470" spans="1:16" x14ac:dyDescent="0.3">
      <c r="A1470">
        <v>1469</v>
      </c>
      <c r="B1470" s="7">
        <v>45569</v>
      </c>
      <c r="C1470" t="s">
        <v>10</v>
      </c>
      <c r="D1470">
        <v>699</v>
      </c>
      <c r="E1470">
        <v>19.399999999999999</v>
      </c>
      <c r="F1470">
        <v>0</v>
      </c>
      <c r="G1470">
        <v>2</v>
      </c>
      <c r="H1470">
        <v>25</v>
      </c>
      <c r="I1470">
        <v>5</v>
      </c>
      <c r="J1470" t="s">
        <v>13</v>
      </c>
      <c r="K1470">
        <f>IF(J1470="Yes", 1, 0)</f>
        <v>0</v>
      </c>
      <c r="L1470" t="str">
        <f>IF(G1470=0,"0 Failures","1+ Failures")</f>
        <v>1+ Failures</v>
      </c>
      <c r="M1470" t="str">
        <f t="shared" si="68"/>
        <v>10-20hrs</v>
      </c>
      <c r="N1470" t="str">
        <f t="shared" si="66"/>
        <v>12+ months</v>
      </c>
      <c r="O1470" t="str">
        <f t="shared" si="67"/>
        <v>Premium</v>
      </c>
      <c r="P1470" s="7">
        <v>45657</v>
      </c>
    </row>
    <row r="1471" spans="1:16" x14ac:dyDescent="0.3">
      <c r="A1471">
        <v>1470</v>
      </c>
      <c r="B1471" s="7">
        <v>45111</v>
      </c>
      <c r="C1471" t="s">
        <v>12</v>
      </c>
      <c r="D1471">
        <v>199</v>
      </c>
      <c r="E1471">
        <v>3.2</v>
      </c>
      <c r="F1471">
        <v>1</v>
      </c>
      <c r="G1471">
        <v>0</v>
      </c>
      <c r="H1471">
        <v>7</v>
      </c>
      <c r="I1471">
        <v>9</v>
      </c>
      <c r="J1471" t="s">
        <v>11</v>
      </c>
      <c r="K1471">
        <f>IF(J1471="Yes", 1, 0)</f>
        <v>1</v>
      </c>
      <c r="L1471" t="str">
        <f>IF(G1471=0,"0 Failures","1+ Failures")</f>
        <v>0 Failures</v>
      </c>
      <c r="M1471" t="str">
        <f t="shared" si="68"/>
        <v>0-5 hrs</v>
      </c>
      <c r="N1471" t="str">
        <f t="shared" si="66"/>
        <v>6-12months</v>
      </c>
      <c r="O1471" t="str">
        <f t="shared" si="67"/>
        <v>Basic</v>
      </c>
      <c r="P1471" s="7">
        <v>45657</v>
      </c>
    </row>
    <row r="1472" spans="1:16" x14ac:dyDescent="0.3">
      <c r="A1472">
        <v>1471</v>
      </c>
      <c r="B1472" s="7">
        <v>44949</v>
      </c>
      <c r="C1472" t="s">
        <v>12</v>
      </c>
      <c r="D1472">
        <v>199</v>
      </c>
      <c r="E1472">
        <v>12.6</v>
      </c>
      <c r="F1472">
        <v>5</v>
      </c>
      <c r="G1472">
        <v>1</v>
      </c>
      <c r="H1472">
        <v>5</v>
      </c>
      <c r="I1472">
        <v>25</v>
      </c>
      <c r="J1472" t="s">
        <v>11</v>
      </c>
      <c r="K1472">
        <f>IF(J1472="Yes", 1, 0)</f>
        <v>1</v>
      </c>
      <c r="L1472" t="str">
        <f>IF(G1472=0,"0 Failures","1+ Failures")</f>
        <v>1+ Failures</v>
      </c>
      <c r="M1472" t="str">
        <f t="shared" si="68"/>
        <v>10-20hrs</v>
      </c>
      <c r="N1472" t="str">
        <f t="shared" si="66"/>
        <v>3-6months</v>
      </c>
      <c r="O1472" t="str">
        <f t="shared" si="67"/>
        <v>Basic</v>
      </c>
      <c r="P1472" s="7">
        <v>45657</v>
      </c>
    </row>
    <row r="1473" spans="1:16" x14ac:dyDescent="0.3">
      <c r="A1473">
        <v>1472</v>
      </c>
      <c r="B1473" s="7">
        <v>45248</v>
      </c>
      <c r="C1473" t="s">
        <v>14</v>
      </c>
      <c r="D1473">
        <v>399</v>
      </c>
      <c r="E1473">
        <v>12.4</v>
      </c>
      <c r="F1473">
        <v>1</v>
      </c>
      <c r="G1473">
        <v>1</v>
      </c>
      <c r="H1473">
        <v>5</v>
      </c>
      <c r="I1473">
        <v>43</v>
      </c>
      <c r="J1473" t="s">
        <v>13</v>
      </c>
      <c r="K1473">
        <f>IF(J1473="Yes", 1, 0)</f>
        <v>0</v>
      </c>
      <c r="L1473" t="str">
        <f>IF(G1473=0,"0 Failures","1+ Failures")</f>
        <v>1+ Failures</v>
      </c>
      <c r="M1473" t="str">
        <f t="shared" si="68"/>
        <v>10-20hrs</v>
      </c>
      <c r="N1473" t="str">
        <f t="shared" si="66"/>
        <v>3-6months</v>
      </c>
      <c r="O1473" t="str">
        <f t="shared" si="67"/>
        <v>Basic</v>
      </c>
      <c r="P1473" s="7">
        <v>45657</v>
      </c>
    </row>
    <row r="1474" spans="1:16" x14ac:dyDescent="0.3">
      <c r="A1474">
        <v>1473</v>
      </c>
      <c r="B1474" s="7">
        <v>45602</v>
      </c>
      <c r="C1474" t="s">
        <v>10</v>
      </c>
      <c r="D1474">
        <v>699</v>
      </c>
      <c r="E1474">
        <v>20.3</v>
      </c>
      <c r="F1474">
        <v>2</v>
      </c>
      <c r="G1474">
        <v>2</v>
      </c>
      <c r="H1474">
        <v>29</v>
      </c>
      <c r="I1474">
        <v>0</v>
      </c>
      <c r="J1474" t="s">
        <v>13</v>
      </c>
      <c r="K1474">
        <f>IF(J1474="Yes", 1, 0)</f>
        <v>0</v>
      </c>
      <c r="L1474" t="str">
        <f>IF(G1474=0,"0 Failures","1+ Failures")</f>
        <v>1+ Failures</v>
      </c>
      <c r="M1474" t="str">
        <f t="shared" si="68"/>
        <v>20+ hrs</v>
      </c>
      <c r="N1474" t="str">
        <f t="shared" si="66"/>
        <v>12+ months</v>
      </c>
      <c r="O1474" t="str">
        <f t="shared" si="67"/>
        <v>Premium</v>
      </c>
      <c r="P1474" s="7">
        <v>45657</v>
      </c>
    </row>
    <row r="1475" spans="1:16" x14ac:dyDescent="0.3">
      <c r="A1475">
        <v>1474</v>
      </c>
      <c r="B1475" s="7">
        <v>45541</v>
      </c>
      <c r="C1475" t="s">
        <v>10</v>
      </c>
      <c r="D1475">
        <v>699</v>
      </c>
      <c r="E1475">
        <v>3.4</v>
      </c>
      <c r="F1475">
        <v>5</v>
      </c>
      <c r="G1475">
        <v>2</v>
      </c>
      <c r="H1475">
        <v>3</v>
      </c>
      <c r="I1475">
        <v>30</v>
      </c>
      <c r="J1475" t="s">
        <v>11</v>
      </c>
      <c r="K1475">
        <f>IF(J1475="Yes", 1, 0)</f>
        <v>1</v>
      </c>
      <c r="L1475" t="str">
        <f>IF(G1475=0,"0 Failures","1+ Failures")</f>
        <v>1+ Failures</v>
      </c>
      <c r="M1475" t="str">
        <f t="shared" si="68"/>
        <v>0-5 hrs</v>
      </c>
      <c r="N1475" t="str">
        <f t="shared" ref="N1475:N1538" si="69">IF(H1475&lt;=3, "0-3months", IF(H1475&lt;=6, "3-6months", IF(H1475&lt;=12, "6-12months", "12+ months")))</f>
        <v>0-3months</v>
      </c>
      <c r="O1475" t="str">
        <f t="shared" ref="O1475:O1538" si="70">IF(C1475="premium", "Premium", "Basic")</f>
        <v>Premium</v>
      </c>
      <c r="P1475" s="7">
        <v>45657</v>
      </c>
    </row>
    <row r="1476" spans="1:16" x14ac:dyDescent="0.3">
      <c r="A1476">
        <v>1475</v>
      </c>
      <c r="B1476" s="7">
        <v>45475</v>
      </c>
      <c r="C1476" t="s">
        <v>10</v>
      </c>
      <c r="D1476">
        <v>699</v>
      </c>
      <c r="E1476">
        <v>4.4000000000000004</v>
      </c>
      <c r="F1476">
        <v>4</v>
      </c>
      <c r="G1476">
        <v>0</v>
      </c>
      <c r="H1476">
        <v>1</v>
      </c>
      <c r="I1476">
        <v>12</v>
      </c>
      <c r="J1476" t="s">
        <v>13</v>
      </c>
      <c r="K1476">
        <f>IF(J1476="Yes", 1, 0)</f>
        <v>0</v>
      </c>
      <c r="L1476" t="str">
        <f>IF(G1476=0,"0 Failures","1+ Failures")</f>
        <v>0 Failures</v>
      </c>
      <c r="M1476" t="str">
        <f t="shared" si="68"/>
        <v>0-5 hrs</v>
      </c>
      <c r="N1476" t="str">
        <f t="shared" si="69"/>
        <v>0-3months</v>
      </c>
      <c r="O1476" t="str">
        <f t="shared" si="70"/>
        <v>Premium</v>
      </c>
      <c r="P1476" s="7">
        <v>45657</v>
      </c>
    </row>
    <row r="1477" spans="1:16" x14ac:dyDescent="0.3">
      <c r="A1477">
        <v>1476</v>
      </c>
      <c r="B1477" s="7">
        <v>45149</v>
      </c>
      <c r="C1477" t="s">
        <v>12</v>
      </c>
      <c r="D1477">
        <v>199</v>
      </c>
      <c r="E1477">
        <v>13</v>
      </c>
      <c r="F1477">
        <v>2</v>
      </c>
      <c r="G1477">
        <v>1</v>
      </c>
      <c r="H1477">
        <v>34</v>
      </c>
      <c r="I1477">
        <v>55</v>
      </c>
      <c r="J1477" t="s">
        <v>13</v>
      </c>
      <c r="K1477">
        <f>IF(J1477="Yes", 1, 0)</f>
        <v>0</v>
      </c>
      <c r="L1477" t="str">
        <f>IF(G1477=0,"0 Failures","1+ Failures")</f>
        <v>1+ Failures</v>
      </c>
      <c r="M1477" t="str">
        <f t="shared" si="68"/>
        <v>10-20hrs</v>
      </c>
      <c r="N1477" t="str">
        <f t="shared" si="69"/>
        <v>12+ months</v>
      </c>
      <c r="O1477" t="str">
        <f t="shared" si="70"/>
        <v>Basic</v>
      </c>
      <c r="P1477" s="7">
        <v>45657</v>
      </c>
    </row>
    <row r="1478" spans="1:16" x14ac:dyDescent="0.3">
      <c r="A1478">
        <v>1477</v>
      </c>
      <c r="B1478" s="7">
        <v>45201</v>
      </c>
      <c r="C1478" t="s">
        <v>12</v>
      </c>
      <c r="D1478">
        <v>199</v>
      </c>
      <c r="E1478">
        <v>3.9</v>
      </c>
      <c r="F1478">
        <v>1</v>
      </c>
      <c r="G1478">
        <v>5</v>
      </c>
      <c r="H1478">
        <v>21</v>
      </c>
      <c r="I1478">
        <v>44</v>
      </c>
      <c r="J1478" t="s">
        <v>13</v>
      </c>
      <c r="K1478">
        <f>IF(J1478="Yes", 1, 0)</f>
        <v>0</v>
      </c>
      <c r="L1478" t="str">
        <f>IF(G1478=0,"0 Failures","1+ Failures")</f>
        <v>1+ Failures</v>
      </c>
      <c r="M1478" t="str">
        <f t="shared" si="68"/>
        <v>0-5 hrs</v>
      </c>
      <c r="N1478" t="str">
        <f t="shared" si="69"/>
        <v>12+ months</v>
      </c>
      <c r="O1478" t="str">
        <f t="shared" si="70"/>
        <v>Basic</v>
      </c>
      <c r="P1478" s="7">
        <v>45657</v>
      </c>
    </row>
    <row r="1479" spans="1:16" x14ac:dyDescent="0.3">
      <c r="A1479">
        <v>1478</v>
      </c>
      <c r="B1479" s="7">
        <v>45228</v>
      </c>
      <c r="C1479" t="s">
        <v>14</v>
      </c>
      <c r="D1479">
        <v>399</v>
      </c>
      <c r="E1479">
        <v>5.4</v>
      </c>
      <c r="F1479">
        <v>1</v>
      </c>
      <c r="G1479">
        <v>2</v>
      </c>
      <c r="H1479">
        <v>31</v>
      </c>
      <c r="I1479">
        <v>45</v>
      </c>
      <c r="J1479" t="s">
        <v>11</v>
      </c>
      <c r="K1479">
        <f>IF(J1479="Yes", 1, 0)</f>
        <v>1</v>
      </c>
      <c r="L1479" t="str">
        <f>IF(G1479=0,"0 Failures","1+ Failures")</f>
        <v>1+ Failures</v>
      </c>
      <c r="M1479" t="str">
        <f t="shared" si="68"/>
        <v>5-10 hrs</v>
      </c>
      <c r="N1479" t="str">
        <f t="shared" si="69"/>
        <v>12+ months</v>
      </c>
      <c r="O1479" t="str">
        <f t="shared" si="70"/>
        <v>Basic</v>
      </c>
      <c r="P1479" s="7">
        <v>45657</v>
      </c>
    </row>
    <row r="1480" spans="1:16" x14ac:dyDescent="0.3">
      <c r="A1480">
        <v>1479</v>
      </c>
      <c r="B1480" s="7">
        <v>45630</v>
      </c>
      <c r="C1480" t="s">
        <v>14</v>
      </c>
      <c r="D1480">
        <v>399</v>
      </c>
      <c r="E1480">
        <v>11.2</v>
      </c>
      <c r="F1480">
        <v>6</v>
      </c>
      <c r="G1480">
        <v>1</v>
      </c>
      <c r="H1480">
        <v>32</v>
      </c>
      <c r="I1480">
        <v>16</v>
      </c>
      <c r="J1480" t="s">
        <v>11</v>
      </c>
      <c r="K1480">
        <f>IF(J1480="Yes", 1, 0)</f>
        <v>1</v>
      </c>
      <c r="L1480" t="str">
        <f>IF(G1480=0,"0 Failures","1+ Failures")</f>
        <v>1+ Failures</v>
      </c>
      <c r="M1480" t="str">
        <f t="shared" si="68"/>
        <v>10-20hrs</v>
      </c>
      <c r="N1480" t="str">
        <f t="shared" si="69"/>
        <v>12+ months</v>
      </c>
      <c r="O1480" t="str">
        <f t="shared" si="70"/>
        <v>Basic</v>
      </c>
      <c r="P1480" s="7">
        <v>45657</v>
      </c>
    </row>
    <row r="1481" spans="1:16" x14ac:dyDescent="0.3">
      <c r="A1481">
        <v>1480</v>
      </c>
      <c r="B1481" s="7">
        <v>45246</v>
      </c>
      <c r="C1481" t="s">
        <v>10</v>
      </c>
      <c r="D1481">
        <v>699</v>
      </c>
      <c r="E1481">
        <v>24.1</v>
      </c>
      <c r="F1481">
        <v>1</v>
      </c>
      <c r="G1481">
        <v>4</v>
      </c>
      <c r="H1481">
        <v>18</v>
      </c>
      <c r="I1481">
        <v>50</v>
      </c>
      <c r="J1481" t="s">
        <v>13</v>
      </c>
      <c r="K1481">
        <f>IF(J1481="Yes", 1, 0)</f>
        <v>0</v>
      </c>
      <c r="L1481" t="str">
        <f>IF(G1481=0,"0 Failures","1+ Failures")</f>
        <v>1+ Failures</v>
      </c>
      <c r="M1481" t="str">
        <f t="shared" si="68"/>
        <v>20+ hrs</v>
      </c>
      <c r="N1481" t="str">
        <f t="shared" si="69"/>
        <v>12+ months</v>
      </c>
      <c r="O1481" t="str">
        <f t="shared" si="70"/>
        <v>Premium</v>
      </c>
      <c r="P1481" s="7">
        <v>45657</v>
      </c>
    </row>
    <row r="1482" spans="1:16" x14ac:dyDescent="0.3">
      <c r="A1482">
        <v>1481</v>
      </c>
      <c r="B1482" s="7">
        <v>45537</v>
      </c>
      <c r="C1482" t="s">
        <v>12</v>
      </c>
      <c r="D1482">
        <v>199</v>
      </c>
      <c r="E1482">
        <v>23.9</v>
      </c>
      <c r="F1482">
        <v>7</v>
      </c>
      <c r="G1482">
        <v>3</v>
      </c>
      <c r="H1482">
        <v>14</v>
      </c>
      <c r="I1482">
        <v>56</v>
      </c>
      <c r="J1482" t="s">
        <v>11</v>
      </c>
      <c r="K1482">
        <f>IF(J1482="Yes", 1, 0)</f>
        <v>1</v>
      </c>
      <c r="L1482" t="str">
        <f>IF(G1482=0,"0 Failures","1+ Failures")</f>
        <v>1+ Failures</v>
      </c>
      <c r="M1482" t="str">
        <f t="shared" si="68"/>
        <v>20+ hrs</v>
      </c>
      <c r="N1482" t="str">
        <f t="shared" si="69"/>
        <v>12+ months</v>
      </c>
      <c r="O1482" t="str">
        <f t="shared" si="70"/>
        <v>Basic</v>
      </c>
      <c r="P1482" s="7">
        <v>45657</v>
      </c>
    </row>
    <row r="1483" spans="1:16" x14ac:dyDescent="0.3">
      <c r="A1483">
        <v>1482</v>
      </c>
      <c r="B1483" s="7">
        <v>45507</v>
      </c>
      <c r="C1483" t="s">
        <v>10</v>
      </c>
      <c r="D1483">
        <v>699</v>
      </c>
      <c r="E1483">
        <v>20.5</v>
      </c>
      <c r="F1483">
        <v>1</v>
      </c>
      <c r="G1483">
        <v>4</v>
      </c>
      <c r="H1483">
        <v>18</v>
      </c>
      <c r="I1483">
        <v>24</v>
      </c>
      <c r="J1483" t="s">
        <v>11</v>
      </c>
      <c r="K1483">
        <f>IF(J1483="Yes", 1, 0)</f>
        <v>1</v>
      </c>
      <c r="L1483" t="str">
        <f>IF(G1483=0,"0 Failures","1+ Failures")</f>
        <v>1+ Failures</v>
      </c>
      <c r="M1483" t="str">
        <f t="shared" ref="M1483:M1546" si="71">IF(E1483&lt;=5, "0-5 hrs",    IF(E1483&lt;=10, "5-10 hrs",    IF(E1483&lt;=20, "10-20hrs", "20+ hrs")))</f>
        <v>20+ hrs</v>
      </c>
      <c r="N1483" t="str">
        <f t="shared" si="69"/>
        <v>12+ months</v>
      </c>
      <c r="O1483" t="str">
        <f t="shared" si="70"/>
        <v>Premium</v>
      </c>
      <c r="P1483" s="7">
        <v>45657</v>
      </c>
    </row>
    <row r="1484" spans="1:16" x14ac:dyDescent="0.3">
      <c r="A1484">
        <v>1483</v>
      </c>
      <c r="B1484" s="7">
        <v>45450</v>
      </c>
      <c r="C1484" t="s">
        <v>14</v>
      </c>
      <c r="D1484">
        <v>399</v>
      </c>
      <c r="E1484">
        <v>22.5</v>
      </c>
      <c r="F1484">
        <v>1</v>
      </c>
      <c r="G1484">
        <v>3</v>
      </c>
      <c r="H1484">
        <v>24</v>
      </c>
      <c r="I1484">
        <v>10</v>
      </c>
      <c r="J1484" t="s">
        <v>13</v>
      </c>
      <c r="K1484">
        <f>IF(J1484="Yes", 1, 0)</f>
        <v>0</v>
      </c>
      <c r="L1484" t="str">
        <f>IF(G1484=0,"0 Failures","1+ Failures")</f>
        <v>1+ Failures</v>
      </c>
      <c r="M1484" t="str">
        <f t="shared" si="71"/>
        <v>20+ hrs</v>
      </c>
      <c r="N1484" t="str">
        <f t="shared" si="69"/>
        <v>12+ months</v>
      </c>
      <c r="O1484" t="str">
        <f t="shared" si="70"/>
        <v>Basic</v>
      </c>
      <c r="P1484" s="7">
        <v>45657</v>
      </c>
    </row>
    <row r="1485" spans="1:16" x14ac:dyDescent="0.3">
      <c r="A1485">
        <v>1484</v>
      </c>
      <c r="B1485" s="7">
        <v>45111</v>
      </c>
      <c r="C1485" t="s">
        <v>14</v>
      </c>
      <c r="D1485">
        <v>399</v>
      </c>
      <c r="E1485">
        <v>7.7</v>
      </c>
      <c r="F1485">
        <v>8</v>
      </c>
      <c r="G1485">
        <v>2</v>
      </c>
      <c r="H1485">
        <v>27</v>
      </c>
      <c r="I1485">
        <v>25</v>
      </c>
      <c r="J1485" t="s">
        <v>11</v>
      </c>
      <c r="K1485">
        <f>IF(J1485="Yes", 1, 0)</f>
        <v>1</v>
      </c>
      <c r="L1485" t="str">
        <f>IF(G1485=0,"0 Failures","1+ Failures")</f>
        <v>1+ Failures</v>
      </c>
      <c r="M1485" t="str">
        <f t="shared" si="71"/>
        <v>5-10 hrs</v>
      </c>
      <c r="N1485" t="str">
        <f t="shared" si="69"/>
        <v>12+ months</v>
      </c>
      <c r="O1485" t="str">
        <f t="shared" si="70"/>
        <v>Basic</v>
      </c>
      <c r="P1485" s="7">
        <v>45657</v>
      </c>
    </row>
    <row r="1486" spans="1:16" x14ac:dyDescent="0.3">
      <c r="A1486">
        <v>1485</v>
      </c>
      <c r="B1486" s="7">
        <v>45307</v>
      </c>
      <c r="C1486" t="s">
        <v>14</v>
      </c>
      <c r="D1486">
        <v>399</v>
      </c>
      <c r="E1486">
        <v>19.899999999999999</v>
      </c>
      <c r="F1486">
        <v>5</v>
      </c>
      <c r="G1486">
        <v>1</v>
      </c>
      <c r="H1486">
        <v>28</v>
      </c>
      <c r="I1486">
        <v>4</v>
      </c>
      <c r="J1486" t="s">
        <v>11</v>
      </c>
      <c r="K1486">
        <f>IF(J1486="Yes", 1, 0)</f>
        <v>1</v>
      </c>
      <c r="L1486" t="str">
        <f>IF(G1486=0,"0 Failures","1+ Failures")</f>
        <v>1+ Failures</v>
      </c>
      <c r="M1486" t="str">
        <f t="shared" si="71"/>
        <v>10-20hrs</v>
      </c>
      <c r="N1486" t="str">
        <f t="shared" si="69"/>
        <v>12+ months</v>
      </c>
      <c r="O1486" t="str">
        <f t="shared" si="70"/>
        <v>Basic</v>
      </c>
      <c r="P1486" s="7">
        <v>45657</v>
      </c>
    </row>
    <row r="1487" spans="1:16" x14ac:dyDescent="0.3">
      <c r="A1487">
        <v>1486</v>
      </c>
      <c r="B1487" s="7">
        <v>45263</v>
      </c>
      <c r="C1487" t="s">
        <v>14</v>
      </c>
      <c r="D1487">
        <v>399</v>
      </c>
      <c r="E1487">
        <v>19.600000000000001</v>
      </c>
      <c r="F1487">
        <v>1</v>
      </c>
      <c r="G1487">
        <v>0</v>
      </c>
      <c r="H1487">
        <v>10</v>
      </c>
      <c r="I1487">
        <v>20</v>
      </c>
      <c r="J1487" t="s">
        <v>13</v>
      </c>
      <c r="K1487">
        <f>IF(J1487="Yes", 1, 0)</f>
        <v>0</v>
      </c>
      <c r="L1487" t="str">
        <f>IF(G1487=0,"0 Failures","1+ Failures")</f>
        <v>0 Failures</v>
      </c>
      <c r="M1487" t="str">
        <f t="shared" si="71"/>
        <v>10-20hrs</v>
      </c>
      <c r="N1487" t="str">
        <f t="shared" si="69"/>
        <v>6-12months</v>
      </c>
      <c r="O1487" t="str">
        <f t="shared" si="70"/>
        <v>Basic</v>
      </c>
      <c r="P1487" s="7">
        <v>45657</v>
      </c>
    </row>
    <row r="1488" spans="1:16" x14ac:dyDescent="0.3">
      <c r="A1488">
        <v>1487</v>
      </c>
      <c r="B1488" s="7">
        <v>45217</v>
      </c>
      <c r="C1488" t="s">
        <v>12</v>
      </c>
      <c r="D1488">
        <v>199</v>
      </c>
      <c r="E1488">
        <v>14.4</v>
      </c>
      <c r="F1488">
        <v>5</v>
      </c>
      <c r="G1488">
        <v>1</v>
      </c>
      <c r="H1488">
        <v>30</v>
      </c>
      <c r="I1488">
        <v>35</v>
      </c>
      <c r="J1488" t="s">
        <v>11</v>
      </c>
      <c r="K1488">
        <f>IF(J1488="Yes", 1, 0)</f>
        <v>1</v>
      </c>
      <c r="L1488" t="str">
        <f>IF(G1488=0,"0 Failures","1+ Failures")</f>
        <v>1+ Failures</v>
      </c>
      <c r="M1488" t="str">
        <f t="shared" si="71"/>
        <v>10-20hrs</v>
      </c>
      <c r="N1488" t="str">
        <f t="shared" si="69"/>
        <v>12+ months</v>
      </c>
      <c r="O1488" t="str">
        <f t="shared" si="70"/>
        <v>Basic</v>
      </c>
      <c r="P1488" s="7">
        <v>45657</v>
      </c>
    </row>
    <row r="1489" spans="1:16" x14ac:dyDescent="0.3">
      <c r="A1489">
        <v>1488</v>
      </c>
      <c r="B1489" s="7">
        <v>45614</v>
      </c>
      <c r="C1489" t="s">
        <v>10</v>
      </c>
      <c r="D1489">
        <v>699</v>
      </c>
      <c r="E1489">
        <v>13.4</v>
      </c>
      <c r="F1489">
        <v>1</v>
      </c>
      <c r="G1489">
        <v>4</v>
      </c>
      <c r="H1489">
        <v>14</v>
      </c>
      <c r="I1489">
        <v>17</v>
      </c>
      <c r="J1489" t="s">
        <v>13</v>
      </c>
      <c r="K1489">
        <f>IF(J1489="Yes", 1, 0)</f>
        <v>0</v>
      </c>
      <c r="L1489" t="str">
        <f>IF(G1489=0,"0 Failures","1+ Failures")</f>
        <v>1+ Failures</v>
      </c>
      <c r="M1489" t="str">
        <f t="shared" si="71"/>
        <v>10-20hrs</v>
      </c>
      <c r="N1489" t="str">
        <f t="shared" si="69"/>
        <v>12+ months</v>
      </c>
      <c r="O1489" t="str">
        <f t="shared" si="70"/>
        <v>Premium</v>
      </c>
      <c r="P1489" s="7">
        <v>45657</v>
      </c>
    </row>
    <row r="1490" spans="1:16" x14ac:dyDescent="0.3">
      <c r="A1490">
        <v>1489</v>
      </c>
      <c r="B1490" s="7">
        <v>45128</v>
      </c>
      <c r="C1490" t="s">
        <v>12</v>
      </c>
      <c r="D1490">
        <v>199</v>
      </c>
      <c r="E1490">
        <v>17.2</v>
      </c>
      <c r="F1490">
        <v>6</v>
      </c>
      <c r="G1490">
        <v>2</v>
      </c>
      <c r="H1490">
        <v>27</v>
      </c>
      <c r="I1490">
        <v>52</v>
      </c>
      <c r="J1490" t="s">
        <v>11</v>
      </c>
      <c r="K1490">
        <f>IF(J1490="Yes", 1, 0)</f>
        <v>1</v>
      </c>
      <c r="L1490" t="str">
        <f>IF(G1490=0,"0 Failures","1+ Failures")</f>
        <v>1+ Failures</v>
      </c>
      <c r="M1490" t="str">
        <f t="shared" si="71"/>
        <v>10-20hrs</v>
      </c>
      <c r="N1490" t="str">
        <f t="shared" si="69"/>
        <v>12+ months</v>
      </c>
      <c r="O1490" t="str">
        <f t="shared" si="70"/>
        <v>Basic</v>
      </c>
      <c r="P1490" s="7">
        <v>45657</v>
      </c>
    </row>
    <row r="1491" spans="1:16" x14ac:dyDescent="0.3">
      <c r="A1491">
        <v>1490</v>
      </c>
      <c r="B1491" s="7">
        <v>45102</v>
      </c>
      <c r="C1491" t="s">
        <v>12</v>
      </c>
      <c r="D1491">
        <v>199</v>
      </c>
      <c r="E1491">
        <v>12.7</v>
      </c>
      <c r="F1491">
        <v>4</v>
      </c>
      <c r="G1491">
        <v>3</v>
      </c>
      <c r="H1491">
        <v>32</v>
      </c>
      <c r="I1491">
        <v>7</v>
      </c>
      <c r="J1491" t="s">
        <v>11</v>
      </c>
      <c r="K1491">
        <f>IF(J1491="Yes", 1, 0)</f>
        <v>1</v>
      </c>
      <c r="L1491" t="str">
        <f>IF(G1491=0,"0 Failures","1+ Failures")</f>
        <v>1+ Failures</v>
      </c>
      <c r="M1491" t="str">
        <f t="shared" si="71"/>
        <v>10-20hrs</v>
      </c>
      <c r="N1491" t="str">
        <f t="shared" si="69"/>
        <v>12+ months</v>
      </c>
      <c r="O1491" t="str">
        <f t="shared" si="70"/>
        <v>Basic</v>
      </c>
      <c r="P1491" s="7">
        <v>45657</v>
      </c>
    </row>
    <row r="1492" spans="1:16" x14ac:dyDescent="0.3">
      <c r="A1492">
        <v>1491</v>
      </c>
      <c r="B1492" s="7">
        <v>45586</v>
      </c>
      <c r="C1492" t="s">
        <v>10</v>
      </c>
      <c r="D1492">
        <v>699</v>
      </c>
      <c r="E1492">
        <v>15</v>
      </c>
      <c r="F1492">
        <v>3</v>
      </c>
      <c r="G1492">
        <v>4</v>
      </c>
      <c r="H1492">
        <v>21</v>
      </c>
      <c r="I1492">
        <v>1</v>
      </c>
      <c r="J1492" t="s">
        <v>11</v>
      </c>
      <c r="K1492">
        <f>IF(J1492="Yes", 1, 0)</f>
        <v>1</v>
      </c>
      <c r="L1492" t="str">
        <f>IF(G1492=0,"0 Failures","1+ Failures")</f>
        <v>1+ Failures</v>
      </c>
      <c r="M1492" t="str">
        <f t="shared" si="71"/>
        <v>10-20hrs</v>
      </c>
      <c r="N1492" t="str">
        <f t="shared" si="69"/>
        <v>12+ months</v>
      </c>
      <c r="O1492" t="str">
        <f t="shared" si="70"/>
        <v>Premium</v>
      </c>
      <c r="P1492" s="7">
        <v>45657</v>
      </c>
    </row>
    <row r="1493" spans="1:16" x14ac:dyDescent="0.3">
      <c r="A1493">
        <v>1492</v>
      </c>
      <c r="B1493" s="7">
        <v>44964</v>
      </c>
      <c r="C1493" t="s">
        <v>10</v>
      </c>
      <c r="D1493">
        <v>699</v>
      </c>
      <c r="E1493">
        <v>22.8</v>
      </c>
      <c r="F1493">
        <v>4</v>
      </c>
      <c r="G1493">
        <v>1</v>
      </c>
      <c r="H1493">
        <v>1</v>
      </c>
      <c r="I1493">
        <v>53</v>
      </c>
      <c r="J1493" t="s">
        <v>13</v>
      </c>
      <c r="K1493">
        <f>IF(J1493="Yes", 1, 0)</f>
        <v>0</v>
      </c>
      <c r="L1493" t="str">
        <f>IF(G1493=0,"0 Failures","1+ Failures")</f>
        <v>1+ Failures</v>
      </c>
      <c r="M1493" t="str">
        <f t="shared" si="71"/>
        <v>20+ hrs</v>
      </c>
      <c r="N1493" t="str">
        <f t="shared" si="69"/>
        <v>0-3months</v>
      </c>
      <c r="O1493" t="str">
        <f t="shared" si="70"/>
        <v>Premium</v>
      </c>
      <c r="P1493" s="7">
        <v>45657</v>
      </c>
    </row>
    <row r="1494" spans="1:16" x14ac:dyDescent="0.3">
      <c r="A1494">
        <v>1493</v>
      </c>
      <c r="B1494" s="7">
        <v>45352</v>
      </c>
      <c r="C1494" t="s">
        <v>10</v>
      </c>
      <c r="D1494">
        <v>699</v>
      </c>
      <c r="E1494">
        <v>1.5</v>
      </c>
      <c r="F1494">
        <v>0</v>
      </c>
      <c r="G1494">
        <v>0</v>
      </c>
      <c r="H1494">
        <v>34</v>
      </c>
      <c r="I1494">
        <v>30</v>
      </c>
      <c r="J1494" t="s">
        <v>11</v>
      </c>
      <c r="K1494">
        <f>IF(J1494="Yes", 1, 0)</f>
        <v>1</v>
      </c>
      <c r="L1494" t="str">
        <f>IF(G1494=0,"0 Failures","1+ Failures")</f>
        <v>0 Failures</v>
      </c>
      <c r="M1494" t="str">
        <f t="shared" si="71"/>
        <v>0-5 hrs</v>
      </c>
      <c r="N1494" t="str">
        <f t="shared" si="69"/>
        <v>12+ months</v>
      </c>
      <c r="O1494" t="str">
        <f t="shared" si="70"/>
        <v>Premium</v>
      </c>
      <c r="P1494" s="7">
        <v>45657</v>
      </c>
    </row>
    <row r="1495" spans="1:16" x14ac:dyDescent="0.3">
      <c r="A1495">
        <v>1494</v>
      </c>
      <c r="B1495" s="7">
        <v>45247</v>
      </c>
      <c r="C1495" t="s">
        <v>10</v>
      </c>
      <c r="D1495">
        <v>699</v>
      </c>
      <c r="E1495">
        <v>7.2</v>
      </c>
      <c r="F1495">
        <v>5</v>
      </c>
      <c r="G1495">
        <v>3</v>
      </c>
      <c r="H1495">
        <v>20</v>
      </c>
      <c r="I1495">
        <v>5</v>
      </c>
      <c r="J1495" t="s">
        <v>13</v>
      </c>
      <c r="K1495">
        <f>IF(J1495="Yes", 1, 0)</f>
        <v>0</v>
      </c>
      <c r="L1495" t="str">
        <f>IF(G1495=0,"0 Failures","1+ Failures")</f>
        <v>1+ Failures</v>
      </c>
      <c r="M1495" t="str">
        <f t="shared" si="71"/>
        <v>5-10 hrs</v>
      </c>
      <c r="N1495" t="str">
        <f t="shared" si="69"/>
        <v>12+ months</v>
      </c>
      <c r="O1495" t="str">
        <f t="shared" si="70"/>
        <v>Premium</v>
      </c>
      <c r="P1495" s="7">
        <v>45657</v>
      </c>
    </row>
    <row r="1496" spans="1:16" x14ac:dyDescent="0.3">
      <c r="A1496">
        <v>1495</v>
      </c>
      <c r="B1496" s="7">
        <v>45051</v>
      </c>
      <c r="C1496" t="s">
        <v>14</v>
      </c>
      <c r="D1496">
        <v>399</v>
      </c>
      <c r="E1496">
        <v>10.1</v>
      </c>
      <c r="F1496">
        <v>7</v>
      </c>
      <c r="G1496">
        <v>3</v>
      </c>
      <c r="H1496">
        <v>4</v>
      </c>
      <c r="I1496">
        <v>54</v>
      </c>
      <c r="J1496" t="s">
        <v>11</v>
      </c>
      <c r="K1496">
        <f>IF(J1496="Yes", 1, 0)</f>
        <v>1</v>
      </c>
      <c r="L1496" t="str">
        <f>IF(G1496=0,"0 Failures","1+ Failures")</f>
        <v>1+ Failures</v>
      </c>
      <c r="M1496" t="str">
        <f t="shared" si="71"/>
        <v>10-20hrs</v>
      </c>
      <c r="N1496" t="str">
        <f t="shared" si="69"/>
        <v>3-6months</v>
      </c>
      <c r="O1496" t="str">
        <f t="shared" si="70"/>
        <v>Basic</v>
      </c>
      <c r="P1496" s="7">
        <v>45657</v>
      </c>
    </row>
    <row r="1497" spans="1:16" x14ac:dyDescent="0.3">
      <c r="A1497">
        <v>1496</v>
      </c>
      <c r="B1497" s="7">
        <v>45257</v>
      </c>
      <c r="C1497" t="s">
        <v>14</v>
      </c>
      <c r="D1497">
        <v>399</v>
      </c>
      <c r="E1497">
        <v>1.2</v>
      </c>
      <c r="F1497">
        <v>0</v>
      </c>
      <c r="G1497">
        <v>0</v>
      </c>
      <c r="H1497">
        <v>7</v>
      </c>
      <c r="I1497">
        <v>8</v>
      </c>
      <c r="J1497" t="s">
        <v>11</v>
      </c>
      <c r="K1497">
        <f>IF(J1497="Yes", 1, 0)</f>
        <v>1</v>
      </c>
      <c r="L1497" t="str">
        <f>IF(G1497=0,"0 Failures","1+ Failures")</f>
        <v>0 Failures</v>
      </c>
      <c r="M1497" t="str">
        <f t="shared" si="71"/>
        <v>0-5 hrs</v>
      </c>
      <c r="N1497" t="str">
        <f t="shared" si="69"/>
        <v>6-12months</v>
      </c>
      <c r="O1497" t="str">
        <f t="shared" si="70"/>
        <v>Basic</v>
      </c>
      <c r="P1497" s="7">
        <v>45657</v>
      </c>
    </row>
    <row r="1498" spans="1:16" x14ac:dyDescent="0.3">
      <c r="A1498">
        <v>1497</v>
      </c>
      <c r="B1498" s="7">
        <v>45304</v>
      </c>
      <c r="C1498" t="s">
        <v>10</v>
      </c>
      <c r="D1498">
        <v>699</v>
      </c>
      <c r="E1498">
        <v>6</v>
      </c>
      <c r="F1498">
        <v>1</v>
      </c>
      <c r="G1498">
        <v>1</v>
      </c>
      <c r="H1498">
        <v>28</v>
      </c>
      <c r="I1498">
        <v>46</v>
      </c>
      <c r="J1498" t="s">
        <v>13</v>
      </c>
      <c r="K1498">
        <f>IF(J1498="Yes", 1, 0)</f>
        <v>0</v>
      </c>
      <c r="L1498" t="str">
        <f>IF(G1498=0,"0 Failures","1+ Failures")</f>
        <v>1+ Failures</v>
      </c>
      <c r="M1498" t="str">
        <f t="shared" si="71"/>
        <v>5-10 hrs</v>
      </c>
      <c r="N1498" t="str">
        <f t="shared" si="69"/>
        <v>12+ months</v>
      </c>
      <c r="O1498" t="str">
        <f t="shared" si="70"/>
        <v>Premium</v>
      </c>
      <c r="P1498" s="7">
        <v>45657</v>
      </c>
    </row>
    <row r="1499" spans="1:16" x14ac:dyDescent="0.3">
      <c r="A1499">
        <v>1498</v>
      </c>
      <c r="B1499" s="7">
        <v>45040</v>
      </c>
      <c r="C1499" t="s">
        <v>10</v>
      </c>
      <c r="D1499">
        <v>699</v>
      </c>
      <c r="E1499">
        <v>23.4</v>
      </c>
      <c r="F1499">
        <v>0</v>
      </c>
      <c r="G1499">
        <v>2</v>
      </c>
      <c r="H1499">
        <v>1</v>
      </c>
      <c r="I1499">
        <v>56</v>
      </c>
      <c r="J1499" t="s">
        <v>13</v>
      </c>
      <c r="K1499">
        <f>IF(J1499="Yes", 1, 0)</f>
        <v>0</v>
      </c>
      <c r="L1499" t="str">
        <f>IF(G1499=0,"0 Failures","1+ Failures")</f>
        <v>1+ Failures</v>
      </c>
      <c r="M1499" t="str">
        <f t="shared" si="71"/>
        <v>20+ hrs</v>
      </c>
      <c r="N1499" t="str">
        <f t="shared" si="69"/>
        <v>0-3months</v>
      </c>
      <c r="O1499" t="str">
        <f t="shared" si="70"/>
        <v>Premium</v>
      </c>
      <c r="P1499" s="7">
        <v>45657</v>
      </c>
    </row>
    <row r="1500" spans="1:16" x14ac:dyDescent="0.3">
      <c r="A1500">
        <v>1499</v>
      </c>
      <c r="B1500" s="7">
        <v>45315</v>
      </c>
      <c r="C1500" t="s">
        <v>12</v>
      </c>
      <c r="D1500">
        <v>199</v>
      </c>
      <c r="E1500">
        <v>2.2999999999999998</v>
      </c>
      <c r="F1500">
        <v>5</v>
      </c>
      <c r="G1500">
        <v>5</v>
      </c>
      <c r="H1500">
        <v>20</v>
      </c>
      <c r="I1500">
        <v>39</v>
      </c>
      <c r="J1500" t="s">
        <v>11</v>
      </c>
      <c r="K1500">
        <f>IF(J1500="Yes", 1, 0)</f>
        <v>1</v>
      </c>
      <c r="L1500" t="str">
        <f>IF(G1500=0,"0 Failures","1+ Failures")</f>
        <v>1+ Failures</v>
      </c>
      <c r="M1500" t="str">
        <f t="shared" si="71"/>
        <v>0-5 hrs</v>
      </c>
      <c r="N1500" t="str">
        <f t="shared" si="69"/>
        <v>12+ months</v>
      </c>
      <c r="O1500" t="str">
        <f t="shared" si="70"/>
        <v>Basic</v>
      </c>
      <c r="P1500" s="7">
        <v>45657</v>
      </c>
    </row>
    <row r="1501" spans="1:16" x14ac:dyDescent="0.3">
      <c r="A1501">
        <v>1500</v>
      </c>
      <c r="B1501" s="7">
        <v>45078</v>
      </c>
      <c r="C1501" t="s">
        <v>14</v>
      </c>
      <c r="D1501">
        <v>399</v>
      </c>
      <c r="E1501">
        <v>23.2</v>
      </c>
      <c r="F1501">
        <v>7</v>
      </c>
      <c r="G1501">
        <v>0</v>
      </c>
      <c r="H1501">
        <v>11</v>
      </c>
      <c r="I1501">
        <v>8</v>
      </c>
      <c r="J1501" t="s">
        <v>13</v>
      </c>
      <c r="K1501">
        <f>IF(J1501="Yes", 1, 0)</f>
        <v>0</v>
      </c>
      <c r="L1501" t="str">
        <f>IF(G1501=0,"0 Failures","1+ Failures")</f>
        <v>0 Failures</v>
      </c>
      <c r="M1501" t="str">
        <f t="shared" si="71"/>
        <v>20+ hrs</v>
      </c>
      <c r="N1501" t="str">
        <f t="shared" si="69"/>
        <v>6-12months</v>
      </c>
      <c r="O1501" t="str">
        <f t="shared" si="70"/>
        <v>Basic</v>
      </c>
      <c r="P1501" s="7">
        <v>45657</v>
      </c>
    </row>
    <row r="1502" spans="1:16" x14ac:dyDescent="0.3">
      <c r="A1502">
        <v>1501</v>
      </c>
      <c r="B1502" s="7">
        <v>45416</v>
      </c>
      <c r="C1502" t="s">
        <v>10</v>
      </c>
      <c r="D1502">
        <v>699</v>
      </c>
      <c r="E1502">
        <v>16.100000000000001</v>
      </c>
      <c r="F1502">
        <v>1</v>
      </c>
      <c r="G1502">
        <v>4</v>
      </c>
      <c r="H1502">
        <v>27</v>
      </c>
      <c r="I1502">
        <v>33</v>
      </c>
      <c r="J1502" t="s">
        <v>11</v>
      </c>
      <c r="K1502">
        <f>IF(J1502="Yes", 1, 0)</f>
        <v>1</v>
      </c>
      <c r="L1502" t="str">
        <f>IF(G1502=0,"0 Failures","1+ Failures")</f>
        <v>1+ Failures</v>
      </c>
      <c r="M1502" t="str">
        <f t="shared" si="71"/>
        <v>10-20hrs</v>
      </c>
      <c r="N1502" t="str">
        <f t="shared" si="69"/>
        <v>12+ months</v>
      </c>
      <c r="O1502" t="str">
        <f t="shared" si="70"/>
        <v>Premium</v>
      </c>
      <c r="P1502" s="7">
        <v>45657</v>
      </c>
    </row>
    <row r="1503" spans="1:16" x14ac:dyDescent="0.3">
      <c r="A1503">
        <v>1502</v>
      </c>
      <c r="B1503" s="7">
        <v>45197</v>
      </c>
      <c r="C1503" t="s">
        <v>10</v>
      </c>
      <c r="D1503">
        <v>699</v>
      </c>
      <c r="E1503">
        <v>24.4</v>
      </c>
      <c r="F1503">
        <v>5</v>
      </c>
      <c r="G1503">
        <v>5</v>
      </c>
      <c r="H1503">
        <v>32</v>
      </c>
      <c r="I1503">
        <v>30</v>
      </c>
      <c r="J1503" t="s">
        <v>11</v>
      </c>
      <c r="K1503">
        <f>IF(J1503="Yes", 1, 0)</f>
        <v>1</v>
      </c>
      <c r="L1503" t="str">
        <f>IF(G1503=0,"0 Failures","1+ Failures")</f>
        <v>1+ Failures</v>
      </c>
      <c r="M1503" t="str">
        <f t="shared" si="71"/>
        <v>20+ hrs</v>
      </c>
      <c r="N1503" t="str">
        <f t="shared" si="69"/>
        <v>12+ months</v>
      </c>
      <c r="O1503" t="str">
        <f t="shared" si="70"/>
        <v>Premium</v>
      </c>
      <c r="P1503" s="7">
        <v>45657</v>
      </c>
    </row>
    <row r="1504" spans="1:16" x14ac:dyDescent="0.3">
      <c r="A1504">
        <v>1503</v>
      </c>
      <c r="B1504" s="7">
        <v>45137</v>
      </c>
      <c r="C1504" t="s">
        <v>14</v>
      </c>
      <c r="D1504">
        <v>399</v>
      </c>
      <c r="E1504">
        <v>9.1</v>
      </c>
      <c r="F1504">
        <v>3</v>
      </c>
      <c r="G1504">
        <v>5</v>
      </c>
      <c r="H1504">
        <v>6</v>
      </c>
      <c r="I1504">
        <v>41</v>
      </c>
      <c r="J1504" t="s">
        <v>13</v>
      </c>
      <c r="K1504">
        <f>IF(J1504="Yes", 1, 0)</f>
        <v>0</v>
      </c>
      <c r="L1504" t="str">
        <f>IF(G1504=0,"0 Failures","1+ Failures")</f>
        <v>1+ Failures</v>
      </c>
      <c r="M1504" t="str">
        <f t="shared" si="71"/>
        <v>5-10 hrs</v>
      </c>
      <c r="N1504" t="str">
        <f t="shared" si="69"/>
        <v>3-6months</v>
      </c>
      <c r="O1504" t="str">
        <f t="shared" si="70"/>
        <v>Basic</v>
      </c>
      <c r="P1504" s="7">
        <v>45657</v>
      </c>
    </row>
    <row r="1505" spans="1:16" x14ac:dyDescent="0.3">
      <c r="A1505">
        <v>1504</v>
      </c>
      <c r="B1505" s="7">
        <v>45148</v>
      </c>
      <c r="C1505" t="s">
        <v>10</v>
      </c>
      <c r="D1505">
        <v>699</v>
      </c>
      <c r="E1505">
        <v>2.2999999999999998</v>
      </c>
      <c r="F1505">
        <v>7</v>
      </c>
      <c r="G1505">
        <v>0</v>
      </c>
      <c r="H1505">
        <v>5</v>
      </c>
      <c r="I1505">
        <v>13</v>
      </c>
      <c r="J1505" t="s">
        <v>11</v>
      </c>
      <c r="K1505">
        <f>IF(J1505="Yes", 1, 0)</f>
        <v>1</v>
      </c>
      <c r="L1505" t="str">
        <f>IF(G1505=0,"0 Failures","1+ Failures")</f>
        <v>0 Failures</v>
      </c>
      <c r="M1505" t="str">
        <f t="shared" si="71"/>
        <v>0-5 hrs</v>
      </c>
      <c r="N1505" t="str">
        <f t="shared" si="69"/>
        <v>3-6months</v>
      </c>
      <c r="O1505" t="str">
        <f t="shared" si="70"/>
        <v>Premium</v>
      </c>
      <c r="P1505" s="7">
        <v>45657</v>
      </c>
    </row>
    <row r="1506" spans="1:16" x14ac:dyDescent="0.3">
      <c r="A1506">
        <v>1505</v>
      </c>
      <c r="B1506" s="7">
        <v>45467</v>
      </c>
      <c r="C1506" t="s">
        <v>14</v>
      </c>
      <c r="D1506">
        <v>399</v>
      </c>
      <c r="E1506">
        <v>5.0999999999999996</v>
      </c>
      <c r="F1506">
        <v>1</v>
      </c>
      <c r="G1506">
        <v>2</v>
      </c>
      <c r="H1506">
        <v>25</v>
      </c>
      <c r="I1506">
        <v>13</v>
      </c>
      <c r="J1506" t="s">
        <v>13</v>
      </c>
      <c r="K1506">
        <f>IF(J1506="Yes", 1, 0)</f>
        <v>0</v>
      </c>
      <c r="L1506" t="str">
        <f>IF(G1506=0,"0 Failures","1+ Failures")</f>
        <v>1+ Failures</v>
      </c>
      <c r="M1506" t="str">
        <f t="shared" si="71"/>
        <v>5-10 hrs</v>
      </c>
      <c r="N1506" t="str">
        <f t="shared" si="69"/>
        <v>12+ months</v>
      </c>
      <c r="O1506" t="str">
        <f t="shared" si="70"/>
        <v>Basic</v>
      </c>
      <c r="P1506" s="7">
        <v>45657</v>
      </c>
    </row>
    <row r="1507" spans="1:16" x14ac:dyDescent="0.3">
      <c r="A1507">
        <v>1506</v>
      </c>
      <c r="B1507" s="7">
        <v>45443</v>
      </c>
      <c r="C1507" t="s">
        <v>10</v>
      </c>
      <c r="D1507">
        <v>699</v>
      </c>
      <c r="E1507">
        <v>19.100000000000001</v>
      </c>
      <c r="F1507">
        <v>4</v>
      </c>
      <c r="G1507">
        <v>5</v>
      </c>
      <c r="H1507">
        <v>21</v>
      </c>
      <c r="I1507">
        <v>29</v>
      </c>
      <c r="J1507" t="s">
        <v>11</v>
      </c>
      <c r="K1507">
        <f>IF(J1507="Yes", 1, 0)</f>
        <v>1</v>
      </c>
      <c r="L1507" t="str">
        <f>IF(G1507=0,"0 Failures","1+ Failures")</f>
        <v>1+ Failures</v>
      </c>
      <c r="M1507" t="str">
        <f t="shared" si="71"/>
        <v>10-20hrs</v>
      </c>
      <c r="N1507" t="str">
        <f t="shared" si="69"/>
        <v>12+ months</v>
      </c>
      <c r="O1507" t="str">
        <f t="shared" si="70"/>
        <v>Premium</v>
      </c>
      <c r="P1507" s="7">
        <v>45657</v>
      </c>
    </row>
    <row r="1508" spans="1:16" x14ac:dyDescent="0.3">
      <c r="A1508">
        <v>1507</v>
      </c>
      <c r="B1508" s="7">
        <v>45452</v>
      </c>
      <c r="C1508" t="s">
        <v>12</v>
      </c>
      <c r="D1508">
        <v>199</v>
      </c>
      <c r="E1508">
        <v>5.9</v>
      </c>
      <c r="F1508">
        <v>5</v>
      </c>
      <c r="G1508">
        <v>3</v>
      </c>
      <c r="H1508">
        <v>9</v>
      </c>
      <c r="I1508">
        <v>28</v>
      </c>
      <c r="J1508" t="s">
        <v>13</v>
      </c>
      <c r="K1508">
        <f>IF(J1508="Yes", 1, 0)</f>
        <v>0</v>
      </c>
      <c r="L1508" t="str">
        <f>IF(G1508=0,"0 Failures","1+ Failures")</f>
        <v>1+ Failures</v>
      </c>
      <c r="M1508" t="str">
        <f t="shared" si="71"/>
        <v>5-10 hrs</v>
      </c>
      <c r="N1508" t="str">
        <f t="shared" si="69"/>
        <v>6-12months</v>
      </c>
      <c r="O1508" t="str">
        <f t="shared" si="70"/>
        <v>Basic</v>
      </c>
      <c r="P1508" s="7">
        <v>45657</v>
      </c>
    </row>
    <row r="1509" spans="1:16" x14ac:dyDescent="0.3">
      <c r="A1509">
        <v>1508</v>
      </c>
      <c r="B1509" s="7">
        <v>45518</v>
      </c>
      <c r="C1509" t="s">
        <v>12</v>
      </c>
      <c r="D1509">
        <v>199</v>
      </c>
      <c r="E1509">
        <v>5.0999999999999996</v>
      </c>
      <c r="F1509">
        <v>4</v>
      </c>
      <c r="G1509">
        <v>3</v>
      </c>
      <c r="H1509">
        <v>26</v>
      </c>
      <c r="I1509">
        <v>10</v>
      </c>
      <c r="J1509" t="s">
        <v>13</v>
      </c>
      <c r="K1509">
        <f>IF(J1509="Yes", 1, 0)</f>
        <v>0</v>
      </c>
      <c r="L1509" t="str">
        <f>IF(G1509=0,"0 Failures","1+ Failures")</f>
        <v>1+ Failures</v>
      </c>
      <c r="M1509" t="str">
        <f t="shared" si="71"/>
        <v>5-10 hrs</v>
      </c>
      <c r="N1509" t="str">
        <f t="shared" si="69"/>
        <v>12+ months</v>
      </c>
      <c r="O1509" t="str">
        <f t="shared" si="70"/>
        <v>Basic</v>
      </c>
      <c r="P1509" s="7">
        <v>45657</v>
      </c>
    </row>
    <row r="1510" spans="1:16" x14ac:dyDescent="0.3">
      <c r="A1510">
        <v>1509</v>
      </c>
      <c r="B1510" s="7">
        <v>45398</v>
      </c>
      <c r="C1510" t="s">
        <v>10</v>
      </c>
      <c r="D1510">
        <v>699</v>
      </c>
      <c r="E1510">
        <v>4.0999999999999996</v>
      </c>
      <c r="F1510">
        <v>1</v>
      </c>
      <c r="G1510">
        <v>5</v>
      </c>
      <c r="H1510">
        <v>7</v>
      </c>
      <c r="I1510">
        <v>7</v>
      </c>
      <c r="J1510" t="s">
        <v>11</v>
      </c>
      <c r="K1510">
        <f>IF(J1510="Yes", 1, 0)</f>
        <v>1</v>
      </c>
      <c r="L1510" t="str">
        <f>IF(G1510=0,"0 Failures","1+ Failures")</f>
        <v>1+ Failures</v>
      </c>
      <c r="M1510" t="str">
        <f t="shared" si="71"/>
        <v>0-5 hrs</v>
      </c>
      <c r="N1510" t="str">
        <f t="shared" si="69"/>
        <v>6-12months</v>
      </c>
      <c r="O1510" t="str">
        <f t="shared" si="70"/>
        <v>Premium</v>
      </c>
      <c r="P1510" s="7">
        <v>45657</v>
      </c>
    </row>
    <row r="1511" spans="1:16" x14ac:dyDescent="0.3">
      <c r="A1511">
        <v>1510</v>
      </c>
      <c r="B1511" s="7">
        <v>45490</v>
      </c>
      <c r="C1511" t="s">
        <v>12</v>
      </c>
      <c r="D1511">
        <v>199</v>
      </c>
      <c r="E1511">
        <v>1.2</v>
      </c>
      <c r="F1511">
        <v>8</v>
      </c>
      <c r="G1511">
        <v>3</v>
      </c>
      <c r="H1511">
        <v>18</v>
      </c>
      <c r="I1511">
        <v>22</v>
      </c>
      <c r="J1511" t="s">
        <v>11</v>
      </c>
      <c r="K1511">
        <f>IF(J1511="Yes", 1, 0)</f>
        <v>1</v>
      </c>
      <c r="L1511" t="str">
        <f>IF(G1511=0,"0 Failures","1+ Failures")</f>
        <v>1+ Failures</v>
      </c>
      <c r="M1511" t="str">
        <f t="shared" si="71"/>
        <v>0-5 hrs</v>
      </c>
      <c r="N1511" t="str">
        <f t="shared" si="69"/>
        <v>12+ months</v>
      </c>
      <c r="O1511" t="str">
        <f t="shared" si="70"/>
        <v>Basic</v>
      </c>
      <c r="P1511" s="7">
        <v>45657</v>
      </c>
    </row>
    <row r="1512" spans="1:16" x14ac:dyDescent="0.3">
      <c r="A1512">
        <v>1511</v>
      </c>
      <c r="B1512" s="7">
        <v>45268</v>
      </c>
      <c r="C1512" t="s">
        <v>12</v>
      </c>
      <c r="D1512">
        <v>199</v>
      </c>
      <c r="E1512">
        <v>11.1</v>
      </c>
      <c r="F1512">
        <v>2</v>
      </c>
      <c r="G1512">
        <v>3</v>
      </c>
      <c r="H1512">
        <v>23</v>
      </c>
      <c r="I1512">
        <v>32</v>
      </c>
      <c r="J1512" t="s">
        <v>11</v>
      </c>
      <c r="K1512">
        <f>IF(J1512="Yes", 1, 0)</f>
        <v>1</v>
      </c>
      <c r="L1512" t="str">
        <f>IF(G1512=0,"0 Failures","1+ Failures")</f>
        <v>1+ Failures</v>
      </c>
      <c r="M1512" t="str">
        <f t="shared" si="71"/>
        <v>10-20hrs</v>
      </c>
      <c r="N1512" t="str">
        <f t="shared" si="69"/>
        <v>12+ months</v>
      </c>
      <c r="O1512" t="str">
        <f t="shared" si="70"/>
        <v>Basic</v>
      </c>
      <c r="P1512" s="7">
        <v>45657</v>
      </c>
    </row>
    <row r="1513" spans="1:16" x14ac:dyDescent="0.3">
      <c r="A1513">
        <v>1512</v>
      </c>
      <c r="B1513" s="7">
        <v>45359</v>
      </c>
      <c r="C1513" t="s">
        <v>12</v>
      </c>
      <c r="D1513">
        <v>199</v>
      </c>
      <c r="E1513">
        <v>7.2</v>
      </c>
      <c r="F1513">
        <v>1</v>
      </c>
      <c r="G1513">
        <v>0</v>
      </c>
      <c r="H1513">
        <v>29</v>
      </c>
      <c r="I1513">
        <v>41</v>
      </c>
      <c r="J1513" t="s">
        <v>13</v>
      </c>
      <c r="K1513">
        <f>IF(J1513="Yes", 1, 0)</f>
        <v>0</v>
      </c>
      <c r="L1513" t="str">
        <f>IF(G1513=0,"0 Failures","1+ Failures")</f>
        <v>0 Failures</v>
      </c>
      <c r="M1513" t="str">
        <f t="shared" si="71"/>
        <v>5-10 hrs</v>
      </c>
      <c r="N1513" t="str">
        <f t="shared" si="69"/>
        <v>12+ months</v>
      </c>
      <c r="O1513" t="str">
        <f t="shared" si="70"/>
        <v>Basic</v>
      </c>
      <c r="P1513" s="7">
        <v>45657</v>
      </c>
    </row>
    <row r="1514" spans="1:16" x14ac:dyDescent="0.3">
      <c r="A1514">
        <v>1513</v>
      </c>
      <c r="B1514" s="7">
        <v>45432</v>
      </c>
      <c r="C1514" t="s">
        <v>12</v>
      </c>
      <c r="D1514">
        <v>199</v>
      </c>
      <c r="E1514">
        <v>5.0999999999999996</v>
      </c>
      <c r="F1514">
        <v>2</v>
      </c>
      <c r="G1514">
        <v>4</v>
      </c>
      <c r="H1514">
        <v>19</v>
      </c>
      <c r="I1514">
        <v>17</v>
      </c>
      <c r="J1514" t="s">
        <v>13</v>
      </c>
      <c r="K1514">
        <f>IF(J1514="Yes", 1, 0)</f>
        <v>0</v>
      </c>
      <c r="L1514" t="str">
        <f>IF(G1514=0,"0 Failures","1+ Failures")</f>
        <v>1+ Failures</v>
      </c>
      <c r="M1514" t="str">
        <f t="shared" si="71"/>
        <v>5-10 hrs</v>
      </c>
      <c r="N1514" t="str">
        <f t="shared" si="69"/>
        <v>12+ months</v>
      </c>
      <c r="O1514" t="str">
        <f t="shared" si="70"/>
        <v>Basic</v>
      </c>
      <c r="P1514" s="7">
        <v>45657</v>
      </c>
    </row>
    <row r="1515" spans="1:16" x14ac:dyDescent="0.3">
      <c r="A1515">
        <v>1514</v>
      </c>
      <c r="B1515" s="7">
        <v>45151</v>
      </c>
      <c r="C1515" t="s">
        <v>10</v>
      </c>
      <c r="D1515">
        <v>699</v>
      </c>
      <c r="E1515">
        <v>3.2</v>
      </c>
      <c r="F1515">
        <v>0</v>
      </c>
      <c r="G1515">
        <v>5</v>
      </c>
      <c r="H1515">
        <v>28</v>
      </c>
      <c r="I1515">
        <v>15</v>
      </c>
      <c r="J1515" t="s">
        <v>13</v>
      </c>
      <c r="K1515">
        <f>IF(J1515="Yes", 1, 0)</f>
        <v>0</v>
      </c>
      <c r="L1515" t="str">
        <f>IF(G1515=0,"0 Failures","1+ Failures")</f>
        <v>1+ Failures</v>
      </c>
      <c r="M1515" t="str">
        <f t="shared" si="71"/>
        <v>0-5 hrs</v>
      </c>
      <c r="N1515" t="str">
        <f t="shared" si="69"/>
        <v>12+ months</v>
      </c>
      <c r="O1515" t="str">
        <f t="shared" si="70"/>
        <v>Premium</v>
      </c>
      <c r="P1515" s="7">
        <v>45657</v>
      </c>
    </row>
    <row r="1516" spans="1:16" x14ac:dyDescent="0.3">
      <c r="A1516">
        <v>1515</v>
      </c>
      <c r="B1516" s="7">
        <v>45209</v>
      </c>
      <c r="C1516" t="s">
        <v>12</v>
      </c>
      <c r="D1516">
        <v>199</v>
      </c>
      <c r="E1516">
        <v>22.4</v>
      </c>
      <c r="F1516">
        <v>4</v>
      </c>
      <c r="G1516">
        <v>1</v>
      </c>
      <c r="H1516">
        <v>4</v>
      </c>
      <c r="I1516">
        <v>4</v>
      </c>
      <c r="J1516" t="s">
        <v>13</v>
      </c>
      <c r="K1516">
        <f>IF(J1516="Yes", 1, 0)</f>
        <v>0</v>
      </c>
      <c r="L1516" t="str">
        <f>IF(G1516=0,"0 Failures","1+ Failures")</f>
        <v>1+ Failures</v>
      </c>
      <c r="M1516" t="str">
        <f t="shared" si="71"/>
        <v>20+ hrs</v>
      </c>
      <c r="N1516" t="str">
        <f t="shared" si="69"/>
        <v>3-6months</v>
      </c>
      <c r="O1516" t="str">
        <f t="shared" si="70"/>
        <v>Basic</v>
      </c>
      <c r="P1516" s="7">
        <v>45657</v>
      </c>
    </row>
    <row r="1517" spans="1:16" x14ac:dyDescent="0.3">
      <c r="A1517">
        <v>1516</v>
      </c>
      <c r="B1517" s="7">
        <v>45635</v>
      </c>
      <c r="C1517" t="s">
        <v>12</v>
      </c>
      <c r="D1517">
        <v>199</v>
      </c>
      <c r="E1517">
        <v>10.1</v>
      </c>
      <c r="F1517">
        <v>1</v>
      </c>
      <c r="G1517">
        <v>1</v>
      </c>
      <c r="H1517">
        <v>26</v>
      </c>
      <c r="I1517">
        <v>46</v>
      </c>
      <c r="J1517" t="s">
        <v>13</v>
      </c>
      <c r="K1517">
        <f>IF(J1517="Yes", 1, 0)</f>
        <v>0</v>
      </c>
      <c r="L1517" t="str">
        <f>IF(G1517=0,"0 Failures","1+ Failures")</f>
        <v>1+ Failures</v>
      </c>
      <c r="M1517" t="str">
        <f t="shared" si="71"/>
        <v>10-20hrs</v>
      </c>
      <c r="N1517" t="str">
        <f t="shared" si="69"/>
        <v>12+ months</v>
      </c>
      <c r="O1517" t="str">
        <f t="shared" si="70"/>
        <v>Basic</v>
      </c>
      <c r="P1517" s="7">
        <v>45657</v>
      </c>
    </row>
    <row r="1518" spans="1:16" x14ac:dyDescent="0.3">
      <c r="A1518">
        <v>1517</v>
      </c>
      <c r="B1518" s="7">
        <v>45537</v>
      </c>
      <c r="C1518" t="s">
        <v>14</v>
      </c>
      <c r="D1518">
        <v>399</v>
      </c>
      <c r="E1518">
        <v>5.5</v>
      </c>
      <c r="F1518">
        <v>3</v>
      </c>
      <c r="G1518">
        <v>2</v>
      </c>
      <c r="H1518">
        <v>32</v>
      </c>
      <c r="I1518">
        <v>40</v>
      </c>
      <c r="J1518" t="s">
        <v>11</v>
      </c>
      <c r="K1518">
        <f>IF(J1518="Yes", 1, 0)</f>
        <v>1</v>
      </c>
      <c r="L1518" t="str">
        <f>IF(G1518=0,"0 Failures","1+ Failures")</f>
        <v>1+ Failures</v>
      </c>
      <c r="M1518" t="str">
        <f t="shared" si="71"/>
        <v>5-10 hrs</v>
      </c>
      <c r="N1518" t="str">
        <f t="shared" si="69"/>
        <v>12+ months</v>
      </c>
      <c r="O1518" t="str">
        <f t="shared" si="70"/>
        <v>Basic</v>
      </c>
      <c r="P1518" s="7">
        <v>45657</v>
      </c>
    </row>
    <row r="1519" spans="1:16" x14ac:dyDescent="0.3">
      <c r="A1519">
        <v>1518</v>
      </c>
      <c r="B1519" s="7">
        <v>45239</v>
      </c>
      <c r="C1519" t="s">
        <v>14</v>
      </c>
      <c r="D1519">
        <v>399</v>
      </c>
      <c r="E1519">
        <v>2.8</v>
      </c>
      <c r="F1519">
        <v>8</v>
      </c>
      <c r="G1519">
        <v>5</v>
      </c>
      <c r="H1519">
        <v>1</v>
      </c>
      <c r="I1519">
        <v>39</v>
      </c>
      <c r="J1519" t="s">
        <v>11</v>
      </c>
      <c r="K1519">
        <f>IF(J1519="Yes", 1, 0)</f>
        <v>1</v>
      </c>
      <c r="L1519" t="str">
        <f>IF(G1519=0,"0 Failures","1+ Failures")</f>
        <v>1+ Failures</v>
      </c>
      <c r="M1519" t="str">
        <f t="shared" si="71"/>
        <v>0-5 hrs</v>
      </c>
      <c r="N1519" t="str">
        <f t="shared" si="69"/>
        <v>0-3months</v>
      </c>
      <c r="O1519" t="str">
        <f t="shared" si="70"/>
        <v>Basic</v>
      </c>
      <c r="P1519" s="7">
        <v>45657</v>
      </c>
    </row>
    <row r="1520" spans="1:16" x14ac:dyDescent="0.3">
      <c r="A1520">
        <v>1519</v>
      </c>
      <c r="B1520" s="7">
        <v>45393</v>
      </c>
      <c r="C1520" t="s">
        <v>10</v>
      </c>
      <c r="D1520">
        <v>699</v>
      </c>
      <c r="E1520">
        <v>4.7</v>
      </c>
      <c r="F1520">
        <v>1</v>
      </c>
      <c r="G1520">
        <v>1</v>
      </c>
      <c r="H1520">
        <v>16</v>
      </c>
      <c r="I1520">
        <v>11</v>
      </c>
      <c r="J1520" t="s">
        <v>11</v>
      </c>
      <c r="K1520">
        <f>IF(J1520="Yes", 1, 0)</f>
        <v>1</v>
      </c>
      <c r="L1520" t="str">
        <f>IF(G1520=0,"0 Failures","1+ Failures")</f>
        <v>1+ Failures</v>
      </c>
      <c r="M1520" t="str">
        <f t="shared" si="71"/>
        <v>0-5 hrs</v>
      </c>
      <c r="N1520" t="str">
        <f t="shared" si="69"/>
        <v>12+ months</v>
      </c>
      <c r="O1520" t="str">
        <f t="shared" si="70"/>
        <v>Premium</v>
      </c>
      <c r="P1520" s="7">
        <v>45657</v>
      </c>
    </row>
    <row r="1521" spans="1:16" x14ac:dyDescent="0.3">
      <c r="A1521">
        <v>1520</v>
      </c>
      <c r="B1521" s="7">
        <v>45197</v>
      </c>
      <c r="C1521" t="s">
        <v>12</v>
      </c>
      <c r="D1521">
        <v>199</v>
      </c>
      <c r="E1521">
        <v>16.8</v>
      </c>
      <c r="F1521">
        <v>6</v>
      </c>
      <c r="G1521">
        <v>2</v>
      </c>
      <c r="H1521">
        <v>1</v>
      </c>
      <c r="I1521">
        <v>1</v>
      </c>
      <c r="J1521" t="s">
        <v>11</v>
      </c>
      <c r="K1521">
        <f>IF(J1521="Yes", 1, 0)</f>
        <v>1</v>
      </c>
      <c r="L1521" t="str">
        <f>IF(G1521=0,"0 Failures","1+ Failures")</f>
        <v>1+ Failures</v>
      </c>
      <c r="M1521" t="str">
        <f t="shared" si="71"/>
        <v>10-20hrs</v>
      </c>
      <c r="N1521" t="str">
        <f t="shared" si="69"/>
        <v>0-3months</v>
      </c>
      <c r="O1521" t="str">
        <f t="shared" si="70"/>
        <v>Basic</v>
      </c>
      <c r="P1521" s="7">
        <v>45657</v>
      </c>
    </row>
    <row r="1522" spans="1:16" x14ac:dyDescent="0.3">
      <c r="A1522">
        <v>1521</v>
      </c>
      <c r="B1522" s="7">
        <v>45524</v>
      </c>
      <c r="C1522" t="s">
        <v>12</v>
      </c>
      <c r="D1522">
        <v>199</v>
      </c>
      <c r="E1522">
        <v>17.100000000000001</v>
      </c>
      <c r="F1522">
        <v>0</v>
      </c>
      <c r="G1522">
        <v>4</v>
      </c>
      <c r="H1522">
        <v>11</v>
      </c>
      <c r="I1522">
        <v>22</v>
      </c>
      <c r="J1522" t="s">
        <v>13</v>
      </c>
      <c r="K1522">
        <f>IF(J1522="Yes", 1, 0)</f>
        <v>0</v>
      </c>
      <c r="L1522" t="str">
        <f>IF(G1522=0,"0 Failures","1+ Failures")</f>
        <v>1+ Failures</v>
      </c>
      <c r="M1522" t="str">
        <f t="shared" si="71"/>
        <v>10-20hrs</v>
      </c>
      <c r="N1522" t="str">
        <f t="shared" si="69"/>
        <v>6-12months</v>
      </c>
      <c r="O1522" t="str">
        <f t="shared" si="70"/>
        <v>Basic</v>
      </c>
      <c r="P1522" s="7">
        <v>45657</v>
      </c>
    </row>
    <row r="1523" spans="1:16" x14ac:dyDescent="0.3">
      <c r="A1523">
        <v>1522</v>
      </c>
      <c r="B1523" s="7">
        <v>45507</v>
      </c>
      <c r="C1523" t="s">
        <v>12</v>
      </c>
      <c r="D1523">
        <v>199</v>
      </c>
      <c r="E1523">
        <v>21.9</v>
      </c>
      <c r="F1523">
        <v>7</v>
      </c>
      <c r="G1523">
        <v>0</v>
      </c>
      <c r="H1523">
        <v>32</v>
      </c>
      <c r="I1523">
        <v>2</v>
      </c>
      <c r="J1523" t="s">
        <v>13</v>
      </c>
      <c r="K1523">
        <f>IF(J1523="Yes", 1, 0)</f>
        <v>0</v>
      </c>
      <c r="L1523" t="str">
        <f>IF(G1523=0,"0 Failures","1+ Failures")</f>
        <v>0 Failures</v>
      </c>
      <c r="M1523" t="str">
        <f t="shared" si="71"/>
        <v>20+ hrs</v>
      </c>
      <c r="N1523" t="str">
        <f t="shared" si="69"/>
        <v>12+ months</v>
      </c>
      <c r="O1523" t="str">
        <f t="shared" si="70"/>
        <v>Basic</v>
      </c>
      <c r="P1523" s="7">
        <v>45657</v>
      </c>
    </row>
    <row r="1524" spans="1:16" x14ac:dyDescent="0.3">
      <c r="A1524">
        <v>1523</v>
      </c>
      <c r="B1524" s="7">
        <v>45023</v>
      </c>
      <c r="C1524" t="s">
        <v>10</v>
      </c>
      <c r="D1524">
        <v>699</v>
      </c>
      <c r="E1524">
        <v>21</v>
      </c>
      <c r="F1524">
        <v>8</v>
      </c>
      <c r="G1524">
        <v>4</v>
      </c>
      <c r="H1524">
        <v>19</v>
      </c>
      <c r="I1524">
        <v>10</v>
      </c>
      <c r="J1524" t="s">
        <v>13</v>
      </c>
      <c r="K1524">
        <f>IF(J1524="Yes", 1, 0)</f>
        <v>0</v>
      </c>
      <c r="L1524" t="str">
        <f>IF(G1524=0,"0 Failures","1+ Failures")</f>
        <v>1+ Failures</v>
      </c>
      <c r="M1524" t="str">
        <f t="shared" si="71"/>
        <v>20+ hrs</v>
      </c>
      <c r="N1524" t="str">
        <f t="shared" si="69"/>
        <v>12+ months</v>
      </c>
      <c r="O1524" t="str">
        <f t="shared" si="70"/>
        <v>Premium</v>
      </c>
      <c r="P1524" s="7">
        <v>45657</v>
      </c>
    </row>
    <row r="1525" spans="1:16" x14ac:dyDescent="0.3">
      <c r="A1525">
        <v>1524</v>
      </c>
      <c r="B1525" s="7">
        <v>45485</v>
      </c>
      <c r="C1525" t="s">
        <v>12</v>
      </c>
      <c r="D1525">
        <v>199</v>
      </c>
      <c r="E1525">
        <v>20.2</v>
      </c>
      <c r="F1525">
        <v>5</v>
      </c>
      <c r="G1525">
        <v>3</v>
      </c>
      <c r="H1525">
        <v>20</v>
      </c>
      <c r="I1525">
        <v>31</v>
      </c>
      <c r="J1525" t="s">
        <v>11</v>
      </c>
      <c r="K1525">
        <f>IF(J1525="Yes", 1, 0)</f>
        <v>1</v>
      </c>
      <c r="L1525" t="str">
        <f>IF(G1525=0,"0 Failures","1+ Failures")</f>
        <v>1+ Failures</v>
      </c>
      <c r="M1525" t="str">
        <f t="shared" si="71"/>
        <v>20+ hrs</v>
      </c>
      <c r="N1525" t="str">
        <f t="shared" si="69"/>
        <v>12+ months</v>
      </c>
      <c r="O1525" t="str">
        <f t="shared" si="70"/>
        <v>Basic</v>
      </c>
      <c r="P1525" s="7">
        <v>45657</v>
      </c>
    </row>
    <row r="1526" spans="1:16" x14ac:dyDescent="0.3">
      <c r="A1526">
        <v>1525</v>
      </c>
      <c r="B1526" s="7">
        <v>45654</v>
      </c>
      <c r="C1526" t="s">
        <v>14</v>
      </c>
      <c r="D1526">
        <v>399</v>
      </c>
      <c r="E1526">
        <v>6.7</v>
      </c>
      <c r="F1526">
        <v>7</v>
      </c>
      <c r="G1526">
        <v>0</v>
      </c>
      <c r="H1526">
        <v>32</v>
      </c>
      <c r="I1526">
        <v>52</v>
      </c>
      <c r="J1526" t="s">
        <v>11</v>
      </c>
      <c r="K1526">
        <f>IF(J1526="Yes", 1, 0)</f>
        <v>1</v>
      </c>
      <c r="L1526" t="str">
        <f>IF(G1526=0,"0 Failures","1+ Failures")</f>
        <v>0 Failures</v>
      </c>
      <c r="M1526" t="str">
        <f t="shared" si="71"/>
        <v>5-10 hrs</v>
      </c>
      <c r="N1526" t="str">
        <f t="shared" si="69"/>
        <v>12+ months</v>
      </c>
      <c r="O1526" t="str">
        <f t="shared" si="70"/>
        <v>Basic</v>
      </c>
      <c r="P1526" s="7">
        <v>45657</v>
      </c>
    </row>
    <row r="1527" spans="1:16" x14ac:dyDescent="0.3">
      <c r="A1527">
        <v>1526</v>
      </c>
      <c r="B1527" s="7">
        <v>45582</v>
      </c>
      <c r="C1527" t="s">
        <v>14</v>
      </c>
      <c r="D1527">
        <v>399</v>
      </c>
      <c r="E1527">
        <v>19.5</v>
      </c>
      <c r="F1527">
        <v>7</v>
      </c>
      <c r="G1527">
        <v>0</v>
      </c>
      <c r="H1527">
        <v>34</v>
      </c>
      <c r="I1527">
        <v>17</v>
      </c>
      <c r="J1527" t="s">
        <v>13</v>
      </c>
      <c r="K1527">
        <f>IF(J1527="Yes", 1, 0)</f>
        <v>0</v>
      </c>
      <c r="L1527" t="str">
        <f>IF(G1527=0,"0 Failures","1+ Failures")</f>
        <v>0 Failures</v>
      </c>
      <c r="M1527" t="str">
        <f t="shared" si="71"/>
        <v>10-20hrs</v>
      </c>
      <c r="N1527" t="str">
        <f t="shared" si="69"/>
        <v>12+ months</v>
      </c>
      <c r="O1527" t="str">
        <f t="shared" si="70"/>
        <v>Basic</v>
      </c>
      <c r="P1527" s="7">
        <v>45657</v>
      </c>
    </row>
    <row r="1528" spans="1:16" x14ac:dyDescent="0.3">
      <c r="A1528">
        <v>1527</v>
      </c>
      <c r="B1528" s="7">
        <v>44958</v>
      </c>
      <c r="C1528" t="s">
        <v>12</v>
      </c>
      <c r="D1528">
        <v>199</v>
      </c>
      <c r="E1528">
        <v>24.5</v>
      </c>
      <c r="F1528">
        <v>3</v>
      </c>
      <c r="G1528">
        <v>5</v>
      </c>
      <c r="H1528">
        <v>10</v>
      </c>
      <c r="I1528">
        <v>9</v>
      </c>
      <c r="J1528" t="s">
        <v>13</v>
      </c>
      <c r="K1528">
        <f>IF(J1528="Yes", 1, 0)</f>
        <v>0</v>
      </c>
      <c r="L1528" t="str">
        <f>IF(G1528=0,"0 Failures","1+ Failures")</f>
        <v>1+ Failures</v>
      </c>
      <c r="M1528" t="str">
        <f t="shared" si="71"/>
        <v>20+ hrs</v>
      </c>
      <c r="N1528" t="str">
        <f t="shared" si="69"/>
        <v>6-12months</v>
      </c>
      <c r="O1528" t="str">
        <f t="shared" si="70"/>
        <v>Basic</v>
      </c>
      <c r="P1528" s="7">
        <v>45657</v>
      </c>
    </row>
    <row r="1529" spans="1:16" x14ac:dyDescent="0.3">
      <c r="A1529">
        <v>1528</v>
      </c>
      <c r="B1529" s="7">
        <v>45581</v>
      </c>
      <c r="C1529" t="s">
        <v>12</v>
      </c>
      <c r="D1529">
        <v>199</v>
      </c>
      <c r="E1529">
        <v>9.3000000000000007</v>
      </c>
      <c r="F1529">
        <v>1</v>
      </c>
      <c r="G1529">
        <v>1</v>
      </c>
      <c r="H1529">
        <v>28</v>
      </c>
      <c r="I1529">
        <v>58</v>
      </c>
      <c r="J1529" t="s">
        <v>13</v>
      </c>
      <c r="K1529">
        <f>IF(J1529="Yes", 1, 0)</f>
        <v>0</v>
      </c>
      <c r="L1529" t="str">
        <f>IF(G1529=0,"0 Failures","1+ Failures")</f>
        <v>1+ Failures</v>
      </c>
      <c r="M1529" t="str">
        <f t="shared" si="71"/>
        <v>5-10 hrs</v>
      </c>
      <c r="N1529" t="str">
        <f t="shared" si="69"/>
        <v>12+ months</v>
      </c>
      <c r="O1529" t="str">
        <f t="shared" si="70"/>
        <v>Basic</v>
      </c>
      <c r="P1529" s="7">
        <v>45657</v>
      </c>
    </row>
    <row r="1530" spans="1:16" x14ac:dyDescent="0.3">
      <c r="A1530">
        <v>1529</v>
      </c>
      <c r="B1530" s="7">
        <v>45198</v>
      </c>
      <c r="C1530" t="s">
        <v>12</v>
      </c>
      <c r="D1530">
        <v>199</v>
      </c>
      <c r="E1530">
        <v>22</v>
      </c>
      <c r="F1530">
        <v>8</v>
      </c>
      <c r="G1530">
        <v>3</v>
      </c>
      <c r="H1530">
        <v>18</v>
      </c>
      <c r="I1530">
        <v>56</v>
      </c>
      <c r="J1530" t="s">
        <v>11</v>
      </c>
      <c r="K1530">
        <f>IF(J1530="Yes", 1, 0)</f>
        <v>1</v>
      </c>
      <c r="L1530" t="str">
        <f>IF(G1530=0,"0 Failures","1+ Failures")</f>
        <v>1+ Failures</v>
      </c>
      <c r="M1530" t="str">
        <f t="shared" si="71"/>
        <v>20+ hrs</v>
      </c>
      <c r="N1530" t="str">
        <f t="shared" si="69"/>
        <v>12+ months</v>
      </c>
      <c r="O1530" t="str">
        <f t="shared" si="70"/>
        <v>Basic</v>
      </c>
      <c r="P1530" s="7">
        <v>45657</v>
      </c>
    </row>
    <row r="1531" spans="1:16" x14ac:dyDescent="0.3">
      <c r="A1531">
        <v>1530</v>
      </c>
      <c r="B1531" s="7">
        <v>45209</v>
      </c>
      <c r="C1531" t="s">
        <v>10</v>
      </c>
      <c r="D1531">
        <v>699</v>
      </c>
      <c r="E1531">
        <v>22.3</v>
      </c>
      <c r="F1531">
        <v>6</v>
      </c>
      <c r="G1531">
        <v>4</v>
      </c>
      <c r="H1531">
        <v>23</v>
      </c>
      <c r="I1531">
        <v>26</v>
      </c>
      <c r="J1531" t="s">
        <v>13</v>
      </c>
      <c r="K1531">
        <f>IF(J1531="Yes", 1, 0)</f>
        <v>0</v>
      </c>
      <c r="L1531" t="str">
        <f>IF(G1531=0,"0 Failures","1+ Failures")</f>
        <v>1+ Failures</v>
      </c>
      <c r="M1531" t="str">
        <f t="shared" si="71"/>
        <v>20+ hrs</v>
      </c>
      <c r="N1531" t="str">
        <f t="shared" si="69"/>
        <v>12+ months</v>
      </c>
      <c r="O1531" t="str">
        <f t="shared" si="70"/>
        <v>Premium</v>
      </c>
      <c r="P1531" s="7">
        <v>45657</v>
      </c>
    </row>
    <row r="1532" spans="1:16" x14ac:dyDescent="0.3">
      <c r="A1532">
        <v>1531</v>
      </c>
      <c r="B1532" s="7">
        <v>45052</v>
      </c>
      <c r="C1532" t="s">
        <v>14</v>
      </c>
      <c r="D1532">
        <v>399</v>
      </c>
      <c r="E1532">
        <v>1.5</v>
      </c>
      <c r="F1532">
        <v>8</v>
      </c>
      <c r="G1532">
        <v>5</v>
      </c>
      <c r="H1532">
        <v>13</v>
      </c>
      <c r="I1532">
        <v>21</v>
      </c>
      <c r="J1532" t="s">
        <v>11</v>
      </c>
      <c r="K1532">
        <f>IF(J1532="Yes", 1, 0)</f>
        <v>1</v>
      </c>
      <c r="L1532" t="str">
        <f>IF(G1532=0,"0 Failures","1+ Failures")</f>
        <v>1+ Failures</v>
      </c>
      <c r="M1532" t="str">
        <f t="shared" si="71"/>
        <v>0-5 hrs</v>
      </c>
      <c r="N1532" t="str">
        <f t="shared" si="69"/>
        <v>12+ months</v>
      </c>
      <c r="O1532" t="str">
        <f t="shared" si="70"/>
        <v>Basic</v>
      </c>
      <c r="P1532" s="7">
        <v>45657</v>
      </c>
    </row>
    <row r="1533" spans="1:16" x14ac:dyDescent="0.3">
      <c r="A1533">
        <v>1532</v>
      </c>
      <c r="B1533" s="7">
        <v>45437</v>
      </c>
      <c r="C1533" t="s">
        <v>14</v>
      </c>
      <c r="D1533">
        <v>399</v>
      </c>
      <c r="E1533">
        <v>14.4</v>
      </c>
      <c r="F1533">
        <v>5</v>
      </c>
      <c r="G1533">
        <v>2</v>
      </c>
      <c r="H1533">
        <v>30</v>
      </c>
      <c r="I1533">
        <v>7</v>
      </c>
      <c r="J1533" t="s">
        <v>13</v>
      </c>
      <c r="K1533">
        <f>IF(J1533="Yes", 1, 0)</f>
        <v>0</v>
      </c>
      <c r="L1533" t="str">
        <f>IF(G1533=0,"0 Failures","1+ Failures")</f>
        <v>1+ Failures</v>
      </c>
      <c r="M1533" t="str">
        <f t="shared" si="71"/>
        <v>10-20hrs</v>
      </c>
      <c r="N1533" t="str">
        <f t="shared" si="69"/>
        <v>12+ months</v>
      </c>
      <c r="O1533" t="str">
        <f t="shared" si="70"/>
        <v>Basic</v>
      </c>
      <c r="P1533" s="7">
        <v>45657</v>
      </c>
    </row>
    <row r="1534" spans="1:16" x14ac:dyDescent="0.3">
      <c r="A1534">
        <v>1533</v>
      </c>
      <c r="B1534" s="7">
        <v>45607</v>
      </c>
      <c r="C1534" t="s">
        <v>10</v>
      </c>
      <c r="D1534">
        <v>699</v>
      </c>
      <c r="E1534">
        <v>11.9</v>
      </c>
      <c r="F1534">
        <v>2</v>
      </c>
      <c r="G1534">
        <v>4</v>
      </c>
      <c r="H1534">
        <v>10</v>
      </c>
      <c r="I1534">
        <v>18</v>
      </c>
      <c r="J1534" t="s">
        <v>13</v>
      </c>
      <c r="K1534">
        <f>IF(J1534="Yes", 1, 0)</f>
        <v>0</v>
      </c>
      <c r="L1534" t="str">
        <f>IF(G1534=0,"0 Failures","1+ Failures")</f>
        <v>1+ Failures</v>
      </c>
      <c r="M1534" t="str">
        <f t="shared" si="71"/>
        <v>10-20hrs</v>
      </c>
      <c r="N1534" t="str">
        <f t="shared" si="69"/>
        <v>6-12months</v>
      </c>
      <c r="O1534" t="str">
        <f t="shared" si="70"/>
        <v>Premium</v>
      </c>
      <c r="P1534" s="7">
        <v>45657</v>
      </c>
    </row>
    <row r="1535" spans="1:16" x14ac:dyDescent="0.3">
      <c r="A1535">
        <v>1534</v>
      </c>
      <c r="B1535" s="7">
        <v>45149</v>
      </c>
      <c r="C1535" t="s">
        <v>12</v>
      </c>
      <c r="D1535">
        <v>199</v>
      </c>
      <c r="E1535">
        <v>12.4</v>
      </c>
      <c r="F1535">
        <v>1</v>
      </c>
      <c r="G1535">
        <v>2</v>
      </c>
      <c r="H1535">
        <v>20</v>
      </c>
      <c r="I1535">
        <v>0</v>
      </c>
      <c r="J1535" t="s">
        <v>13</v>
      </c>
      <c r="K1535">
        <f>IF(J1535="Yes", 1, 0)</f>
        <v>0</v>
      </c>
      <c r="L1535" t="str">
        <f>IF(G1535=0,"0 Failures","1+ Failures")</f>
        <v>1+ Failures</v>
      </c>
      <c r="M1535" t="str">
        <f t="shared" si="71"/>
        <v>10-20hrs</v>
      </c>
      <c r="N1535" t="str">
        <f t="shared" si="69"/>
        <v>12+ months</v>
      </c>
      <c r="O1535" t="str">
        <f t="shared" si="70"/>
        <v>Basic</v>
      </c>
      <c r="P1535" s="7">
        <v>45657</v>
      </c>
    </row>
    <row r="1536" spans="1:16" x14ac:dyDescent="0.3">
      <c r="A1536">
        <v>1535</v>
      </c>
      <c r="B1536" s="7">
        <v>44927</v>
      </c>
      <c r="C1536" t="s">
        <v>14</v>
      </c>
      <c r="D1536">
        <v>399</v>
      </c>
      <c r="E1536">
        <v>1.8</v>
      </c>
      <c r="F1536">
        <v>4</v>
      </c>
      <c r="G1536">
        <v>0</v>
      </c>
      <c r="H1536">
        <v>8</v>
      </c>
      <c r="I1536">
        <v>27</v>
      </c>
      <c r="J1536" t="s">
        <v>11</v>
      </c>
      <c r="K1536">
        <f>IF(J1536="Yes", 1, 0)</f>
        <v>1</v>
      </c>
      <c r="L1536" t="str">
        <f>IF(G1536=0,"0 Failures","1+ Failures")</f>
        <v>0 Failures</v>
      </c>
      <c r="M1536" t="str">
        <f t="shared" si="71"/>
        <v>0-5 hrs</v>
      </c>
      <c r="N1536" t="str">
        <f t="shared" si="69"/>
        <v>6-12months</v>
      </c>
      <c r="O1536" t="str">
        <f t="shared" si="70"/>
        <v>Basic</v>
      </c>
      <c r="P1536" s="7">
        <v>45657</v>
      </c>
    </row>
    <row r="1537" spans="1:16" x14ac:dyDescent="0.3">
      <c r="A1537">
        <v>1536</v>
      </c>
      <c r="B1537" s="7">
        <v>45501</v>
      </c>
      <c r="C1537" t="s">
        <v>12</v>
      </c>
      <c r="D1537">
        <v>199</v>
      </c>
      <c r="E1537">
        <v>3.9</v>
      </c>
      <c r="F1537">
        <v>4</v>
      </c>
      <c r="G1537">
        <v>4</v>
      </c>
      <c r="H1537">
        <v>17</v>
      </c>
      <c r="I1537">
        <v>42</v>
      </c>
      <c r="J1537" t="s">
        <v>11</v>
      </c>
      <c r="K1537">
        <f>IF(J1537="Yes", 1, 0)</f>
        <v>1</v>
      </c>
      <c r="L1537" t="str">
        <f>IF(G1537=0,"0 Failures","1+ Failures")</f>
        <v>1+ Failures</v>
      </c>
      <c r="M1537" t="str">
        <f t="shared" si="71"/>
        <v>0-5 hrs</v>
      </c>
      <c r="N1537" t="str">
        <f t="shared" si="69"/>
        <v>12+ months</v>
      </c>
      <c r="O1537" t="str">
        <f t="shared" si="70"/>
        <v>Basic</v>
      </c>
      <c r="P1537" s="7">
        <v>45657</v>
      </c>
    </row>
    <row r="1538" spans="1:16" x14ac:dyDescent="0.3">
      <c r="A1538">
        <v>1537</v>
      </c>
      <c r="B1538" s="7">
        <v>45009</v>
      </c>
      <c r="C1538" t="s">
        <v>12</v>
      </c>
      <c r="D1538">
        <v>199</v>
      </c>
      <c r="E1538">
        <v>18</v>
      </c>
      <c r="F1538">
        <v>2</v>
      </c>
      <c r="G1538">
        <v>5</v>
      </c>
      <c r="H1538">
        <v>6</v>
      </c>
      <c r="I1538">
        <v>12</v>
      </c>
      <c r="J1538" t="s">
        <v>13</v>
      </c>
      <c r="K1538">
        <f>IF(J1538="Yes", 1, 0)</f>
        <v>0</v>
      </c>
      <c r="L1538" t="str">
        <f>IF(G1538=0,"0 Failures","1+ Failures")</f>
        <v>1+ Failures</v>
      </c>
      <c r="M1538" t="str">
        <f t="shared" si="71"/>
        <v>10-20hrs</v>
      </c>
      <c r="N1538" t="str">
        <f t="shared" si="69"/>
        <v>3-6months</v>
      </c>
      <c r="O1538" t="str">
        <f t="shared" si="70"/>
        <v>Basic</v>
      </c>
      <c r="P1538" s="7">
        <v>45657</v>
      </c>
    </row>
    <row r="1539" spans="1:16" x14ac:dyDescent="0.3">
      <c r="A1539">
        <v>1538</v>
      </c>
      <c r="B1539" s="7">
        <v>45322</v>
      </c>
      <c r="C1539" t="s">
        <v>14</v>
      </c>
      <c r="D1539">
        <v>399</v>
      </c>
      <c r="E1539">
        <v>1.3</v>
      </c>
      <c r="F1539">
        <v>5</v>
      </c>
      <c r="G1539">
        <v>1</v>
      </c>
      <c r="H1539">
        <v>15</v>
      </c>
      <c r="I1539">
        <v>51</v>
      </c>
      <c r="J1539" t="s">
        <v>11</v>
      </c>
      <c r="K1539">
        <f>IF(J1539="Yes", 1, 0)</f>
        <v>1</v>
      </c>
      <c r="L1539" t="str">
        <f>IF(G1539=0,"0 Failures","1+ Failures")</f>
        <v>1+ Failures</v>
      </c>
      <c r="M1539" t="str">
        <f t="shared" si="71"/>
        <v>0-5 hrs</v>
      </c>
      <c r="N1539" t="str">
        <f t="shared" ref="N1539:N1602" si="72">IF(H1539&lt;=3, "0-3months", IF(H1539&lt;=6, "3-6months", IF(H1539&lt;=12, "6-12months", "12+ months")))</f>
        <v>12+ months</v>
      </c>
      <c r="O1539" t="str">
        <f t="shared" ref="O1539:O1602" si="73">IF(C1539="premium", "Premium", "Basic")</f>
        <v>Basic</v>
      </c>
      <c r="P1539" s="7">
        <v>45657</v>
      </c>
    </row>
    <row r="1540" spans="1:16" x14ac:dyDescent="0.3">
      <c r="A1540">
        <v>1539</v>
      </c>
      <c r="B1540" s="7">
        <v>45245</v>
      </c>
      <c r="C1540" t="s">
        <v>14</v>
      </c>
      <c r="D1540">
        <v>399</v>
      </c>
      <c r="E1540">
        <v>24.2</v>
      </c>
      <c r="F1540">
        <v>1</v>
      </c>
      <c r="G1540">
        <v>2</v>
      </c>
      <c r="H1540">
        <v>26</v>
      </c>
      <c r="I1540">
        <v>58</v>
      </c>
      <c r="J1540" t="s">
        <v>11</v>
      </c>
      <c r="K1540">
        <f>IF(J1540="Yes", 1, 0)</f>
        <v>1</v>
      </c>
      <c r="L1540" t="str">
        <f>IF(G1540=0,"0 Failures","1+ Failures")</f>
        <v>1+ Failures</v>
      </c>
      <c r="M1540" t="str">
        <f t="shared" si="71"/>
        <v>20+ hrs</v>
      </c>
      <c r="N1540" t="str">
        <f t="shared" si="72"/>
        <v>12+ months</v>
      </c>
      <c r="O1540" t="str">
        <f t="shared" si="73"/>
        <v>Basic</v>
      </c>
      <c r="P1540" s="7">
        <v>45657</v>
      </c>
    </row>
    <row r="1541" spans="1:16" x14ac:dyDescent="0.3">
      <c r="A1541">
        <v>1540</v>
      </c>
      <c r="B1541" s="7">
        <v>45131</v>
      </c>
      <c r="C1541" t="s">
        <v>12</v>
      </c>
      <c r="D1541">
        <v>199</v>
      </c>
      <c r="E1541">
        <v>17.100000000000001</v>
      </c>
      <c r="F1541">
        <v>5</v>
      </c>
      <c r="G1541">
        <v>4</v>
      </c>
      <c r="H1541">
        <v>28</v>
      </c>
      <c r="I1541">
        <v>8</v>
      </c>
      <c r="J1541" t="s">
        <v>13</v>
      </c>
      <c r="K1541">
        <f>IF(J1541="Yes", 1, 0)</f>
        <v>0</v>
      </c>
      <c r="L1541" t="str">
        <f>IF(G1541=0,"0 Failures","1+ Failures")</f>
        <v>1+ Failures</v>
      </c>
      <c r="M1541" t="str">
        <f t="shared" si="71"/>
        <v>10-20hrs</v>
      </c>
      <c r="N1541" t="str">
        <f t="shared" si="72"/>
        <v>12+ months</v>
      </c>
      <c r="O1541" t="str">
        <f t="shared" si="73"/>
        <v>Basic</v>
      </c>
      <c r="P1541" s="7">
        <v>45657</v>
      </c>
    </row>
    <row r="1542" spans="1:16" x14ac:dyDescent="0.3">
      <c r="A1542">
        <v>1541</v>
      </c>
      <c r="B1542" s="7">
        <v>45507</v>
      </c>
      <c r="C1542" t="s">
        <v>14</v>
      </c>
      <c r="D1542">
        <v>399</v>
      </c>
      <c r="E1542">
        <v>10.7</v>
      </c>
      <c r="F1542">
        <v>3</v>
      </c>
      <c r="G1542">
        <v>2</v>
      </c>
      <c r="H1542">
        <v>9</v>
      </c>
      <c r="I1542">
        <v>19</v>
      </c>
      <c r="J1542" t="s">
        <v>11</v>
      </c>
      <c r="K1542">
        <f>IF(J1542="Yes", 1, 0)</f>
        <v>1</v>
      </c>
      <c r="L1542" t="str">
        <f>IF(G1542=0,"0 Failures","1+ Failures")</f>
        <v>1+ Failures</v>
      </c>
      <c r="M1542" t="str">
        <f t="shared" si="71"/>
        <v>10-20hrs</v>
      </c>
      <c r="N1542" t="str">
        <f t="shared" si="72"/>
        <v>6-12months</v>
      </c>
      <c r="O1542" t="str">
        <f t="shared" si="73"/>
        <v>Basic</v>
      </c>
      <c r="P1542" s="7">
        <v>45657</v>
      </c>
    </row>
    <row r="1543" spans="1:16" x14ac:dyDescent="0.3">
      <c r="A1543">
        <v>1542</v>
      </c>
      <c r="B1543" s="7">
        <v>45379</v>
      </c>
      <c r="C1543" t="s">
        <v>10</v>
      </c>
      <c r="D1543">
        <v>699</v>
      </c>
      <c r="E1543">
        <v>13.9</v>
      </c>
      <c r="F1543">
        <v>6</v>
      </c>
      <c r="G1543">
        <v>3</v>
      </c>
      <c r="H1543">
        <v>30</v>
      </c>
      <c r="I1543">
        <v>6</v>
      </c>
      <c r="J1543" t="s">
        <v>11</v>
      </c>
      <c r="K1543">
        <f>IF(J1543="Yes", 1, 0)</f>
        <v>1</v>
      </c>
      <c r="L1543" t="str">
        <f>IF(G1543=0,"0 Failures","1+ Failures")</f>
        <v>1+ Failures</v>
      </c>
      <c r="M1543" t="str">
        <f t="shared" si="71"/>
        <v>10-20hrs</v>
      </c>
      <c r="N1543" t="str">
        <f t="shared" si="72"/>
        <v>12+ months</v>
      </c>
      <c r="O1543" t="str">
        <f t="shared" si="73"/>
        <v>Premium</v>
      </c>
      <c r="P1543" s="7">
        <v>45657</v>
      </c>
    </row>
    <row r="1544" spans="1:16" x14ac:dyDescent="0.3">
      <c r="A1544">
        <v>1543</v>
      </c>
      <c r="B1544" s="7">
        <v>45357</v>
      </c>
      <c r="C1544" t="s">
        <v>10</v>
      </c>
      <c r="D1544">
        <v>699</v>
      </c>
      <c r="E1544">
        <v>12.8</v>
      </c>
      <c r="F1544">
        <v>5</v>
      </c>
      <c r="G1544">
        <v>3</v>
      </c>
      <c r="H1544">
        <v>21</v>
      </c>
      <c r="I1544">
        <v>22</v>
      </c>
      <c r="J1544" t="s">
        <v>11</v>
      </c>
      <c r="K1544">
        <f>IF(J1544="Yes", 1, 0)</f>
        <v>1</v>
      </c>
      <c r="L1544" t="str">
        <f>IF(G1544=0,"0 Failures","1+ Failures")</f>
        <v>1+ Failures</v>
      </c>
      <c r="M1544" t="str">
        <f t="shared" si="71"/>
        <v>10-20hrs</v>
      </c>
      <c r="N1544" t="str">
        <f t="shared" si="72"/>
        <v>12+ months</v>
      </c>
      <c r="O1544" t="str">
        <f t="shared" si="73"/>
        <v>Premium</v>
      </c>
      <c r="P1544" s="7">
        <v>45657</v>
      </c>
    </row>
    <row r="1545" spans="1:16" x14ac:dyDescent="0.3">
      <c r="A1545">
        <v>1544</v>
      </c>
      <c r="B1545" s="7">
        <v>45070</v>
      </c>
      <c r="C1545" t="s">
        <v>14</v>
      </c>
      <c r="D1545">
        <v>399</v>
      </c>
      <c r="E1545">
        <v>1.2</v>
      </c>
      <c r="F1545">
        <v>8</v>
      </c>
      <c r="G1545">
        <v>0</v>
      </c>
      <c r="H1545">
        <v>30</v>
      </c>
      <c r="I1545">
        <v>49</v>
      </c>
      <c r="J1545" t="s">
        <v>11</v>
      </c>
      <c r="K1545">
        <f>IF(J1545="Yes", 1, 0)</f>
        <v>1</v>
      </c>
      <c r="L1545" t="str">
        <f>IF(G1545=0,"0 Failures","1+ Failures")</f>
        <v>0 Failures</v>
      </c>
      <c r="M1545" t="str">
        <f t="shared" si="71"/>
        <v>0-5 hrs</v>
      </c>
      <c r="N1545" t="str">
        <f t="shared" si="72"/>
        <v>12+ months</v>
      </c>
      <c r="O1545" t="str">
        <f t="shared" si="73"/>
        <v>Basic</v>
      </c>
      <c r="P1545" s="7">
        <v>45657</v>
      </c>
    </row>
    <row r="1546" spans="1:16" x14ac:dyDescent="0.3">
      <c r="A1546">
        <v>1545</v>
      </c>
      <c r="B1546" s="7">
        <v>45506</v>
      </c>
      <c r="C1546" t="s">
        <v>10</v>
      </c>
      <c r="D1546">
        <v>699</v>
      </c>
      <c r="E1546">
        <v>19.8</v>
      </c>
      <c r="F1546">
        <v>8</v>
      </c>
      <c r="G1546">
        <v>2</v>
      </c>
      <c r="H1546">
        <v>20</v>
      </c>
      <c r="I1546">
        <v>8</v>
      </c>
      <c r="J1546" t="s">
        <v>13</v>
      </c>
      <c r="K1546">
        <f>IF(J1546="Yes", 1, 0)</f>
        <v>0</v>
      </c>
      <c r="L1546" t="str">
        <f>IF(G1546=0,"0 Failures","1+ Failures")</f>
        <v>1+ Failures</v>
      </c>
      <c r="M1546" t="str">
        <f t="shared" si="71"/>
        <v>10-20hrs</v>
      </c>
      <c r="N1546" t="str">
        <f t="shared" si="72"/>
        <v>12+ months</v>
      </c>
      <c r="O1546" t="str">
        <f t="shared" si="73"/>
        <v>Premium</v>
      </c>
      <c r="P1546" s="7">
        <v>45657</v>
      </c>
    </row>
    <row r="1547" spans="1:16" x14ac:dyDescent="0.3">
      <c r="A1547">
        <v>1546</v>
      </c>
      <c r="B1547" s="7">
        <v>45400</v>
      </c>
      <c r="C1547" t="s">
        <v>14</v>
      </c>
      <c r="D1547">
        <v>399</v>
      </c>
      <c r="E1547">
        <v>19</v>
      </c>
      <c r="F1547">
        <v>6</v>
      </c>
      <c r="G1547">
        <v>1</v>
      </c>
      <c r="H1547">
        <v>4</v>
      </c>
      <c r="I1547">
        <v>25</v>
      </c>
      <c r="J1547" t="s">
        <v>13</v>
      </c>
      <c r="K1547">
        <f>IF(J1547="Yes", 1, 0)</f>
        <v>0</v>
      </c>
      <c r="L1547" t="str">
        <f>IF(G1547=0,"0 Failures","1+ Failures")</f>
        <v>1+ Failures</v>
      </c>
      <c r="M1547" t="str">
        <f t="shared" ref="M1547:M1610" si="74">IF(E1547&lt;=5, "0-5 hrs",    IF(E1547&lt;=10, "5-10 hrs",    IF(E1547&lt;=20, "10-20hrs", "20+ hrs")))</f>
        <v>10-20hrs</v>
      </c>
      <c r="N1547" t="str">
        <f t="shared" si="72"/>
        <v>3-6months</v>
      </c>
      <c r="O1547" t="str">
        <f t="shared" si="73"/>
        <v>Basic</v>
      </c>
      <c r="P1547" s="7">
        <v>45657</v>
      </c>
    </row>
    <row r="1548" spans="1:16" x14ac:dyDescent="0.3">
      <c r="A1548">
        <v>1547</v>
      </c>
      <c r="B1548" s="7">
        <v>45592</v>
      </c>
      <c r="C1548" t="s">
        <v>10</v>
      </c>
      <c r="D1548">
        <v>699</v>
      </c>
      <c r="E1548">
        <v>21.1</v>
      </c>
      <c r="F1548">
        <v>1</v>
      </c>
      <c r="G1548">
        <v>0</v>
      </c>
      <c r="H1548">
        <v>30</v>
      </c>
      <c r="I1548">
        <v>17</v>
      </c>
      <c r="J1548" t="s">
        <v>13</v>
      </c>
      <c r="K1548">
        <f>IF(J1548="Yes", 1, 0)</f>
        <v>0</v>
      </c>
      <c r="L1548" t="str">
        <f>IF(G1548=0,"0 Failures","1+ Failures")</f>
        <v>0 Failures</v>
      </c>
      <c r="M1548" t="str">
        <f t="shared" si="74"/>
        <v>20+ hrs</v>
      </c>
      <c r="N1548" t="str">
        <f t="shared" si="72"/>
        <v>12+ months</v>
      </c>
      <c r="O1548" t="str">
        <f t="shared" si="73"/>
        <v>Premium</v>
      </c>
      <c r="P1548" s="7">
        <v>45657</v>
      </c>
    </row>
    <row r="1549" spans="1:16" x14ac:dyDescent="0.3">
      <c r="A1549">
        <v>1548</v>
      </c>
      <c r="B1549" s="7">
        <v>44989</v>
      </c>
      <c r="C1549" t="s">
        <v>12</v>
      </c>
      <c r="D1549">
        <v>199</v>
      </c>
      <c r="E1549">
        <v>15.1</v>
      </c>
      <c r="F1549">
        <v>4</v>
      </c>
      <c r="G1549">
        <v>4</v>
      </c>
      <c r="H1549">
        <v>22</v>
      </c>
      <c r="I1549">
        <v>30</v>
      </c>
      <c r="J1549" t="s">
        <v>11</v>
      </c>
      <c r="K1549">
        <f>IF(J1549="Yes", 1, 0)</f>
        <v>1</v>
      </c>
      <c r="L1549" t="str">
        <f>IF(G1549=0,"0 Failures","1+ Failures")</f>
        <v>1+ Failures</v>
      </c>
      <c r="M1549" t="str">
        <f t="shared" si="74"/>
        <v>10-20hrs</v>
      </c>
      <c r="N1549" t="str">
        <f t="shared" si="72"/>
        <v>12+ months</v>
      </c>
      <c r="O1549" t="str">
        <f t="shared" si="73"/>
        <v>Basic</v>
      </c>
      <c r="P1549" s="7">
        <v>45657</v>
      </c>
    </row>
    <row r="1550" spans="1:16" x14ac:dyDescent="0.3">
      <c r="A1550">
        <v>1549</v>
      </c>
      <c r="B1550" s="7">
        <v>45502</v>
      </c>
      <c r="C1550" t="s">
        <v>12</v>
      </c>
      <c r="D1550">
        <v>199</v>
      </c>
      <c r="E1550">
        <v>18.600000000000001</v>
      </c>
      <c r="F1550">
        <v>0</v>
      </c>
      <c r="G1550">
        <v>5</v>
      </c>
      <c r="H1550">
        <v>33</v>
      </c>
      <c r="I1550">
        <v>13</v>
      </c>
      <c r="J1550" t="s">
        <v>13</v>
      </c>
      <c r="K1550">
        <f>IF(J1550="Yes", 1, 0)</f>
        <v>0</v>
      </c>
      <c r="L1550" t="str">
        <f>IF(G1550=0,"0 Failures","1+ Failures")</f>
        <v>1+ Failures</v>
      </c>
      <c r="M1550" t="str">
        <f t="shared" si="74"/>
        <v>10-20hrs</v>
      </c>
      <c r="N1550" t="str">
        <f t="shared" si="72"/>
        <v>12+ months</v>
      </c>
      <c r="O1550" t="str">
        <f t="shared" si="73"/>
        <v>Basic</v>
      </c>
      <c r="P1550" s="7">
        <v>45657</v>
      </c>
    </row>
    <row r="1551" spans="1:16" x14ac:dyDescent="0.3">
      <c r="A1551">
        <v>1550</v>
      </c>
      <c r="B1551" s="7">
        <v>44933</v>
      </c>
      <c r="C1551" t="s">
        <v>10</v>
      </c>
      <c r="D1551">
        <v>699</v>
      </c>
      <c r="E1551">
        <v>3.8</v>
      </c>
      <c r="F1551">
        <v>2</v>
      </c>
      <c r="G1551">
        <v>2</v>
      </c>
      <c r="H1551">
        <v>32</v>
      </c>
      <c r="I1551">
        <v>40</v>
      </c>
      <c r="J1551" t="s">
        <v>11</v>
      </c>
      <c r="K1551">
        <f>IF(J1551="Yes", 1, 0)</f>
        <v>1</v>
      </c>
      <c r="L1551" t="str">
        <f>IF(G1551=0,"0 Failures","1+ Failures")</f>
        <v>1+ Failures</v>
      </c>
      <c r="M1551" t="str">
        <f t="shared" si="74"/>
        <v>0-5 hrs</v>
      </c>
      <c r="N1551" t="str">
        <f t="shared" si="72"/>
        <v>12+ months</v>
      </c>
      <c r="O1551" t="str">
        <f t="shared" si="73"/>
        <v>Premium</v>
      </c>
      <c r="P1551" s="7">
        <v>45657</v>
      </c>
    </row>
    <row r="1552" spans="1:16" x14ac:dyDescent="0.3">
      <c r="A1552">
        <v>1551</v>
      </c>
      <c r="B1552" s="7">
        <v>45459</v>
      </c>
      <c r="C1552" t="s">
        <v>14</v>
      </c>
      <c r="D1552">
        <v>399</v>
      </c>
      <c r="E1552">
        <v>3.3</v>
      </c>
      <c r="F1552">
        <v>0</v>
      </c>
      <c r="G1552">
        <v>1</v>
      </c>
      <c r="H1552">
        <v>13</v>
      </c>
      <c r="I1552">
        <v>38</v>
      </c>
      <c r="J1552" t="s">
        <v>13</v>
      </c>
      <c r="K1552">
        <f>IF(J1552="Yes", 1, 0)</f>
        <v>0</v>
      </c>
      <c r="L1552" t="str">
        <f>IF(G1552=0,"0 Failures","1+ Failures")</f>
        <v>1+ Failures</v>
      </c>
      <c r="M1552" t="str">
        <f t="shared" si="74"/>
        <v>0-5 hrs</v>
      </c>
      <c r="N1552" t="str">
        <f t="shared" si="72"/>
        <v>12+ months</v>
      </c>
      <c r="O1552" t="str">
        <f t="shared" si="73"/>
        <v>Basic</v>
      </c>
      <c r="P1552" s="7">
        <v>45657</v>
      </c>
    </row>
    <row r="1553" spans="1:16" x14ac:dyDescent="0.3">
      <c r="A1553">
        <v>1552</v>
      </c>
      <c r="B1553" s="7">
        <v>45327</v>
      </c>
      <c r="C1553" t="s">
        <v>12</v>
      </c>
      <c r="D1553">
        <v>199</v>
      </c>
      <c r="E1553">
        <v>5.5</v>
      </c>
      <c r="F1553">
        <v>7</v>
      </c>
      <c r="G1553">
        <v>0</v>
      </c>
      <c r="H1553">
        <v>16</v>
      </c>
      <c r="I1553">
        <v>53</v>
      </c>
      <c r="J1553" t="s">
        <v>13</v>
      </c>
      <c r="K1553">
        <f>IF(J1553="Yes", 1, 0)</f>
        <v>0</v>
      </c>
      <c r="L1553" t="str">
        <f>IF(G1553=0,"0 Failures","1+ Failures")</f>
        <v>0 Failures</v>
      </c>
      <c r="M1553" t="str">
        <f t="shared" si="74"/>
        <v>5-10 hrs</v>
      </c>
      <c r="N1553" t="str">
        <f t="shared" si="72"/>
        <v>12+ months</v>
      </c>
      <c r="O1553" t="str">
        <f t="shared" si="73"/>
        <v>Basic</v>
      </c>
      <c r="P1553" s="7">
        <v>45657</v>
      </c>
    </row>
    <row r="1554" spans="1:16" x14ac:dyDescent="0.3">
      <c r="A1554">
        <v>1553</v>
      </c>
      <c r="B1554" s="7">
        <v>45486</v>
      </c>
      <c r="C1554" t="s">
        <v>12</v>
      </c>
      <c r="D1554">
        <v>199</v>
      </c>
      <c r="E1554">
        <v>7.8</v>
      </c>
      <c r="F1554">
        <v>7</v>
      </c>
      <c r="G1554">
        <v>1</v>
      </c>
      <c r="H1554">
        <v>8</v>
      </c>
      <c r="I1554">
        <v>52</v>
      </c>
      <c r="J1554" t="s">
        <v>11</v>
      </c>
      <c r="K1554">
        <f>IF(J1554="Yes", 1, 0)</f>
        <v>1</v>
      </c>
      <c r="L1554" t="str">
        <f>IF(G1554=0,"0 Failures","1+ Failures")</f>
        <v>1+ Failures</v>
      </c>
      <c r="M1554" t="str">
        <f t="shared" si="74"/>
        <v>5-10 hrs</v>
      </c>
      <c r="N1554" t="str">
        <f t="shared" si="72"/>
        <v>6-12months</v>
      </c>
      <c r="O1554" t="str">
        <f t="shared" si="73"/>
        <v>Basic</v>
      </c>
      <c r="P1554" s="7">
        <v>45657</v>
      </c>
    </row>
    <row r="1555" spans="1:16" x14ac:dyDescent="0.3">
      <c r="A1555">
        <v>1554</v>
      </c>
      <c r="B1555" s="7">
        <v>45116</v>
      </c>
      <c r="C1555" t="s">
        <v>14</v>
      </c>
      <c r="D1555">
        <v>399</v>
      </c>
      <c r="E1555">
        <v>21.6</v>
      </c>
      <c r="F1555">
        <v>1</v>
      </c>
      <c r="G1555">
        <v>3</v>
      </c>
      <c r="H1555">
        <v>29</v>
      </c>
      <c r="I1555">
        <v>9</v>
      </c>
      <c r="J1555" t="s">
        <v>13</v>
      </c>
      <c r="K1555">
        <f>IF(J1555="Yes", 1, 0)</f>
        <v>0</v>
      </c>
      <c r="L1555" t="str">
        <f>IF(G1555=0,"0 Failures","1+ Failures")</f>
        <v>1+ Failures</v>
      </c>
      <c r="M1555" t="str">
        <f t="shared" si="74"/>
        <v>20+ hrs</v>
      </c>
      <c r="N1555" t="str">
        <f t="shared" si="72"/>
        <v>12+ months</v>
      </c>
      <c r="O1555" t="str">
        <f t="shared" si="73"/>
        <v>Basic</v>
      </c>
      <c r="P1555" s="7">
        <v>45657</v>
      </c>
    </row>
    <row r="1556" spans="1:16" x14ac:dyDescent="0.3">
      <c r="A1556">
        <v>1555</v>
      </c>
      <c r="B1556" s="7">
        <v>45223</v>
      </c>
      <c r="C1556" t="s">
        <v>12</v>
      </c>
      <c r="D1556">
        <v>199</v>
      </c>
      <c r="E1556">
        <v>4.7</v>
      </c>
      <c r="F1556">
        <v>8</v>
      </c>
      <c r="G1556">
        <v>1</v>
      </c>
      <c r="H1556">
        <v>16</v>
      </c>
      <c r="I1556">
        <v>30</v>
      </c>
      <c r="J1556" t="s">
        <v>11</v>
      </c>
      <c r="K1556">
        <f>IF(J1556="Yes", 1, 0)</f>
        <v>1</v>
      </c>
      <c r="L1556" t="str">
        <f>IF(G1556=0,"0 Failures","1+ Failures")</f>
        <v>1+ Failures</v>
      </c>
      <c r="M1556" t="str">
        <f t="shared" si="74"/>
        <v>0-5 hrs</v>
      </c>
      <c r="N1556" t="str">
        <f t="shared" si="72"/>
        <v>12+ months</v>
      </c>
      <c r="O1556" t="str">
        <f t="shared" si="73"/>
        <v>Basic</v>
      </c>
      <c r="P1556" s="7">
        <v>45657</v>
      </c>
    </row>
    <row r="1557" spans="1:16" x14ac:dyDescent="0.3">
      <c r="A1557">
        <v>1556</v>
      </c>
      <c r="B1557" s="7">
        <v>45322</v>
      </c>
      <c r="C1557" t="s">
        <v>10</v>
      </c>
      <c r="D1557">
        <v>699</v>
      </c>
      <c r="E1557">
        <v>24</v>
      </c>
      <c r="F1557">
        <v>7</v>
      </c>
      <c r="G1557">
        <v>2</v>
      </c>
      <c r="H1557">
        <v>7</v>
      </c>
      <c r="I1557">
        <v>42</v>
      </c>
      <c r="J1557" t="s">
        <v>11</v>
      </c>
      <c r="K1557">
        <f>IF(J1557="Yes", 1, 0)</f>
        <v>1</v>
      </c>
      <c r="L1557" t="str">
        <f>IF(G1557=0,"0 Failures","1+ Failures")</f>
        <v>1+ Failures</v>
      </c>
      <c r="M1557" t="str">
        <f t="shared" si="74"/>
        <v>20+ hrs</v>
      </c>
      <c r="N1557" t="str">
        <f t="shared" si="72"/>
        <v>6-12months</v>
      </c>
      <c r="O1557" t="str">
        <f t="shared" si="73"/>
        <v>Premium</v>
      </c>
      <c r="P1557" s="7">
        <v>45657</v>
      </c>
    </row>
    <row r="1558" spans="1:16" x14ac:dyDescent="0.3">
      <c r="A1558">
        <v>1557</v>
      </c>
      <c r="B1558" s="7">
        <v>45050</v>
      </c>
      <c r="C1558" t="s">
        <v>10</v>
      </c>
      <c r="D1558">
        <v>699</v>
      </c>
      <c r="E1558">
        <v>11.9</v>
      </c>
      <c r="F1558">
        <v>6</v>
      </c>
      <c r="G1558">
        <v>1</v>
      </c>
      <c r="H1558">
        <v>7</v>
      </c>
      <c r="I1558">
        <v>1</v>
      </c>
      <c r="J1558" t="s">
        <v>13</v>
      </c>
      <c r="K1558">
        <f>IF(J1558="Yes", 1, 0)</f>
        <v>0</v>
      </c>
      <c r="L1558" t="str">
        <f>IF(G1558=0,"0 Failures","1+ Failures")</f>
        <v>1+ Failures</v>
      </c>
      <c r="M1558" t="str">
        <f t="shared" si="74"/>
        <v>10-20hrs</v>
      </c>
      <c r="N1558" t="str">
        <f t="shared" si="72"/>
        <v>6-12months</v>
      </c>
      <c r="O1558" t="str">
        <f t="shared" si="73"/>
        <v>Premium</v>
      </c>
      <c r="P1558" s="7">
        <v>45657</v>
      </c>
    </row>
    <row r="1559" spans="1:16" x14ac:dyDescent="0.3">
      <c r="A1559">
        <v>1558</v>
      </c>
      <c r="B1559" s="7">
        <v>45599</v>
      </c>
      <c r="C1559" t="s">
        <v>10</v>
      </c>
      <c r="D1559">
        <v>699</v>
      </c>
      <c r="E1559">
        <v>0.8</v>
      </c>
      <c r="F1559">
        <v>4</v>
      </c>
      <c r="G1559">
        <v>0</v>
      </c>
      <c r="H1559">
        <v>25</v>
      </c>
      <c r="I1559">
        <v>41</v>
      </c>
      <c r="J1559" t="s">
        <v>11</v>
      </c>
      <c r="K1559">
        <f>IF(J1559="Yes", 1, 0)</f>
        <v>1</v>
      </c>
      <c r="L1559" t="str">
        <f>IF(G1559=0,"0 Failures","1+ Failures")</f>
        <v>0 Failures</v>
      </c>
      <c r="M1559" t="str">
        <f t="shared" si="74"/>
        <v>0-5 hrs</v>
      </c>
      <c r="N1559" t="str">
        <f t="shared" si="72"/>
        <v>12+ months</v>
      </c>
      <c r="O1559" t="str">
        <f t="shared" si="73"/>
        <v>Premium</v>
      </c>
      <c r="P1559" s="7">
        <v>45657</v>
      </c>
    </row>
    <row r="1560" spans="1:16" x14ac:dyDescent="0.3">
      <c r="A1560">
        <v>1559</v>
      </c>
      <c r="B1560" s="7">
        <v>45396</v>
      </c>
      <c r="C1560" t="s">
        <v>10</v>
      </c>
      <c r="D1560">
        <v>699</v>
      </c>
      <c r="E1560">
        <v>1.5</v>
      </c>
      <c r="F1560">
        <v>5</v>
      </c>
      <c r="G1560">
        <v>1</v>
      </c>
      <c r="H1560">
        <v>29</v>
      </c>
      <c r="I1560">
        <v>29</v>
      </c>
      <c r="J1560" t="s">
        <v>13</v>
      </c>
      <c r="K1560">
        <f>IF(J1560="Yes", 1, 0)</f>
        <v>0</v>
      </c>
      <c r="L1560" t="str">
        <f>IF(G1560=0,"0 Failures","1+ Failures")</f>
        <v>1+ Failures</v>
      </c>
      <c r="M1560" t="str">
        <f t="shared" si="74"/>
        <v>0-5 hrs</v>
      </c>
      <c r="N1560" t="str">
        <f t="shared" si="72"/>
        <v>12+ months</v>
      </c>
      <c r="O1560" t="str">
        <f t="shared" si="73"/>
        <v>Premium</v>
      </c>
      <c r="P1560" s="7">
        <v>45657</v>
      </c>
    </row>
    <row r="1561" spans="1:16" x14ac:dyDescent="0.3">
      <c r="A1561">
        <v>1560</v>
      </c>
      <c r="B1561" s="7">
        <v>45142</v>
      </c>
      <c r="C1561" t="s">
        <v>14</v>
      </c>
      <c r="D1561">
        <v>399</v>
      </c>
      <c r="E1561">
        <v>24.6</v>
      </c>
      <c r="F1561">
        <v>5</v>
      </c>
      <c r="G1561">
        <v>4</v>
      </c>
      <c r="H1561">
        <v>1</v>
      </c>
      <c r="I1561">
        <v>54</v>
      </c>
      <c r="J1561" t="s">
        <v>13</v>
      </c>
      <c r="K1561">
        <f>IF(J1561="Yes", 1, 0)</f>
        <v>0</v>
      </c>
      <c r="L1561" t="str">
        <f>IF(G1561=0,"0 Failures","1+ Failures")</f>
        <v>1+ Failures</v>
      </c>
      <c r="M1561" t="str">
        <f t="shared" si="74"/>
        <v>20+ hrs</v>
      </c>
      <c r="N1561" t="str">
        <f t="shared" si="72"/>
        <v>0-3months</v>
      </c>
      <c r="O1561" t="str">
        <f t="shared" si="73"/>
        <v>Basic</v>
      </c>
      <c r="P1561" s="7">
        <v>45657</v>
      </c>
    </row>
    <row r="1562" spans="1:16" x14ac:dyDescent="0.3">
      <c r="A1562">
        <v>1561</v>
      </c>
      <c r="B1562" s="7">
        <v>45598</v>
      </c>
      <c r="C1562" t="s">
        <v>14</v>
      </c>
      <c r="D1562">
        <v>399</v>
      </c>
      <c r="E1562">
        <v>10.1</v>
      </c>
      <c r="F1562">
        <v>1</v>
      </c>
      <c r="G1562">
        <v>1</v>
      </c>
      <c r="H1562">
        <v>34</v>
      </c>
      <c r="I1562">
        <v>41</v>
      </c>
      <c r="J1562" t="s">
        <v>11</v>
      </c>
      <c r="K1562">
        <f>IF(J1562="Yes", 1, 0)</f>
        <v>1</v>
      </c>
      <c r="L1562" t="str">
        <f>IF(G1562=0,"0 Failures","1+ Failures")</f>
        <v>1+ Failures</v>
      </c>
      <c r="M1562" t="str">
        <f t="shared" si="74"/>
        <v>10-20hrs</v>
      </c>
      <c r="N1562" t="str">
        <f t="shared" si="72"/>
        <v>12+ months</v>
      </c>
      <c r="O1562" t="str">
        <f t="shared" si="73"/>
        <v>Basic</v>
      </c>
      <c r="P1562" s="7">
        <v>45657</v>
      </c>
    </row>
    <row r="1563" spans="1:16" x14ac:dyDescent="0.3">
      <c r="A1563">
        <v>1562</v>
      </c>
      <c r="B1563" s="7">
        <v>45237</v>
      </c>
      <c r="C1563" t="s">
        <v>10</v>
      </c>
      <c r="D1563">
        <v>699</v>
      </c>
      <c r="E1563">
        <v>11.8</v>
      </c>
      <c r="F1563">
        <v>2</v>
      </c>
      <c r="G1563">
        <v>2</v>
      </c>
      <c r="H1563">
        <v>22</v>
      </c>
      <c r="I1563">
        <v>50</v>
      </c>
      <c r="J1563" t="s">
        <v>13</v>
      </c>
      <c r="K1563">
        <f>IF(J1563="Yes", 1, 0)</f>
        <v>0</v>
      </c>
      <c r="L1563" t="str">
        <f>IF(G1563=0,"0 Failures","1+ Failures")</f>
        <v>1+ Failures</v>
      </c>
      <c r="M1563" t="str">
        <f t="shared" si="74"/>
        <v>10-20hrs</v>
      </c>
      <c r="N1563" t="str">
        <f t="shared" si="72"/>
        <v>12+ months</v>
      </c>
      <c r="O1563" t="str">
        <f t="shared" si="73"/>
        <v>Premium</v>
      </c>
      <c r="P1563" s="7">
        <v>45657</v>
      </c>
    </row>
    <row r="1564" spans="1:16" x14ac:dyDescent="0.3">
      <c r="A1564">
        <v>1563</v>
      </c>
      <c r="B1564" s="7">
        <v>45111</v>
      </c>
      <c r="C1564" t="s">
        <v>14</v>
      </c>
      <c r="D1564">
        <v>399</v>
      </c>
      <c r="E1564">
        <v>22.9</v>
      </c>
      <c r="F1564">
        <v>7</v>
      </c>
      <c r="G1564">
        <v>3</v>
      </c>
      <c r="H1564">
        <v>5</v>
      </c>
      <c r="I1564">
        <v>30</v>
      </c>
      <c r="J1564" t="s">
        <v>11</v>
      </c>
      <c r="K1564">
        <f>IF(J1564="Yes", 1, 0)</f>
        <v>1</v>
      </c>
      <c r="L1564" t="str">
        <f>IF(G1564=0,"0 Failures","1+ Failures")</f>
        <v>1+ Failures</v>
      </c>
      <c r="M1564" t="str">
        <f t="shared" si="74"/>
        <v>20+ hrs</v>
      </c>
      <c r="N1564" t="str">
        <f t="shared" si="72"/>
        <v>3-6months</v>
      </c>
      <c r="O1564" t="str">
        <f t="shared" si="73"/>
        <v>Basic</v>
      </c>
      <c r="P1564" s="7">
        <v>45657</v>
      </c>
    </row>
    <row r="1565" spans="1:16" x14ac:dyDescent="0.3">
      <c r="A1565">
        <v>1564</v>
      </c>
      <c r="B1565" s="7">
        <v>45529</v>
      </c>
      <c r="C1565" t="s">
        <v>10</v>
      </c>
      <c r="D1565">
        <v>699</v>
      </c>
      <c r="E1565">
        <v>19.5</v>
      </c>
      <c r="F1565">
        <v>8</v>
      </c>
      <c r="G1565">
        <v>2</v>
      </c>
      <c r="H1565">
        <v>33</v>
      </c>
      <c r="I1565">
        <v>8</v>
      </c>
      <c r="J1565" t="s">
        <v>13</v>
      </c>
      <c r="K1565">
        <f>IF(J1565="Yes", 1, 0)</f>
        <v>0</v>
      </c>
      <c r="L1565" t="str">
        <f>IF(G1565=0,"0 Failures","1+ Failures")</f>
        <v>1+ Failures</v>
      </c>
      <c r="M1565" t="str">
        <f t="shared" si="74"/>
        <v>10-20hrs</v>
      </c>
      <c r="N1565" t="str">
        <f t="shared" si="72"/>
        <v>12+ months</v>
      </c>
      <c r="O1565" t="str">
        <f t="shared" si="73"/>
        <v>Premium</v>
      </c>
      <c r="P1565" s="7">
        <v>45657</v>
      </c>
    </row>
    <row r="1566" spans="1:16" x14ac:dyDescent="0.3">
      <c r="A1566">
        <v>1565</v>
      </c>
      <c r="B1566" s="7">
        <v>45089</v>
      </c>
      <c r="C1566" t="s">
        <v>10</v>
      </c>
      <c r="D1566">
        <v>699</v>
      </c>
      <c r="E1566">
        <v>14.8</v>
      </c>
      <c r="F1566">
        <v>6</v>
      </c>
      <c r="G1566">
        <v>0</v>
      </c>
      <c r="H1566">
        <v>23</v>
      </c>
      <c r="I1566">
        <v>2</v>
      </c>
      <c r="J1566" t="s">
        <v>11</v>
      </c>
      <c r="K1566">
        <f>IF(J1566="Yes", 1, 0)</f>
        <v>1</v>
      </c>
      <c r="L1566" t="str">
        <f>IF(G1566=0,"0 Failures","1+ Failures")</f>
        <v>0 Failures</v>
      </c>
      <c r="M1566" t="str">
        <f t="shared" si="74"/>
        <v>10-20hrs</v>
      </c>
      <c r="N1566" t="str">
        <f t="shared" si="72"/>
        <v>12+ months</v>
      </c>
      <c r="O1566" t="str">
        <f t="shared" si="73"/>
        <v>Premium</v>
      </c>
      <c r="P1566" s="7">
        <v>45657</v>
      </c>
    </row>
    <row r="1567" spans="1:16" x14ac:dyDescent="0.3">
      <c r="A1567">
        <v>1566</v>
      </c>
      <c r="B1567" s="7">
        <v>45164</v>
      </c>
      <c r="C1567" t="s">
        <v>12</v>
      </c>
      <c r="D1567">
        <v>199</v>
      </c>
      <c r="E1567">
        <v>16.8</v>
      </c>
      <c r="F1567">
        <v>7</v>
      </c>
      <c r="G1567">
        <v>5</v>
      </c>
      <c r="H1567">
        <v>7</v>
      </c>
      <c r="I1567">
        <v>30</v>
      </c>
      <c r="J1567" t="s">
        <v>11</v>
      </c>
      <c r="K1567">
        <f>IF(J1567="Yes", 1, 0)</f>
        <v>1</v>
      </c>
      <c r="L1567" t="str">
        <f>IF(G1567=0,"0 Failures","1+ Failures")</f>
        <v>1+ Failures</v>
      </c>
      <c r="M1567" t="str">
        <f t="shared" si="74"/>
        <v>10-20hrs</v>
      </c>
      <c r="N1567" t="str">
        <f t="shared" si="72"/>
        <v>6-12months</v>
      </c>
      <c r="O1567" t="str">
        <f t="shared" si="73"/>
        <v>Basic</v>
      </c>
      <c r="P1567" s="7">
        <v>45657</v>
      </c>
    </row>
    <row r="1568" spans="1:16" x14ac:dyDescent="0.3">
      <c r="A1568">
        <v>1567</v>
      </c>
      <c r="B1568" s="7">
        <v>45357</v>
      </c>
      <c r="C1568" t="s">
        <v>10</v>
      </c>
      <c r="D1568">
        <v>699</v>
      </c>
      <c r="E1568">
        <v>3.1</v>
      </c>
      <c r="F1568">
        <v>2</v>
      </c>
      <c r="G1568">
        <v>5</v>
      </c>
      <c r="H1568">
        <v>16</v>
      </c>
      <c r="I1568">
        <v>57</v>
      </c>
      <c r="J1568" t="s">
        <v>11</v>
      </c>
      <c r="K1568">
        <f>IF(J1568="Yes", 1, 0)</f>
        <v>1</v>
      </c>
      <c r="L1568" t="str">
        <f>IF(G1568=0,"0 Failures","1+ Failures")</f>
        <v>1+ Failures</v>
      </c>
      <c r="M1568" t="str">
        <f t="shared" si="74"/>
        <v>0-5 hrs</v>
      </c>
      <c r="N1568" t="str">
        <f t="shared" si="72"/>
        <v>12+ months</v>
      </c>
      <c r="O1568" t="str">
        <f t="shared" si="73"/>
        <v>Premium</v>
      </c>
      <c r="P1568" s="7">
        <v>45657</v>
      </c>
    </row>
    <row r="1569" spans="1:16" x14ac:dyDescent="0.3">
      <c r="A1569">
        <v>1568</v>
      </c>
      <c r="B1569" s="7">
        <v>45379</v>
      </c>
      <c r="C1569" t="s">
        <v>12</v>
      </c>
      <c r="D1569">
        <v>199</v>
      </c>
      <c r="E1569">
        <v>15.5</v>
      </c>
      <c r="F1569">
        <v>1</v>
      </c>
      <c r="G1569">
        <v>0</v>
      </c>
      <c r="H1569">
        <v>4</v>
      </c>
      <c r="I1569">
        <v>54</v>
      </c>
      <c r="J1569" t="s">
        <v>13</v>
      </c>
      <c r="K1569">
        <f>IF(J1569="Yes", 1, 0)</f>
        <v>0</v>
      </c>
      <c r="L1569" t="str">
        <f>IF(G1569=0,"0 Failures","1+ Failures")</f>
        <v>0 Failures</v>
      </c>
      <c r="M1569" t="str">
        <f t="shared" si="74"/>
        <v>10-20hrs</v>
      </c>
      <c r="N1569" t="str">
        <f t="shared" si="72"/>
        <v>3-6months</v>
      </c>
      <c r="O1569" t="str">
        <f t="shared" si="73"/>
        <v>Basic</v>
      </c>
      <c r="P1569" s="7">
        <v>45657</v>
      </c>
    </row>
    <row r="1570" spans="1:16" x14ac:dyDescent="0.3">
      <c r="A1570">
        <v>1569</v>
      </c>
      <c r="B1570" s="7">
        <v>45063</v>
      </c>
      <c r="C1570" t="s">
        <v>14</v>
      </c>
      <c r="D1570">
        <v>399</v>
      </c>
      <c r="E1570">
        <v>23.1</v>
      </c>
      <c r="F1570">
        <v>5</v>
      </c>
      <c r="G1570">
        <v>0</v>
      </c>
      <c r="H1570">
        <v>2</v>
      </c>
      <c r="I1570">
        <v>44</v>
      </c>
      <c r="J1570" t="s">
        <v>11</v>
      </c>
      <c r="K1570">
        <f>IF(J1570="Yes", 1, 0)</f>
        <v>1</v>
      </c>
      <c r="L1570" t="str">
        <f>IF(G1570=0,"0 Failures","1+ Failures")</f>
        <v>0 Failures</v>
      </c>
      <c r="M1570" t="str">
        <f t="shared" si="74"/>
        <v>20+ hrs</v>
      </c>
      <c r="N1570" t="str">
        <f t="shared" si="72"/>
        <v>0-3months</v>
      </c>
      <c r="O1570" t="str">
        <f t="shared" si="73"/>
        <v>Basic</v>
      </c>
      <c r="P1570" s="7">
        <v>45657</v>
      </c>
    </row>
    <row r="1571" spans="1:16" x14ac:dyDescent="0.3">
      <c r="A1571">
        <v>1570</v>
      </c>
      <c r="B1571" s="7">
        <v>45157</v>
      </c>
      <c r="C1571" t="s">
        <v>10</v>
      </c>
      <c r="D1571">
        <v>699</v>
      </c>
      <c r="E1571">
        <v>5.4</v>
      </c>
      <c r="F1571">
        <v>4</v>
      </c>
      <c r="G1571">
        <v>3</v>
      </c>
      <c r="H1571">
        <v>36</v>
      </c>
      <c r="I1571">
        <v>28</v>
      </c>
      <c r="J1571" t="s">
        <v>11</v>
      </c>
      <c r="K1571">
        <f>IF(J1571="Yes", 1, 0)</f>
        <v>1</v>
      </c>
      <c r="L1571" t="str">
        <f>IF(G1571=0,"0 Failures","1+ Failures")</f>
        <v>1+ Failures</v>
      </c>
      <c r="M1571" t="str">
        <f t="shared" si="74"/>
        <v>5-10 hrs</v>
      </c>
      <c r="N1571" t="str">
        <f t="shared" si="72"/>
        <v>12+ months</v>
      </c>
      <c r="O1571" t="str">
        <f t="shared" si="73"/>
        <v>Premium</v>
      </c>
      <c r="P1571" s="7">
        <v>45657</v>
      </c>
    </row>
    <row r="1572" spans="1:16" x14ac:dyDescent="0.3">
      <c r="A1572">
        <v>1571</v>
      </c>
      <c r="B1572" s="7">
        <v>45571</v>
      </c>
      <c r="C1572" t="s">
        <v>12</v>
      </c>
      <c r="D1572">
        <v>199</v>
      </c>
      <c r="E1572">
        <v>11.1</v>
      </c>
      <c r="F1572">
        <v>8</v>
      </c>
      <c r="G1572">
        <v>1</v>
      </c>
      <c r="H1572">
        <v>11</v>
      </c>
      <c r="I1572">
        <v>5</v>
      </c>
      <c r="J1572" t="s">
        <v>13</v>
      </c>
      <c r="K1572">
        <f>IF(J1572="Yes", 1, 0)</f>
        <v>0</v>
      </c>
      <c r="L1572" t="str">
        <f>IF(G1572=0,"0 Failures","1+ Failures")</f>
        <v>1+ Failures</v>
      </c>
      <c r="M1572" t="str">
        <f t="shared" si="74"/>
        <v>10-20hrs</v>
      </c>
      <c r="N1572" t="str">
        <f t="shared" si="72"/>
        <v>6-12months</v>
      </c>
      <c r="O1572" t="str">
        <f t="shared" si="73"/>
        <v>Basic</v>
      </c>
      <c r="P1572" s="7">
        <v>45657</v>
      </c>
    </row>
    <row r="1573" spans="1:16" x14ac:dyDescent="0.3">
      <c r="A1573">
        <v>1572</v>
      </c>
      <c r="B1573" s="7">
        <v>45508</v>
      </c>
      <c r="C1573" t="s">
        <v>10</v>
      </c>
      <c r="D1573">
        <v>699</v>
      </c>
      <c r="E1573">
        <v>5.5</v>
      </c>
      <c r="F1573">
        <v>2</v>
      </c>
      <c r="G1573">
        <v>0</v>
      </c>
      <c r="H1573">
        <v>7</v>
      </c>
      <c r="I1573">
        <v>23</v>
      </c>
      <c r="J1573" t="s">
        <v>13</v>
      </c>
      <c r="K1573">
        <f>IF(J1573="Yes", 1, 0)</f>
        <v>0</v>
      </c>
      <c r="L1573" t="str">
        <f>IF(G1573=0,"0 Failures","1+ Failures")</f>
        <v>0 Failures</v>
      </c>
      <c r="M1573" t="str">
        <f t="shared" si="74"/>
        <v>5-10 hrs</v>
      </c>
      <c r="N1573" t="str">
        <f t="shared" si="72"/>
        <v>6-12months</v>
      </c>
      <c r="O1573" t="str">
        <f t="shared" si="73"/>
        <v>Premium</v>
      </c>
      <c r="P1573" s="7">
        <v>45657</v>
      </c>
    </row>
    <row r="1574" spans="1:16" x14ac:dyDescent="0.3">
      <c r="A1574">
        <v>1573</v>
      </c>
      <c r="B1574" s="7">
        <v>45511</v>
      </c>
      <c r="C1574" t="s">
        <v>10</v>
      </c>
      <c r="D1574">
        <v>699</v>
      </c>
      <c r="E1574">
        <v>8.8000000000000007</v>
      </c>
      <c r="F1574">
        <v>8</v>
      </c>
      <c r="G1574">
        <v>3</v>
      </c>
      <c r="H1574">
        <v>5</v>
      </c>
      <c r="I1574">
        <v>12</v>
      </c>
      <c r="J1574" t="s">
        <v>13</v>
      </c>
      <c r="K1574">
        <f>IF(J1574="Yes", 1, 0)</f>
        <v>0</v>
      </c>
      <c r="L1574" t="str">
        <f>IF(G1574=0,"0 Failures","1+ Failures")</f>
        <v>1+ Failures</v>
      </c>
      <c r="M1574" t="str">
        <f t="shared" si="74"/>
        <v>5-10 hrs</v>
      </c>
      <c r="N1574" t="str">
        <f t="shared" si="72"/>
        <v>3-6months</v>
      </c>
      <c r="O1574" t="str">
        <f t="shared" si="73"/>
        <v>Premium</v>
      </c>
      <c r="P1574" s="7">
        <v>45657</v>
      </c>
    </row>
    <row r="1575" spans="1:16" x14ac:dyDescent="0.3">
      <c r="A1575">
        <v>1574</v>
      </c>
      <c r="B1575" s="7">
        <v>45364</v>
      </c>
      <c r="C1575" t="s">
        <v>14</v>
      </c>
      <c r="D1575">
        <v>399</v>
      </c>
      <c r="E1575">
        <v>9.1</v>
      </c>
      <c r="F1575">
        <v>8</v>
      </c>
      <c r="G1575">
        <v>1</v>
      </c>
      <c r="H1575">
        <v>33</v>
      </c>
      <c r="I1575">
        <v>51</v>
      </c>
      <c r="J1575" t="s">
        <v>11</v>
      </c>
      <c r="K1575">
        <f>IF(J1575="Yes", 1, 0)</f>
        <v>1</v>
      </c>
      <c r="L1575" t="str">
        <f>IF(G1575=0,"0 Failures","1+ Failures")</f>
        <v>1+ Failures</v>
      </c>
      <c r="M1575" t="str">
        <f t="shared" si="74"/>
        <v>5-10 hrs</v>
      </c>
      <c r="N1575" t="str">
        <f t="shared" si="72"/>
        <v>12+ months</v>
      </c>
      <c r="O1575" t="str">
        <f t="shared" si="73"/>
        <v>Basic</v>
      </c>
      <c r="P1575" s="7">
        <v>45657</v>
      </c>
    </row>
    <row r="1576" spans="1:16" x14ac:dyDescent="0.3">
      <c r="A1576">
        <v>1575</v>
      </c>
      <c r="B1576" s="7">
        <v>45030</v>
      </c>
      <c r="C1576" t="s">
        <v>10</v>
      </c>
      <c r="D1576">
        <v>699</v>
      </c>
      <c r="E1576">
        <v>21.9</v>
      </c>
      <c r="F1576">
        <v>1</v>
      </c>
      <c r="G1576">
        <v>1</v>
      </c>
      <c r="H1576">
        <v>25</v>
      </c>
      <c r="I1576">
        <v>50</v>
      </c>
      <c r="J1576" t="s">
        <v>13</v>
      </c>
      <c r="K1576">
        <f>IF(J1576="Yes", 1, 0)</f>
        <v>0</v>
      </c>
      <c r="L1576" t="str">
        <f>IF(G1576=0,"0 Failures","1+ Failures")</f>
        <v>1+ Failures</v>
      </c>
      <c r="M1576" t="str">
        <f t="shared" si="74"/>
        <v>20+ hrs</v>
      </c>
      <c r="N1576" t="str">
        <f t="shared" si="72"/>
        <v>12+ months</v>
      </c>
      <c r="O1576" t="str">
        <f t="shared" si="73"/>
        <v>Premium</v>
      </c>
      <c r="P1576" s="7">
        <v>45657</v>
      </c>
    </row>
    <row r="1577" spans="1:16" x14ac:dyDescent="0.3">
      <c r="A1577">
        <v>1576</v>
      </c>
      <c r="B1577" s="7">
        <v>45223</v>
      </c>
      <c r="C1577" t="s">
        <v>12</v>
      </c>
      <c r="D1577">
        <v>199</v>
      </c>
      <c r="E1577">
        <v>6.1</v>
      </c>
      <c r="F1577">
        <v>8</v>
      </c>
      <c r="G1577">
        <v>2</v>
      </c>
      <c r="H1577">
        <v>32</v>
      </c>
      <c r="I1577">
        <v>1</v>
      </c>
      <c r="J1577" t="s">
        <v>11</v>
      </c>
      <c r="K1577">
        <f>IF(J1577="Yes", 1, 0)</f>
        <v>1</v>
      </c>
      <c r="L1577" t="str">
        <f>IF(G1577=0,"0 Failures","1+ Failures")</f>
        <v>1+ Failures</v>
      </c>
      <c r="M1577" t="str">
        <f t="shared" si="74"/>
        <v>5-10 hrs</v>
      </c>
      <c r="N1577" t="str">
        <f t="shared" si="72"/>
        <v>12+ months</v>
      </c>
      <c r="O1577" t="str">
        <f t="shared" si="73"/>
        <v>Basic</v>
      </c>
      <c r="P1577" s="7">
        <v>45657</v>
      </c>
    </row>
    <row r="1578" spans="1:16" x14ac:dyDescent="0.3">
      <c r="A1578">
        <v>1577</v>
      </c>
      <c r="B1578" s="7">
        <v>45516</v>
      </c>
      <c r="C1578" t="s">
        <v>14</v>
      </c>
      <c r="D1578">
        <v>399</v>
      </c>
      <c r="E1578">
        <v>17.7</v>
      </c>
      <c r="F1578">
        <v>1</v>
      </c>
      <c r="G1578">
        <v>1</v>
      </c>
      <c r="H1578">
        <v>25</v>
      </c>
      <c r="I1578">
        <v>18</v>
      </c>
      <c r="J1578" t="s">
        <v>11</v>
      </c>
      <c r="K1578">
        <f>IF(J1578="Yes", 1, 0)</f>
        <v>1</v>
      </c>
      <c r="L1578" t="str">
        <f>IF(G1578=0,"0 Failures","1+ Failures")</f>
        <v>1+ Failures</v>
      </c>
      <c r="M1578" t="str">
        <f t="shared" si="74"/>
        <v>10-20hrs</v>
      </c>
      <c r="N1578" t="str">
        <f t="shared" si="72"/>
        <v>12+ months</v>
      </c>
      <c r="O1578" t="str">
        <f t="shared" si="73"/>
        <v>Basic</v>
      </c>
      <c r="P1578" s="7">
        <v>45657</v>
      </c>
    </row>
    <row r="1579" spans="1:16" x14ac:dyDescent="0.3">
      <c r="A1579">
        <v>1578</v>
      </c>
      <c r="B1579" s="7">
        <v>45486</v>
      </c>
      <c r="C1579" t="s">
        <v>12</v>
      </c>
      <c r="D1579">
        <v>199</v>
      </c>
      <c r="E1579">
        <v>23.3</v>
      </c>
      <c r="F1579">
        <v>8</v>
      </c>
      <c r="G1579">
        <v>2</v>
      </c>
      <c r="H1579">
        <v>34</v>
      </c>
      <c r="I1579">
        <v>25</v>
      </c>
      <c r="J1579" t="s">
        <v>11</v>
      </c>
      <c r="K1579">
        <f>IF(J1579="Yes", 1, 0)</f>
        <v>1</v>
      </c>
      <c r="L1579" t="str">
        <f>IF(G1579=0,"0 Failures","1+ Failures")</f>
        <v>1+ Failures</v>
      </c>
      <c r="M1579" t="str">
        <f t="shared" si="74"/>
        <v>20+ hrs</v>
      </c>
      <c r="N1579" t="str">
        <f t="shared" si="72"/>
        <v>12+ months</v>
      </c>
      <c r="O1579" t="str">
        <f t="shared" si="73"/>
        <v>Basic</v>
      </c>
      <c r="P1579" s="7">
        <v>45657</v>
      </c>
    </row>
    <row r="1580" spans="1:16" x14ac:dyDescent="0.3">
      <c r="A1580">
        <v>1579</v>
      </c>
      <c r="B1580" s="7">
        <v>45358</v>
      </c>
      <c r="C1580" t="s">
        <v>10</v>
      </c>
      <c r="D1580">
        <v>699</v>
      </c>
      <c r="E1580">
        <v>14.8</v>
      </c>
      <c r="F1580">
        <v>4</v>
      </c>
      <c r="G1580">
        <v>5</v>
      </c>
      <c r="H1580">
        <v>8</v>
      </c>
      <c r="I1580">
        <v>1</v>
      </c>
      <c r="J1580" t="s">
        <v>11</v>
      </c>
      <c r="K1580">
        <f>IF(J1580="Yes", 1, 0)</f>
        <v>1</v>
      </c>
      <c r="L1580" t="str">
        <f>IF(G1580=0,"0 Failures","1+ Failures")</f>
        <v>1+ Failures</v>
      </c>
      <c r="M1580" t="str">
        <f t="shared" si="74"/>
        <v>10-20hrs</v>
      </c>
      <c r="N1580" t="str">
        <f t="shared" si="72"/>
        <v>6-12months</v>
      </c>
      <c r="O1580" t="str">
        <f t="shared" si="73"/>
        <v>Premium</v>
      </c>
      <c r="P1580" s="7">
        <v>45657</v>
      </c>
    </row>
    <row r="1581" spans="1:16" x14ac:dyDescent="0.3">
      <c r="A1581">
        <v>1580</v>
      </c>
      <c r="B1581" s="7">
        <v>45264</v>
      </c>
      <c r="C1581" t="s">
        <v>14</v>
      </c>
      <c r="D1581">
        <v>399</v>
      </c>
      <c r="E1581">
        <v>8.6999999999999993</v>
      </c>
      <c r="F1581">
        <v>0</v>
      </c>
      <c r="G1581">
        <v>1</v>
      </c>
      <c r="H1581">
        <v>13</v>
      </c>
      <c r="I1581">
        <v>13</v>
      </c>
      <c r="J1581" t="s">
        <v>13</v>
      </c>
      <c r="K1581">
        <f>IF(J1581="Yes", 1, 0)</f>
        <v>0</v>
      </c>
      <c r="L1581" t="str">
        <f>IF(G1581=0,"0 Failures","1+ Failures")</f>
        <v>1+ Failures</v>
      </c>
      <c r="M1581" t="str">
        <f t="shared" si="74"/>
        <v>5-10 hrs</v>
      </c>
      <c r="N1581" t="str">
        <f t="shared" si="72"/>
        <v>12+ months</v>
      </c>
      <c r="O1581" t="str">
        <f t="shared" si="73"/>
        <v>Basic</v>
      </c>
      <c r="P1581" s="7">
        <v>45657</v>
      </c>
    </row>
    <row r="1582" spans="1:16" x14ac:dyDescent="0.3">
      <c r="A1582">
        <v>1581</v>
      </c>
      <c r="B1582" s="7">
        <v>44963</v>
      </c>
      <c r="C1582" t="s">
        <v>10</v>
      </c>
      <c r="D1582">
        <v>699</v>
      </c>
      <c r="E1582">
        <v>6.3</v>
      </c>
      <c r="F1582">
        <v>1</v>
      </c>
      <c r="G1582">
        <v>4</v>
      </c>
      <c r="H1582">
        <v>4</v>
      </c>
      <c r="I1582">
        <v>57</v>
      </c>
      <c r="J1582" t="s">
        <v>13</v>
      </c>
      <c r="K1582">
        <f>IF(J1582="Yes", 1, 0)</f>
        <v>0</v>
      </c>
      <c r="L1582" t="str">
        <f>IF(G1582=0,"0 Failures","1+ Failures")</f>
        <v>1+ Failures</v>
      </c>
      <c r="M1582" t="str">
        <f t="shared" si="74"/>
        <v>5-10 hrs</v>
      </c>
      <c r="N1582" t="str">
        <f t="shared" si="72"/>
        <v>3-6months</v>
      </c>
      <c r="O1582" t="str">
        <f t="shared" si="73"/>
        <v>Premium</v>
      </c>
      <c r="P1582" s="7">
        <v>45657</v>
      </c>
    </row>
    <row r="1583" spans="1:16" x14ac:dyDescent="0.3">
      <c r="A1583">
        <v>1582</v>
      </c>
      <c r="B1583" s="7">
        <v>45204</v>
      </c>
      <c r="C1583" t="s">
        <v>14</v>
      </c>
      <c r="D1583">
        <v>399</v>
      </c>
      <c r="E1583">
        <v>23.8</v>
      </c>
      <c r="F1583">
        <v>1</v>
      </c>
      <c r="G1583">
        <v>4</v>
      </c>
      <c r="H1583">
        <v>5</v>
      </c>
      <c r="I1583">
        <v>30</v>
      </c>
      <c r="J1583" t="s">
        <v>13</v>
      </c>
      <c r="K1583">
        <f>IF(J1583="Yes", 1, 0)</f>
        <v>0</v>
      </c>
      <c r="L1583" t="str">
        <f>IF(G1583=0,"0 Failures","1+ Failures")</f>
        <v>1+ Failures</v>
      </c>
      <c r="M1583" t="str">
        <f t="shared" si="74"/>
        <v>20+ hrs</v>
      </c>
      <c r="N1583" t="str">
        <f t="shared" si="72"/>
        <v>3-6months</v>
      </c>
      <c r="O1583" t="str">
        <f t="shared" si="73"/>
        <v>Basic</v>
      </c>
      <c r="P1583" s="7">
        <v>45657</v>
      </c>
    </row>
    <row r="1584" spans="1:16" x14ac:dyDescent="0.3">
      <c r="A1584">
        <v>1583</v>
      </c>
      <c r="B1584" s="7">
        <v>45368</v>
      </c>
      <c r="C1584" t="s">
        <v>10</v>
      </c>
      <c r="D1584">
        <v>699</v>
      </c>
      <c r="E1584">
        <v>3</v>
      </c>
      <c r="F1584">
        <v>7</v>
      </c>
      <c r="G1584">
        <v>4</v>
      </c>
      <c r="H1584">
        <v>3</v>
      </c>
      <c r="I1584">
        <v>14</v>
      </c>
      <c r="J1584" t="s">
        <v>11</v>
      </c>
      <c r="K1584">
        <f>IF(J1584="Yes", 1, 0)</f>
        <v>1</v>
      </c>
      <c r="L1584" t="str">
        <f>IF(G1584=0,"0 Failures","1+ Failures")</f>
        <v>1+ Failures</v>
      </c>
      <c r="M1584" t="str">
        <f t="shared" si="74"/>
        <v>0-5 hrs</v>
      </c>
      <c r="N1584" t="str">
        <f t="shared" si="72"/>
        <v>0-3months</v>
      </c>
      <c r="O1584" t="str">
        <f t="shared" si="73"/>
        <v>Premium</v>
      </c>
      <c r="P1584" s="7">
        <v>45657</v>
      </c>
    </row>
    <row r="1585" spans="1:16" x14ac:dyDescent="0.3">
      <c r="A1585">
        <v>1584</v>
      </c>
      <c r="B1585" s="7">
        <v>45127</v>
      </c>
      <c r="C1585" t="s">
        <v>14</v>
      </c>
      <c r="D1585">
        <v>399</v>
      </c>
      <c r="E1585">
        <v>19.600000000000001</v>
      </c>
      <c r="F1585">
        <v>3</v>
      </c>
      <c r="G1585">
        <v>0</v>
      </c>
      <c r="H1585">
        <v>20</v>
      </c>
      <c r="I1585">
        <v>59</v>
      </c>
      <c r="J1585" t="s">
        <v>11</v>
      </c>
      <c r="K1585">
        <f>IF(J1585="Yes", 1, 0)</f>
        <v>1</v>
      </c>
      <c r="L1585" t="str">
        <f>IF(G1585=0,"0 Failures","1+ Failures")</f>
        <v>0 Failures</v>
      </c>
      <c r="M1585" t="str">
        <f t="shared" si="74"/>
        <v>10-20hrs</v>
      </c>
      <c r="N1585" t="str">
        <f t="shared" si="72"/>
        <v>12+ months</v>
      </c>
      <c r="O1585" t="str">
        <f t="shared" si="73"/>
        <v>Basic</v>
      </c>
      <c r="P1585" s="7">
        <v>45657</v>
      </c>
    </row>
    <row r="1586" spans="1:16" x14ac:dyDescent="0.3">
      <c r="A1586">
        <v>1585</v>
      </c>
      <c r="B1586" s="7">
        <v>45313</v>
      </c>
      <c r="C1586" t="s">
        <v>10</v>
      </c>
      <c r="D1586">
        <v>699</v>
      </c>
      <c r="E1586">
        <v>17.2</v>
      </c>
      <c r="F1586">
        <v>0</v>
      </c>
      <c r="G1586">
        <v>4</v>
      </c>
      <c r="H1586">
        <v>25</v>
      </c>
      <c r="I1586">
        <v>30</v>
      </c>
      <c r="J1586" t="s">
        <v>11</v>
      </c>
      <c r="K1586">
        <f>IF(J1586="Yes", 1, 0)</f>
        <v>1</v>
      </c>
      <c r="L1586" t="str">
        <f>IF(G1586=0,"0 Failures","1+ Failures")</f>
        <v>1+ Failures</v>
      </c>
      <c r="M1586" t="str">
        <f t="shared" si="74"/>
        <v>10-20hrs</v>
      </c>
      <c r="N1586" t="str">
        <f t="shared" si="72"/>
        <v>12+ months</v>
      </c>
      <c r="O1586" t="str">
        <f t="shared" si="73"/>
        <v>Premium</v>
      </c>
      <c r="P1586" s="7">
        <v>45657</v>
      </c>
    </row>
    <row r="1587" spans="1:16" x14ac:dyDescent="0.3">
      <c r="A1587">
        <v>1586</v>
      </c>
      <c r="B1587" s="7">
        <v>45047</v>
      </c>
      <c r="C1587" t="s">
        <v>10</v>
      </c>
      <c r="D1587">
        <v>699</v>
      </c>
      <c r="E1587">
        <v>11</v>
      </c>
      <c r="F1587">
        <v>6</v>
      </c>
      <c r="G1587">
        <v>4</v>
      </c>
      <c r="H1587">
        <v>9</v>
      </c>
      <c r="I1587">
        <v>8</v>
      </c>
      <c r="J1587" t="s">
        <v>11</v>
      </c>
      <c r="K1587">
        <f>IF(J1587="Yes", 1, 0)</f>
        <v>1</v>
      </c>
      <c r="L1587" t="str">
        <f>IF(G1587=0,"0 Failures","1+ Failures")</f>
        <v>1+ Failures</v>
      </c>
      <c r="M1587" t="str">
        <f t="shared" si="74"/>
        <v>10-20hrs</v>
      </c>
      <c r="N1587" t="str">
        <f t="shared" si="72"/>
        <v>6-12months</v>
      </c>
      <c r="O1587" t="str">
        <f t="shared" si="73"/>
        <v>Premium</v>
      </c>
      <c r="P1587" s="7">
        <v>45657</v>
      </c>
    </row>
    <row r="1588" spans="1:16" x14ac:dyDescent="0.3">
      <c r="A1588">
        <v>1587</v>
      </c>
      <c r="B1588" s="7">
        <v>45164</v>
      </c>
      <c r="C1588" t="s">
        <v>10</v>
      </c>
      <c r="D1588">
        <v>699</v>
      </c>
      <c r="E1588">
        <v>9.1</v>
      </c>
      <c r="F1588">
        <v>5</v>
      </c>
      <c r="G1588">
        <v>3</v>
      </c>
      <c r="H1588">
        <v>24</v>
      </c>
      <c r="I1588">
        <v>58</v>
      </c>
      <c r="J1588" t="s">
        <v>11</v>
      </c>
      <c r="K1588">
        <f>IF(J1588="Yes", 1, 0)</f>
        <v>1</v>
      </c>
      <c r="L1588" t="str">
        <f>IF(G1588=0,"0 Failures","1+ Failures")</f>
        <v>1+ Failures</v>
      </c>
      <c r="M1588" t="str">
        <f t="shared" si="74"/>
        <v>5-10 hrs</v>
      </c>
      <c r="N1588" t="str">
        <f t="shared" si="72"/>
        <v>12+ months</v>
      </c>
      <c r="O1588" t="str">
        <f t="shared" si="73"/>
        <v>Premium</v>
      </c>
      <c r="P1588" s="7">
        <v>45657</v>
      </c>
    </row>
    <row r="1589" spans="1:16" x14ac:dyDescent="0.3">
      <c r="A1589">
        <v>1588</v>
      </c>
      <c r="B1589" s="7">
        <v>44942</v>
      </c>
      <c r="C1589" t="s">
        <v>12</v>
      </c>
      <c r="D1589">
        <v>199</v>
      </c>
      <c r="E1589">
        <v>6.1</v>
      </c>
      <c r="F1589">
        <v>8</v>
      </c>
      <c r="G1589">
        <v>4</v>
      </c>
      <c r="H1589">
        <v>1</v>
      </c>
      <c r="I1589">
        <v>2</v>
      </c>
      <c r="J1589" t="s">
        <v>13</v>
      </c>
      <c r="K1589">
        <f>IF(J1589="Yes", 1, 0)</f>
        <v>0</v>
      </c>
      <c r="L1589" t="str">
        <f>IF(G1589=0,"0 Failures","1+ Failures")</f>
        <v>1+ Failures</v>
      </c>
      <c r="M1589" t="str">
        <f t="shared" si="74"/>
        <v>5-10 hrs</v>
      </c>
      <c r="N1589" t="str">
        <f t="shared" si="72"/>
        <v>0-3months</v>
      </c>
      <c r="O1589" t="str">
        <f t="shared" si="73"/>
        <v>Basic</v>
      </c>
      <c r="P1589" s="7">
        <v>45657</v>
      </c>
    </row>
    <row r="1590" spans="1:16" x14ac:dyDescent="0.3">
      <c r="A1590">
        <v>1589</v>
      </c>
      <c r="B1590" s="7">
        <v>45216</v>
      </c>
      <c r="C1590" t="s">
        <v>10</v>
      </c>
      <c r="D1590">
        <v>699</v>
      </c>
      <c r="E1590">
        <v>20.399999999999999</v>
      </c>
      <c r="F1590">
        <v>1</v>
      </c>
      <c r="G1590">
        <v>0</v>
      </c>
      <c r="H1590">
        <v>16</v>
      </c>
      <c r="I1590">
        <v>8</v>
      </c>
      <c r="J1590" t="s">
        <v>13</v>
      </c>
      <c r="K1590">
        <f>IF(J1590="Yes", 1, 0)</f>
        <v>0</v>
      </c>
      <c r="L1590" t="str">
        <f>IF(G1590=0,"0 Failures","1+ Failures")</f>
        <v>0 Failures</v>
      </c>
      <c r="M1590" t="str">
        <f t="shared" si="74"/>
        <v>20+ hrs</v>
      </c>
      <c r="N1590" t="str">
        <f t="shared" si="72"/>
        <v>12+ months</v>
      </c>
      <c r="O1590" t="str">
        <f t="shared" si="73"/>
        <v>Premium</v>
      </c>
      <c r="P1590" s="7">
        <v>45657</v>
      </c>
    </row>
    <row r="1591" spans="1:16" x14ac:dyDescent="0.3">
      <c r="A1591">
        <v>1590</v>
      </c>
      <c r="B1591" s="7">
        <v>45417</v>
      </c>
      <c r="C1591" t="s">
        <v>12</v>
      </c>
      <c r="D1591">
        <v>199</v>
      </c>
      <c r="E1591">
        <v>9.1</v>
      </c>
      <c r="F1591">
        <v>3</v>
      </c>
      <c r="G1591">
        <v>2</v>
      </c>
      <c r="H1591">
        <v>21</v>
      </c>
      <c r="I1591">
        <v>8</v>
      </c>
      <c r="J1591" t="s">
        <v>13</v>
      </c>
      <c r="K1591">
        <f>IF(J1591="Yes", 1, 0)</f>
        <v>0</v>
      </c>
      <c r="L1591" t="str">
        <f>IF(G1591=0,"0 Failures","1+ Failures")</f>
        <v>1+ Failures</v>
      </c>
      <c r="M1591" t="str">
        <f t="shared" si="74"/>
        <v>5-10 hrs</v>
      </c>
      <c r="N1591" t="str">
        <f t="shared" si="72"/>
        <v>12+ months</v>
      </c>
      <c r="O1591" t="str">
        <f t="shared" si="73"/>
        <v>Basic</v>
      </c>
      <c r="P1591" s="7">
        <v>45657</v>
      </c>
    </row>
    <row r="1592" spans="1:16" x14ac:dyDescent="0.3">
      <c r="A1592">
        <v>1591</v>
      </c>
      <c r="B1592" s="7">
        <v>45433</v>
      </c>
      <c r="C1592" t="s">
        <v>10</v>
      </c>
      <c r="D1592">
        <v>699</v>
      </c>
      <c r="E1592">
        <v>16.600000000000001</v>
      </c>
      <c r="F1592">
        <v>1</v>
      </c>
      <c r="G1592">
        <v>2</v>
      </c>
      <c r="H1592">
        <v>8</v>
      </c>
      <c r="I1592">
        <v>60</v>
      </c>
      <c r="J1592" t="s">
        <v>11</v>
      </c>
      <c r="K1592">
        <f>IF(J1592="Yes", 1, 0)</f>
        <v>1</v>
      </c>
      <c r="L1592" t="str">
        <f>IF(G1592=0,"0 Failures","1+ Failures")</f>
        <v>1+ Failures</v>
      </c>
      <c r="M1592" t="str">
        <f t="shared" si="74"/>
        <v>10-20hrs</v>
      </c>
      <c r="N1592" t="str">
        <f t="shared" si="72"/>
        <v>6-12months</v>
      </c>
      <c r="O1592" t="str">
        <f t="shared" si="73"/>
        <v>Premium</v>
      </c>
      <c r="P1592" s="7">
        <v>45657</v>
      </c>
    </row>
    <row r="1593" spans="1:16" x14ac:dyDescent="0.3">
      <c r="A1593">
        <v>1592</v>
      </c>
      <c r="B1593" s="7">
        <v>45302</v>
      </c>
      <c r="C1593" t="s">
        <v>10</v>
      </c>
      <c r="D1593">
        <v>699</v>
      </c>
      <c r="E1593">
        <v>22.5</v>
      </c>
      <c r="F1593">
        <v>3</v>
      </c>
      <c r="G1593">
        <v>3</v>
      </c>
      <c r="H1593">
        <v>23</v>
      </c>
      <c r="I1593">
        <v>45</v>
      </c>
      <c r="J1593" t="s">
        <v>11</v>
      </c>
      <c r="K1593">
        <f>IF(J1593="Yes", 1, 0)</f>
        <v>1</v>
      </c>
      <c r="L1593" t="str">
        <f>IF(G1593=0,"0 Failures","1+ Failures")</f>
        <v>1+ Failures</v>
      </c>
      <c r="M1593" t="str">
        <f t="shared" si="74"/>
        <v>20+ hrs</v>
      </c>
      <c r="N1593" t="str">
        <f t="shared" si="72"/>
        <v>12+ months</v>
      </c>
      <c r="O1593" t="str">
        <f t="shared" si="73"/>
        <v>Premium</v>
      </c>
      <c r="P1593" s="7">
        <v>45657</v>
      </c>
    </row>
    <row r="1594" spans="1:16" x14ac:dyDescent="0.3">
      <c r="A1594">
        <v>1593</v>
      </c>
      <c r="B1594" s="7">
        <v>45641</v>
      </c>
      <c r="C1594" t="s">
        <v>10</v>
      </c>
      <c r="D1594">
        <v>699</v>
      </c>
      <c r="E1594">
        <v>21.8</v>
      </c>
      <c r="F1594">
        <v>3</v>
      </c>
      <c r="G1594">
        <v>4</v>
      </c>
      <c r="H1594">
        <v>19</v>
      </c>
      <c r="I1594">
        <v>57</v>
      </c>
      <c r="J1594" t="s">
        <v>11</v>
      </c>
      <c r="K1594">
        <f>IF(J1594="Yes", 1, 0)</f>
        <v>1</v>
      </c>
      <c r="L1594" t="str">
        <f>IF(G1594=0,"0 Failures","1+ Failures")</f>
        <v>1+ Failures</v>
      </c>
      <c r="M1594" t="str">
        <f t="shared" si="74"/>
        <v>20+ hrs</v>
      </c>
      <c r="N1594" t="str">
        <f t="shared" si="72"/>
        <v>12+ months</v>
      </c>
      <c r="O1594" t="str">
        <f t="shared" si="73"/>
        <v>Premium</v>
      </c>
      <c r="P1594" s="7">
        <v>45657</v>
      </c>
    </row>
    <row r="1595" spans="1:16" x14ac:dyDescent="0.3">
      <c r="A1595">
        <v>1594</v>
      </c>
      <c r="B1595" s="7">
        <v>45424</v>
      </c>
      <c r="C1595" t="s">
        <v>10</v>
      </c>
      <c r="D1595">
        <v>699</v>
      </c>
      <c r="E1595">
        <v>3.1</v>
      </c>
      <c r="F1595">
        <v>5</v>
      </c>
      <c r="G1595">
        <v>3</v>
      </c>
      <c r="H1595">
        <v>33</v>
      </c>
      <c r="I1595">
        <v>45</v>
      </c>
      <c r="J1595" t="s">
        <v>11</v>
      </c>
      <c r="K1595">
        <f>IF(J1595="Yes", 1, 0)</f>
        <v>1</v>
      </c>
      <c r="L1595" t="str">
        <f>IF(G1595=0,"0 Failures","1+ Failures")</f>
        <v>1+ Failures</v>
      </c>
      <c r="M1595" t="str">
        <f t="shared" si="74"/>
        <v>0-5 hrs</v>
      </c>
      <c r="N1595" t="str">
        <f t="shared" si="72"/>
        <v>12+ months</v>
      </c>
      <c r="O1595" t="str">
        <f t="shared" si="73"/>
        <v>Premium</v>
      </c>
      <c r="P1595" s="7">
        <v>45657</v>
      </c>
    </row>
    <row r="1596" spans="1:16" x14ac:dyDescent="0.3">
      <c r="A1596">
        <v>1595</v>
      </c>
      <c r="B1596" s="7">
        <v>45493</v>
      </c>
      <c r="C1596" t="s">
        <v>14</v>
      </c>
      <c r="D1596">
        <v>399</v>
      </c>
      <c r="E1596">
        <v>5.5</v>
      </c>
      <c r="F1596">
        <v>2</v>
      </c>
      <c r="G1596">
        <v>4</v>
      </c>
      <c r="H1596">
        <v>6</v>
      </c>
      <c r="I1596">
        <v>14</v>
      </c>
      <c r="J1596" t="s">
        <v>11</v>
      </c>
      <c r="K1596">
        <f>IF(J1596="Yes", 1, 0)</f>
        <v>1</v>
      </c>
      <c r="L1596" t="str">
        <f>IF(G1596=0,"0 Failures","1+ Failures")</f>
        <v>1+ Failures</v>
      </c>
      <c r="M1596" t="str">
        <f t="shared" si="74"/>
        <v>5-10 hrs</v>
      </c>
      <c r="N1596" t="str">
        <f t="shared" si="72"/>
        <v>3-6months</v>
      </c>
      <c r="O1596" t="str">
        <f t="shared" si="73"/>
        <v>Basic</v>
      </c>
      <c r="P1596" s="7">
        <v>45657</v>
      </c>
    </row>
    <row r="1597" spans="1:16" x14ac:dyDescent="0.3">
      <c r="A1597">
        <v>1596</v>
      </c>
      <c r="B1597" s="7">
        <v>45592</v>
      </c>
      <c r="C1597" t="s">
        <v>12</v>
      </c>
      <c r="D1597">
        <v>199</v>
      </c>
      <c r="E1597">
        <v>9.6</v>
      </c>
      <c r="F1597">
        <v>2</v>
      </c>
      <c r="G1597">
        <v>0</v>
      </c>
      <c r="H1597">
        <v>8</v>
      </c>
      <c r="I1597">
        <v>15</v>
      </c>
      <c r="J1597" t="s">
        <v>13</v>
      </c>
      <c r="K1597">
        <f>IF(J1597="Yes", 1, 0)</f>
        <v>0</v>
      </c>
      <c r="L1597" t="str">
        <f>IF(G1597=0,"0 Failures","1+ Failures")</f>
        <v>0 Failures</v>
      </c>
      <c r="M1597" t="str">
        <f t="shared" si="74"/>
        <v>5-10 hrs</v>
      </c>
      <c r="N1597" t="str">
        <f t="shared" si="72"/>
        <v>6-12months</v>
      </c>
      <c r="O1597" t="str">
        <f t="shared" si="73"/>
        <v>Basic</v>
      </c>
      <c r="P1597" s="7">
        <v>45657</v>
      </c>
    </row>
    <row r="1598" spans="1:16" x14ac:dyDescent="0.3">
      <c r="A1598">
        <v>1597</v>
      </c>
      <c r="B1598" s="7">
        <v>45234</v>
      </c>
      <c r="C1598" t="s">
        <v>14</v>
      </c>
      <c r="D1598">
        <v>399</v>
      </c>
      <c r="E1598">
        <v>1</v>
      </c>
      <c r="F1598">
        <v>0</v>
      </c>
      <c r="G1598">
        <v>2</v>
      </c>
      <c r="H1598">
        <v>8</v>
      </c>
      <c r="I1598">
        <v>17</v>
      </c>
      <c r="J1598" t="s">
        <v>11</v>
      </c>
      <c r="K1598">
        <f>IF(J1598="Yes", 1, 0)</f>
        <v>1</v>
      </c>
      <c r="L1598" t="str">
        <f>IF(G1598=0,"0 Failures","1+ Failures")</f>
        <v>1+ Failures</v>
      </c>
      <c r="M1598" t="str">
        <f t="shared" si="74"/>
        <v>0-5 hrs</v>
      </c>
      <c r="N1598" t="str">
        <f t="shared" si="72"/>
        <v>6-12months</v>
      </c>
      <c r="O1598" t="str">
        <f t="shared" si="73"/>
        <v>Basic</v>
      </c>
      <c r="P1598" s="7">
        <v>45657</v>
      </c>
    </row>
    <row r="1599" spans="1:16" x14ac:dyDescent="0.3">
      <c r="A1599">
        <v>1598</v>
      </c>
      <c r="B1599" s="7">
        <v>45320</v>
      </c>
      <c r="C1599" t="s">
        <v>12</v>
      </c>
      <c r="D1599">
        <v>199</v>
      </c>
      <c r="E1599">
        <v>7.3</v>
      </c>
      <c r="F1599">
        <v>6</v>
      </c>
      <c r="G1599">
        <v>3</v>
      </c>
      <c r="H1599">
        <v>4</v>
      </c>
      <c r="I1599">
        <v>1</v>
      </c>
      <c r="J1599" t="s">
        <v>13</v>
      </c>
      <c r="K1599">
        <f>IF(J1599="Yes", 1, 0)</f>
        <v>0</v>
      </c>
      <c r="L1599" t="str">
        <f>IF(G1599=0,"0 Failures","1+ Failures")</f>
        <v>1+ Failures</v>
      </c>
      <c r="M1599" t="str">
        <f t="shared" si="74"/>
        <v>5-10 hrs</v>
      </c>
      <c r="N1599" t="str">
        <f t="shared" si="72"/>
        <v>3-6months</v>
      </c>
      <c r="O1599" t="str">
        <f t="shared" si="73"/>
        <v>Basic</v>
      </c>
      <c r="P1599" s="7">
        <v>45657</v>
      </c>
    </row>
    <row r="1600" spans="1:16" x14ac:dyDescent="0.3">
      <c r="A1600">
        <v>1599</v>
      </c>
      <c r="B1600" s="7">
        <v>44980</v>
      </c>
      <c r="C1600" t="s">
        <v>14</v>
      </c>
      <c r="D1600">
        <v>399</v>
      </c>
      <c r="E1600">
        <v>6</v>
      </c>
      <c r="F1600">
        <v>6</v>
      </c>
      <c r="G1600">
        <v>1</v>
      </c>
      <c r="H1600">
        <v>3</v>
      </c>
      <c r="I1600">
        <v>42</v>
      </c>
      <c r="J1600" t="s">
        <v>11</v>
      </c>
      <c r="K1600">
        <f>IF(J1600="Yes", 1, 0)</f>
        <v>1</v>
      </c>
      <c r="L1600" t="str">
        <f>IF(G1600=0,"0 Failures","1+ Failures")</f>
        <v>1+ Failures</v>
      </c>
      <c r="M1600" t="str">
        <f t="shared" si="74"/>
        <v>5-10 hrs</v>
      </c>
      <c r="N1600" t="str">
        <f t="shared" si="72"/>
        <v>0-3months</v>
      </c>
      <c r="O1600" t="str">
        <f t="shared" si="73"/>
        <v>Basic</v>
      </c>
      <c r="P1600" s="7">
        <v>45657</v>
      </c>
    </row>
    <row r="1601" spans="1:16" x14ac:dyDescent="0.3">
      <c r="A1601">
        <v>1600</v>
      </c>
      <c r="B1601" s="7">
        <v>45271</v>
      </c>
      <c r="C1601" t="s">
        <v>10</v>
      </c>
      <c r="D1601">
        <v>699</v>
      </c>
      <c r="E1601">
        <v>1.3</v>
      </c>
      <c r="F1601">
        <v>5</v>
      </c>
      <c r="G1601">
        <v>0</v>
      </c>
      <c r="H1601">
        <v>20</v>
      </c>
      <c r="I1601">
        <v>58</v>
      </c>
      <c r="J1601" t="s">
        <v>11</v>
      </c>
      <c r="K1601">
        <f>IF(J1601="Yes", 1, 0)</f>
        <v>1</v>
      </c>
      <c r="L1601" t="str">
        <f>IF(G1601=0,"0 Failures","1+ Failures")</f>
        <v>0 Failures</v>
      </c>
      <c r="M1601" t="str">
        <f t="shared" si="74"/>
        <v>0-5 hrs</v>
      </c>
      <c r="N1601" t="str">
        <f t="shared" si="72"/>
        <v>12+ months</v>
      </c>
      <c r="O1601" t="str">
        <f t="shared" si="73"/>
        <v>Premium</v>
      </c>
      <c r="P1601" s="7">
        <v>45657</v>
      </c>
    </row>
    <row r="1602" spans="1:16" x14ac:dyDescent="0.3">
      <c r="A1602">
        <v>1601</v>
      </c>
      <c r="B1602" s="7">
        <v>45364</v>
      </c>
      <c r="C1602" t="s">
        <v>14</v>
      </c>
      <c r="D1602">
        <v>399</v>
      </c>
      <c r="E1602">
        <v>19.100000000000001</v>
      </c>
      <c r="F1602">
        <v>5</v>
      </c>
      <c r="G1602">
        <v>5</v>
      </c>
      <c r="H1602">
        <v>14</v>
      </c>
      <c r="I1602">
        <v>53</v>
      </c>
      <c r="J1602" t="s">
        <v>11</v>
      </c>
      <c r="K1602">
        <f>IF(J1602="Yes", 1, 0)</f>
        <v>1</v>
      </c>
      <c r="L1602" t="str">
        <f>IF(G1602=0,"0 Failures","1+ Failures")</f>
        <v>1+ Failures</v>
      </c>
      <c r="M1602" t="str">
        <f t="shared" si="74"/>
        <v>10-20hrs</v>
      </c>
      <c r="N1602" t="str">
        <f t="shared" si="72"/>
        <v>12+ months</v>
      </c>
      <c r="O1602" t="str">
        <f t="shared" si="73"/>
        <v>Basic</v>
      </c>
      <c r="P1602" s="7">
        <v>45657</v>
      </c>
    </row>
    <row r="1603" spans="1:16" x14ac:dyDescent="0.3">
      <c r="A1603">
        <v>1602</v>
      </c>
      <c r="B1603" s="7">
        <v>45621</v>
      </c>
      <c r="C1603" t="s">
        <v>10</v>
      </c>
      <c r="D1603">
        <v>699</v>
      </c>
      <c r="E1603">
        <v>20.3</v>
      </c>
      <c r="F1603">
        <v>8</v>
      </c>
      <c r="G1603">
        <v>3</v>
      </c>
      <c r="H1603">
        <v>4</v>
      </c>
      <c r="I1603">
        <v>60</v>
      </c>
      <c r="J1603" t="s">
        <v>11</v>
      </c>
      <c r="K1603">
        <f>IF(J1603="Yes", 1, 0)</f>
        <v>1</v>
      </c>
      <c r="L1603" t="str">
        <f>IF(G1603=0,"0 Failures","1+ Failures")</f>
        <v>1+ Failures</v>
      </c>
      <c r="M1603" t="str">
        <f t="shared" si="74"/>
        <v>20+ hrs</v>
      </c>
      <c r="N1603" t="str">
        <f t="shared" ref="N1603:N1666" si="75">IF(H1603&lt;=3, "0-3months", IF(H1603&lt;=6, "3-6months", IF(H1603&lt;=12, "6-12months", "12+ months")))</f>
        <v>3-6months</v>
      </c>
      <c r="O1603" t="str">
        <f t="shared" ref="O1603:O1666" si="76">IF(C1603="premium", "Premium", "Basic")</f>
        <v>Premium</v>
      </c>
      <c r="P1603" s="7">
        <v>45657</v>
      </c>
    </row>
    <row r="1604" spans="1:16" x14ac:dyDescent="0.3">
      <c r="A1604">
        <v>1603</v>
      </c>
      <c r="B1604" s="7">
        <v>45405</v>
      </c>
      <c r="C1604" t="s">
        <v>14</v>
      </c>
      <c r="D1604">
        <v>399</v>
      </c>
      <c r="E1604">
        <v>11.9</v>
      </c>
      <c r="F1604">
        <v>8</v>
      </c>
      <c r="G1604">
        <v>2</v>
      </c>
      <c r="H1604">
        <v>35</v>
      </c>
      <c r="I1604">
        <v>10</v>
      </c>
      <c r="J1604" t="s">
        <v>13</v>
      </c>
      <c r="K1604">
        <f>IF(J1604="Yes", 1, 0)</f>
        <v>0</v>
      </c>
      <c r="L1604" t="str">
        <f>IF(G1604=0,"0 Failures","1+ Failures")</f>
        <v>1+ Failures</v>
      </c>
      <c r="M1604" t="str">
        <f t="shared" si="74"/>
        <v>10-20hrs</v>
      </c>
      <c r="N1604" t="str">
        <f t="shared" si="75"/>
        <v>12+ months</v>
      </c>
      <c r="O1604" t="str">
        <f t="shared" si="76"/>
        <v>Basic</v>
      </c>
      <c r="P1604" s="7">
        <v>45657</v>
      </c>
    </row>
    <row r="1605" spans="1:16" x14ac:dyDescent="0.3">
      <c r="A1605">
        <v>1604</v>
      </c>
      <c r="B1605" s="7">
        <v>45207</v>
      </c>
      <c r="C1605" t="s">
        <v>10</v>
      </c>
      <c r="D1605">
        <v>699</v>
      </c>
      <c r="E1605">
        <v>3.7</v>
      </c>
      <c r="F1605">
        <v>0</v>
      </c>
      <c r="G1605">
        <v>2</v>
      </c>
      <c r="H1605">
        <v>16</v>
      </c>
      <c r="I1605">
        <v>51</v>
      </c>
      <c r="J1605" t="s">
        <v>11</v>
      </c>
      <c r="K1605">
        <f>IF(J1605="Yes", 1, 0)</f>
        <v>1</v>
      </c>
      <c r="L1605" t="str">
        <f>IF(G1605=0,"0 Failures","1+ Failures")</f>
        <v>1+ Failures</v>
      </c>
      <c r="M1605" t="str">
        <f t="shared" si="74"/>
        <v>0-5 hrs</v>
      </c>
      <c r="N1605" t="str">
        <f t="shared" si="75"/>
        <v>12+ months</v>
      </c>
      <c r="O1605" t="str">
        <f t="shared" si="76"/>
        <v>Premium</v>
      </c>
      <c r="P1605" s="7">
        <v>45657</v>
      </c>
    </row>
    <row r="1606" spans="1:16" x14ac:dyDescent="0.3">
      <c r="A1606">
        <v>1605</v>
      </c>
      <c r="B1606" s="7">
        <v>45557</v>
      </c>
      <c r="C1606" t="s">
        <v>12</v>
      </c>
      <c r="D1606">
        <v>199</v>
      </c>
      <c r="E1606">
        <v>19.399999999999999</v>
      </c>
      <c r="F1606">
        <v>4</v>
      </c>
      <c r="G1606">
        <v>2</v>
      </c>
      <c r="H1606">
        <v>16</v>
      </c>
      <c r="I1606">
        <v>36</v>
      </c>
      <c r="J1606" t="s">
        <v>11</v>
      </c>
      <c r="K1606">
        <f>IF(J1606="Yes", 1, 0)</f>
        <v>1</v>
      </c>
      <c r="L1606" t="str">
        <f>IF(G1606=0,"0 Failures","1+ Failures")</f>
        <v>1+ Failures</v>
      </c>
      <c r="M1606" t="str">
        <f t="shared" si="74"/>
        <v>10-20hrs</v>
      </c>
      <c r="N1606" t="str">
        <f t="shared" si="75"/>
        <v>12+ months</v>
      </c>
      <c r="O1606" t="str">
        <f t="shared" si="76"/>
        <v>Basic</v>
      </c>
      <c r="P1606" s="7">
        <v>45657</v>
      </c>
    </row>
    <row r="1607" spans="1:16" x14ac:dyDescent="0.3">
      <c r="A1607">
        <v>1606</v>
      </c>
      <c r="B1607" s="7">
        <v>44939</v>
      </c>
      <c r="C1607" t="s">
        <v>14</v>
      </c>
      <c r="D1607">
        <v>399</v>
      </c>
      <c r="E1607">
        <v>7.1</v>
      </c>
      <c r="F1607">
        <v>4</v>
      </c>
      <c r="G1607">
        <v>5</v>
      </c>
      <c r="H1607">
        <v>24</v>
      </c>
      <c r="I1607">
        <v>51</v>
      </c>
      <c r="J1607" t="s">
        <v>13</v>
      </c>
      <c r="K1607">
        <f>IF(J1607="Yes", 1, 0)</f>
        <v>0</v>
      </c>
      <c r="L1607" t="str">
        <f>IF(G1607=0,"0 Failures","1+ Failures")</f>
        <v>1+ Failures</v>
      </c>
      <c r="M1607" t="str">
        <f t="shared" si="74"/>
        <v>5-10 hrs</v>
      </c>
      <c r="N1607" t="str">
        <f t="shared" si="75"/>
        <v>12+ months</v>
      </c>
      <c r="O1607" t="str">
        <f t="shared" si="76"/>
        <v>Basic</v>
      </c>
      <c r="P1607" s="7">
        <v>45657</v>
      </c>
    </row>
    <row r="1608" spans="1:16" x14ac:dyDescent="0.3">
      <c r="A1608">
        <v>1607</v>
      </c>
      <c r="B1608" s="7">
        <v>45400</v>
      </c>
      <c r="C1608" t="s">
        <v>12</v>
      </c>
      <c r="D1608">
        <v>199</v>
      </c>
      <c r="E1608">
        <v>14.4</v>
      </c>
      <c r="F1608">
        <v>5</v>
      </c>
      <c r="G1608">
        <v>2</v>
      </c>
      <c r="H1608">
        <v>20</v>
      </c>
      <c r="I1608">
        <v>54</v>
      </c>
      <c r="J1608" t="s">
        <v>11</v>
      </c>
      <c r="K1608">
        <f>IF(J1608="Yes", 1, 0)</f>
        <v>1</v>
      </c>
      <c r="L1608" t="str">
        <f>IF(G1608=0,"0 Failures","1+ Failures")</f>
        <v>1+ Failures</v>
      </c>
      <c r="M1608" t="str">
        <f t="shared" si="74"/>
        <v>10-20hrs</v>
      </c>
      <c r="N1608" t="str">
        <f t="shared" si="75"/>
        <v>12+ months</v>
      </c>
      <c r="O1608" t="str">
        <f t="shared" si="76"/>
        <v>Basic</v>
      </c>
      <c r="P1608" s="7">
        <v>45657</v>
      </c>
    </row>
    <row r="1609" spans="1:16" x14ac:dyDescent="0.3">
      <c r="A1609">
        <v>1608</v>
      </c>
      <c r="B1609" s="7">
        <v>45496</v>
      </c>
      <c r="C1609" t="s">
        <v>12</v>
      </c>
      <c r="D1609">
        <v>199</v>
      </c>
      <c r="E1609">
        <v>0.7</v>
      </c>
      <c r="F1609">
        <v>0</v>
      </c>
      <c r="G1609">
        <v>2</v>
      </c>
      <c r="H1609">
        <v>29</v>
      </c>
      <c r="I1609">
        <v>30</v>
      </c>
      <c r="J1609" t="s">
        <v>11</v>
      </c>
      <c r="K1609">
        <f>IF(J1609="Yes", 1, 0)</f>
        <v>1</v>
      </c>
      <c r="L1609" t="str">
        <f>IF(G1609=0,"0 Failures","1+ Failures")</f>
        <v>1+ Failures</v>
      </c>
      <c r="M1609" t="str">
        <f t="shared" si="74"/>
        <v>0-5 hrs</v>
      </c>
      <c r="N1609" t="str">
        <f t="shared" si="75"/>
        <v>12+ months</v>
      </c>
      <c r="O1609" t="str">
        <f t="shared" si="76"/>
        <v>Basic</v>
      </c>
      <c r="P1609" s="7">
        <v>45657</v>
      </c>
    </row>
    <row r="1610" spans="1:16" x14ac:dyDescent="0.3">
      <c r="A1610">
        <v>1609</v>
      </c>
      <c r="B1610" s="7">
        <v>45248</v>
      </c>
      <c r="C1610" t="s">
        <v>12</v>
      </c>
      <c r="D1610">
        <v>199</v>
      </c>
      <c r="E1610">
        <v>1.9</v>
      </c>
      <c r="F1610">
        <v>1</v>
      </c>
      <c r="G1610">
        <v>2</v>
      </c>
      <c r="H1610">
        <v>27</v>
      </c>
      <c r="I1610">
        <v>57</v>
      </c>
      <c r="J1610" t="s">
        <v>11</v>
      </c>
      <c r="K1610">
        <f>IF(J1610="Yes", 1, 0)</f>
        <v>1</v>
      </c>
      <c r="L1610" t="str">
        <f>IF(G1610=0,"0 Failures","1+ Failures")</f>
        <v>1+ Failures</v>
      </c>
      <c r="M1610" t="str">
        <f t="shared" si="74"/>
        <v>0-5 hrs</v>
      </c>
      <c r="N1610" t="str">
        <f t="shared" si="75"/>
        <v>12+ months</v>
      </c>
      <c r="O1610" t="str">
        <f t="shared" si="76"/>
        <v>Basic</v>
      </c>
      <c r="P1610" s="7">
        <v>45657</v>
      </c>
    </row>
    <row r="1611" spans="1:16" x14ac:dyDescent="0.3">
      <c r="A1611">
        <v>1610</v>
      </c>
      <c r="B1611" s="7">
        <v>45159</v>
      </c>
      <c r="C1611" t="s">
        <v>12</v>
      </c>
      <c r="D1611">
        <v>199</v>
      </c>
      <c r="E1611">
        <v>4.9000000000000004</v>
      </c>
      <c r="F1611">
        <v>4</v>
      </c>
      <c r="G1611">
        <v>2</v>
      </c>
      <c r="H1611">
        <v>29</v>
      </c>
      <c r="I1611">
        <v>55</v>
      </c>
      <c r="J1611" t="s">
        <v>11</v>
      </c>
      <c r="K1611">
        <f>IF(J1611="Yes", 1, 0)</f>
        <v>1</v>
      </c>
      <c r="L1611" t="str">
        <f>IF(G1611=0,"0 Failures","1+ Failures")</f>
        <v>1+ Failures</v>
      </c>
      <c r="M1611" t="str">
        <f t="shared" ref="M1611:M1674" si="77">IF(E1611&lt;=5, "0-5 hrs",    IF(E1611&lt;=10, "5-10 hrs",    IF(E1611&lt;=20, "10-20hrs", "20+ hrs")))</f>
        <v>0-5 hrs</v>
      </c>
      <c r="N1611" t="str">
        <f t="shared" si="75"/>
        <v>12+ months</v>
      </c>
      <c r="O1611" t="str">
        <f t="shared" si="76"/>
        <v>Basic</v>
      </c>
      <c r="P1611" s="7">
        <v>45657</v>
      </c>
    </row>
    <row r="1612" spans="1:16" x14ac:dyDescent="0.3">
      <c r="A1612">
        <v>1611</v>
      </c>
      <c r="B1612" s="7">
        <v>45115</v>
      </c>
      <c r="C1612" t="s">
        <v>10</v>
      </c>
      <c r="D1612">
        <v>699</v>
      </c>
      <c r="E1612">
        <v>4.0999999999999996</v>
      </c>
      <c r="F1612">
        <v>0</v>
      </c>
      <c r="G1612">
        <v>1</v>
      </c>
      <c r="H1612">
        <v>12</v>
      </c>
      <c r="I1612">
        <v>7</v>
      </c>
      <c r="J1612" t="s">
        <v>13</v>
      </c>
      <c r="K1612">
        <f>IF(J1612="Yes", 1, 0)</f>
        <v>0</v>
      </c>
      <c r="L1612" t="str">
        <f>IF(G1612=0,"0 Failures","1+ Failures")</f>
        <v>1+ Failures</v>
      </c>
      <c r="M1612" t="str">
        <f t="shared" si="77"/>
        <v>0-5 hrs</v>
      </c>
      <c r="N1612" t="str">
        <f t="shared" si="75"/>
        <v>6-12months</v>
      </c>
      <c r="O1612" t="str">
        <f t="shared" si="76"/>
        <v>Premium</v>
      </c>
      <c r="P1612" s="7">
        <v>45657</v>
      </c>
    </row>
    <row r="1613" spans="1:16" x14ac:dyDescent="0.3">
      <c r="A1613">
        <v>1612</v>
      </c>
      <c r="B1613" s="7">
        <v>44989</v>
      </c>
      <c r="C1613" t="s">
        <v>10</v>
      </c>
      <c r="D1613">
        <v>699</v>
      </c>
      <c r="E1613">
        <v>21.6</v>
      </c>
      <c r="F1613">
        <v>5</v>
      </c>
      <c r="G1613">
        <v>0</v>
      </c>
      <c r="H1613">
        <v>33</v>
      </c>
      <c r="I1613">
        <v>35</v>
      </c>
      <c r="J1613" t="s">
        <v>13</v>
      </c>
      <c r="K1613">
        <f>IF(J1613="Yes", 1, 0)</f>
        <v>0</v>
      </c>
      <c r="L1613" t="str">
        <f>IF(G1613=0,"0 Failures","1+ Failures")</f>
        <v>0 Failures</v>
      </c>
      <c r="M1613" t="str">
        <f t="shared" si="77"/>
        <v>20+ hrs</v>
      </c>
      <c r="N1613" t="str">
        <f t="shared" si="75"/>
        <v>12+ months</v>
      </c>
      <c r="O1613" t="str">
        <f t="shared" si="76"/>
        <v>Premium</v>
      </c>
      <c r="P1613" s="7">
        <v>45657</v>
      </c>
    </row>
    <row r="1614" spans="1:16" x14ac:dyDescent="0.3">
      <c r="A1614">
        <v>1613</v>
      </c>
      <c r="B1614" s="7">
        <v>45288</v>
      </c>
      <c r="C1614" t="s">
        <v>10</v>
      </c>
      <c r="D1614">
        <v>699</v>
      </c>
      <c r="E1614">
        <v>24.4</v>
      </c>
      <c r="F1614">
        <v>0</v>
      </c>
      <c r="G1614">
        <v>5</v>
      </c>
      <c r="H1614">
        <v>17</v>
      </c>
      <c r="I1614">
        <v>54</v>
      </c>
      <c r="J1614" t="s">
        <v>13</v>
      </c>
      <c r="K1614">
        <f>IF(J1614="Yes", 1, 0)</f>
        <v>0</v>
      </c>
      <c r="L1614" t="str">
        <f>IF(G1614=0,"0 Failures","1+ Failures")</f>
        <v>1+ Failures</v>
      </c>
      <c r="M1614" t="str">
        <f t="shared" si="77"/>
        <v>20+ hrs</v>
      </c>
      <c r="N1614" t="str">
        <f t="shared" si="75"/>
        <v>12+ months</v>
      </c>
      <c r="O1614" t="str">
        <f t="shared" si="76"/>
        <v>Premium</v>
      </c>
      <c r="P1614" s="7">
        <v>45657</v>
      </c>
    </row>
    <row r="1615" spans="1:16" x14ac:dyDescent="0.3">
      <c r="A1615">
        <v>1614</v>
      </c>
      <c r="B1615" s="7">
        <v>45042</v>
      </c>
      <c r="C1615" t="s">
        <v>10</v>
      </c>
      <c r="D1615">
        <v>699</v>
      </c>
      <c r="E1615">
        <v>15.2</v>
      </c>
      <c r="F1615">
        <v>5</v>
      </c>
      <c r="G1615">
        <v>0</v>
      </c>
      <c r="H1615">
        <v>3</v>
      </c>
      <c r="I1615">
        <v>4</v>
      </c>
      <c r="J1615" t="s">
        <v>13</v>
      </c>
      <c r="K1615">
        <f>IF(J1615="Yes", 1, 0)</f>
        <v>0</v>
      </c>
      <c r="L1615" t="str">
        <f>IF(G1615=0,"0 Failures","1+ Failures")</f>
        <v>0 Failures</v>
      </c>
      <c r="M1615" t="str">
        <f t="shared" si="77"/>
        <v>10-20hrs</v>
      </c>
      <c r="N1615" t="str">
        <f t="shared" si="75"/>
        <v>0-3months</v>
      </c>
      <c r="O1615" t="str">
        <f t="shared" si="76"/>
        <v>Premium</v>
      </c>
      <c r="P1615" s="7">
        <v>45657</v>
      </c>
    </row>
    <row r="1616" spans="1:16" x14ac:dyDescent="0.3">
      <c r="A1616">
        <v>1615</v>
      </c>
      <c r="B1616" s="7">
        <v>45624</v>
      </c>
      <c r="C1616" t="s">
        <v>10</v>
      </c>
      <c r="D1616">
        <v>699</v>
      </c>
      <c r="E1616">
        <v>6.3</v>
      </c>
      <c r="F1616">
        <v>5</v>
      </c>
      <c r="G1616">
        <v>4</v>
      </c>
      <c r="H1616">
        <v>5</v>
      </c>
      <c r="I1616">
        <v>23</v>
      </c>
      <c r="J1616" t="s">
        <v>13</v>
      </c>
      <c r="K1616">
        <f>IF(J1616="Yes", 1, 0)</f>
        <v>0</v>
      </c>
      <c r="L1616" t="str">
        <f>IF(G1616=0,"0 Failures","1+ Failures")</f>
        <v>1+ Failures</v>
      </c>
      <c r="M1616" t="str">
        <f t="shared" si="77"/>
        <v>5-10 hrs</v>
      </c>
      <c r="N1616" t="str">
        <f t="shared" si="75"/>
        <v>3-6months</v>
      </c>
      <c r="O1616" t="str">
        <f t="shared" si="76"/>
        <v>Premium</v>
      </c>
      <c r="P1616" s="7">
        <v>45657</v>
      </c>
    </row>
    <row r="1617" spans="1:16" x14ac:dyDescent="0.3">
      <c r="A1617">
        <v>1616</v>
      </c>
      <c r="B1617" s="7">
        <v>45295</v>
      </c>
      <c r="C1617" t="s">
        <v>14</v>
      </c>
      <c r="D1617">
        <v>399</v>
      </c>
      <c r="E1617">
        <v>16.2</v>
      </c>
      <c r="F1617">
        <v>4</v>
      </c>
      <c r="G1617">
        <v>1</v>
      </c>
      <c r="H1617">
        <v>5</v>
      </c>
      <c r="I1617">
        <v>1</v>
      </c>
      <c r="J1617" t="s">
        <v>13</v>
      </c>
      <c r="K1617">
        <f>IF(J1617="Yes", 1, 0)</f>
        <v>0</v>
      </c>
      <c r="L1617" t="str">
        <f>IF(G1617=0,"0 Failures","1+ Failures")</f>
        <v>1+ Failures</v>
      </c>
      <c r="M1617" t="str">
        <f t="shared" si="77"/>
        <v>10-20hrs</v>
      </c>
      <c r="N1617" t="str">
        <f t="shared" si="75"/>
        <v>3-6months</v>
      </c>
      <c r="O1617" t="str">
        <f t="shared" si="76"/>
        <v>Basic</v>
      </c>
      <c r="P1617" s="7">
        <v>45657</v>
      </c>
    </row>
    <row r="1618" spans="1:16" x14ac:dyDescent="0.3">
      <c r="A1618">
        <v>1617</v>
      </c>
      <c r="B1618" s="7">
        <v>45563</v>
      </c>
      <c r="C1618" t="s">
        <v>14</v>
      </c>
      <c r="D1618">
        <v>399</v>
      </c>
      <c r="E1618">
        <v>22.5</v>
      </c>
      <c r="F1618">
        <v>5</v>
      </c>
      <c r="G1618">
        <v>3</v>
      </c>
      <c r="H1618">
        <v>27</v>
      </c>
      <c r="I1618">
        <v>60</v>
      </c>
      <c r="J1618" t="s">
        <v>13</v>
      </c>
      <c r="K1618">
        <f>IF(J1618="Yes", 1, 0)</f>
        <v>0</v>
      </c>
      <c r="L1618" t="str">
        <f>IF(G1618=0,"0 Failures","1+ Failures")</f>
        <v>1+ Failures</v>
      </c>
      <c r="M1618" t="str">
        <f t="shared" si="77"/>
        <v>20+ hrs</v>
      </c>
      <c r="N1618" t="str">
        <f t="shared" si="75"/>
        <v>12+ months</v>
      </c>
      <c r="O1618" t="str">
        <f t="shared" si="76"/>
        <v>Basic</v>
      </c>
      <c r="P1618" s="7">
        <v>45657</v>
      </c>
    </row>
    <row r="1619" spans="1:16" x14ac:dyDescent="0.3">
      <c r="A1619">
        <v>1618</v>
      </c>
      <c r="B1619" s="7">
        <v>45035</v>
      </c>
      <c r="C1619" t="s">
        <v>12</v>
      </c>
      <c r="D1619">
        <v>199</v>
      </c>
      <c r="E1619">
        <v>9.5</v>
      </c>
      <c r="F1619">
        <v>4</v>
      </c>
      <c r="G1619">
        <v>1</v>
      </c>
      <c r="H1619">
        <v>11</v>
      </c>
      <c r="I1619">
        <v>58</v>
      </c>
      <c r="J1619" t="s">
        <v>13</v>
      </c>
      <c r="K1619">
        <f>IF(J1619="Yes", 1, 0)</f>
        <v>0</v>
      </c>
      <c r="L1619" t="str">
        <f>IF(G1619=0,"0 Failures","1+ Failures")</f>
        <v>1+ Failures</v>
      </c>
      <c r="M1619" t="str">
        <f t="shared" si="77"/>
        <v>5-10 hrs</v>
      </c>
      <c r="N1619" t="str">
        <f t="shared" si="75"/>
        <v>6-12months</v>
      </c>
      <c r="O1619" t="str">
        <f t="shared" si="76"/>
        <v>Basic</v>
      </c>
      <c r="P1619" s="7">
        <v>45657</v>
      </c>
    </row>
    <row r="1620" spans="1:16" x14ac:dyDescent="0.3">
      <c r="A1620">
        <v>1619</v>
      </c>
      <c r="B1620" s="7">
        <v>45522</v>
      </c>
      <c r="C1620" t="s">
        <v>10</v>
      </c>
      <c r="D1620">
        <v>699</v>
      </c>
      <c r="E1620">
        <v>20.3</v>
      </c>
      <c r="F1620">
        <v>8</v>
      </c>
      <c r="G1620">
        <v>5</v>
      </c>
      <c r="H1620">
        <v>14</v>
      </c>
      <c r="I1620">
        <v>49</v>
      </c>
      <c r="J1620" t="s">
        <v>11</v>
      </c>
      <c r="K1620">
        <f>IF(J1620="Yes", 1, 0)</f>
        <v>1</v>
      </c>
      <c r="L1620" t="str">
        <f>IF(G1620=0,"0 Failures","1+ Failures")</f>
        <v>1+ Failures</v>
      </c>
      <c r="M1620" t="str">
        <f t="shared" si="77"/>
        <v>20+ hrs</v>
      </c>
      <c r="N1620" t="str">
        <f t="shared" si="75"/>
        <v>12+ months</v>
      </c>
      <c r="O1620" t="str">
        <f t="shared" si="76"/>
        <v>Premium</v>
      </c>
      <c r="P1620" s="7">
        <v>45657</v>
      </c>
    </row>
    <row r="1621" spans="1:16" x14ac:dyDescent="0.3">
      <c r="A1621">
        <v>1620</v>
      </c>
      <c r="B1621" s="7">
        <v>45080</v>
      </c>
      <c r="C1621" t="s">
        <v>10</v>
      </c>
      <c r="D1621">
        <v>699</v>
      </c>
      <c r="E1621">
        <v>23.5</v>
      </c>
      <c r="F1621">
        <v>6</v>
      </c>
      <c r="G1621">
        <v>4</v>
      </c>
      <c r="H1621">
        <v>23</v>
      </c>
      <c r="I1621">
        <v>2</v>
      </c>
      <c r="J1621" t="s">
        <v>13</v>
      </c>
      <c r="K1621">
        <f>IF(J1621="Yes", 1, 0)</f>
        <v>0</v>
      </c>
      <c r="L1621" t="str">
        <f>IF(G1621=0,"0 Failures","1+ Failures")</f>
        <v>1+ Failures</v>
      </c>
      <c r="M1621" t="str">
        <f t="shared" si="77"/>
        <v>20+ hrs</v>
      </c>
      <c r="N1621" t="str">
        <f t="shared" si="75"/>
        <v>12+ months</v>
      </c>
      <c r="O1621" t="str">
        <f t="shared" si="76"/>
        <v>Premium</v>
      </c>
      <c r="P1621" s="7">
        <v>45657</v>
      </c>
    </row>
    <row r="1622" spans="1:16" x14ac:dyDescent="0.3">
      <c r="A1622">
        <v>1621</v>
      </c>
      <c r="B1622" s="7">
        <v>45572</v>
      </c>
      <c r="C1622" t="s">
        <v>14</v>
      </c>
      <c r="D1622">
        <v>399</v>
      </c>
      <c r="E1622">
        <v>23.9</v>
      </c>
      <c r="F1622">
        <v>3</v>
      </c>
      <c r="G1622">
        <v>4</v>
      </c>
      <c r="H1622">
        <v>6</v>
      </c>
      <c r="I1622">
        <v>32</v>
      </c>
      <c r="J1622" t="s">
        <v>13</v>
      </c>
      <c r="K1622">
        <f>IF(J1622="Yes", 1, 0)</f>
        <v>0</v>
      </c>
      <c r="L1622" t="str">
        <f>IF(G1622=0,"0 Failures","1+ Failures")</f>
        <v>1+ Failures</v>
      </c>
      <c r="M1622" t="str">
        <f t="shared" si="77"/>
        <v>20+ hrs</v>
      </c>
      <c r="N1622" t="str">
        <f t="shared" si="75"/>
        <v>3-6months</v>
      </c>
      <c r="O1622" t="str">
        <f t="shared" si="76"/>
        <v>Basic</v>
      </c>
      <c r="P1622" s="7">
        <v>45657</v>
      </c>
    </row>
    <row r="1623" spans="1:16" x14ac:dyDescent="0.3">
      <c r="A1623">
        <v>1622</v>
      </c>
      <c r="B1623" s="7">
        <v>45410</v>
      </c>
      <c r="C1623" t="s">
        <v>10</v>
      </c>
      <c r="D1623">
        <v>699</v>
      </c>
      <c r="E1623">
        <v>13.7</v>
      </c>
      <c r="F1623">
        <v>1</v>
      </c>
      <c r="G1623">
        <v>4</v>
      </c>
      <c r="H1623">
        <v>27</v>
      </c>
      <c r="I1623">
        <v>51</v>
      </c>
      <c r="J1623" t="s">
        <v>11</v>
      </c>
      <c r="K1623">
        <f>IF(J1623="Yes", 1, 0)</f>
        <v>1</v>
      </c>
      <c r="L1623" t="str">
        <f>IF(G1623=0,"0 Failures","1+ Failures")</f>
        <v>1+ Failures</v>
      </c>
      <c r="M1623" t="str">
        <f t="shared" si="77"/>
        <v>10-20hrs</v>
      </c>
      <c r="N1623" t="str">
        <f t="shared" si="75"/>
        <v>12+ months</v>
      </c>
      <c r="O1623" t="str">
        <f t="shared" si="76"/>
        <v>Premium</v>
      </c>
      <c r="P1623" s="7">
        <v>45657</v>
      </c>
    </row>
    <row r="1624" spans="1:16" x14ac:dyDescent="0.3">
      <c r="A1624">
        <v>1623</v>
      </c>
      <c r="B1624" s="7">
        <v>45227</v>
      </c>
      <c r="C1624" t="s">
        <v>10</v>
      </c>
      <c r="D1624">
        <v>699</v>
      </c>
      <c r="E1624">
        <v>13.2</v>
      </c>
      <c r="F1624">
        <v>5</v>
      </c>
      <c r="G1624">
        <v>2</v>
      </c>
      <c r="H1624">
        <v>34</v>
      </c>
      <c r="I1624">
        <v>12</v>
      </c>
      <c r="J1624" t="s">
        <v>13</v>
      </c>
      <c r="K1624">
        <f>IF(J1624="Yes", 1, 0)</f>
        <v>0</v>
      </c>
      <c r="L1624" t="str">
        <f>IF(G1624=0,"0 Failures","1+ Failures")</f>
        <v>1+ Failures</v>
      </c>
      <c r="M1624" t="str">
        <f t="shared" si="77"/>
        <v>10-20hrs</v>
      </c>
      <c r="N1624" t="str">
        <f t="shared" si="75"/>
        <v>12+ months</v>
      </c>
      <c r="O1624" t="str">
        <f t="shared" si="76"/>
        <v>Premium</v>
      </c>
      <c r="P1624" s="7">
        <v>45657</v>
      </c>
    </row>
    <row r="1625" spans="1:16" x14ac:dyDescent="0.3">
      <c r="A1625">
        <v>1624</v>
      </c>
      <c r="B1625" s="7">
        <v>45045</v>
      </c>
      <c r="C1625" t="s">
        <v>12</v>
      </c>
      <c r="D1625">
        <v>199</v>
      </c>
      <c r="E1625">
        <v>6.5</v>
      </c>
      <c r="F1625">
        <v>5</v>
      </c>
      <c r="G1625">
        <v>1</v>
      </c>
      <c r="H1625">
        <v>22</v>
      </c>
      <c r="I1625">
        <v>29</v>
      </c>
      <c r="J1625" t="s">
        <v>11</v>
      </c>
      <c r="K1625">
        <f>IF(J1625="Yes", 1, 0)</f>
        <v>1</v>
      </c>
      <c r="L1625" t="str">
        <f>IF(G1625=0,"0 Failures","1+ Failures")</f>
        <v>1+ Failures</v>
      </c>
      <c r="M1625" t="str">
        <f t="shared" si="77"/>
        <v>5-10 hrs</v>
      </c>
      <c r="N1625" t="str">
        <f t="shared" si="75"/>
        <v>12+ months</v>
      </c>
      <c r="O1625" t="str">
        <f t="shared" si="76"/>
        <v>Basic</v>
      </c>
      <c r="P1625" s="7">
        <v>45657</v>
      </c>
    </row>
    <row r="1626" spans="1:16" x14ac:dyDescent="0.3">
      <c r="A1626">
        <v>1625</v>
      </c>
      <c r="B1626" s="7">
        <v>45444</v>
      </c>
      <c r="C1626" t="s">
        <v>10</v>
      </c>
      <c r="D1626">
        <v>699</v>
      </c>
      <c r="E1626">
        <v>11.4</v>
      </c>
      <c r="F1626">
        <v>6</v>
      </c>
      <c r="G1626">
        <v>2</v>
      </c>
      <c r="H1626">
        <v>16</v>
      </c>
      <c r="I1626">
        <v>5</v>
      </c>
      <c r="J1626" t="s">
        <v>11</v>
      </c>
      <c r="K1626">
        <f>IF(J1626="Yes", 1, 0)</f>
        <v>1</v>
      </c>
      <c r="L1626" t="str">
        <f>IF(G1626=0,"0 Failures","1+ Failures")</f>
        <v>1+ Failures</v>
      </c>
      <c r="M1626" t="str">
        <f t="shared" si="77"/>
        <v>10-20hrs</v>
      </c>
      <c r="N1626" t="str">
        <f t="shared" si="75"/>
        <v>12+ months</v>
      </c>
      <c r="O1626" t="str">
        <f t="shared" si="76"/>
        <v>Premium</v>
      </c>
      <c r="P1626" s="7">
        <v>45657</v>
      </c>
    </row>
    <row r="1627" spans="1:16" x14ac:dyDescent="0.3">
      <c r="A1627">
        <v>1626</v>
      </c>
      <c r="B1627" s="7">
        <v>45510</v>
      </c>
      <c r="C1627" t="s">
        <v>12</v>
      </c>
      <c r="D1627">
        <v>199</v>
      </c>
      <c r="E1627">
        <v>16.5</v>
      </c>
      <c r="F1627">
        <v>3</v>
      </c>
      <c r="G1627">
        <v>3</v>
      </c>
      <c r="H1627">
        <v>24</v>
      </c>
      <c r="I1627">
        <v>50</v>
      </c>
      <c r="J1627" t="s">
        <v>11</v>
      </c>
      <c r="K1627">
        <f>IF(J1627="Yes", 1, 0)</f>
        <v>1</v>
      </c>
      <c r="L1627" t="str">
        <f>IF(G1627=0,"0 Failures","1+ Failures")</f>
        <v>1+ Failures</v>
      </c>
      <c r="M1627" t="str">
        <f t="shared" si="77"/>
        <v>10-20hrs</v>
      </c>
      <c r="N1627" t="str">
        <f t="shared" si="75"/>
        <v>12+ months</v>
      </c>
      <c r="O1627" t="str">
        <f t="shared" si="76"/>
        <v>Basic</v>
      </c>
      <c r="P1627" s="7">
        <v>45657</v>
      </c>
    </row>
    <row r="1628" spans="1:16" x14ac:dyDescent="0.3">
      <c r="A1628">
        <v>1627</v>
      </c>
      <c r="B1628" s="7">
        <v>45547</v>
      </c>
      <c r="C1628" t="s">
        <v>12</v>
      </c>
      <c r="D1628">
        <v>199</v>
      </c>
      <c r="E1628">
        <v>6.5</v>
      </c>
      <c r="F1628">
        <v>6</v>
      </c>
      <c r="G1628">
        <v>5</v>
      </c>
      <c r="H1628">
        <v>35</v>
      </c>
      <c r="I1628">
        <v>37</v>
      </c>
      <c r="J1628" t="s">
        <v>11</v>
      </c>
      <c r="K1628">
        <f>IF(J1628="Yes", 1, 0)</f>
        <v>1</v>
      </c>
      <c r="L1628" t="str">
        <f>IF(G1628=0,"0 Failures","1+ Failures")</f>
        <v>1+ Failures</v>
      </c>
      <c r="M1628" t="str">
        <f t="shared" si="77"/>
        <v>5-10 hrs</v>
      </c>
      <c r="N1628" t="str">
        <f t="shared" si="75"/>
        <v>12+ months</v>
      </c>
      <c r="O1628" t="str">
        <f t="shared" si="76"/>
        <v>Basic</v>
      </c>
      <c r="P1628" s="7">
        <v>45657</v>
      </c>
    </row>
    <row r="1629" spans="1:16" x14ac:dyDescent="0.3">
      <c r="A1629">
        <v>1628</v>
      </c>
      <c r="B1629" s="7">
        <v>45078</v>
      </c>
      <c r="C1629" t="s">
        <v>14</v>
      </c>
      <c r="D1629">
        <v>399</v>
      </c>
      <c r="E1629">
        <v>8.9</v>
      </c>
      <c r="F1629">
        <v>1</v>
      </c>
      <c r="G1629">
        <v>0</v>
      </c>
      <c r="H1629">
        <v>19</v>
      </c>
      <c r="I1629">
        <v>26</v>
      </c>
      <c r="J1629" t="s">
        <v>13</v>
      </c>
      <c r="K1629">
        <f>IF(J1629="Yes", 1, 0)</f>
        <v>0</v>
      </c>
      <c r="L1629" t="str">
        <f>IF(G1629=0,"0 Failures","1+ Failures")</f>
        <v>0 Failures</v>
      </c>
      <c r="M1629" t="str">
        <f t="shared" si="77"/>
        <v>5-10 hrs</v>
      </c>
      <c r="N1629" t="str">
        <f t="shared" si="75"/>
        <v>12+ months</v>
      </c>
      <c r="O1629" t="str">
        <f t="shared" si="76"/>
        <v>Basic</v>
      </c>
      <c r="P1629" s="7">
        <v>45657</v>
      </c>
    </row>
    <row r="1630" spans="1:16" x14ac:dyDescent="0.3">
      <c r="A1630">
        <v>1629</v>
      </c>
      <c r="B1630" s="7">
        <v>45097</v>
      </c>
      <c r="C1630" t="s">
        <v>10</v>
      </c>
      <c r="D1630">
        <v>699</v>
      </c>
      <c r="E1630">
        <v>16</v>
      </c>
      <c r="F1630">
        <v>3</v>
      </c>
      <c r="G1630">
        <v>1</v>
      </c>
      <c r="H1630">
        <v>32</v>
      </c>
      <c r="I1630">
        <v>56</v>
      </c>
      <c r="J1630" t="s">
        <v>13</v>
      </c>
      <c r="K1630">
        <f>IF(J1630="Yes", 1, 0)</f>
        <v>0</v>
      </c>
      <c r="L1630" t="str">
        <f>IF(G1630=0,"0 Failures","1+ Failures")</f>
        <v>1+ Failures</v>
      </c>
      <c r="M1630" t="str">
        <f t="shared" si="77"/>
        <v>10-20hrs</v>
      </c>
      <c r="N1630" t="str">
        <f t="shared" si="75"/>
        <v>12+ months</v>
      </c>
      <c r="O1630" t="str">
        <f t="shared" si="76"/>
        <v>Premium</v>
      </c>
      <c r="P1630" s="7">
        <v>45657</v>
      </c>
    </row>
    <row r="1631" spans="1:16" x14ac:dyDescent="0.3">
      <c r="A1631">
        <v>1630</v>
      </c>
      <c r="B1631" s="7">
        <v>45030</v>
      </c>
      <c r="C1631" t="s">
        <v>12</v>
      </c>
      <c r="D1631">
        <v>199</v>
      </c>
      <c r="E1631">
        <v>7</v>
      </c>
      <c r="F1631">
        <v>8</v>
      </c>
      <c r="G1631">
        <v>5</v>
      </c>
      <c r="H1631">
        <v>27</v>
      </c>
      <c r="I1631">
        <v>59</v>
      </c>
      <c r="J1631" t="s">
        <v>11</v>
      </c>
      <c r="K1631">
        <f>IF(J1631="Yes", 1, 0)</f>
        <v>1</v>
      </c>
      <c r="L1631" t="str">
        <f>IF(G1631=0,"0 Failures","1+ Failures")</f>
        <v>1+ Failures</v>
      </c>
      <c r="M1631" t="str">
        <f t="shared" si="77"/>
        <v>5-10 hrs</v>
      </c>
      <c r="N1631" t="str">
        <f t="shared" si="75"/>
        <v>12+ months</v>
      </c>
      <c r="O1631" t="str">
        <f t="shared" si="76"/>
        <v>Basic</v>
      </c>
      <c r="P1631" s="7">
        <v>45657</v>
      </c>
    </row>
    <row r="1632" spans="1:16" x14ac:dyDescent="0.3">
      <c r="A1632">
        <v>1631</v>
      </c>
      <c r="B1632" s="7">
        <v>45062</v>
      </c>
      <c r="C1632" t="s">
        <v>12</v>
      </c>
      <c r="D1632">
        <v>199</v>
      </c>
      <c r="E1632">
        <v>20.9</v>
      </c>
      <c r="F1632">
        <v>0</v>
      </c>
      <c r="G1632">
        <v>5</v>
      </c>
      <c r="H1632">
        <v>3</v>
      </c>
      <c r="I1632">
        <v>10</v>
      </c>
      <c r="J1632" t="s">
        <v>13</v>
      </c>
      <c r="K1632">
        <f>IF(J1632="Yes", 1, 0)</f>
        <v>0</v>
      </c>
      <c r="L1632" t="str">
        <f>IF(G1632=0,"0 Failures","1+ Failures")</f>
        <v>1+ Failures</v>
      </c>
      <c r="M1632" t="str">
        <f t="shared" si="77"/>
        <v>20+ hrs</v>
      </c>
      <c r="N1632" t="str">
        <f t="shared" si="75"/>
        <v>0-3months</v>
      </c>
      <c r="O1632" t="str">
        <f t="shared" si="76"/>
        <v>Basic</v>
      </c>
      <c r="P1632" s="7">
        <v>45657</v>
      </c>
    </row>
    <row r="1633" spans="1:16" x14ac:dyDescent="0.3">
      <c r="A1633">
        <v>1632</v>
      </c>
      <c r="B1633" s="7">
        <v>45497</v>
      </c>
      <c r="C1633" t="s">
        <v>10</v>
      </c>
      <c r="D1633">
        <v>699</v>
      </c>
      <c r="E1633">
        <v>23</v>
      </c>
      <c r="F1633">
        <v>6</v>
      </c>
      <c r="G1633">
        <v>2</v>
      </c>
      <c r="H1633">
        <v>34</v>
      </c>
      <c r="I1633">
        <v>8</v>
      </c>
      <c r="J1633" t="s">
        <v>11</v>
      </c>
      <c r="K1633">
        <f>IF(J1633="Yes", 1, 0)</f>
        <v>1</v>
      </c>
      <c r="L1633" t="str">
        <f>IF(G1633=0,"0 Failures","1+ Failures")</f>
        <v>1+ Failures</v>
      </c>
      <c r="M1633" t="str">
        <f t="shared" si="77"/>
        <v>20+ hrs</v>
      </c>
      <c r="N1633" t="str">
        <f t="shared" si="75"/>
        <v>12+ months</v>
      </c>
      <c r="O1633" t="str">
        <f t="shared" si="76"/>
        <v>Premium</v>
      </c>
      <c r="P1633" s="7">
        <v>45657</v>
      </c>
    </row>
    <row r="1634" spans="1:16" x14ac:dyDescent="0.3">
      <c r="A1634">
        <v>1633</v>
      </c>
      <c r="B1634" s="7">
        <v>44973</v>
      </c>
      <c r="C1634" t="s">
        <v>12</v>
      </c>
      <c r="D1634">
        <v>199</v>
      </c>
      <c r="E1634">
        <v>3.4</v>
      </c>
      <c r="F1634">
        <v>5</v>
      </c>
      <c r="G1634">
        <v>4</v>
      </c>
      <c r="H1634">
        <v>19</v>
      </c>
      <c r="I1634">
        <v>38</v>
      </c>
      <c r="J1634" t="s">
        <v>11</v>
      </c>
      <c r="K1634">
        <f>IF(J1634="Yes", 1, 0)</f>
        <v>1</v>
      </c>
      <c r="L1634" t="str">
        <f>IF(G1634=0,"0 Failures","1+ Failures")</f>
        <v>1+ Failures</v>
      </c>
      <c r="M1634" t="str">
        <f t="shared" si="77"/>
        <v>0-5 hrs</v>
      </c>
      <c r="N1634" t="str">
        <f t="shared" si="75"/>
        <v>12+ months</v>
      </c>
      <c r="O1634" t="str">
        <f t="shared" si="76"/>
        <v>Basic</v>
      </c>
      <c r="P1634" s="7">
        <v>45657</v>
      </c>
    </row>
    <row r="1635" spans="1:16" x14ac:dyDescent="0.3">
      <c r="A1635">
        <v>1634</v>
      </c>
      <c r="B1635" s="7">
        <v>45373</v>
      </c>
      <c r="C1635" t="s">
        <v>12</v>
      </c>
      <c r="D1635">
        <v>199</v>
      </c>
      <c r="E1635">
        <v>23.8</v>
      </c>
      <c r="F1635">
        <v>6</v>
      </c>
      <c r="G1635">
        <v>5</v>
      </c>
      <c r="H1635">
        <v>23</v>
      </c>
      <c r="I1635">
        <v>28</v>
      </c>
      <c r="J1635" t="s">
        <v>11</v>
      </c>
      <c r="K1635">
        <f>IF(J1635="Yes", 1, 0)</f>
        <v>1</v>
      </c>
      <c r="L1635" t="str">
        <f>IF(G1635=0,"0 Failures","1+ Failures")</f>
        <v>1+ Failures</v>
      </c>
      <c r="M1635" t="str">
        <f t="shared" si="77"/>
        <v>20+ hrs</v>
      </c>
      <c r="N1635" t="str">
        <f t="shared" si="75"/>
        <v>12+ months</v>
      </c>
      <c r="O1635" t="str">
        <f t="shared" si="76"/>
        <v>Basic</v>
      </c>
      <c r="P1635" s="7">
        <v>45657</v>
      </c>
    </row>
    <row r="1636" spans="1:16" x14ac:dyDescent="0.3">
      <c r="A1636">
        <v>1635</v>
      </c>
      <c r="B1636" s="7">
        <v>45448</v>
      </c>
      <c r="C1636" t="s">
        <v>14</v>
      </c>
      <c r="D1636">
        <v>399</v>
      </c>
      <c r="E1636">
        <v>17.7</v>
      </c>
      <c r="F1636">
        <v>2</v>
      </c>
      <c r="G1636">
        <v>5</v>
      </c>
      <c r="H1636">
        <v>31</v>
      </c>
      <c r="I1636">
        <v>49</v>
      </c>
      <c r="J1636" t="s">
        <v>11</v>
      </c>
      <c r="K1636">
        <f>IF(J1636="Yes", 1, 0)</f>
        <v>1</v>
      </c>
      <c r="L1636" t="str">
        <f>IF(G1636=0,"0 Failures","1+ Failures")</f>
        <v>1+ Failures</v>
      </c>
      <c r="M1636" t="str">
        <f t="shared" si="77"/>
        <v>10-20hrs</v>
      </c>
      <c r="N1636" t="str">
        <f t="shared" si="75"/>
        <v>12+ months</v>
      </c>
      <c r="O1636" t="str">
        <f t="shared" si="76"/>
        <v>Basic</v>
      </c>
      <c r="P1636" s="7">
        <v>45657</v>
      </c>
    </row>
    <row r="1637" spans="1:16" x14ac:dyDescent="0.3">
      <c r="A1637">
        <v>1636</v>
      </c>
      <c r="B1637" s="7">
        <v>45255</v>
      </c>
      <c r="C1637" t="s">
        <v>12</v>
      </c>
      <c r="D1637">
        <v>199</v>
      </c>
      <c r="E1637">
        <v>22.4</v>
      </c>
      <c r="F1637">
        <v>5</v>
      </c>
      <c r="G1637">
        <v>5</v>
      </c>
      <c r="H1637">
        <v>10</v>
      </c>
      <c r="I1637">
        <v>41</v>
      </c>
      <c r="J1637" t="s">
        <v>11</v>
      </c>
      <c r="K1637">
        <f>IF(J1637="Yes", 1, 0)</f>
        <v>1</v>
      </c>
      <c r="L1637" t="str">
        <f>IF(G1637=0,"0 Failures","1+ Failures")</f>
        <v>1+ Failures</v>
      </c>
      <c r="M1637" t="str">
        <f t="shared" si="77"/>
        <v>20+ hrs</v>
      </c>
      <c r="N1637" t="str">
        <f t="shared" si="75"/>
        <v>6-12months</v>
      </c>
      <c r="O1637" t="str">
        <f t="shared" si="76"/>
        <v>Basic</v>
      </c>
      <c r="P1637" s="7">
        <v>45657</v>
      </c>
    </row>
    <row r="1638" spans="1:16" x14ac:dyDescent="0.3">
      <c r="A1638">
        <v>1637</v>
      </c>
      <c r="B1638" s="7">
        <v>45276</v>
      </c>
      <c r="C1638" t="s">
        <v>14</v>
      </c>
      <c r="D1638">
        <v>399</v>
      </c>
      <c r="E1638">
        <v>13</v>
      </c>
      <c r="F1638">
        <v>4</v>
      </c>
      <c r="G1638">
        <v>0</v>
      </c>
      <c r="H1638">
        <v>12</v>
      </c>
      <c r="I1638">
        <v>14</v>
      </c>
      <c r="J1638" t="s">
        <v>13</v>
      </c>
      <c r="K1638">
        <f>IF(J1638="Yes", 1, 0)</f>
        <v>0</v>
      </c>
      <c r="L1638" t="str">
        <f>IF(G1638=0,"0 Failures","1+ Failures")</f>
        <v>0 Failures</v>
      </c>
      <c r="M1638" t="str">
        <f t="shared" si="77"/>
        <v>10-20hrs</v>
      </c>
      <c r="N1638" t="str">
        <f t="shared" si="75"/>
        <v>6-12months</v>
      </c>
      <c r="O1638" t="str">
        <f t="shared" si="76"/>
        <v>Basic</v>
      </c>
      <c r="P1638" s="7">
        <v>45657</v>
      </c>
    </row>
    <row r="1639" spans="1:16" x14ac:dyDescent="0.3">
      <c r="A1639">
        <v>1638</v>
      </c>
      <c r="B1639" s="7">
        <v>45253</v>
      </c>
      <c r="C1639" t="s">
        <v>12</v>
      </c>
      <c r="D1639">
        <v>199</v>
      </c>
      <c r="E1639">
        <v>22.5</v>
      </c>
      <c r="F1639">
        <v>8</v>
      </c>
      <c r="G1639">
        <v>3</v>
      </c>
      <c r="H1639">
        <v>34</v>
      </c>
      <c r="I1639">
        <v>18</v>
      </c>
      <c r="J1639" t="s">
        <v>11</v>
      </c>
      <c r="K1639">
        <f>IF(J1639="Yes", 1, 0)</f>
        <v>1</v>
      </c>
      <c r="L1639" t="str">
        <f>IF(G1639=0,"0 Failures","1+ Failures")</f>
        <v>1+ Failures</v>
      </c>
      <c r="M1639" t="str">
        <f t="shared" si="77"/>
        <v>20+ hrs</v>
      </c>
      <c r="N1639" t="str">
        <f t="shared" si="75"/>
        <v>12+ months</v>
      </c>
      <c r="O1639" t="str">
        <f t="shared" si="76"/>
        <v>Basic</v>
      </c>
      <c r="P1639" s="7">
        <v>45657</v>
      </c>
    </row>
    <row r="1640" spans="1:16" x14ac:dyDescent="0.3">
      <c r="A1640">
        <v>1639</v>
      </c>
      <c r="B1640" s="7">
        <v>45557</v>
      </c>
      <c r="C1640" t="s">
        <v>12</v>
      </c>
      <c r="D1640">
        <v>199</v>
      </c>
      <c r="E1640">
        <v>1.5</v>
      </c>
      <c r="F1640">
        <v>3</v>
      </c>
      <c r="G1640">
        <v>3</v>
      </c>
      <c r="H1640">
        <v>10</v>
      </c>
      <c r="I1640">
        <v>33</v>
      </c>
      <c r="J1640" t="s">
        <v>11</v>
      </c>
      <c r="K1640">
        <f>IF(J1640="Yes", 1, 0)</f>
        <v>1</v>
      </c>
      <c r="L1640" t="str">
        <f>IF(G1640=0,"0 Failures","1+ Failures")</f>
        <v>1+ Failures</v>
      </c>
      <c r="M1640" t="str">
        <f t="shared" si="77"/>
        <v>0-5 hrs</v>
      </c>
      <c r="N1640" t="str">
        <f t="shared" si="75"/>
        <v>6-12months</v>
      </c>
      <c r="O1640" t="str">
        <f t="shared" si="76"/>
        <v>Basic</v>
      </c>
      <c r="P1640" s="7">
        <v>45657</v>
      </c>
    </row>
    <row r="1641" spans="1:16" x14ac:dyDescent="0.3">
      <c r="A1641">
        <v>1640</v>
      </c>
      <c r="B1641" s="7">
        <v>45376</v>
      </c>
      <c r="C1641" t="s">
        <v>14</v>
      </c>
      <c r="D1641">
        <v>399</v>
      </c>
      <c r="E1641">
        <v>9</v>
      </c>
      <c r="F1641">
        <v>2</v>
      </c>
      <c r="G1641">
        <v>0</v>
      </c>
      <c r="H1641">
        <v>7</v>
      </c>
      <c r="I1641">
        <v>18</v>
      </c>
      <c r="J1641" t="s">
        <v>13</v>
      </c>
      <c r="K1641">
        <f>IF(J1641="Yes", 1, 0)</f>
        <v>0</v>
      </c>
      <c r="L1641" t="str">
        <f>IF(G1641=0,"0 Failures","1+ Failures")</f>
        <v>0 Failures</v>
      </c>
      <c r="M1641" t="str">
        <f t="shared" si="77"/>
        <v>5-10 hrs</v>
      </c>
      <c r="N1641" t="str">
        <f t="shared" si="75"/>
        <v>6-12months</v>
      </c>
      <c r="O1641" t="str">
        <f t="shared" si="76"/>
        <v>Basic</v>
      </c>
      <c r="P1641" s="7">
        <v>45657</v>
      </c>
    </row>
    <row r="1642" spans="1:16" x14ac:dyDescent="0.3">
      <c r="A1642">
        <v>1641</v>
      </c>
      <c r="B1642" s="7">
        <v>45164</v>
      </c>
      <c r="C1642" t="s">
        <v>12</v>
      </c>
      <c r="D1642">
        <v>199</v>
      </c>
      <c r="E1642">
        <v>7.6</v>
      </c>
      <c r="F1642">
        <v>4</v>
      </c>
      <c r="G1642">
        <v>4</v>
      </c>
      <c r="H1642">
        <v>11</v>
      </c>
      <c r="I1642">
        <v>48</v>
      </c>
      <c r="J1642" t="s">
        <v>11</v>
      </c>
      <c r="K1642">
        <f>IF(J1642="Yes", 1, 0)</f>
        <v>1</v>
      </c>
      <c r="L1642" t="str">
        <f>IF(G1642=0,"0 Failures","1+ Failures")</f>
        <v>1+ Failures</v>
      </c>
      <c r="M1642" t="str">
        <f t="shared" si="77"/>
        <v>5-10 hrs</v>
      </c>
      <c r="N1642" t="str">
        <f t="shared" si="75"/>
        <v>6-12months</v>
      </c>
      <c r="O1642" t="str">
        <f t="shared" si="76"/>
        <v>Basic</v>
      </c>
      <c r="P1642" s="7">
        <v>45657</v>
      </c>
    </row>
    <row r="1643" spans="1:16" x14ac:dyDescent="0.3">
      <c r="A1643">
        <v>1642</v>
      </c>
      <c r="B1643" s="7">
        <v>45099</v>
      </c>
      <c r="C1643" t="s">
        <v>10</v>
      </c>
      <c r="D1643">
        <v>699</v>
      </c>
      <c r="E1643">
        <v>4</v>
      </c>
      <c r="F1643">
        <v>3</v>
      </c>
      <c r="G1643">
        <v>4</v>
      </c>
      <c r="H1643">
        <v>18</v>
      </c>
      <c r="I1643">
        <v>53</v>
      </c>
      <c r="J1643" t="s">
        <v>11</v>
      </c>
      <c r="K1643">
        <f>IF(J1643="Yes", 1, 0)</f>
        <v>1</v>
      </c>
      <c r="L1643" t="str">
        <f>IF(G1643=0,"0 Failures","1+ Failures")</f>
        <v>1+ Failures</v>
      </c>
      <c r="M1643" t="str">
        <f t="shared" si="77"/>
        <v>0-5 hrs</v>
      </c>
      <c r="N1643" t="str">
        <f t="shared" si="75"/>
        <v>12+ months</v>
      </c>
      <c r="O1643" t="str">
        <f t="shared" si="76"/>
        <v>Premium</v>
      </c>
      <c r="P1643" s="7">
        <v>45657</v>
      </c>
    </row>
    <row r="1644" spans="1:16" x14ac:dyDescent="0.3">
      <c r="A1644">
        <v>1643</v>
      </c>
      <c r="B1644" s="7">
        <v>45427</v>
      </c>
      <c r="C1644" t="s">
        <v>12</v>
      </c>
      <c r="D1644">
        <v>199</v>
      </c>
      <c r="E1644">
        <v>24</v>
      </c>
      <c r="F1644">
        <v>8</v>
      </c>
      <c r="G1644">
        <v>4</v>
      </c>
      <c r="H1644">
        <v>3</v>
      </c>
      <c r="I1644">
        <v>51</v>
      </c>
      <c r="J1644" t="s">
        <v>11</v>
      </c>
      <c r="K1644">
        <f>IF(J1644="Yes", 1, 0)</f>
        <v>1</v>
      </c>
      <c r="L1644" t="str">
        <f>IF(G1644=0,"0 Failures","1+ Failures")</f>
        <v>1+ Failures</v>
      </c>
      <c r="M1644" t="str">
        <f t="shared" si="77"/>
        <v>20+ hrs</v>
      </c>
      <c r="N1644" t="str">
        <f t="shared" si="75"/>
        <v>0-3months</v>
      </c>
      <c r="O1644" t="str">
        <f t="shared" si="76"/>
        <v>Basic</v>
      </c>
      <c r="P1644" s="7">
        <v>45657</v>
      </c>
    </row>
    <row r="1645" spans="1:16" x14ac:dyDescent="0.3">
      <c r="A1645">
        <v>1644</v>
      </c>
      <c r="B1645" s="7">
        <v>45391</v>
      </c>
      <c r="C1645" t="s">
        <v>12</v>
      </c>
      <c r="D1645">
        <v>199</v>
      </c>
      <c r="E1645">
        <v>5.5</v>
      </c>
      <c r="F1645">
        <v>6</v>
      </c>
      <c r="G1645">
        <v>5</v>
      </c>
      <c r="H1645">
        <v>24</v>
      </c>
      <c r="I1645">
        <v>28</v>
      </c>
      <c r="J1645" t="s">
        <v>11</v>
      </c>
      <c r="K1645">
        <f>IF(J1645="Yes", 1, 0)</f>
        <v>1</v>
      </c>
      <c r="L1645" t="str">
        <f>IF(G1645=0,"0 Failures","1+ Failures")</f>
        <v>1+ Failures</v>
      </c>
      <c r="M1645" t="str">
        <f t="shared" si="77"/>
        <v>5-10 hrs</v>
      </c>
      <c r="N1645" t="str">
        <f t="shared" si="75"/>
        <v>12+ months</v>
      </c>
      <c r="O1645" t="str">
        <f t="shared" si="76"/>
        <v>Basic</v>
      </c>
      <c r="P1645" s="7">
        <v>45657</v>
      </c>
    </row>
    <row r="1646" spans="1:16" x14ac:dyDescent="0.3">
      <c r="A1646">
        <v>1645</v>
      </c>
      <c r="B1646" s="7">
        <v>45196</v>
      </c>
      <c r="C1646" t="s">
        <v>14</v>
      </c>
      <c r="D1646">
        <v>399</v>
      </c>
      <c r="E1646">
        <v>18</v>
      </c>
      <c r="F1646">
        <v>1</v>
      </c>
      <c r="G1646">
        <v>3</v>
      </c>
      <c r="H1646">
        <v>8</v>
      </c>
      <c r="I1646">
        <v>56</v>
      </c>
      <c r="J1646" t="s">
        <v>11</v>
      </c>
      <c r="K1646">
        <f>IF(J1646="Yes", 1, 0)</f>
        <v>1</v>
      </c>
      <c r="L1646" t="str">
        <f>IF(G1646=0,"0 Failures","1+ Failures")</f>
        <v>1+ Failures</v>
      </c>
      <c r="M1646" t="str">
        <f t="shared" si="77"/>
        <v>10-20hrs</v>
      </c>
      <c r="N1646" t="str">
        <f t="shared" si="75"/>
        <v>6-12months</v>
      </c>
      <c r="O1646" t="str">
        <f t="shared" si="76"/>
        <v>Basic</v>
      </c>
      <c r="P1646" s="7">
        <v>45657</v>
      </c>
    </row>
    <row r="1647" spans="1:16" x14ac:dyDescent="0.3">
      <c r="A1647">
        <v>1646</v>
      </c>
      <c r="B1647" s="7">
        <v>45154</v>
      </c>
      <c r="C1647" t="s">
        <v>12</v>
      </c>
      <c r="D1647">
        <v>199</v>
      </c>
      <c r="E1647">
        <v>24.8</v>
      </c>
      <c r="F1647">
        <v>1</v>
      </c>
      <c r="G1647">
        <v>2</v>
      </c>
      <c r="H1647">
        <v>9</v>
      </c>
      <c r="I1647">
        <v>51</v>
      </c>
      <c r="J1647" t="s">
        <v>11</v>
      </c>
      <c r="K1647">
        <f>IF(J1647="Yes", 1, 0)</f>
        <v>1</v>
      </c>
      <c r="L1647" t="str">
        <f>IF(G1647=0,"0 Failures","1+ Failures")</f>
        <v>1+ Failures</v>
      </c>
      <c r="M1647" t="str">
        <f t="shared" si="77"/>
        <v>20+ hrs</v>
      </c>
      <c r="N1647" t="str">
        <f t="shared" si="75"/>
        <v>6-12months</v>
      </c>
      <c r="O1647" t="str">
        <f t="shared" si="76"/>
        <v>Basic</v>
      </c>
      <c r="P1647" s="7">
        <v>45657</v>
      </c>
    </row>
    <row r="1648" spans="1:16" x14ac:dyDescent="0.3">
      <c r="A1648">
        <v>1647</v>
      </c>
      <c r="B1648" s="7">
        <v>45452</v>
      </c>
      <c r="C1648" t="s">
        <v>10</v>
      </c>
      <c r="D1648">
        <v>699</v>
      </c>
      <c r="E1648">
        <v>8.5</v>
      </c>
      <c r="F1648">
        <v>8</v>
      </c>
      <c r="G1648">
        <v>2</v>
      </c>
      <c r="H1648">
        <v>5</v>
      </c>
      <c r="I1648">
        <v>17</v>
      </c>
      <c r="J1648" t="s">
        <v>11</v>
      </c>
      <c r="K1648">
        <f>IF(J1648="Yes", 1, 0)</f>
        <v>1</v>
      </c>
      <c r="L1648" t="str">
        <f>IF(G1648=0,"0 Failures","1+ Failures")</f>
        <v>1+ Failures</v>
      </c>
      <c r="M1648" t="str">
        <f t="shared" si="77"/>
        <v>5-10 hrs</v>
      </c>
      <c r="N1648" t="str">
        <f t="shared" si="75"/>
        <v>3-6months</v>
      </c>
      <c r="O1648" t="str">
        <f t="shared" si="76"/>
        <v>Premium</v>
      </c>
      <c r="P1648" s="7">
        <v>45657</v>
      </c>
    </row>
    <row r="1649" spans="1:16" x14ac:dyDescent="0.3">
      <c r="A1649">
        <v>1648</v>
      </c>
      <c r="B1649" s="7">
        <v>45649</v>
      </c>
      <c r="C1649" t="s">
        <v>10</v>
      </c>
      <c r="D1649">
        <v>699</v>
      </c>
      <c r="E1649">
        <v>17.8</v>
      </c>
      <c r="F1649">
        <v>5</v>
      </c>
      <c r="G1649">
        <v>0</v>
      </c>
      <c r="H1649">
        <v>5</v>
      </c>
      <c r="I1649">
        <v>27</v>
      </c>
      <c r="J1649" t="s">
        <v>11</v>
      </c>
      <c r="K1649">
        <f>IF(J1649="Yes", 1, 0)</f>
        <v>1</v>
      </c>
      <c r="L1649" t="str">
        <f>IF(G1649=0,"0 Failures","1+ Failures")</f>
        <v>0 Failures</v>
      </c>
      <c r="M1649" t="str">
        <f t="shared" si="77"/>
        <v>10-20hrs</v>
      </c>
      <c r="N1649" t="str">
        <f t="shared" si="75"/>
        <v>3-6months</v>
      </c>
      <c r="O1649" t="str">
        <f t="shared" si="76"/>
        <v>Premium</v>
      </c>
      <c r="P1649" s="7">
        <v>45657</v>
      </c>
    </row>
    <row r="1650" spans="1:16" x14ac:dyDescent="0.3">
      <c r="A1650">
        <v>1649</v>
      </c>
      <c r="B1650" s="7">
        <v>44963</v>
      </c>
      <c r="C1650" t="s">
        <v>10</v>
      </c>
      <c r="D1650">
        <v>699</v>
      </c>
      <c r="E1650">
        <v>5.2</v>
      </c>
      <c r="F1650">
        <v>8</v>
      </c>
      <c r="G1650">
        <v>5</v>
      </c>
      <c r="H1650">
        <v>21</v>
      </c>
      <c r="I1650">
        <v>53</v>
      </c>
      <c r="J1650" t="s">
        <v>13</v>
      </c>
      <c r="K1650">
        <f>IF(J1650="Yes", 1, 0)</f>
        <v>0</v>
      </c>
      <c r="L1650" t="str">
        <f>IF(G1650=0,"0 Failures","1+ Failures")</f>
        <v>1+ Failures</v>
      </c>
      <c r="M1650" t="str">
        <f t="shared" si="77"/>
        <v>5-10 hrs</v>
      </c>
      <c r="N1650" t="str">
        <f t="shared" si="75"/>
        <v>12+ months</v>
      </c>
      <c r="O1650" t="str">
        <f t="shared" si="76"/>
        <v>Premium</v>
      </c>
      <c r="P1650" s="7">
        <v>45657</v>
      </c>
    </row>
    <row r="1651" spans="1:16" x14ac:dyDescent="0.3">
      <c r="A1651">
        <v>1650</v>
      </c>
      <c r="B1651" s="7">
        <v>45408</v>
      </c>
      <c r="C1651" t="s">
        <v>10</v>
      </c>
      <c r="D1651">
        <v>699</v>
      </c>
      <c r="E1651">
        <v>6.5</v>
      </c>
      <c r="F1651">
        <v>6</v>
      </c>
      <c r="G1651">
        <v>1</v>
      </c>
      <c r="H1651">
        <v>1</v>
      </c>
      <c r="I1651">
        <v>43</v>
      </c>
      <c r="J1651" t="s">
        <v>11</v>
      </c>
      <c r="K1651">
        <f>IF(J1651="Yes", 1, 0)</f>
        <v>1</v>
      </c>
      <c r="L1651" t="str">
        <f>IF(G1651=0,"0 Failures","1+ Failures")</f>
        <v>1+ Failures</v>
      </c>
      <c r="M1651" t="str">
        <f t="shared" si="77"/>
        <v>5-10 hrs</v>
      </c>
      <c r="N1651" t="str">
        <f t="shared" si="75"/>
        <v>0-3months</v>
      </c>
      <c r="O1651" t="str">
        <f t="shared" si="76"/>
        <v>Premium</v>
      </c>
      <c r="P1651" s="7">
        <v>45657</v>
      </c>
    </row>
    <row r="1652" spans="1:16" x14ac:dyDescent="0.3">
      <c r="A1652">
        <v>1651</v>
      </c>
      <c r="B1652" s="7">
        <v>45017</v>
      </c>
      <c r="C1652" t="s">
        <v>12</v>
      </c>
      <c r="D1652">
        <v>199</v>
      </c>
      <c r="E1652">
        <v>20.399999999999999</v>
      </c>
      <c r="F1652">
        <v>7</v>
      </c>
      <c r="G1652">
        <v>2</v>
      </c>
      <c r="H1652">
        <v>32</v>
      </c>
      <c r="I1652">
        <v>8</v>
      </c>
      <c r="J1652" t="s">
        <v>11</v>
      </c>
      <c r="K1652">
        <f>IF(J1652="Yes", 1, 0)</f>
        <v>1</v>
      </c>
      <c r="L1652" t="str">
        <f>IF(G1652=0,"0 Failures","1+ Failures")</f>
        <v>1+ Failures</v>
      </c>
      <c r="M1652" t="str">
        <f t="shared" si="77"/>
        <v>20+ hrs</v>
      </c>
      <c r="N1652" t="str">
        <f t="shared" si="75"/>
        <v>12+ months</v>
      </c>
      <c r="O1652" t="str">
        <f t="shared" si="76"/>
        <v>Basic</v>
      </c>
      <c r="P1652" s="7">
        <v>45657</v>
      </c>
    </row>
    <row r="1653" spans="1:16" x14ac:dyDescent="0.3">
      <c r="A1653">
        <v>1652</v>
      </c>
      <c r="B1653" s="7">
        <v>45654</v>
      </c>
      <c r="C1653" t="s">
        <v>10</v>
      </c>
      <c r="D1653">
        <v>699</v>
      </c>
      <c r="E1653">
        <v>0.6</v>
      </c>
      <c r="F1653">
        <v>1</v>
      </c>
      <c r="G1653">
        <v>3</v>
      </c>
      <c r="H1653">
        <v>14</v>
      </c>
      <c r="I1653">
        <v>35</v>
      </c>
      <c r="J1653" t="s">
        <v>11</v>
      </c>
      <c r="K1653">
        <f>IF(J1653="Yes", 1, 0)</f>
        <v>1</v>
      </c>
      <c r="L1653" t="str">
        <f>IF(G1653=0,"0 Failures","1+ Failures")</f>
        <v>1+ Failures</v>
      </c>
      <c r="M1653" t="str">
        <f t="shared" si="77"/>
        <v>0-5 hrs</v>
      </c>
      <c r="N1653" t="str">
        <f t="shared" si="75"/>
        <v>12+ months</v>
      </c>
      <c r="O1653" t="str">
        <f t="shared" si="76"/>
        <v>Premium</v>
      </c>
      <c r="P1653" s="7">
        <v>45657</v>
      </c>
    </row>
    <row r="1654" spans="1:16" x14ac:dyDescent="0.3">
      <c r="A1654">
        <v>1653</v>
      </c>
      <c r="B1654" s="7">
        <v>45167</v>
      </c>
      <c r="C1654" t="s">
        <v>12</v>
      </c>
      <c r="D1654">
        <v>199</v>
      </c>
      <c r="E1654">
        <v>10.7</v>
      </c>
      <c r="F1654">
        <v>4</v>
      </c>
      <c r="G1654">
        <v>4</v>
      </c>
      <c r="H1654">
        <v>3</v>
      </c>
      <c r="I1654">
        <v>24</v>
      </c>
      <c r="J1654" t="s">
        <v>11</v>
      </c>
      <c r="K1654">
        <f>IF(J1654="Yes", 1, 0)</f>
        <v>1</v>
      </c>
      <c r="L1654" t="str">
        <f>IF(G1654=0,"0 Failures","1+ Failures")</f>
        <v>1+ Failures</v>
      </c>
      <c r="M1654" t="str">
        <f t="shared" si="77"/>
        <v>10-20hrs</v>
      </c>
      <c r="N1654" t="str">
        <f t="shared" si="75"/>
        <v>0-3months</v>
      </c>
      <c r="O1654" t="str">
        <f t="shared" si="76"/>
        <v>Basic</v>
      </c>
      <c r="P1654" s="7">
        <v>45657</v>
      </c>
    </row>
    <row r="1655" spans="1:16" x14ac:dyDescent="0.3">
      <c r="A1655">
        <v>1654</v>
      </c>
      <c r="B1655" s="7">
        <v>45226</v>
      </c>
      <c r="C1655" t="s">
        <v>10</v>
      </c>
      <c r="D1655">
        <v>699</v>
      </c>
      <c r="E1655">
        <v>12.4</v>
      </c>
      <c r="F1655">
        <v>2</v>
      </c>
      <c r="G1655">
        <v>2</v>
      </c>
      <c r="H1655">
        <v>23</v>
      </c>
      <c r="I1655">
        <v>53</v>
      </c>
      <c r="J1655" t="s">
        <v>11</v>
      </c>
      <c r="K1655">
        <f>IF(J1655="Yes", 1, 0)</f>
        <v>1</v>
      </c>
      <c r="L1655" t="str">
        <f>IF(G1655=0,"0 Failures","1+ Failures")</f>
        <v>1+ Failures</v>
      </c>
      <c r="M1655" t="str">
        <f t="shared" si="77"/>
        <v>10-20hrs</v>
      </c>
      <c r="N1655" t="str">
        <f t="shared" si="75"/>
        <v>12+ months</v>
      </c>
      <c r="O1655" t="str">
        <f t="shared" si="76"/>
        <v>Premium</v>
      </c>
      <c r="P1655" s="7">
        <v>45657</v>
      </c>
    </row>
    <row r="1656" spans="1:16" x14ac:dyDescent="0.3">
      <c r="A1656">
        <v>1655</v>
      </c>
      <c r="B1656" s="7">
        <v>45229</v>
      </c>
      <c r="C1656" t="s">
        <v>10</v>
      </c>
      <c r="D1656">
        <v>699</v>
      </c>
      <c r="E1656">
        <v>12.5</v>
      </c>
      <c r="F1656">
        <v>6</v>
      </c>
      <c r="G1656">
        <v>4</v>
      </c>
      <c r="H1656">
        <v>32</v>
      </c>
      <c r="I1656">
        <v>22</v>
      </c>
      <c r="J1656" t="s">
        <v>11</v>
      </c>
      <c r="K1656">
        <f>IF(J1656="Yes", 1, 0)</f>
        <v>1</v>
      </c>
      <c r="L1656" t="str">
        <f>IF(G1656=0,"0 Failures","1+ Failures")</f>
        <v>1+ Failures</v>
      </c>
      <c r="M1656" t="str">
        <f t="shared" si="77"/>
        <v>10-20hrs</v>
      </c>
      <c r="N1656" t="str">
        <f t="shared" si="75"/>
        <v>12+ months</v>
      </c>
      <c r="O1656" t="str">
        <f t="shared" si="76"/>
        <v>Premium</v>
      </c>
      <c r="P1656" s="7">
        <v>45657</v>
      </c>
    </row>
    <row r="1657" spans="1:16" x14ac:dyDescent="0.3">
      <c r="A1657">
        <v>1656</v>
      </c>
      <c r="B1657" s="7">
        <v>45605</v>
      </c>
      <c r="C1657" t="s">
        <v>12</v>
      </c>
      <c r="D1657">
        <v>199</v>
      </c>
      <c r="E1657">
        <v>3.3</v>
      </c>
      <c r="F1657">
        <v>4</v>
      </c>
      <c r="G1657">
        <v>3</v>
      </c>
      <c r="H1657">
        <v>15</v>
      </c>
      <c r="I1657">
        <v>28</v>
      </c>
      <c r="J1657" t="s">
        <v>11</v>
      </c>
      <c r="K1657">
        <f>IF(J1657="Yes", 1, 0)</f>
        <v>1</v>
      </c>
      <c r="L1657" t="str">
        <f>IF(G1657=0,"0 Failures","1+ Failures")</f>
        <v>1+ Failures</v>
      </c>
      <c r="M1657" t="str">
        <f t="shared" si="77"/>
        <v>0-5 hrs</v>
      </c>
      <c r="N1657" t="str">
        <f t="shared" si="75"/>
        <v>12+ months</v>
      </c>
      <c r="O1657" t="str">
        <f t="shared" si="76"/>
        <v>Basic</v>
      </c>
      <c r="P1657" s="7">
        <v>45657</v>
      </c>
    </row>
    <row r="1658" spans="1:16" x14ac:dyDescent="0.3">
      <c r="A1658">
        <v>1657</v>
      </c>
      <c r="B1658" s="7">
        <v>45334</v>
      </c>
      <c r="C1658" t="s">
        <v>14</v>
      </c>
      <c r="D1658">
        <v>399</v>
      </c>
      <c r="E1658">
        <v>4.8</v>
      </c>
      <c r="F1658">
        <v>5</v>
      </c>
      <c r="G1658">
        <v>5</v>
      </c>
      <c r="H1658">
        <v>8</v>
      </c>
      <c r="I1658">
        <v>7</v>
      </c>
      <c r="J1658" t="s">
        <v>11</v>
      </c>
      <c r="K1658">
        <f>IF(J1658="Yes", 1, 0)</f>
        <v>1</v>
      </c>
      <c r="L1658" t="str">
        <f>IF(G1658=0,"0 Failures","1+ Failures")</f>
        <v>1+ Failures</v>
      </c>
      <c r="M1658" t="str">
        <f t="shared" si="77"/>
        <v>0-5 hrs</v>
      </c>
      <c r="N1658" t="str">
        <f t="shared" si="75"/>
        <v>6-12months</v>
      </c>
      <c r="O1658" t="str">
        <f t="shared" si="76"/>
        <v>Basic</v>
      </c>
      <c r="P1658" s="7">
        <v>45657</v>
      </c>
    </row>
    <row r="1659" spans="1:16" x14ac:dyDescent="0.3">
      <c r="A1659">
        <v>1658</v>
      </c>
      <c r="B1659" s="7">
        <v>45167</v>
      </c>
      <c r="C1659" t="s">
        <v>10</v>
      </c>
      <c r="D1659">
        <v>699</v>
      </c>
      <c r="E1659">
        <v>19.5</v>
      </c>
      <c r="F1659">
        <v>7</v>
      </c>
      <c r="G1659">
        <v>3</v>
      </c>
      <c r="H1659">
        <v>9</v>
      </c>
      <c r="I1659">
        <v>38</v>
      </c>
      <c r="J1659" t="s">
        <v>11</v>
      </c>
      <c r="K1659">
        <f>IF(J1659="Yes", 1, 0)</f>
        <v>1</v>
      </c>
      <c r="L1659" t="str">
        <f>IF(G1659=0,"0 Failures","1+ Failures")</f>
        <v>1+ Failures</v>
      </c>
      <c r="M1659" t="str">
        <f t="shared" si="77"/>
        <v>10-20hrs</v>
      </c>
      <c r="N1659" t="str">
        <f t="shared" si="75"/>
        <v>6-12months</v>
      </c>
      <c r="O1659" t="str">
        <f t="shared" si="76"/>
        <v>Premium</v>
      </c>
      <c r="P1659" s="7">
        <v>45657</v>
      </c>
    </row>
    <row r="1660" spans="1:16" x14ac:dyDescent="0.3">
      <c r="A1660">
        <v>1659</v>
      </c>
      <c r="B1660" s="7">
        <v>45257</v>
      </c>
      <c r="C1660" t="s">
        <v>12</v>
      </c>
      <c r="D1660">
        <v>199</v>
      </c>
      <c r="E1660">
        <v>7.1</v>
      </c>
      <c r="F1660">
        <v>3</v>
      </c>
      <c r="G1660">
        <v>3</v>
      </c>
      <c r="H1660">
        <v>19</v>
      </c>
      <c r="I1660">
        <v>3</v>
      </c>
      <c r="J1660" t="s">
        <v>13</v>
      </c>
      <c r="K1660">
        <f>IF(J1660="Yes", 1, 0)</f>
        <v>0</v>
      </c>
      <c r="L1660" t="str">
        <f>IF(G1660=0,"0 Failures","1+ Failures")</f>
        <v>1+ Failures</v>
      </c>
      <c r="M1660" t="str">
        <f t="shared" si="77"/>
        <v>5-10 hrs</v>
      </c>
      <c r="N1660" t="str">
        <f t="shared" si="75"/>
        <v>12+ months</v>
      </c>
      <c r="O1660" t="str">
        <f t="shared" si="76"/>
        <v>Basic</v>
      </c>
      <c r="P1660" s="7">
        <v>45657</v>
      </c>
    </row>
    <row r="1661" spans="1:16" x14ac:dyDescent="0.3">
      <c r="A1661">
        <v>1660</v>
      </c>
      <c r="B1661" s="7">
        <v>44982</v>
      </c>
      <c r="C1661" t="s">
        <v>14</v>
      </c>
      <c r="D1661">
        <v>399</v>
      </c>
      <c r="E1661">
        <v>10.6</v>
      </c>
      <c r="F1661">
        <v>7</v>
      </c>
      <c r="G1661">
        <v>3</v>
      </c>
      <c r="H1661">
        <v>21</v>
      </c>
      <c r="I1661">
        <v>25</v>
      </c>
      <c r="J1661" t="s">
        <v>11</v>
      </c>
      <c r="K1661">
        <f>IF(J1661="Yes", 1, 0)</f>
        <v>1</v>
      </c>
      <c r="L1661" t="str">
        <f>IF(G1661=0,"0 Failures","1+ Failures")</f>
        <v>1+ Failures</v>
      </c>
      <c r="M1661" t="str">
        <f t="shared" si="77"/>
        <v>10-20hrs</v>
      </c>
      <c r="N1661" t="str">
        <f t="shared" si="75"/>
        <v>12+ months</v>
      </c>
      <c r="O1661" t="str">
        <f t="shared" si="76"/>
        <v>Basic</v>
      </c>
      <c r="P1661" s="7">
        <v>45657</v>
      </c>
    </row>
    <row r="1662" spans="1:16" x14ac:dyDescent="0.3">
      <c r="A1662">
        <v>1661</v>
      </c>
      <c r="B1662" s="7">
        <v>45385</v>
      </c>
      <c r="C1662" t="s">
        <v>14</v>
      </c>
      <c r="D1662">
        <v>399</v>
      </c>
      <c r="E1662">
        <v>18.3</v>
      </c>
      <c r="F1662">
        <v>5</v>
      </c>
      <c r="G1662">
        <v>5</v>
      </c>
      <c r="H1662">
        <v>32</v>
      </c>
      <c r="I1662">
        <v>52</v>
      </c>
      <c r="J1662" t="s">
        <v>11</v>
      </c>
      <c r="K1662">
        <f>IF(J1662="Yes", 1, 0)</f>
        <v>1</v>
      </c>
      <c r="L1662" t="str">
        <f>IF(G1662=0,"0 Failures","1+ Failures")</f>
        <v>1+ Failures</v>
      </c>
      <c r="M1662" t="str">
        <f t="shared" si="77"/>
        <v>10-20hrs</v>
      </c>
      <c r="N1662" t="str">
        <f t="shared" si="75"/>
        <v>12+ months</v>
      </c>
      <c r="O1662" t="str">
        <f t="shared" si="76"/>
        <v>Basic</v>
      </c>
      <c r="P1662" s="7">
        <v>45657</v>
      </c>
    </row>
    <row r="1663" spans="1:16" x14ac:dyDescent="0.3">
      <c r="A1663">
        <v>1662</v>
      </c>
      <c r="B1663" s="7">
        <v>45039</v>
      </c>
      <c r="C1663" t="s">
        <v>14</v>
      </c>
      <c r="D1663">
        <v>399</v>
      </c>
      <c r="E1663">
        <v>14.5</v>
      </c>
      <c r="F1663">
        <v>2</v>
      </c>
      <c r="G1663">
        <v>4</v>
      </c>
      <c r="H1663">
        <v>15</v>
      </c>
      <c r="I1663">
        <v>13</v>
      </c>
      <c r="J1663" t="s">
        <v>13</v>
      </c>
      <c r="K1663">
        <f>IF(J1663="Yes", 1, 0)</f>
        <v>0</v>
      </c>
      <c r="L1663" t="str">
        <f>IF(G1663=0,"0 Failures","1+ Failures")</f>
        <v>1+ Failures</v>
      </c>
      <c r="M1663" t="str">
        <f t="shared" si="77"/>
        <v>10-20hrs</v>
      </c>
      <c r="N1663" t="str">
        <f t="shared" si="75"/>
        <v>12+ months</v>
      </c>
      <c r="O1663" t="str">
        <f t="shared" si="76"/>
        <v>Basic</v>
      </c>
      <c r="P1663" s="7">
        <v>45657</v>
      </c>
    </row>
    <row r="1664" spans="1:16" x14ac:dyDescent="0.3">
      <c r="A1664">
        <v>1663</v>
      </c>
      <c r="B1664" s="7">
        <v>45315</v>
      </c>
      <c r="C1664" t="s">
        <v>10</v>
      </c>
      <c r="D1664">
        <v>699</v>
      </c>
      <c r="E1664">
        <v>3.7</v>
      </c>
      <c r="F1664">
        <v>8</v>
      </c>
      <c r="G1664">
        <v>0</v>
      </c>
      <c r="H1664">
        <v>22</v>
      </c>
      <c r="I1664">
        <v>60</v>
      </c>
      <c r="J1664" t="s">
        <v>11</v>
      </c>
      <c r="K1664">
        <f>IF(J1664="Yes", 1, 0)</f>
        <v>1</v>
      </c>
      <c r="L1664" t="str">
        <f>IF(G1664=0,"0 Failures","1+ Failures")</f>
        <v>0 Failures</v>
      </c>
      <c r="M1664" t="str">
        <f t="shared" si="77"/>
        <v>0-5 hrs</v>
      </c>
      <c r="N1664" t="str">
        <f t="shared" si="75"/>
        <v>12+ months</v>
      </c>
      <c r="O1664" t="str">
        <f t="shared" si="76"/>
        <v>Premium</v>
      </c>
      <c r="P1664" s="7">
        <v>45657</v>
      </c>
    </row>
    <row r="1665" spans="1:16" x14ac:dyDescent="0.3">
      <c r="A1665">
        <v>1664</v>
      </c>
      <c r="B1665" s="7">
        <v>45142</v>
      </c>
      <c r="C1665" t="s">
        <v>12</v>
      </c>
      <c r="D1665">
        <v>199</v>
      </c>
      <c r="E1665">
        <v>22.8</v>
      </c>
      <c r="F1665">
        <v>8</v>
      </c>
      <c r="G1665">
        <v>0</v>
      </c>
      <c r="H1665">
        <v>22</v>
      </c>
      <c r="I1665">
        <v>41</v>
      </c>
      <c r="J1665" t="s">
        <v>11</v>
      </c>
      <c r="K1665">
        <f>IF(J1665="Yes", 1, 0)</f>
        <v>1</v>
      </c>
      <c r="L1665" t="str">
        <f>IF(G1665=0,"0 Failures","1+ Failures")</f>
        <v>0 Failures</v>
      </c>
      <c r="M1665" t="str">
        <f t="shared" si="77"/>
        <v>20+ hrs</v>
      </c>
      <c r="N1665" t="str">
        <f t="shared" si="75"/>
        <v>12+ months</v>
      </c>
      <c r="O1665" t="str">
        <f t="shared" si="76"/>
        <v>Basic</v>
      </c>
      <c r="P1665" s="7">
        <v>45657</v>
      </c>
    </row>
    <row r="1666" spans="1:16" x14ac:dyDescent="0.3">
      <c r="A1666">
        <v>1665</v>
      </c>
      <c r="B1666" s="7">
        <v>45161</v>
      </c>
      <c r="C1666" t="s">
        <v>14</v>
      </c>
      <c r="D1666">
        <v>399</v>
      </c>
      <c r="E1666">
        <v>5.4</v>
      </c>
      <c r="F1666">
        <v>2</v>
      </c>
      <c r="G1666">
        <v>4</v>
      </c>
      <c r="H1666">
        <v>35</v>
      </c>
      <c r="I1666">
        <v>25</v>
      </c>
      <c r="J1666" t="s">
        <v>13</v>
      </c>
      <c r="K1666">
        <f>IF(J1666="Yes", 1, 0)</f>
        <v>0</v>
      </c>
      <c r="L1666" t="str">
        <f>IF(G1666=0,"0 Failures","1+ Failures")</f>
        <v>1+ Failures</v>
      </c>
      <c r="M1666" t="str">
        <f t="shared" si="77"/>
        <v>5-10 hrs</v>
      </c>
      <c r="N1666" t="str">
        <f t="shared" si="75"/>
        <v>12+ months</v>
      </c>
      <c r="O1666" t="str">
        <f t="shared" si="76"/>
        <v>Basic</v>
      </c>
      <c r="P1666" s="7">
        <v>45657</v>
      </c>
    </row>
    <row r="1667" spans="1:16" x14ac:dyDescent="0.3">
      <c r="A1667">
        <v>1666</v>
      </c>
      <c r="B1667" s="7">
        <v>45181</v>
      </c>
      <c r="C1667" t="s">
        <v>14</v>
      </c>
      <c r="D1667">
        <v>399</v>
      </c>
      <c r="E1667">
        <v>22.8</v>
      </c>
      <c r="F1667">
        <v>5</v>
      </c>
      <c r="G1667">
        <v>3</v>
      </c>
      <c r="H1667">
        <v>11</v>
      </c>
      <c r="I1667">
        <v>13</v>
      </c>
      <c r="J1667" t="s">
        <v>13</v>
      </c>
      <c r="K1667">
        <f>IF(J1667="Yes", 1, 0)</f>
        <v>0</v>
      </c>
      <c r="L1667" t="str">
        <f>IF(G1667=0,"0 Failures","1+ Failures")</f>
        <v>1+ Failures</v>
      </c>
      <c r="M1667" t="str">
        <f t="shared" si="77"/>
        <v>20+ hrs</v>
      </c>
      <c r="N1667" t="str">
        <f t="shared" ref="N1667:N1730" si="78">IF(H1667&lt;=3, "0-3months", IF(H1667&lt;=6, "3-6months", IF(H1667&lt;=12, "6-12months", "12+ months")))</f>
        <v>6-12months</v>
      </c>
      <c r="O1667" t="str">
        <f t="shared" ref="O1667:O1730" si="79">IF(C1667="premium", "Premium", "Basic")</f>
        <v>Basic</v>
      </c>
      <c r="P1667" s="7">
        <v>45657</v>
      </c>
    </row>
    <row r="1668" spans="1:16" x14ac:dyDescent="0.3">
      <c r="A1668">
        <v>1667</v>
      </c>
      <c r="B1668" s="7">
        <v>45423</v>
      </c>
      <c r="C1668" t="s">
        <v>12</v>
      </c>
      <c r="D1668">
        <v>199</v>
      </c>
      <c r="E1668">
        <v>21.2</v>
      </c>
      <c r="F1668">
        <v>8</v>
      </c>
      <c r="G1668">
        <v>0</v>
      </c>
      <c r="H1668">
        <v>3</v>
      </c>
      <c r="I1668">
        <v>32</v>
      </c>
      <c r="J1668" t="s">
        <v>11</v>
      </c>
      <c r="K1668">
        <f>IF(J1668="Yes", 1, 0)</f>
        <v>1</v>
      </c>
      <c r="L1668" t="str">
        <f>IF(G1668=0,"0 Failures","1+ Failures")</f>
        <v>0 Failures</v>
      </c>
      <c r="M1668" t="str">
        <f t="shared" si="77"/>
        <v>20+ hrs</v>
      </c>
      <c r="N1668" t="str">
        <f t="shared" si="78"/>
        <v>0-3months</v>
      </c>
      <c r="O1668" t="str">
        <f t="shared" si="79"/>
        <v>Basic</v>
      </c>
      <c r="P1668" s="7">
        <v>45657</v>
      </c>
    </row>
    <row r="1669" spans="1:16" x14ac:dyDescent="0.3">
      <c r="A1669">
        <v>1668</v>
      </c>
      <c r="B1669" s="7">
        <v>45180</v>
      </c>
      <c r="C1669" t="s">
        <v>12</v>
      </c>
      <c r="D1669">
        <v>199</v>
      </c>
      <c r="E1669">
        <v>7.4</v>
      </c>
      <c r="F1669">
        <v>0</v>
      </c>
      <c r="G1669">
        <v>1</v>
      </c>
      <c r="H1669">
        <v>11</v>
      </c>
      <c r="I1669">
        <v>40</v>
      </c>
      <c r="J1669" t="s">
        <v>13</v>
      </c>
      <c r="K1669">
        <f>IF(J1669="Yes", 1, 0)</f>
        <v>0</v>
      </c>
      <c r="L1669" t="str">
        <f>IF(G1669=0,"0 Failures","1+ Failures")</f>
        <v>1+ Failures</v>
      </c>
      <c r="M1669" t="str">
        <f t="shared" si="77"/>
        <v>5-10 hrs</v>
      </c>
      <c r="N1669" t="str">
        <f t="shared" si="78"/>
        <v>6-12months</v>
      </c>
      <c r="O1669" t="str">
        <f t="shared" si="79"/>
        <v>Basic</v>
      </c>
      <c r="P1669" s="7">
        <v>45657</v>
      </c>
    </row>
    <row r="1670" spans="1:16" x14ac:dyDescent="0.3">
      <c r="A1670">
        <v>1669</v>
      </c>
      <c r="B1670" s="7">
        <v>45203</v>
      </c>
      <c r="C1670" t="s">
        <v>12</v>
      </c>
      <c r="D1670">
        <v>199</v>
      </c>
      <c r="E1670">
        <v>18.899999999999999</v>
      </c>
      <c r="F1670">
        <v>6</v>
      </c>
      <c r="G1670">
        <v>5</v>
      </c>
      <c r="H1670">
        <v>18</v>
      </c>
      <c r="I1670">
        <v>25</v>
      </c>
      <c r="J1670" t="s">
        <v>11</v>
      </c>
      <c r="K1670">
        <f>IF(J1670="Yes", 1, 0)</f>
        <v>1</v>
      </c>
      <c r="L1670" t="str">
        <f>IF(G1670=0,"0 Failures","1+ Failures")</f>
        <v>1+ Failures</v>
      </c>
      <c r="M1670" t="str">
        <f t="shared" si="77"/>
        <v>10-20hrs</v>
      </c>
      <c r="N1670" t="str">
        <f t="shared" si="78"/>
        <v>12+ months</v>
      </c>
      <c r="O1670" t="str">
        <f t="shared" si="79"/>
        <v>Basic</v>
      </c>
      <c r="P1670" s="7">
        <v>45657</v>
      </c>
    </row>
    <row r="1671" spans="1:16" x14ac:dyDescent="0.3">
      <c r="A1671">
        <v>1670</v>
      </c>
      <c r="B1671" s="7">
        <v>45481</v>
      </c>
      <c r="C1671" t="s">
        <v>12</v>
      </c>
      <c r="D1671">
        <v>199</v>
      </c>
      <c r="E1671">
        <v>2.2999999999999998</v>
      </c>
      <c r="F1671">
        <v>6</v>
      </c>
      <c r="G1671">
        <v>0</v>
      </c>
      <c r="H1671">
        <v>5</v>
      </c>
      <c r="I1671">
        <v>0</v>
      </c>
      <c r="J1671" t="s">
        <v>13</v>
      </c>
      <c r="K1671">
        <f>IF(J1671="Yes", 1, 0)</f>
        <v>0</v>
      </c>
      <c r="L1671" t="str">
        <f>IF(G1671=0,"0 Failures","1+ Failures")</f>
        <v>0 Failures</v>
      </c>
      <c r="M1671" t="str">
        <f t="shared" si="77"/>
        <v>0-5 hrs</v>
      </c>
      <c r="N1671" t="str">
        <f t="shared" si="78"/>
        <v>3-6months</v>
      </c>
      <c r="O1671" t="str">
        <f t="shared" si="79"/>
        <v>Basic</v>
      </c>
      <c r="P1671" s="7">
        <v>45657</v>
      </c>
    </row>
    <row r="1672" spans="1:16" x14ac:dyDescent="0.3">
      <c r="A1672">
        <v>1671</v>
      </c>
      <c r="B1672" s="7">
        <v>45246</v>
      </c>
      <c r="C1672" t="s">
        <v>10</v>
      </c>
      <c r="D1672">
        <v>699</v>
      </c>
      <c r="E1672">
        <v>2.8</v>
      </c>
      <c r="F1672">
        <v>6</v>
      </c>
      <c r="G1672">
        <v>1</v>
      </c>
      <c r="H1672">
        <v>10</v>
      </c>
      <c r="I1672">
        <v>53</v>
      </c>
      <c r="J1672" t="s">
        <v>11</v>
      </c>
      <c r="K1672">
        <f>IF(J1672="Yes", 1, 0)</f>
        <v>1</v>
      </c>
      <c r="L1672" t="str">
        <f>IF(G1672=0,"0 Failures","1+ Failures")</f>
        <v>1+ Failures</v>
      </c>
      <c r="M1672" t="str">
        <f t="shared" si="77"/>
        <v>0-5 hrs</v>
      </c>
      <c r="N1672" t="str">
        <f t="shared" si="78"/>
        <v>6-12months</v>
      </c>
      <c r="O1672" t="str">
        <f t="shared" si="79"/>
        <v>Premium</v>
      </c>
      <c r="P1672" s="7">
        <v>45657</v>
      </c>
    </row>
    <row r="1673" spans="1:16" x14ac:dyDescent="0.3">
      <c r="A1673">
        <v>1672</v>
      </c>
      <c r="B1673" s="7">
        <v>45029</v>
      </c>
      <c r="C1673" t="s">
        <v>14</v>
      </c>
      <c r="D1673">
        <v>399</v>
      </c>
      <c r="E1673">
        <v>13.1</v>
      </c>
      <c r="F1673">
        <v>0</v>
      </c>
      <c r="G1673">
        <v>2</v>
      </c>
      <c r="H1673">
        <v>28</v>
      </c>
      <c r="I1673">
        <v>17</v>
      </c>
      <c r="J1673" t="s">
        <v>13</v>
      </c>
      <c r="K1673">
        <f>IF(J1673="Yes", 1, 0)</f>
        <v>0</v>
      </c>
      <c r="L1673" t="str">
        <f>IF(G1673=0,"0 Failures","1+ Failures")</f>
        <v>1+ Failures</v>
      </c>
      <c r="M1673" t="str">
        <f t="shared" si="77"/>
        <v>10-20hrs</v>
      </c>
      <c r="N1673" t="str">
        <f t="shared" si="78"/>
        <v>12+ months</v>
      </c>
      <c r="O1673" t="str">
        <f t="shared" si="79"/>
        <v>Basic</v>
      </c>
      <c r="P1673" s="7">
        <v>45657</v>
      </c>
    </row>
    <row r="1674" spans="1:16" x14ac:dyDescent="0.3">
      <c r="A1674">
        <v>1673</v>
      </c>
      <c r="B1674" s="7">
        <v>45501</v>
      </c>
      <c r="C1674" t="s">
        <v>14</v>
      </c>
      <c r="D1674">
        <v>399</v>
      </c>
      <c r="E1674">
        <v>9.6999999999999993</v>
      </c>
      <c r="F1674">
        <v>6</v>
      </c>
      <c r="G1674">
        <v>0</v>
      </c>
      <c r="H1674">
        <v>31</v>
      </c>
      <c r="I1674">
        <v>14</v>
      </c>
      <c r="J1674" t="s">
        <v>13</v>
      </c>
      <c r="K1674">
        <f>IF(J1674="Yes", 1, 0)</f>
        <v>0</v>
      </c>
      <c r="L1674" t="str">
        <f>IF(G1674=0,"0 Failures","1+ Failures")</f>
        <v>0 Failures</v>
      </c>
      <c r="M1674" t="str">
        <f t="shared" si="77"/>
        <v>5-10 hrs</v>
      </c>
      <c r="N1674" t="str">
        <f t="shared" si="78"/>
        <v>12+ months</v>
      </c>
      <c r="O1674" t="str">
        <f t="shared" si="79"/>
        <v>Basic</v>
      </c>
      <c r="P1674" s="7">
        <v>45657</v>
      </c>
    </row>
    <row r="1675" spans="1:16" x14ac:dyDescent="0.3">
      <c r="A1675">
        <v>1674</v>
      </c>
      <c r="B1675" s="7">
        <v>45435</v>
      </c>
      <c r="C1675" t="s">
        <v>14</v>
      </c>
      <c r="D1675">
        <v>399</v>
      </c>
      <c r="E1675">
        <v>7.5</v>
      </c>
      <c r="F1675">
        <v>8</v>
      </c>
      <c r="G1675">
        <v>4</v>
      </c>
      <c r="H1675">
        <v>31</v>
      </c>
      <c r="I1675">
        <v>15</v>
      </c>
      <c r="J1675" t="s">
        <v>11</v>
      </c>
      <c r="K1675">
        <f>IF(J1675="Yes", 1, 0)</f>
        <v>1</v>
      </c>
      <c r="L1675" t="str">
        <f>IF(G1675=0,"0 Failures","1+ Failures")</f>
        <v>1+ Failures</v>
      </c>
      <c r="M1675" t="str">
        <f t="shared" ref="M1675:M1738" si="80">IF(E1675&lt;=5, "0-5 hrs",    IF(E1675&lt;=10, "5-10 hrs",    IF(E1675&lt;=20, "10-20hrs", "20+ hrs")))</f>
        <v>5-10 hrs</v>
      </c>
      <c r="N1675" t="str">
        <f t="shared" si="78"/>
        <v>12+ months</v>
      </c>
      <c r="O1675" t="str">
        <f t="shared" si="79"/>
        <v>Basic</v>
      </c>
      <c r="P1675" s="7">
        <v>45657</v>
      </c>
    </row>
    <row r="1676" spans="1:16" x14ac:dyDescent="0.3">
      <c r="A1676">
        <v>1675</v>
      </c>
      <c r="B1676" s="7">
        <v>45518</v>
      </c>
      <c r="C1676" t="s">
        <v>10</v>
      </c>
      <c r="D1676">
        <v>699</v>
      </c>
      <c r="E1676">
        <v>23.8</v>
      </c>
      <c r="F1676">
        <v>8</v>
      </c>
      <c r="G1676">
        <v>5</v>
      </c>
      <c r="H1676">
        <v>26</v>
      </c>
      <c r="I1676">
        <v>6</v>
      </c>
      <c r="J1676" t="s">
        <v>11</v>
      </c>
      <c r="K1676">
        <f>IF(J1676="Yes", 1, 0)</f>
        <v>1</v>
      </c>
      <c r="L1676" t="str">
        <f>IF(G1676=0,"0 Failures","1+ Failures")</f>
        <v>1+ Failures</v>
      </c>
      <c r="M1676" t="str">
        <f t="shared" si="80"/>
        <v>20+ hrs</v>
      </c>
      <c r="N1676" t="str">
        <f t="shared" si="78"/>
        <v>12+ months</v>
      </c>
      <c r="O1676" t="str">
        <f t="shared" si="79"/>
        <v>Premium</v>
      </c>
      <c r="P1676" s="7">
        <v>45657</v>
      </c>
    </row>
    <row r="1677" spans="1:16" x14ac:dyDescent="0.3">
      <c r="A1677">
        <v>1676</v>
      </c>
      <c r="B1677" s="7">
        <v>45585</v>
      </c>
      <c r="C1677" t="s">
        <v>12</v>
      </c>
      <c r="D1677">
        <v>199</v>
      </c>
      <c r="E1677">
        <v>19.399999999999999</v>
      </c>
      <c r="F1677">
        <v>7</v>
      </c>
      <c r="G1677">
        <v>2</v>
      </c>
      <c r="H1677">
        <v>26</v>
      </c>
      <c r="I1677">
        <v>30</v>
      </c>
      <c r="J1677" t="s">
        <v>11</v>
      </c>
      <c r="K1677">
        <f>IF(J1677="Yes", 1, 0)</f>
        <v>1</v>
      </c>
      <c r="L1677" t="str">
        <f>IF(G1677=0,"0 Failures","1+ Failures")</f>
        <v>1+ Failures</v>
      </c>
      <c r="M1677" t="str">
        <f t="shared" si="80"/>
        <v>10-20hrs</v>
      </c>
      <c r="N1677" t="str">
        <f t="shared" si="78"/>
        <v>12+ months</v>
      </c>
      <c r="O1677" t="str">
        <f t="shared" si="79"/>
        <v>Basic</v>
      </c>
      <c r="P1677" s="7">
        <v>45657</v>
      </c>
    </row>
    <row r="1678" spans="1:16" x14ac:dyDescent="0.3">
      <c r="A1678">
        <v>1677</v>
      </c>
      <c r="B1678" s="7">
        <v>45428</v>
      </c>
      <c r="C1678" t="s">
        <v>14</v>
      </c>
      <c r="D1678">
        <v>399</v>
      </c>
      <c r="E1678">
        <v>4</v>
      </c>
      <c r="F1678">
        <v>1</v>
      </c>
      <c r="G1678">
        <v>0</v>
      </c>
      <c r="H1678">
        <v>22</v>
      </c>
      <c r="I1678">
        <v>35</v>
      </c>
      <c r="J1678" t="s">
        <v>11</v>
      </c>
      <c r="K1678">
        <f>IF(J1678="Yes", 1, 0)</f>
        <v>1</v>
      </c>
      <c r="L1678" t="str">
        <f>IF(G1678=0,"0 Failures","1+ Failures")</f>
        <v>0 Failures</v>
      </c>
      <c r="M1678" t="str">
        <f t="shared" si="80"/>
        <v>0-5 hrs</v>
      </c>
      <c r="N1678" t="str">
        <f t="shared" si="78"/>
        <v>12+ months</v>
      </c>
      <c r="O1678" t="str">
        <f t="shared" si="79"/>
        <v>Basic</v>
      </c>
      <c r="P1678" s="7">
        <v>45657</v>
      </c>
    </row>
    <row r="1679" spans="1:16" x14ac:dyDescent="0.3">
      <c r="A1679">
        <v>1678</v>
      </c>
      <c r="B1679" s="7">
        <v>45507</v>
      </c>
      <c r="C1679" t="s">
        <v>10</v>
      </c>
      <c r="D1679">
        <v>699</v>
      </c>
      <c r="E1679">
        <v>2.6</v>
      </c>
      <c r="F1679">
        <v>6</v>
      </c>
      <c r="G1679">
        <v>4</v>
      </c>
      <c r="H1679">
        <v>16</v>
      </c>
      <c r="I1679">
        <v>53</v>
      </c>
      <c r="J1679" t="s">
        <v>11</v>
      </c>
      <c r="K1679">
        <f>IF(J1679="Yes", 1, 0)</f>
        <v>1</v>
      </c>
      <c r="L1679" t="str">
        <f>IF(G1679=0,"0 Failures","1+ Failures")</f>
        <v>1+ Failures</v>
      </c>
      <c r="M1679" t="str">
        <f t="shared" si="80"/>
        <v>0-5 hrs</v>
      </c>
      <c r="N1679" t="str">
        <f t="shared" si="78"/>
        <v>12+ months</v>
      </c>
      <c r="O1679" t="str">
        <f t="shared" si="79"/>
        <v>Premium</v>
      </c>
      <c r="P1679" s="7">
        <v>45657</v>
      </c>
    </row>
    <row r="1680" spans="1:16" x14ac:dyDescent="0.3">
      <c r="A1680">
        <v>1679</v>
      </c>
      <c r="B1680" s="7">
        <v>45081</v>
      </c>
      <c r="C1680" t="s">
        <v>12</v>
      </c>
      <c r="D1680">
        <v>199</v>
      </c>
      <c r="E1680">
        <v>19.3</v>
      </c>
      <c r="F1680">
        <v>4</v>
      </c>
      <c r="G1680">
        <v>3</v>
      </c>
      <c r="H1680">
        <v>4</v>
      </c>
      <c r="I1680">
        <v>19</v>
      </c>
      <c r="J1680" t="s">
        <v>13</v>
      </c>
      <c r="K1680">
        <f>IF(J1680="Yes", 1, 0)</f>
        <v>0</v>
      </c>
      <c r="L1680" t="str">
        <f>IF(G1680=0,"0 Failures","1+ Failures")</f>
        <v>1+ Failures</v>
      </c>
      <c r="M1680" t="str">
        <f t="shared" si="80"/>
        <v>10-20hrs</v>
      </c>
      <c r="N1680" t="str">
        <f t="shared" si="78"/>
        <v>3-6months</v>
      </c>
      <c r="O1680" t="str">
        <f t="shared" si="79"/>
        <v>Basic</v>
      </c>
      <c r="P1680" s="7">
        <v>45657</v>
      </c>
    </row>
    <row r="1681" spans="1:16" x14ac:dyDescent="0.3">
      <c r="A1681">
        <v>1680</v>
      </c>
      <c r="B1681" s="7">
        <v>45502</v>
      </c>
      <c r="C1681" t="s">
        <v>12</v>
      </c>
      <c r="D1681">
        <v>199</v>
      </c>
      <c r="E1681">
        <v>17.399999999999999</v>
      </c>
      <c r="F1681">
        <v>6</v>
      </c>
      <c r="G1681">
        <v>0</v>
      </c>
      <c r="H1681">
        <v>21</v>
      </c>
      <c r="I1681">
        <v>17</v>
      </c>
      <c r="J1681" t="s">
        <v>13</v>
      </c>
      <c r="K1681">
        <f>IF(J1681="Yes", 1, 0)</f>
        <v>0</v>
      </c>
      <c r="L1681" t="str">
        <f>IF(G1681=0,"0 Failures","1+ Failures")</f>
        <v>0 Failures</v>
      </c>
      <c r="M1681" t="str">
        <f t="shared" si="80"/>
        <v>10-20hrs</v>
      </c>
      <c r="N1681" t="str">
        <f t="shared" si="78"/>
        <v>12+ months</v>
      </c>
      <c r="O1681" t="str">
        <f t="shared" si="79"/>
        <v>Basic</v>
      </c>
      <c r="P1681" s="7">
        <v>45657</v>
      </c>
    </row>
    <row r="1682" spans="1:16" x14ac:dyDescent="0.3">
      <c r="A1682">
        <v>1681</v>
      </c>
      <c r="B1682" s="7">
        <v>45453</v>
      </c>
      <c r="C1682" t="s">
        <v>14</v>
      </c>
      <c r="D1682">
        <v>399</v>
      </c>
      <c r="E1682">
        <v>12.7</v>
      </c>
      <c r="F1682">
        <v>3</v>
      </c>
      <c r="G1682">
        <v>2</v>
      </c>
      <c r="H1682">
        <v>35</v>
      </c>
      <c r="I1682">
        <v>29</v>
      </c>
      <c r="J1682" t="s">
        <v>13</v>
      </c>
      <c r="K1682">
        <f>IF(J1682="Yes", 1, 0)</f>
        <v>0</v>
      </c>
      <c r="L1682" t="str">
        <f>IF(G1682=0,"0 Failures","1+ Failures")</f>
        <v>1+ Failures</v>
      </c>
      <c r="M1682" t="str">
        <f t="shared" si="80"/>
        <v>10-20hrs</v>
      </c>
      <c r="N1682" t="str">
        <f t="shared" si="78"/>
        <v>12+ months</v>
      </c>
      <c r="O1682" t="str">
        <f t="shared" si="79"/>
        <v>Basic</v>
      </c>
      <c r="P1682" s="7">
        <v>45657</v>
      </c>
    </row>
    <row r="1683" spans="1:16" x14ac:dyDescent="0.3">
      <c r="A1683">
        <v>1682</v>
      </c>
      <c r="B1683" s="7">
        <v>44940</v>
      </c>
      <c r="C1683" t="s">
        <v>10</v>
      </c>
      <c r="D1683">
        <v>699</v>
      </c>
      <c r="E1683">
        <v>23.1</v>
      </c>
      <c r="F1683">
        <v>6</v>
      </c>
      <c r="G1683">
        <v>5</v>
      </c>
      <c r="H1683">
        <v>6</v>
      </c>
      <c r="I1683">
        <v>4</v>
      </c>
      <c r="J1683" t="s">
        <v>11</v>
      </c>
      <c r="K1683">
        <f>IF(J1683="Yes", 1, 0)</f>
        <v>1</v>
      </c>
      <c r="L1683" t="str">
        <f>IF(G1683=0,"0 Failures","1+ Failures")</f>
        <v>1+ Failures</v>
      </c>
      <c r="M1683" t="str">
        <f t="shared" si="80"/>
        <v>20+ hrs</v>
      </c>
      <c r="N1683" t="str">
        <f t="shared" si="78"/>
        <v>3-6months</v>
      </c>
      <c r="O1683" t="str">
        <f t="shared" si="79"/>
        <v>Premium</v>
      </c>
      <c r="P1683" s="7">
        <v>45657</v>
      </c>
    </row>
    <row r="1684" spans="1:16" x14ac:dyDescent="0.3">
      <c r="A1684">
        <v>1683</v>
      </c>
      <c r="B1684" s="7">
        <v>45043</v>
      </c>
      <c r="C1684" t="s">
        <v>12</v>
      </c>
      <c r="D1684">
        <v>199</v>
      </c>
      <c r="E1684">
        <v>18.8</v>
      </c>
      <c r="F1684">
        <v>2</v>
      </c>
      <c r="G1684">
        <v>1</v>
      </c>
      <c r="H1684">
        <v>34</v>
      </c>
      <c r="I1684">
        <v>28</v>
      </c>
      <c r="J1684" t="s">
        <v>13</v>
      </c>
      <c r="K1684">
        <f>IF(J1684="Yes", 1, 0)</f>
        <v>0</v>
      </c>
      <c r="L1684" t="str">
        <f>IF(G1684=0,"0 Failures","1+ Failures")</f>
        <v>1+ Failures</v>
      </c>
      <c r="M1684" t="str">
        <f t="shared" si="80"/>
        <v>10-20hrs</v>
      </c>
      <c r="N1684" t="str">
        <f t="shared" si="78"/>
        <v>12+ months</v>
      </c>
      <c r="O1684" t="str">
        <f t="shared" si="79"/>
        <v>Basic</v>
      </c>
      <c r="P1684" s="7">
        <v>45657</v>
      </c>
    </row>
    <row r="1685" spans="1:16" x14ac:dyDescent="0.3">
      <c r="A1685">
        <v>1684</v>
      </c>
      <c r="B1685" s="7">
        <v>45487</v>
      </c>
      <c r="C1685" t="s">
        <v>12</v>
      </c>
      <c r="D1685">
        <v>199</v>
      </c>
      <c r="E1685">
        <v>12.6</v>
      </c>
      <c r="F1685">
        <v>8</v>
      </c>
      <c r="G1685">
        <v>3</v>
      </c>
      <c r="H1685">
        <v>28</v>
      </c>
      <c r="I1685">
        <v>8</v>
      </c>
      <c r="J1685" t="s">
        <v>13</v>
      </c>
      <c r="K1685">
        <f>IF(J1685="Yes", 1, 0)</f>
        <v>0</v>
      </c>
      <c r="L1685" t="str">
        <f>IF(G1685=0,"0 Failures","1+ Failures")</f>
        <v>1+ Failures</v>
      </c>
      <c r="M1685" t="str">
        <f t="shared" si="80"/>
        <v>10-20hrs</v>
      </c>
      <c r="N1685" t="str">
        <f t="shared" si="78"/>
        <v>12+ months</v>
      </c>
      <c r="O1685" t="str">
        <f t="shared" si="79"/>
        <v>Basic</v>
      </c>
      <c r="P1685" s="7">
        <v>45657</v>
      </c>
    </row>
    <row r="1686" spans="1:16" x14ac:dyDescent="0.3">
      <c r="A1686">
        <v>1685</v>
      </c>
      <c r="B1686" s="7">
        <v>45619</v>
      </c>
      <c r="C1686" t="s">
        <v>14</v>
      </c>
      <c r="D1686">
        <v>399</v>
      </c>
      <c r="E1686">
        <v>0.7</v>
      </c>
      <c r="F1686">
        <v>1</v>
      </c>
      <c r="G1686">
        <v>3</v>
      </c>
      <c r="H1686">
        <v>26</v>
      </c>
      <c r="I1686">
        <v>18</v>
      </c>
      <c r="J1686" t="s">
        <v>13</v>
      </c>
      <c r="K1686">
        <f>IF(J1686="Yes", 1, 0)</f>
        <v>0</v>
      </c>
      <c r="L1686" t="str">
        <f>IF(G1686=0,"0 Failures","1+ Failures")</f>
        <v>1+ Failures</v>
      </c>
      <c r="M1686" t="str">
        <f t="shared" si="80"/>
        <v>0-5 hrs</v>
      </c>
      <c r="N1686" t="str">
        <f t="shared" si="78"/>
        <v>12+ months</v>
      </c>
      <c r="O1686" t="str">
        <f t="shared" si="79"/>
        <v>Basic</v>
      </c>
      <c r="P1686" s="7">
        <v>45657</v>
      </c>
    </row>
    <row r="1687" spans="1:16" x14ac:dyDescent="0.3">
      <c r="A1687">
        <v>1686</v>
      </c>
      <c r="B1687" s="7">
        <v>45224</v>
      </c>
      <c r="C1687" t="s">
        <v>14</v>
      </c>
      <c r="D1687">
        <v>399</v>
      </c>
      <c r="E1687">
        <v>8.4</v>
      </c>
      <c r="F1687">
        <v>5</v>
      </c>
      <c r="G1687">
        <v>4</v>
      </c>
      <c r="H1687">
        <v>34</v>
      </c>
      <c r="I1687">
        <v>41</v>
      </c>
      <c r="J1687" t="s">
        <v>11</v>
      </c>
      <c r="K1687">
        <f>IF(J1687="Yes", 1, 0)</f>
        <v>1</v>
      </c>
      <c r="L1687" t="str">
        <f>IF(G1687=0,"0 Failures","1+ Failures")</f>
        <v>1+ Failures</v>
      </c>
      <c r="M1687" t="str">
        <f t="shared" si="80"/>
        <v>5-10 hrs</v>
      </c>
      <c r="N1687" t="str">
        <f t="shared" si="78"/>
        <v>12+ months</v>
      </c>
      <c r="O1687" t="str">
        <f t="shared" si="79"/>
        <v>Basic</v>
      </c>
      <c r="P1687" s="7">
        <v>45657</v>
      </c>
    </row>
    <row r="1688" spans="1:16" x14ac:dyDescent="0.3">
      <c r="A1688">
        <v>1687</v>
      </c>
      <c r="B1688" s="7">
        <v>45400</v>
      </c>
      <c r="C1688" t="s">
        <v>10</v>
      </c>
      <c r="D1688">
        <v>699</v>
      </c>
      <c r="E1688">
        <v>20.2</v>
      </c>
      <c r="F1688">
        <v>5</v>
      </c>
      <c r="G1688">
        <v>4</v>
      </c>
      <c r="H1688">
        <v>14</v>
      </c>
      <c r="I1688">
        <v>38</v>
      </c>
      <c r="J1688" t="s">
        <v>11</v>
      </c>
      <c r="K1688">
        <f>IF(J1688="Yes", 1, 0)</f>
        <v>1</v>
      </c>
      <c r="L1688" t="str">
        <f>IF(G1688=0,"0 Failures","1+ Failures")</f>
        <v>1+ Failures</v>
      </c>
      <c r="M1688" t="str">
        <f t="shared" si="80"/>
        <v>20+ hrs</v>
      </c>
      <c r="N1688" t="str">
        <f t="shared" si="78"/>
        <v>12+ months</v>
      </c>
      <c r="O1688" t="str">
        <f t="shared" si="79"/>
        <v>Premium</v>
      </c>
      <c r="P1688" s="7">
        <v>45657</v>
      </c>
    </row>
    <row r="1689" spans="1:16" x14ac:dyDescent="0.3">
      <c r="A1689">
        <v>1688</v>
      </c>
      <c r="B1689" s="7">
        <v>45412</v>
      </c>
      <c r="C1689" t="s">
        <v>12</v>
      </c>
      <c r="D1689">
        <v>199</v>
      </c>
      <c r="E1689">
        <v>23.2</v>
      </c>
      <c r="F1689">
        <v>2</v>
      </c>
      <c r="G1689">
        <v>1</v>
      </c>
      <c r="H1689">
        <v>22</v>
      </c>
      <c r="I1689">
        <v>33</v>
      </c>
      <c r="J1689" t="s">
        <v>13</v>
      </c>
      <c r="K1689">
        <f>IF(J1689="Yes", 1, 0)</f>
        <v>0</v>
      </c>
      <c r="L1689" t="str">
        <f>IF(G1689=0,"0 Failures","1+ Failures")</f>
        <v>1+ Failures</v>
      </c>
      <c r="M1689" t="str">
        <f t="shared" si="80"/>
        <v>20+ hrs</v>
      </c>
      <c r="N1689" t="str">
        <f t="shared" si="78"/>
        <v>12+ months</v>
      </c>
      <c r="O1689" t="str">
        <f t="shared" si="79"/>
        <v>Basic</v>
      </c>
      <c r="P1689" s="7">
        <v>45657</v>
      </c>
    </row>
    <row r="1690" spans="1:16" x14ac:dyDescent="0.3">
      <c r="A1690">
        <v>1689</v>
      </c>
      <c r="B1690" s="7">
        <v>44932</v>
      </c>
      <c r="C1690" t="s">
        <v>12</v>
      </c>
      <c r="D1690">
        <v>199</v>
      </c>
      <c r="E1690">
        <v>10.7</v>
      </c>
      <c r="F1690">
        <v>2</v>
      </c>
      <c r="G1690">
        <v>3</v>
      </c>
      <c r="H1690">
        <v>21</v>
      </c>
      <c r="I1690">
        <v>4</v>
      </c>
      <c r="J1690" t="s">
        <v>13</v>
      </c>
      <c r="K1690">
        <f>IF(J1690="Yes", 1, 0)</f>
        <v>0</v>
      </c>
      <c r="L1690" t="str">
        <f>IF(G1690=0,"0 Failures","1+ Failures")</f>
        <v>1+ Failures</v>
      </c>
      <c r="M1690" t="str">
        <f t="shared" si="80"/>
        <v>10-20hrs</v>
      </c>
      <c r="N1690" t="str">
        <f t="shared" si="78"/>
        <v>12+ months</v>
      </c>
      <c r="O1690" t="str">
        <f t="shared" si="79"/>
        <v>Basic</v>
      </c>
      <c r="P1690" s="7">
        <v>45657</v>
      </c>
    </row>
    <row r="1691" spans="1:16" x14ac:dyDescent="0.3">
      <c r="A1691">
        <v>1690</v>
      </c>
      <c r="B1691" s="7">
        <v>44989</v>
      </c>
      <c r="C1691" t="s">
        <v>14</v>
      </c>
      <c r="D1691">
        <v>399</v>
      </c>
      <c r="E1691">
        <v>5.4</v>
      </c>
      <c r="F1691">
        <v>1</v>
      </c>
      <c r="G1691">
        <v>4</v>
      </c>
      <c r="H1691">
        <v>13</v>
      </c>
      <c r="I1691">
        <v>29</v>
      </c>
      <c r="J1691" t="s">
        <v>11</v>
      </c>
      <c r="K1691">
        <f>IF(J1691="Yes", 1, 0)</f>
        <v>1</v>
      </c>
      <c r="L1691" t="str">
        <f>IF(G1691=0,"0 Failures","1+ Failures")</f>
        <v>1+ Failures</v>
      </c>
      <c r="M1691" t="str">
        <f t="shared" si="80"/>
        <v>5-10 hrs</v>
      </c>
      <c r="N1691" t="str">
        <f t="shared" si="78"/>
        <v>12+ months</v>
      </c>
      <c r="O1691" t="str">
        <f t="shared" si="79"/>
        <v>Basic</v>
      </c>
      <c r="P1691" s="7">
        <v>45657</v>
      </c>
    </row>
    <row r="1692" spans="1:16" x14ac:dyDescent="0.3">
      <c r="A1692">
        <v>1691</v>
      </c>
      <c r="B1692" s="7">
        <v>45158</v>
      </c>
      <c r="C1692" t="s">
        <v>10</v>
      </c>
      <c r="D1692">
        <v>699</v>
      </c>
      <c r="E1692">
        <v>15.1</v>
      </c>
      <c r="F1692">
        <v>1</v>
      </c>
      <c r="G1692">
        <v>2</v>
      </c>
      <c r="H1692">
        <v>30</v>
      </c>
      <c r="I1692">
        <v>40</v>
      </c>
      <c r="J1692" t="s">
        <v>11</v>
      </c>
      <c r="K1692">
        <f>IF(J1692="Yes", 1, 0)</f>
        <v>1</v>
      </c>
      <c r="L1692" t="str">
        <f>IF(G1692=0,"0 Failures","1+ Failures")</f>
        <v>1+ Failures</v>
      </c>
      <c r="M1692" t="str">
        <f t="shared" si="80"/>
        <v>10-20hrs</v>
      </c>
      <c r="N1692" t="str">
        <f t="shared" si="78"/>
        <v>12+ months</v>
      </c>
      <c r="O1692" t="str">
        <f t="shared" si="79"/>
        <v>Premium</v>
      </c>
      <c r="P1692" s="7">
        <v>45657</v>
      </c>
    </row>
    <row r="1693" spans="1:16" x14ac:dyDescent="0.3">
      <c r="A1693">
        <v>1692</v>
      </c>
      <c r="B1693" s="7">
        <v>45363</v>
      </c>
      <c r="C1693" t="s">
        <v>14</v>
      </c>
      <c r="D1693">
        <v>399</v>
      </c>
      <c r="E1693">
        <v>23.2</v>
      </c>
      <c r="F1693">
        <v>4</v>
      </c>
      <c r="G1693">
        <v>2</v>
      </c>
      <c r="H1693">
        <v>1</v>
      </c>
      <c r="I1693">
        <v>52</v>
      </c>
      <c r="J1693" t="s">
        <v>13</v>
      </c>
      <c r="K1693">
        <f>IF(J1693="Yes", 1, 0)</f>
        <v>0</v>
      </c>
      <c r="L1693" t="str">
        <f>IF(G1693=0,"0 Failures","1+ Failures")</f>
        <v>1+ Failures</v>
      </c>
      <c r="M1693" t="str">
        <f t="shared" si="80"/>
        <v>20+ hrs</v>
      </c>
      <c r="N1693" t="str">
        <f t="shared" si="78"/>
        <v>0-3months</v>
      </c>
      <c r="O1693" t="str">
        <f t="shared" si="79"/>
        <v>Basic</v>
      </c>
      <c r="P1693" s="7">
        <v>45657</v>
      </c>
    </row>
    <row r="1694" spans="1:16" x14ac:dyDescent="0.3">
      <c r="A1694">
        <v>1693</v>
      </c>
      <c r="B1694" s="7">
        <v>45602</v>
      </c>
      <c r="C1694" t="s">
        <v>10</v>
      </c>
      <c r="D1694">
        <v>699</v>
      </c>
      <c r="E1694">
        <v>9.5</v>
      </c>
      <c r="F1694">
        <v>6</v>
      </c>
      <c r="G1694">
        <v>2</v>
      </c>
      <c r="H1694">
        <v>20</v>
      </c>
      <c r="I1694">
        <v>35</v>
      </c>
      <c r="J1694" t="s">
        <v>11</v>
      </c>
      <c r="K1694">
        <f>IF(J1694="Yes", 1, 0)</f>
        <v>1</v>
      </c>
      <c r="L1694" t="str">
        <f>IF(G1694=0,"0 Failures","1+ Failures")</f>
        <v>1+ Failures</v>
      </c>
      <c r="M1694" t="str">
        <f t="shared" si="80"/>
        <v>5-10 hrs</v>
      </c>
      <c r="N1694" t="str">
        <f t="shared" si="78"/>
        <v>12+ months</v>
      </c>
      <c r="O1694" t="str">
        <f t="shared" si="79"/>
        <v>Premium</v>
      </c>
      <c r="P1694" s="7">
        <v>45657</v>
      </c>
    </row>
    <row r="1695" spans="1:16" x14ac:dyDescent="0.3">
      <c r="A1695">
        <v>1694</v>
      </c>
      <c r="B1695" s="7">
        <v>45196</v>
      </c>
      <c r="C1695" t="s">
        <v>12</v>
      </c>
      <c r="D1695">
        <v>199</v>
      </c>
      <c r="E1695">
        <v>15</v>
      </c>
      <c r="F1695">
        <v>1</v>
      </c>
      <c r="G1695">
        <v>5</v>
      </c>
      <c r="H1695">
        <v>5</v>
      </c>
      <c r="I1695">
        <v>13</v>
      </c>
      <c r="J1695" t="s">
        <v>11</v>
      </c>
      <c r="K1695">
        <f>IF(J1695="Yes", 1, 0)</f>
        <v>1</v>
      </c>
      <c r="L1695" t="str">
        <f>IF(G1695=0,"0 Failures","1+ Failures")</f>
        <v>1+ Failures</v>
      </c>
      <c r="M1695" t="str">
        <f t="shared" si="80"/>
        <v>10-20hrs</v>
      </c>
      <c r="N1695" t="str">
        <f t="shared" si="78"/>
        <v>3-6months</v>
      </c>
      <c r="O1695" t="str">
        <f t="shared" si="79"/>
        <v>Basic</v>
      </c>
      <c r="P1695" s="7">
        <v>45657</v>
      </c>
    </row>
    <row r="1696" spans="1:16" x14ac:dyDescent="0.3">
      <c r="A1696">
        <v>1695</v>
      </c>
      <c r="B1696" s="7">
        <v>45265</v>
      </c>
      <c r="C1696" t="s">
        <v>10</v>
      </c>
      <c r="D1696">
        <v>699</v>
      </c>
      <c r="E1696">
        <v>3.6</v>
      </c>
      <c r="F1696">
        <v>8</v>
      </c>
      <c r="G1696">
        <v>4</v>
      </c>
      <c r="H1696">
        <v>7</v>
      </c>
      <c r="I1696">
        <v>41</v>
      </c>
      <c r="J1696" t="s">
        <v>11</v>
      </c>
      <c r="K1696">
        <f>IF(J1696="Yes", 1, 0)</f>
        <v>1</v>
      </c>
      <c r="L1696" t="str">
        <f>IF(G1696=0,"0 Failures","1+ Failures")</f>
        <v>1+ Failures</v>
      </c>
      <c r="M1696" t="str">
        <f t="shared" si="80"/>
        <v>0-5 hrs</v>
      </c>
      <c r="N1696" t="str">
        <f t="shared" si="78"/>
        <v>6-12months</v>
      </c>
      <c r="O1696" t="str">
        <f t="shared" si="79"/>
        <v>Premium</v>
      </c>
      <c r="P1696" s="7">
        <v>45657</v>
      </c>
    </row>
    <row r="1697" spans="1:16" x14ac:dyDescent="0.3">
      <c r="A1697">
        <v>1696</v>
      </c>
      <c r="B1697" s="7">
        <v>45164</v>
      </c>
      <c r="C1697" t="s">
        <v>10</v>
      </c>
      <c r="D1697">
        <v>699</v>
      </c>
      <c r="E1697">
        <v>24.2</v>
      </c>
      <c r="F1697">
        <v>7</v>
      </c>
      <c r="G1697">
        <v>1</v>
      </c>
      <c r="H1697">
        <v>18</v>
      </c>
      <c r="I1697">
        <v>10</v>
      </c>
      <c r="J1697" t="s">
        <v>11</v>
      </c>
      <c r="K1697">
        <f>IF(J1697="Yes", 1, 0)</f>
        <v>1</v>
      </c>
      <c r="L1697" t="str">
        <f>IF(G1697=0,"0 Failures","1+ Failures")</f>
        <v>1+ Failures</v>
      </c>
      <c r="M1697" t="str">
        <f t="shared" si="80"/>
        <v>20+ hrs</v>
      </c>
      <c r="N1697" t="str">
        <f t="shared" si="78"/>
        <v>12+ months</v>
      </c>
      <c r="O1697" t="str">
        <f t="shared" si="79"/>
        <v>Premium</v>
      </c>
      <c r="P1697" s="7">
        <v>45657</v>
      </c>
    </row>
    <row r="1698" spans="1:16" x14ac:dyDescent="0.3">
      <c r="A1698">
        <v>1697</v>
      </c>
      <c r="B1698" s="7">
        <v>44927</v>
      </c>
      <c r="C1698" t="s">
        <v>12</v>
      </c>
      <c r="D1698">
        <v>199</v>
      </c>
      <c r="E1698">
        <v>23.3</v>
      </c>
      <c r="F1698">
        <v>2</v>
      </c>
      <c r="G1698">
        <v>1</v>
      </c>
      <c r="H1698">
        <v>6</v>
      </c>
      <c r="I1698">
        <v>10</v>
      </c>
      <c r="J1698" t="s">
        <v>13</v>
      </c>
      <c r="K1698">
        <f>IF(J1698="Yes", 1, 0)</f>
        <v>0</v>
      </c>
      <c r="L1698" t="str">
        <f>IF(G1698=0,"0 Failures","1+ Failures")</f>
        <v>1+ Failures</v>
      </c>
      <c r="M1698" t="str">
        <f t="shared" si="80"/>
        <v>20+ hrs</v>
      </c>
      <c r="N1698" t="str">
        <f t="shared" si="78"/>
        <v>3-6months</v>
      </c>
      <c r="O1698" t="str">
        <f t="shared" si="79"/>
        <v>Basic</v>
      </c>
      <c r="P1698" s="7">
        <v>45657</v>
      </c>
    </row>
    <row r="1699" spans="1:16" x14ac:dyDescent="0.3">
      <c r="A1699">
        <v>1698</v>
      </c>
      <c r="B1699" s="7">
        <v>45362</v>
      </c>
      <c r="C1699" t="s">
        <v>14</v>
      </c>
      <c r="D1699">
        <v>399</v>
      </c>
      <c r="E1699">
        <v>22.5</v>
      </c>
      <c r="F1699">
        <v>0</v>
      </c>
      <c r="G1699">
        <v>1</v>
      </c>
      <c r="H1699">
        <v>5</v>
      </c>
      <c r="I1699">
        <v>32</v>
      </c>
      <c r="J1699" t="s">
        <v>13</v>
      </c>
      <c r="K1699">
        <f>IF(J1699="Yes", 1, 0)</f>
        <v>0</v>
      </c>
      <c r="L1699" t="str">
        <f>IF(G1699=0,"0 Failures","1+ Failures")</f>
        <v>1+ Failures</v>
      </c>
      <c r="M1699" t="str">
        <f t="shared" si="80"/>
        <v>20+ hrs</v>
      </c>
      <c r="N1699" t="str">
        <f t="shared" si="78"/>
        <v>3-6months</v>
      </c>
      <c r="O1699" t="str">
        <f t="shared" si="79"/>
        <v>Basic</v>
      </c>
      <c r="P1699" s="7">
        <v>45657</v>
      </c>
    </row>
    <row r="1700" spans="1:16" x14ac:dyDescent="0.3">
      <c r="A1700">
        <v>1699</v>
      </c>
      <c r="B1700" s="7">
        <v>45313</v>
      </c>
      <c r="C1700" t="s">
        <v>10</v>
      </c>
      <c r="D1700">
        <v>699</v>
      </c>
      <c r="E1700">
        <v>8.5</v>
      </c>
      <c r="F1700">
        <v>8</v>
      </c>
      <c r="G1700">
        <v>0</v>
      </c>
      <c r="H1700">
        <v>31</v>
      </c>
      <c r="I1700">
        <v>15</v>
      </c>
      <c r="J1700" t="s">
        <v>13</v>
      </c>
      <c r="K1700">
        <f>IF(J1700="Yes", 1, 0)</f>
        <v>0</v>
      </c>
      <c r="L1700" t="str">
        <f>IF(G1700=0,"0 Failures","1+ Failures")</f>
        <v>0 Failures</v>
      </c>
      <c r="M1700" t="str">
        <f t="shared" si="80"/>
        <v>5-10 hrs</v>
      </c>
      <c r="N1700" t="str">
        <f t="shared" si="78"/>
        <v>12+ months</v>
      </c>
      <c r="O1700" t="str">
        <f t="shared" si="79"/>
        <v>Premium</v>
      </c>
      <c r="P1700" s="7">
        <v>45657</v>
      </c>
    </row>
    <row r="1701" spans="1:16" x14ac:dyDescent="0.3">
      <c r="A1701">
        <v>1700</v>
      </c>
      <c r="B1701" s="7">
        <v>45546</v>
      </c>
      <c r="C1701" t="s">
        <v>14</v>
      </c>
      <c r="D1701">
        <v>399</v>
      </c>
      <c r="E1701">
        <v>9.1999999999999993</v>
      </c>
      <c r="F1701">
        <v>8</v>
      </c>
      <c r="G1701">
        <v>2</v>
      </c>
      <c r="H1701">
        <v>31</v>
      </c>
      <c r="I1701">
        <v>33</v>
      </c>
      <c r="J1701" t="s">
        <v>11</v>
      </c>
      <c r="K1701">
        <f>IF(J1701="Yes", 1, 0)</f>
        <v>1</v>
      </c>
      <c r="L1701" t="str">
        <f>IF(G1701=0,"0 Failures","1+ Failures")</f>
        <v>1+ Failures</v>
      </c>
      <c r="M1701" t="str">
        <f t="shared" si="80"/>
        <v>5-10 hrs</v>
      </c>
      <c r="N1701" t="str">
        <f t="shared" si="78"/>
        <v>12+ months</v>
      </c>
      <c r="O1701" t="str">
        <f t="shared" si="79"/>
        <v>Basic</v>
      </c>
      <c r="P1701" s="7">
        <v>45657</v>
      </c>
    </row>
    <row r="1702" spans="1:16" x14ac:dyDescent="0.3">
      <c r="A1702">
        <v>1701</v>
      </c>
      <c r="B1702" s="7">
        <v>45500</v>
      </c>
      <c r="C1702" t="s">
        <v>12</v>
      </c>
      <c r="D1702">
        <v>199</v>
      </c>
      <c r="E1702">
        <v>23.7</v>
      </c>
      <c r="F1702">
        <v>4</v>
      </c>
      <c r="G1702">
        <v>5</v>
      </c>
      <c r="H1702">
        <v>11</v>
      </c>
      <c r="I1702">
        <v>9</v>
      </c>
      <c r="J1702" t="s">
        <v>13</v>
      </c>
      <c r="K1702">
        <f>IF(J1702="Yes", 1, 0)</f>
        <v>0</v>
      </c>
      <c r="L1702" t="str">
        <f>IF(G1702=0,"0 Failures","1+ Failures")</f>
        <v>1+ Failures</v>
      </c>
      <c r="M1702" t="str">
        <f t="shared" si="80"/>
        <v>20+ hrs</v>
      </c>
      <c r="N1702" t="str">
        <f t="shared" si="78"/>
        <v>6-12months</v>
      </c>
      <c r="O1702" t="str">
        <f t="shared" si="79"/>
        <v>Basic</v>
      </c>
      <c r="P1702" s="7">
        <v>45657</v>
      </c>
    </row>
    <row r="1703" spans="1:16" x14ac:dyDescent="0.3">
      <c r="A1703">
        <v>1702</v>
      </c>
      <c r="B1703" s="7">
        <v>45372</v>
      </c>
      <c r="C1703" t="s">
        <v>14</v>
      </c>
      <c r="D1703">
        <v>399</v>
      </c>
      <c r="E1703">
        <v>17.5</v>
      </c>
      <c r="F1703">
        <v>4</v>
      </c>
      <c r="G1703">
        <v>5</v>
      </c>
      <c r="H1703">
        <v>32</v>
      </c>
      <c r="I1703">
        <v>7</v>
      </c>
      <c r="J1703" t="s">
        <v>13</v>
      </c>
      <c r="K1703">
        <f>IF(J1703="Yes", 1, 0)</f>
        <v>0</v>
      </c>
      <c r="L1703" t="str">
        <f>IF(G1703=0,"0 Failures","1+ Failures")</f>
        <v>1+ Failures</v>
      </c>
      <c r="M1703" t="str">
        <f t="shared" si="80"/>
        <v>10-20hrs</v>
      </c>
      <c r="N1703" t="str">
        <f t="shared" si="78"/>
        <v>12+ months</v>
      </c>
      <c r="O1703" t="str">
        <f t="shared" si="79"/>
        <v>Basic</v>
      </c>
      <c r="P1703" s="7">
        <v>45657</v>
      </c>
    </row>
    <row r="1704" spans="1:16" x14ac:dyDescent="0.3">
      <c r="A1704">
        <v>1703</v>
      </c>
      <c r="B1704" s="7">
        <v>45361</v>
      </c>
      <c r="C1704" t="s">
        <v>10</v>
      </c>
      <c r="D1704">
        <v>699</v>
      </c>
      <c r="E1704">
        <v>4.9000000000000004</v>
      </c>
      <c r="F1704">
        <v>5</v>
      </c>
      <c r="G1704">
        <v>3</v>
      </c>
      <c r="H1704">
        <v>23</v>
      </c>
      <c r="I1704">
        <v>49</v>
      </c>
      <c r="J1704" t="s">
        <v>11</v>
      </c>
      <c r="K1704">
        <f>IF(J1704="Yes", 1, 0)</f>
        <v>1</v>
      </c>
      <c r="L1704" t="str">
        <f>IF(G1704=0,"0 Failures","1+ Failures")</f>
        <v>1+ Failures</v>
      </c>
      <c r="M1704" t="str">
        <f t="shared" si="80"/>
        <v>0-5 hrs</v>
      </c>
      <c r="N1704" t="str">
        <f t="shared" si="78"/>
        <v>12+ months</v>
      </c>
      <c r="O1704" t="str">
        <f t="shared" si="79"/>
        <v>Premium</v>
      </c>
      <c r="P1704" s="7">
        <v>45657</v>
      </c>
    </row>
    <row r="1705" spans="1:16" x14ac:dyDescent="0.3">
      <c r="A1705">
        <v>1704</v>
      </c>
      <c r="B1705" s="7">
        <v>44937</v>
      </c>
      <c r="C1705" t="s">
        <v>12</v>
      </c>
      <c r="D1705">
        <v>199</v>
      </c>
      <c r="E1705">
        <v>22</v>
      </c>
      <c r="F1705">
        <v>3</v>
      </c>
      <c r="G1705">
        <v>3</v>
      </c>
      <c r="H1705">
        <v>36</v>
      </c>
      <c r="I1705">
        <v>23</v>
      </c>
      <c r="J1705" t="s">
        <v>11</v>
      </c>
      <c r="K1705">
        <f>IF(J1705="Yes", 1, 0)</f>
        <v>1</v>
      </c>
      <c r="L1705" t="str">
        <f>IF(G1705=0,"0 Failures","1+ Failures")</f>
        <v>1+ Failures</v>
      </c>
      <c r="M1705" t="str">
        <f t="shared" si="80"/>
        <v>20+ hrs</v>
      </c>
      <c r="N1705" t="str">
        <f t="shared" si="78"/>
        <v>12+ months</v>
      </c>
      <c r="O1705" t="str">
        <f t="shared" si="79"/>
        <v>Basic</v>
      </c>
      <c r="P1705" s="7">
        <v>45657</v>
      </c>
    </row>
    <row r="1706" spans="1:16" x14ac:dyDescent="0.3">
      <c r="A1706">
        <v>1705</v>
      </c>
      <c r="B1706" s="7">
        <v>45023</v>
      </c>
      <c r="C1706" t="s">
        <v>12</v>
      </c>
      <c r="D1706">
        <v>199</v>
      </c>
      <c r="E1706">
        <v>9.3000000000000007</v>
      </c>
      <c r="F1706">
        <v>3</v>
      </c>
      <c r="G1706">
        <v>0</v>
      </c>
      <c r="H1706">
        <v>29</v>
      </c>
      <c r="I1706">
        <v>37</v>
      </c>
      <c r="J1706" t="s">
        <v>11</v>
      </c>
      <c r="K1706">
        <f>IF(J1706="Yes", 1, 0)</f>
        <v>1</v>
      </c>
      <c r="L1706" t="str">
        <f>IF(G1706=0,"0 Failures","1+ Failures")</f>
        <v>0 Failures</v>
      </c>
      <c r="M1706" t="str">
        <f t="shared" si="80"/>
        <v>5-10 hrs</v>
      </c>
      <c r="N1706" t="str">
        <f t="shared" si="78"/>
        <v>12+ months</v>
      </c>
      <c r="O1706" t="str">
        <f t="shared" si="79"/>
        <v>Basic</v>
      </c>
      <c r="P1706" s="7">
        <v>45657</v>
      </c>
    </row>
    <row r="1707" spans="1:16" x14ac:dyDescent="0.3">
      <c r="A1707">
        <v>1706</v>
      </c>
      <c r="B1707" s="7">
        <v>45208</v>
      </c>
      <c r="C1707" t="s">
        <v>14</v>
      </c>
      <c r="D1707">
        <v>399</v>
      </c>
      <c r="E1707">
        <v>12.8</v>
      </c>
      <c r="F1707">
        <v>0</v>
      </c>
      <c r="G1707">
        <v>4</v>
      </c>
      <c r="H1707">
        <v>17</v>
      </c>
      <c r="I1707">
        <v>17</v>
      </c>
      <c r="J1707" t="s">
        <v>11</v>
      </c>
      <c r="K1707">
        <f>IF(J1707="Yes", 1, 0)</f>
        <v>1</v>
      </c>
      <c r="L1707" t="str">
        <f>IF(G1707=0,"0 Failures","1+ Failures")</f>
        <v>1+ Failures</v>
      </c>
      <c r="M1707" t="str">
        <f t="shared" si="80"/>
        <v>10-20hrs</v>
      </c>
      <c r="N1707" t="str">
        <f t="shared" si="78"/>
        <v>12+ months</v>
      </c>
      <c r="O1707" t="str">
        <f t="shared" si="79"/>
        <v>Basic</v>
      </c>
      <c r="P1707" s="7">
        <v>45657</v>
      </c>
    </row>
    <row r="1708" spans="1:16" x14ac:dyDescent="0.3">
      <c r="A1708">
        <v>1707</v>
      </c>
      <c r="B1708" s="7">
        <v>45512</v>
      </c>
      <c r="C1708" t="s">
        <v>10</v>
      </c>
      <c r="D1708">
        <v>699</v>
      </c>
      <c r="E1708">
        <v>10.3</v>
      </c>
      <c r="F1708">
        <v>4</v>
      </c>
      <c r="G1708">
        <v>2</v>
      </c>
      <c r="H1708">
        <v>31</v>
      </c>
      <c r="I1708">
        <v>40</v>
      </c>
      <c r="J1708" t="s">
        <v>11</v>
      </c>
      <c r="K1708">
        <f>IF(J1708="Yes", 1, 0)</f>
        <v>1</v>
      </c>
      <c r="L1708" t="str">
        <f>IF(G1708=0,"0 Failures","1+ Failures")</f>
        <v>1+ Failures</v>
      </c>
      <c r="M1708" t="str">
        <f t="shared" si="80"/>
        <v>10-20hrs</v>
      </c>
      <c r="N1708" t="str">
        <f t="shared" si="78"/>
        <v>12+ months</v>
      </c>
      <c r="O1708" t="str">
        <f t="shared" si="79"/>
        <v>Premium</v>
      </c>
      <c r="P1708" s="7">
        <v>45657</v>
      </c>
    </row>
    <row r="1709" spans="1:16" x14ac:dyDescent="0.3">
      <c r="A1709">
        <v>1708</v>
      </c>
      <c r="B1709" s="7">
        <v>45590</v>
      </c>
      <c r="C1709" t="s">
        <v>12</v>
      </c>
      <c r="D1709">
        <v>199</v>
      </c>
      <c r="E1709">
        <v>24.9</v>
      </c>
      <c r="F1709">
        <v>7</v>
      </c>
      <c r="G1709">
        <v>3</v>
      </c>
      <c r="H1709">
        <v>31</v>
      </c>
      <c r="I1709">
        <v>11</v>
      </c>
      <c r="J1709" t="s">
        <v>11</v>
      </c>
      <c r="K1709">
        <f>IF(J1709="Yes", 1, 0)</f>
        <v>1</v>
      </c>
      <c r="L1709" t="str">
        <f>IF(G1709=0,"0 Failures","1+ Failures")</f>
        <v>1+ Failures</v>
      </c>
      <c r="M1709" t="str">
        <f t="shared" si="80"/>
        <v>20+ hrs</v>
      </c>
      <c r="N1709" t="str">
        <f t="shared" si="78"/>
        <v>12+ months</v>
      </c>
      <c r="O1709" t="str">
        <f t="shared" si="79"/>
        <v>Basic</v>
      </c>
      <c r="P1709" s="7">
        <v>45657</v>
      </c>
    </row>
    <row r="1710" spans="1:16" x14ac:dyDescent="0.3">
      <c r="A1710">
        <v>1709</v>
      </c>
      <c r="B1710" s="7">
        <v>45649</v>
      </c>
      <c r="C1710" t="s">
        <v>10</v>
      </c>
      <c r="D1710">
        <v>699</v>
      </c>
      <c r="E1710">
        <v>1.4</v>
      </c>
      <c r="F1710">
        <v>0</v>
      </c>
      <c r="G1710">
        <v>4</v>
      </c>
      <c r="H1710">
        <v>7</v>
      </c>
      <c r="I1710">
        <v>57</v>
      </c>
      <c r="J1710" t="s">
        <v>11</v>
      </c>
      <c r="K1710">
        <f>IF(J1710="Yes", 1, 0)</f>
        <v>1</v>
      </c>
      <c r="L1710" t="str">
        <f>IF(G1710=0,"0 Failures","1+ Failures")</f>
        <v>1+ Failures</v>
      </c>
      <c r="M1710" t="str">
        <f t="shared" si="80"/>
        <v>0-5 hrs</v>
      </c>
      <c r="N1710" t="str">
        <f t="shared" si="78"/>
        <v>6-12months</v>
      </c>
      <c r="O1710" t="str">
        <f t="shared" si="79"/>
        <v>Premium</v>
      </c>
      <c r="P1710" s="7">
        <v>45657</v>
      </c>
    </row>
    <row r="1711" spans="1:16" x14ac:dyDescent="0.3">
      <c r="A1711">
        <v>1710</v>
      </c>
      <c r="B1711" s="7">
        <v>45049</v>
      </c>
      <c r="C1711" t="s">
        <v>10</v>
      </c>
      <c r="D1711">
        <v>699</v>
      </c>
      <c r="E1711">
        <v>21.8</v>
      </c>
      <c r="F1711">
        <v>2</v>
      </c>
      <c r="G1711">
        <v>0</v>
      </c>
      <c r="H1711">
        <v>12</v>
      </c>
      <c r="I1711">
        <v>26</v>
      </c>
      <c r="J1711" t="s">
        <v>13</v>
      </c>
      <c r="K1711">
        <f>IF(J1711="Yes", 1, 0)</f>
        <v>0</v>
      </c>
      <c r="L1711" t="str">
        <f>IF(G1711=0,"0 Failures","1+ Failures")</f>
        <v>0 Failures</v>
      </c>
      <c r="M1711" t="str">
        <f t="shared" si="80"/>
        <v>20+ hrs</v>
      </c>
      <c r="N1711" t="str">
        <f t="shared" si="78"/>
        <v>6-12months</v>
      </c>
      <c r="O1711" t="str">
        <f t="shared" si="79"/>
        <v>Premium</v>
      </c>
      <c r="P1711" s="7">
        <v>45657</v>
      </c>
    </row>
    <row r="1712" spans="1:16" x14ac:dyDescent="0.3">
      <c r="A1712">
        <v>1711</v>
      </c>
      <c r="B1712" s="7">
        <v>45211</v>
      </c>
      <c r="C1712" t="s">
        <v>12</v>
      </c>
      <c r="D1712">
        <v>199</v>
      </c>
      <c r="E1712">
        <v>16.100000000000001</v>
      </c>
      <c r="F1712">
        <v>0</v>
      </c>
      <c r="G1712">
        <v>2</v>
      </c>
      <c r="H1712">
        <v>29</v>
      </c>
      <c r="I1712">
        <v>6</v>
      </c>
      <c r="J1712" t="s">
        <v>13</v>
      </c>
      <c r="K1712">
        <f>IF(J1712="Yes", 1, 0)</f>
        <v>0</v>
      </c>
      <c r="L1712" t="str">
        <f>IF(G1712=0,"0 Failures","1+ Failures")</f>
        <v>1+ Failures</v>
      </c>
      <c r="M1712" t="str">
        <f t="shared" si="80"/>
        <v>10-20hrs</v>
      </c>
      <c r="N1712" t="str">
        <f t="shared" si="78"/>
        <v>12+ months</v>
      </c>
      <c r="O1712" t="str">
        <f t="shared" si="79"/>
        <v>Basic</v>
      </c>
      <c r="P1712" s="7">
        <v>45657</v>
      </c>
    </row>
    <row r="1713" spans="1:16" x14ac:dyDescent="0.3">
      <c r="A1713">
        <v>1712</v>
      </c>
      <c r="B1713" s="7">
        <v>45527</v>
      </c>
      <c r="C1713" t="s">
        <v>12</v>
      </c>
      <c r="D1713">
        <v>199</v>
      </c>
      <c r="E1713">
        <v>8.6999999999999993</v>
      </c>
      <c r="F1713">
        <v>5</v>
      </c>
      <c r="G1713">
        <v>5</v>
      </c>
      <c r="H1713">
        <v>2</v>
      </c>
      <c r="I1713">
        <v>10</v>
      </c>
      <c r="J1713" t="s">
        <v>13</v>
      </c>
      <c r="K1713">
        <f>IF(J1713="Yes", 1, 0)</f>
        <v>0</v>
      </c>
      <c r="L1713" t="str">
        <f>IF(G1713=0,"0 Failures","1+ Failures")</f>
        <v>1+ Failures</v>
      </c>
      <c r="M1713" t="str">
        <f t="shared" si="80"/>
        <v>5-10 hrs</v>
      </c>
      <c r="N1713" t="str">
        <f t="shared" si="78"/>
        <v>0-3months</v>
      </c>
      <c r="O1713" t="str">
        <f t="shared" si="79"/>
        <v>Basic</v>
      </c>
      <c r="P1713" s="7">
        <v>45657</v>
      </c>
    </row>
    <row r="1714" spans="1:16" x14ac:dyDescent="0.3">
      <c r="A1714">
        <v>1713</v>
      </c>
      <c r="B1714" s="7">
        <v>44989</v>
      </c>
      <c r="C1714" t="s">
        <v>10</v>
      </c>
      <c r="D1714">
        <v>699</v>
      </c>
      <c r="E1714">
        <v>13.2</v>
      </c>
      <c r="F1714">
        <v>6</v>
      </c>
      <c r="G1714">
        <v>3</v>
      </c>
      <c r="H1714">
        <v>24</v>
      </c>
      <c r="I1714">
        <v>53</v>
      </c>
      <c r="J1714" t="s">
        <v>11</v>
      </c>
      <c r="K1714">
        <f>IF(J1714="Yes", 1, 0)</f>
        <v>1</v>
      </c>
      <c r="L1714" t="str">
        <f>IF(G1714=0,"0 Failures","1+ Failures")</f>
        <v>1+ Failures</v>
      </c>
      <c r="M1714" t="str">
        <f t="shared" si="80"/>
        <v>10-20hrs</v>
      </c>
      <c r="N1714" t="str">
        <f t="shared" si="78"/>
        <v>12+ months</v>
      </c>
      <c r="O1714" t="str">
        <f t="shared" si="79"/>
        <v>Premium</v>
      </c>
      <c r="P1714" s="7">
        <v>45657</v>
      </c>
    </row>
    <row r="1715" spans="1:16" x14ac:dyDescent="0.3">
      <c r="A1715">
        <v>1714</v>
      </c>
      <c r="B1715" s="7">
        <v>45103</v>
      </c>
      <c r="C1715" t="s">
        <v>12</v>
      </c>
      <c r="D1715">
        <v>199</v>
      </c>
      <c r="E1715">
        <v>20.7</v>
      </c>
      <c r="F1715">
        <v>8</v>
      </c>
      <c r="G1715">
        <v>1</v>
      </c>
      <c r="H1715">
        <v>13</v>
      </c>
      <c r="I1715">
        <v>46</v>
      </c>
      <c r="J1715" t="s">
        <v>11</v>
      </c>
      <c r="K1715">
        <f>IF(J1715="Yes", 1, 0)</f>
        <v>1</v>
      </c>
      <c r="L1715" t="str">
        <f>IF(G1715=0,"0 Failures","1+ Failures")</f>
        <v>1+ Failures</v>
      </c>
      <c r="M1715" t="str">
        <f t="shared" si="80"/>
        <v>20+ hrs</v>
      </c>
      <c r="N1715" t="str">
        <f t="shared" si="78"/>
        <v>12+ months</v>
      </c>
      <c r="O1715" t="str">
        <f t="shared" si="79"/>
        <v>Basic</v>
      </c>
      <c r="P1715" s="7">
        <v>45657</v>
      </c>
    </row>
    <row r="1716" spans="1:16" x14ac:dyDescent="0.3">
      <c r="A1716">
        <v>1715</v>
      </c>
      <c r="B1716" s="7">
        <v>45577</v>
      </c>
      <c r="C1716" t="s">
        <v>14</v>
      </c>
      <c r="D1716">
        <v>399</v>
      </c>
      <c r="E1716">
        <v>7.3</v>
      </c>
      <c r="F1716">
        <v>3</v>
      </c>
      <c r="G1716">
        <v>5</v>
      </c>
      <c r="H1716">
        <v>3</v>
      </c>
      <c r="I1716">
        <v>32</v>
      </c>
      <c r="J1716" t="s">
        <v>11</v>
      </c>
      <c r="K1716">
        <f>IF(J1716="Yes", 1, 0)</f>
        <v>1</v>
      </c>
      <c r="L1716" t="str">
        <f>IF(G1716=0,"0 Failures","1+ Failures")</f>
        <v>1+ Failures</v>
      </c>
      <c r="M1716" t="str">
        <f t="shared" si="80"/>
        <v>5-10 hrs</v>
      </c>
      <c r="N1716" t="str">
        <f t="shared" si="78"/>
        <v>0-3months</v>
      </c>
      <c r="O1716" t="str">
        <f t="shared" si="79"/>
        <v>Basic</v>
      </c>
      <c r="P1716" s="7">
        <v>45657</v>
      </c>
    </row>
    <row r="1717" spans="1:16" x14ac:dyDescent="0.3">
      <c r="A1717">
        <v>1716</v>
      </c>
      <c r="B1717" s="7">
        <v>45508</v>
      </c>
      <c r="C1717" t="s">
        <v>10</v>
      </c>
      <c r="D1717">
        <v>699</v>
      </c>
      <c r="E1717">
        <v>8.1</v>
      </c>
      <c r="F1717">
        <v>8</v>
      </c>
      <c r="G1717">
        <v>2</v>
      </c>
      <c r="H1717">
        <v>1</v>
      </c>
      <c r="I1717">
        <v>7</v>
      </c>
      <c r="J1717" t="s">
        <v>11</v>
      </c>
      <c r="K1717">
        <f>IF(J1717="Yes", 1, 0)</f>
        <v>1</v>
      </c>
      <c r="L1717" t="str">
        <f>IF(G1717=0,"0 Failures","1+ Failures")</f>
        <v>1+ Failures</v>
      </c>
      <c r="M1717" t="str">
        <f t="shared" si="80"/>
        <v>5-10 hrs</v>
      </c>
      <c r="N1717" t="str">
        <f t="shared" si="78"/>
        <v>0-3months</v>
      </c>
      <c r="O1717" t="str">
        <f t="shared" si="79"/>
        <v>Premium</v>
      </c>
      <c r="P1717" s="7">
        <v>45657</v>
      </c>
    </row>
    <row r="1718" spans="1:16" x14ac:dyDescent="0.3">
      <c r="A1718">
        <v>1717</v>
      </c>
      <c r="B1718" s="7">
        <v>45113</v>
      </c>
      <c r="C1718" t="s">
        <v>10</v>
      </c>
      <c r="D1718">
        <v>699</v>
      </c>
      <c r="E1718">
        <v>14.4</v>
      </c>
      <c r="F1718">
        <v>7</v>
      </c>
      <c r="G1718">
        <v>0</v>
      </c>
      <c r="H1718">
        <v>6</v>
      </c>
      <c r="I1718">
        <v>7</v>
      </c>
      <c r="J1718" t="s">
        <v>13</v>
      </c>
      <c r="K1718">
        <f>IF(J1718="Yes", 1, 0)</f>
        <v>0</v>
      </c>
      <c r="L1718" t="str">
        <f>IF(G1718=0,"0 Failures","1+ Failures")</f>
        <v>0 Failures</v>
      </c>
      <c r="M1718" t="str">
        <f t="shared" si="80"/>
        <v>10-20hrs</v>
      </c>
      <c r="N1718" t="str">
        <f t="shared" si="78"/>
        <v>3-6months</v>
      </c>
      <c r="O1718" t="str">
        <f t="shared" si="79"/>
        <v>Premium</v>
      </c>
      <c r="P1718" s="7">
        <v>45657</v>
      </c>
    </row>
    <row r="1719" spans="1:16" x14ac:dyDescent="0.3">
      <c r="A1719">
        <v>1718</v>
      </c>
      <c r="B1719" s="7">
        <v>45580</v>
      </c>
      <c r="C1719" t="s">
        <v>10</v>
      </c>
      <c r="D1719">
        <v>699</v>
      </c>
      <c r="E1719">
        <v>5</v>
      </c>
      <c r="F1719">
        <v>0</v>
      </c>
      <c r="G1719">
        <v>1</v>
      </c>
      <c r="H1719">
        <v>6</v>
      </c>
      <c r="I1719">
        <v>50</v>
      </c>
      <c r="J1719" t="s">
        <v>11</v>
      </c>
      <c r="K1719">
        <f>IF(J1719="Yes", 1, 0)</f>
        <v>1</v>
      </c>
      <c r="L1719" t="str">
        <f>IF(G1719=0,"0 Failures","1+ Failures")</f>
        <v>1+ Failures</v>
      </c>
      <c r="M1719" t="str">
        <f t="shared" si="80"/>
        <v>0-5 hrs</v>
      </c>
      <c r="N1719" t="str">
        <f t="shared" si="78"/>
        <v>3-6months</v>
      </c>
      <c r="O1719" t="str">
        <f t="shared" si="79"/>
        <v>Premium</v>
      </c>
      <c r="P1719" s="7">
        <v>45657</v>
      </c>
    </row>
    <row r="1720" spans="1:16" x14ac:dyDescent="0.3">
      <c r="A1720">
        <v>1719</v>
      </c>
      <c r="B1720" s="7">
        <v>45122</v>
      </c>
      <c r="C1720" t="s">
        <v>14</v>
      </c>
      <c r="D1720">
        <v>399</v>
      </c>
      <c r="E1720">
        <v>2.5</v>
      </c>
      <c r="F1720">
        <v>3</v>
      </c>
      <c r="G1720">
        <v>2</v>
      </c>
      <c r="H1720">
        <v>30</v>
      </c>
      <c r="I1720">
        <v>53</v>
      </c>
      <c r="J1720" t="s">
        <v>11</v>
      </c>
      <c r="K1720">
        <f>IF(J1720="Yes", 1, 0)</f>
        <v>1</v>
      </c>
      <c r="L1720" t="str">
        <f>IF(G1720=0,"0 Failures","1+ Failures")</f>
        <v>1+ Failures</v>
      </c>
      <c r="M1720" t="str">
        <f t="shared" si="80"/>
        <v>0-5 hrs</v>
      </c>
      <c r="N1720" t="str">
        <f t="shared" si="78"/>
        <v>12+ months</v>
      </c>
      <c r="O1720" t="str">
        <f t="shared" si="79"/>
        <v>Basic</v>
      </c>
      <c r="P1720" s="7">
        <v>45657</v>
      </c>
    </row>
    <row r="1721" spans="1:16" x14ac:dyDescent="0.3">
      <c r="A1721">
        <v>1720</v>
      </c>
      <c r="B1721" s="7">
        <v>45070</v>
      </c>
      <c r="C1721" t="s">
        <v>10</v>
      </c>
      <c r="D1721">
        <v>699</v>
      </c>
      <c r="E1721">
        <v>8.1</v>
      </c>
      <c r="F1721">
        <v>6</v>
      </c>
      <c r="G1721">
        <v>5</v>
      </c>
      <c r="H1721">
        <v>9</v>
      </c>
      <c r="I1721">
        <v>18</v>
      </c>
      <c r="J1721" t="s">
        <v>11</v>
      </c>
      <c r="K1721">
        <f>IF(J1721="Yes", 1, 0)</f>
        <v>1</v>
      </c>
      <c r="L1721" t="str">
        <f>IF(G1721=0,"0 Failures","1+ Failures")</f>
        <v>1+ Failures</v>
      </c>
      <c r="M1721" t="str">
        <f t="shared" si="80"/>
        <v>5-10 hrs</v>
      </c>
      <c r="N1721" t="str">
        <f t="shared" si="78"/>
        <v>6-12months</v>
      </c>
      <c r="O1721" t="str">
        <f t="shared" si="79"/>
        <v>Premium</v>
      </c>
      <c r="P1721" s="7">
        <v>45657</v>
      </c>
    </row>
    <row r="1722" spans="1:16" x14ac:dyDescent="0.3">
      <c r="A1722">
        <v>1721</v>
      </c>
      <c r="B1722" s="7">
        <v>45229</v>
      </c>
      <c r="C1722" t="s">
        <v>10</v>
      </c>
      <c r="D1722">
        <v>699</v>
      </c>
      <c r="E1722">
        <v>10.6</v>
      </c>
      <c r="F1722">
        <v>3</v>
      </c>
      <c r="G1722">
        <v>2</v>
      </c>
      <c r="H1722">
        <v>21</v>
      </c>
      <c r="I1722">
        <v>56</v>
      </c>
      <c r="J1722" t="s">
        <v>11</v>
      </c>
      <c r="K1722">
        <f>IF(J1722="Yes", 1, 0)</f>
        <v>1</v>
      </c>
      <c r="L1722" t="str">
        <f>IF(G1722=0,"0 Failures","1+ Failures")</f>
        <v>1+ Failures</v>
      </c>
      <c r="M1722" t="str">
        <f t="shared" si="80"/>
        <v>10-20hrs</v>
      </c>
      <c r="N1722" t="str">
        <f t="shared" si="78"/>
        <v>12+ months</v>
      </c>
      <c r="O1722" t="str">
        <f t="shared" si="79"/>
        <v>Premium</v>
      </c>
      <c r="P1722" s="7">
        <v>45657</v>
      </c>
    </row>
    <row r="1723" spans="1:16" x14ac:dyDescent="0.3">
      <c r="A1723">
        <v>1722</v>
      </c>
      <c r="B1723" s="7">
        <v>45584</v>
      </c>
      <c r="C1723" t="s">
        <v>14</v>
      </c>
      <c r="D1723">
        <v>399</v>
      </c>
      <c r="E1723">
        <v>7</v>
      </c>
      <c r="F1723">
        <v>7</v>
      </c>
      <c r="G1723">
        <v>2</v>
      </c>
      <c r="H1723">
        <v>29</v>
      </c>
      <c r="I1723">
        <v>37</v>
      </c>
      <c r="J1723" t="s">
        <v>11</v>
      </c>
      <c r="K1723">
        <f>IF(J1723="Yes", 1, 0)</f>
        <v>1</v>
      </c>
      <c r="L1723" t="str">
        <f>IF(G1723=0,"0 Failures","1+ Failures")</f>
        <v>1+ Failures</v>
      </c>
      <c r="M1723" t="str">
        <f t="shared" si="80"/>
        <v>5-10 hrs</v>
      </c>
      <c r="N1723" t="str">
        <f t="shared" si="78"/>
        <v>12+ months</v>
      </c>
      <c r="O1723" t="str">
        <f t="shared" si="79"/>
        <v>Basic</v>
      </c>
      <c r="P1723" s="7">
        <v>45657</v>
      </c>
    </row>
    <row r="1724" spans="1:16" x14ac:dyDescent="0.3">
      <c r="A1724">
        <v>1723</v>
      </c>
      <c r="B1724" s="7">
        <v>45321</v>
      </c>
      <c r="C1724" t="s">
        <v>10</v>
      </c>
      <c r="D1724">
        <v>699</v>
      </c>
      <c r="E1724">
        <v>20.8</v>
      </c>
      <c r="F1724">
        <v>2</v>
      </c>
      <c r="G1724">
        <v>0</v>
      </c>
      <c r="H1724">
        <v>29</v>
      </c>
      <c r="I1724">
        <v>60</v>
      </c>
      <c r="J1724" t="s">
        <v>13</v>
      </c>
      <c r="K1724">
        <f>IF(J1724="Yes", 1, 0)</f>
        <v>0</v>
      </c>
      <c r="L1724" t="str">
        <f>IF(G1724=0,"0 Failures","1+ Failures")</f>
        <v>0 Failures</v>
      </c>
      <c r="M1724" t="str">
        <f t="shared" si="80"/>
        <v>20+ hrs</v>
      </c>
      <c r="N1724" t="str">
        <f t="shared" si="78"/>
        <v>12+ months</v>
      </c>
      <c r="O1724" t="str">
        <f t="shared" si="79"/>
        <v>Premium</v>
      </c>
      <c r="P1724" s="7">
        <v>45657</v>
      </c>
    </row>
    <row r="1725" spans="1:16" x14ac:dyDescent="0.3">
      <c r="A1725">
        <v>1724</v>
      </c>
      <c r="B1725" s="7">
        <v>45222</v>
      </c>
      <c r="C1725" t="s">
        <v>12</v>
      </c>
      <c r="D1725">
        <v>199</v>
      </c>
      <c r="E1725">
        <v>14.4</v>
      </c>
      <c r="F1725">
        <v>6</v>
      </c>
      <c r="G1725">
        <v>2</v>
      </c>
      <c r="H1725">
        <v>35</v>
      </c>
      <c r="I1725">
        <v>41</v>
      </c>
      <c r="J1725" t="s">
        <v>13</v>
      </c>
      <c r="K1725">
        <f>IF(J1725="Yes", 1, 0)</f>
        <v>0</v>
      </c>
      <c r="L1725" t="str">
        <f>IF(G1725=0,"0 Failures","1+ Failures")</f>
        <v>1+ Failures</v>
      </c>
      <c r="M1725" t="str">
        <f t="shared" si="80"/>
        <v>10-20hrs</v>
      </c>
      <c r="N1725" t="str">
        <f t="shared" si="78"/>
        <v>12+ months</v>
      </c>
      <c r="O1725" t="str">
        <f t="shared" si="79"/>
        <v>Basic</v>
      </c>
      <c r="P1725" s="7">
        <v>45657</v>
      </c>
    </row>
    <row r="1726" spans="1:16" x14ac:dyDescent="0.3">
      <c r="A1726">
        <v>1725</v>
      </c>
      <c r="B1726" s="7">
        <v>45202</v>
      </c>
      <c r="C1726" t="s">
        <v>12</v>
      </c>
      <c r="D1726">
        <v>199</v>
      </c>
      <c r="E1726">
        <v>17.600000000000001</v>
      </c>
      <c r="F1726">
        <v>8</v>
      </c>
      <c r="G1726">
        <v>4</v>
      </c>
      <c r="H1726">
        <v>22</v>
      </c>
      <c r="I1726">
        <v>53</v>
      </c>
      <c r="J1726" t="s">
        <v>11</v>
      </c>
      <c r="K1726">
        <f>IF(J1726="Yes", 1, 0)</f>
        <v>1</v>
      </c>
      <c r="L1726" t="str">
        <f>IF(G1726=0,"0 Failures","1+ Failures")</f>
        <v>1+ Failures</v>
      </c>
      <c r="M1726" t="str">
        <f t="shared" si="80"/>
        <v>10-20hrs</v>
      </c>
      <c r="N1726" t="str">
        <f t="shared" si="78"/>
        <v>12+ months</v>
      </c>
      <c r="O1726" t="str">
        <f t="shared" si="79"/>
        <v>Basic</v>
      </c>
      <c r="P1726" s="7">
        <v>45657</v>
      </c>
    </row>
    <row r="1727" spans="1:16" x14ac:dyDescent="0.3">
      <c r="A1727">
        <v>1726</v>
      </c>
      <c r="B1727" s="7">
        <v>45045</v>
      </c>
      <c r="C1727" t="s">
        <v>12</v>
      </c>
      <c r="D1727">
        <v>199</v>
      </c>
      <c r="E1727">
        <v>19.399999999999999</v>
      </c>
      <c r="F1727">
        <v>4</v>
      </c>
      <c r="G1727">
        <v>1</v>
      </c>
      <c r="H1727">
        <v>33</v>
      </c>
      <c r="I1727">
        <v>29</v>
      </c>
      <c r="J1727" t="s">
        <v>11</v>
      </c>
      <c r="K1727">
        <f>IF(J1727="Yes", 1, 0)</f>
        <v>1</v>
      </c>
      <c r="L1727" t="str">
        <f>IF(G1727=0,"0 Failures","1+ Failures")</f>
        <v>1+ Failures</v>
      </c>
      <c r="M1727" t="str">
        <f t="shared" si="80"/>
        <v>10-20hrs</v>
      </c>
      <c r="N1727" t="str">
        <f t="shared" si="78"/>
        <v>12+ months</v>
      </c>
      <c r="O1727" t="str">
        <f t="shared" si="79"/>
        <v>Basic</v>
      </c>
      <c r="P1727" s="7">
        <v>45657</v>
      </c>
    </row>
    <row r="1728" spans="1:16" x14ac:dyDescent="0.3">
      <c r="A1728">
        <v>1727</v>
      </c>
      <c r="B1728" s="7">
        <v>45313</v>
      </c>
      <c r="C1728" t="s">
        <v>10</v>
      </c>
      <c r="D1728">
        <v>699</v>
      </c>
      <c r="E1728">
        <v>12.1</v>
      </c>
      <c r="F1728">
        <v>7</v>
      </c>
      <c r="G1728">
        <v>4</v>
      </c>
      <c r="H1728">
        <v>12</v>
      </c>
      <c r="I1728">
        <v>20</v>
      </c>
      <c r="J1728" t="s">
        <v>11</v>
      </c>
      <c r="K1728">
        <f>IF(J1728="Yes", 1, 0)</f>
        <v>1</v>
      </c>
      <c r="L1728" t="str">
        <f>IF(G1728=0,"0 Failures","1+ Failures")</f>
        <v>1+ Failures</v>
      </c>
      <c r="M1728" t="str">
        <f t="shared" si="80"/>
        <v>10-20hrs</v>
      </c>
      <c r="N1728" t="str">
        <f t="shared" si="78"/>
        <v>6-12months</v>
      </c>
      <c r="O1728" t="str">
        <f t="shared" si="79"/>
        <v>Premium</v>
      </c>
      <c r="P1728" s="7">
        <v>45657</v>
      </c>
    </row>
    <row r="1729" spans="1:16" x14ac:dyDescent="0.3">
      <c r="A1729">
        <v>1728</v>
      </c>
      <c r="B1729" s="7">
        <v>44935</v>
      </c>
      <c r="C1729" t="s">
        <v>10</v>
      </c>
      <c r="D1729">
        <v>699</v>
      </c>
      <c r="E1729">
        <v>8.4</v>
      </c>
      <c r="F1729">
        <v>1</v>
      </c>
      <c r="G1729">
        <v>5</v>
      </c>
      <c r="H1729">
        <v>3</v>
      </c>
      <c r="I1729">
        <v>22</v>
      </c>
      <c r="J1729" t="s">
        <v>13</v>
      </c>
      <c r="K1729">
        <f>IF(J1729="Yes", 1, 0)</f>
        <v>0</v>
      </c>
      <c r="L1729" t="str">
        <f>IF(G1729=0,"0 Failures","1+ Failures")</f>
        <v>1+ Failures</v>
      </c>
      <c r="M1729" t="str">
        <f t="shared" si="80"/>
        <v>5-10 hrs</v>
      </c>
      <c r="N1729" t="str">
        <f t="shared" si="78"/>
        <v>0-3months</v>
      </c>
      <c r="O1729" t="str">
        <f t="shared" si="79"/>
        <v>Premium</v>
      </c>
      <c r="P1729" s="7">
        <v>45657</v>
      </c>
    </row>
    <row r="1730" spans="1:16" x14ac:dyDescent="0.3">
      <c r="A1730">
        <v>1729</v>
      </c>
      <c r="B1730" s="7">
        <v>45293</v>
      </c>
      <c r="C1730" t="s">
        <v>12</v>
      </c>
      <c r="D1730">
        <v>199</v>
      </c>
      <c r="E1730">
        <v>12.1</v>
      </c>
      <c r="F1730">
        <v>5</v>
      </c>
      <c r="G1730">
        <v>5</v>
      </c>
      <c r="H1730">
        <v>27</v>
      </c>
      <c r="I1730">
        <v>57</v>
      </c>
      <c r="J1730" t="s">
        <v>11</v>
      </c>
      <c r="K1730">
        <f>IF(J1730="Yes", 1, 0)</f>
        <v>1</v>
      </c>
      <c r="L1730" t="str">
        <f>IF(G1730=0,"0 Failures","1+ Failures")</f>
        <v>1+ Failures</v>
      </c>
      <c r="M1730" t="str">
        <f t="shared" si="80"/>
        <v>10-20hrs</v>
      </c>
      <c r="N1730" t="str">
        <f t="shared" si="78"/>
        <v>12+ months</v>
      </c>
      <c r="O1730" t="str">
        <f t="shared" si="79"/>
        <v>Basic</v>
      </c>
      <c r="P1730" s="7">
        <v>45657</v>
      </c>
    </row>
    <row r="1731" spans="1:16" x14ac:dyDescent="0.3">
      <c r="A1731">
        <v>1730</v>
      </c>
      <c r="B1731" s="7">
        <v>45394</v>
      </c>
      <c r="C1731" t="s">
        <v>14</v>
      </c>
      <c r="D1731">
        <v>399</v>
      </c>
      <c r="E1731">
        <v>11.9</v>
      </c>
      <c r="F1731">
        <v>2</v>
      </c>
      <c r="G1731">
        <v>0</v>
      </c>
      <c r="H1731">
        <v>11</v>
      </c>
      <c r="I1731">
        <v>28</v>
      </c>
      <c r="J1731" t="s">
        <v>13</v>
      </c>
      <c r="K1731">
        <f>IF(J1731="Yes", 1, 0)</f>
        <v>0</v>
      </c>
      <c r="L1731" t="str">
        <f>IF(G1731=0,"0 Failures","1+ Failures")</f>
        <v>0 Failures</v>
      </c>
      <c r="M1731" t="str">
        <f t="shared" si="80"/>
        <v>10-20hrs</v>
      </c>
      <c r="N1731" t="str">
        <f t="shared" ref="N1731:N1794" si="81">IF(H1731&lt;=3, "0-3months", IF(H1731&lt;=6, "3-6months", IF(H1731&lt;=12, "6-12months", "12+ months")))</f>
        <v>6-12months</v>
      </c>
      <c r="O1731" t="str">
        <f t="shared" ref="O1731:O1794" si="82">IF(C1731="premium", "Premium", "Basic")</f>
        <v>Basic</v>
      </c>
      <c r="P1731" s="7">
        <v>45657</v>
      </c>
    </row>
    <row r="1732" spans="1:16" x14ac:dyDescent="0.3">
      <c r="A1732">
        <v>1731</v>
      </c>
      <c r="B1732" s="7">
        <v>45542</v>
      </c>
      <c r="C1732" t="s">
        <v>10</v>
      </c>
      <c r="D1732">
        <v>699</v>
      </c>
      <c r="E1732">
        <v>18.399999999999999</v>
      </c>
      <c r="F1732">
        <v>7</v>
      </c>
      <c r="G1732">
        <v>1</v>
      </c>
      <c r="H1732">
        <v>28</v>
      </c>
      <c r="I1732">
        <v>16</v>
      </c>
      <c r="J1732" t="s">
        <v>13</v>
      </c>
      <c r="K1732">
        <f>IF(J1732="Yes", 1, 0)</f>
        <v>0</v>
      </c>
      <c r="L1732" t="str">
        <f>IF(G1732=0,"0 Failures","1+ Failures")</f>
        <v>1+ Failures</v>
      </c>
      <c r="M1732" t="str">
        <f t="shared" si="80"/>
        <v>10-20hrs</v>
      </c>
      <c r="N1732" t="str">
        <f t="shared" si="81"/>
        <v>12+ months</v>
      </c>
      <c r="O1732" t="str">
        <f t="shared" si="82"/>
        <v>Premium</v>
      </c>
      <c r="P1732" s="7">
        <v>45657</v>
      </c>
    </row>
    <row r="1733" spans="1:16" x14ac:dyDescent="0.3">
      <c r="A1733">
        <v>1732</v>
      </c>
      <c r="B1733" s="7">
        <v>45446</v>
      </c>
      <c r="C1733" t="s">
        <v>14</v>
      </c>
      <c r="D1733">
        <v>399</v>
      </c>
      <c r="E1733">
        <v>17.100000000000001</v>
      </c>
      <c r="F1733">
        <v>4</v>
      </c>
      <c r="G1733">
        <v>0</v>
      </c>
      <c r="H1733">
        <v>31</v>
      </c>
      <c r="I1733">
        <v>59</v>
      </c>
      <c r="J1733" t="s">
        <v>13</v>
      </c>
      <c r="K1733">
        <f>IF(J1733="Yes", 1, 0)</f>
        <v>0</v>
      </c>
      <c r="L1733" t="str">
        <f>IF(G1733=0,"0 Failures","1+ Failures")</f>
        <v>0 Failures</v>
      </c>
      <c r="M1733" t="str">
        <f t="shared" si="80"/>
        <v>10-20hrs</v>
      </c>
      <c r="N1733" t="str">
        <f t="shared" si="81"/>
        <v>12+ months</v>
      </c>
      <c r="O1733" t="str">
        <f t="shared" si="82"/>
        <v>Basic</v>
      </c>
      <c r="P1733" s="7">
        <v>45657</v>
      </c>
    </row>
    <row r="1734" spans="1:16" x14ac:dyDescent="0.3">
      <c r="A1734">
        <v>1733</v>
      </c>
      <c r="B1734" s="7">
        <v>45094</v>
      </c>
      <c r="C1734" t="s">
        <v>12</v>
      </c>
      <c r="D1734">
        <v>199</v>
      </c>
      <c r="E1734">
        <v>10.9</v>
      </c>
      <c r="F1734">
        <v>4</v>
      </c>
      <c r="G1734">
        <v>4</v>
      </c>
      <c r="H1734">
        <v>27</v>
      </c>
      <c r="I1734">
        <v>25</v>
      </c>
      <c r="J1734" t="s">
        <v>11</v>
      </c>
      <c r="K1734">
        <f>IF(J1734="Yes", 1, 0)</f>
        <v>1</v>
      </c>
      <c r="L1734" t="str">
        <f>IF(G1734=0,"0 Failures","1+ Failures")</f>
        <v>1+ Failures</v>
      </c>
      <c r="M1734" t="str">
        <f t="shared" si="80"/>
        <v>10-20hrs</v>
      </c>
      <c r="N1734" t="str">
        <f t="shared" si="81"/>
        <v>12+ months</v>
      </c>
      <c r="O1734" t="str">
        <f t="shared" si="82"/>
        <v>Basic</v>
      </c>
      <c r="P1734" s="7">
        <v>45657</v>
      </c>
    </row>
    <row r="1735" spans="1:16" x14ac:dyDescent="0.3">
      <c r="A1735">
        <v>1734</v>
      </c>
      <c r="B1735" s="7">
        <v>45069</v>
      </c>
      <c r="C1735" t="s">
        <v>10</v>
      </c>
      <c r="D1735">
        <v>699</v>
      </c>
      <c r="E1735">
        <v>23.1</v>
      </c>
      <c r="F1735">
        <v>8</v>
      </c>
      <c r="G1735">
        <v>1</v>
      </c>
      <c r="H1735">
        <v>11</v>
      </c>
      <c r="I1735">
        <v>60</v>
      </c>
      <c r="J1735" t="s">
        <v>13</v>
      </c>
      <c r="K1735">
        <f>IF(J1735="Yes", 1, 0)</f>
        <v>0</v>
      </c>
      <c r="L1735" t="str">
        <f>IF(G1735=0,"0 Failures","1+ Failures")</f>
        <v>1+ Failures</v>
      </c>
      <c r="M1735" t="str">
        <f t="shared" si="80"/>
        <v>20+ hrs</v>
      </c>
      <c r="N1735" t="str">
        <f t="shared" si="81"/>
        <v>6-12months</v>
      </c>
      <c r="O1735" t="str">
        <f t="shared" si="82"/>
        <v>Premium</v>
      </c>
      <c r="P1735" s="7">
        <v>45657</v>
      </c>
    </row>
    <row r="1736" spans="1:16" x14ac:dyDescent="0.3">
      <c r="A1736">
        <v>1735</v>
      </c>
      <c r="B1736" s="7">
        <v>45071</v>
      </c>
      <c r="C1736" t="s">
        <v>12</v>
      </c>
      <c r="D1736">
        <v>199</v>
      </c>
      <c r="E1736">
        <v>19.8</v>
      </c>
      <c r="F1736">
        <v>0</v>
      </c>
      <c r="G1736">
        <v>0</v>
      </c>
      <c r="H1736">
        <v>22</v>
      </c>
      <c r="I1736">
        <v>19</v>
      </c>
      <c r="J1736" t="s">
        <v>13</v>
      </c>
      <c r="K1736">
        <f>IF(J1736="Yes", 1, 0)</f>
        <v>0</v>
      </c>
      <c r="L1736" t="str">
        <f>IF(G1736=0,"0 Failures","1+ Failures")</f>
        <v>0 Failures</v>
      </c>
      <c r="M1736" t="str">
        <f t="shared" si="80"/>
        <v>10-20hrs</v>
      </c>
      <c r="N1736" t="str">
        <f t="shared" si="81"/>
        <v>12+ months</v>
      </c>
      <c r="O1736" t="str">
        <f t="shared" si="82"/>
        <v>Basic</v>
      </c>
      <c r="P1736" s="7">
        <v>45657</v>
      </c>
    </row>
    <row r="1737" spans="1:16" x14ac:dyDescent="0.3">
      <c r="A1737">
        <v>1736</v>
      </c>
      <c r="B1737" s="7">
        <v>45103</v>
      </c>
      <c r="C1737" t="s">
        <v>14</v>
      </c>
      <c r="D1737">
        <v>399</v>
      </c>
      <c r="E1737">
        <v>10.199999999999999</v>
      </c>
      <c r="F1737">
        <v>7</v>
      </c>
      <c r="G1737">
        <v>0</v>
      </c>
      <c r="H1737">
        <v>30</v>
      </c>
      <c r="I1737">
        <v>42</v>
      </c>
      <c r="J1737" t="s">
        <v>11</v>
      </c>
      <c r="K1737">
        <f>IF(J1737="Yes", 1, 0)</f>
        <v>1</v>
      </c>
      <c r="L1737" t="str">
        <f>IF(G1737=0,"0 Failures","1+ Failures")</f>
        <v>0 Failures</v>
      </c>
      <c r="M1737" t="str">
        <f t="shared" si="80"/>
        <v>10-20hrs</v>
      </c>
      <c r="N1737" t="str">
        <f t="shared" si="81"/>
        <v>12+ months</v>
      </c>
      <c r="O1737" t="str">
        <f t="shared" si="82"/>
        <v>Basic</v>
      </c>
      <c r="P1737" s="7">
        <v>45657</v>
      </c>
    </row>
    <row r="1738" spans="1:16" x14ac:dyDescent="0.3">
      <c r="A1738">
        <v>1737</v>
      </c>
      <c r="B1738" s="7">
        <v>45177</v>
      </c>
      <c r="C1738" t="s">
        <v>14</v>
      </c>
      <c r="D1738">
        <v>399</v>
      </c>
      <c r="E1738">
        <v>2.5</v>
      </c>
      <c r="F1738">
        <v>3</v>
      </c>
      <c r="G1738">
        <v>1</v>
      </c>
      <c r="H1738">
        <v>20</v>
      </c>
      <c r="I1738">
        <v>27</v>
      </c>
      <c r="J1738" t="s">
        <v>11</v>
      </c>
      <c r="K1738">
        <f>IF(J1738="Yes", 1, 0)</f>
        <v>1</v>
      </c>
      <c r="L1738" t="str">
        <f>IF(G1738=0,"0 Failures","1+ Failures")</f>
        <v>1+ Failures</v>
      </c>
      <c r="M1738" t="str">
        <f t="shared" si="80"/>
        <v>0-5 hrs</v>
      </c>
      <c r="N1738" t="str">
        <f t="shared" si="81"/>
        <v>12+ months</v>
      </c>
      <c r="O1738" t="str">
        <f t="shared" si="82"/>
        <v>Basic</v>
      </c>
      <c r="P1738" s="7">
        <v>45657</v>
      </c>
    </row>
    <row r="1739" spans="1:16" x14ac:dyDescent="0.3">
      <c r="A1739">
        <v>1738</v>
      </c>
      <c r="B1739" s="7">
        <v>45029</v>
      </c>
      <c r="C1739" t="s">
        <v>12</v>
      </c>
      <c r="D1739">
        <v>199</v>
      </c>
      <c r="E1739">
        <v>21.2</v>
      </c>
      <c r="F1739">
        <v>5</v>
      </c>
      <c r="G1739">
        <v>0</v>
      </c>
      <c r="H1739">
        <v>36</v>
      </c>
      <c r="I1739">
        <v>30</v>
      </c>
      <c r="J1739" t="s">
        <v>11</v>
      </c>
      <c r="K1739">
        <f>IF(J1739="Yes", 1, 0)</f>
        <v>1</v>
      </c>
      <c r="L1739" t="str">
        <f>IF(G1739=0,"0 Failures","1+ Failures")</f>
        <v>0 Failures</v>
      </c>
      <c r="M1739" t="str">
        <f t="shared" ref="M1739:M1802" si="83">IF(E1739&lt;=5, "0-5 hrs",    IF(E1739&lt;=10, "5-10 hrs",    IF(E1739&lt;=20, "10-20hrs", "20+ hrs")))</f>
        <v>20+ hrs</v>
      </c>
      <c r="N1739" t="str">
        <f t="shared" si="81"/>
        <v>12+ months</v>
      </c>
      <c r="O1739" t="str">
        <f t="shared" si="82"/>
        <v>Basic</v>
      </c>
      <c r="P1739" s="7">
        <v>45657</v>
      </c>
    </row>
    <row r="1740" spans="1:16" x14ac:dyDescent="0.3">
      <c r="A1740">
        <v>1739</v>
      </c>
      <c r="B1740" s="7">
        <v>45401</v>
      </c>
      <c r="C1740" t="s">
        <v>14</v>
      </c>
      <c r="D1740">
        <v>399</v>
      </c>
      <c r="E1740">
        <v>17.3</v>
      </c>
      <c r="F1740">
        <v>3</v>
      </c>
      <c r="G1740">
        <v>3</v>
      </c>
      <c r="H1740">
        <v>36</v>
      </c>
      <c r="I1740">
        <v>42</v>
      </c>
      <c r="J1740" t="s">
        <v>11</v>
      </c>
      <c r="K1740">
        <f>IF(J1740="Yes", 1, 0)</f>
        <v>1</v>
      </c>
      <c r="L1740" t="str">
        <f>IF(G1740=0,"0 Failures","1+ Failures")</f>
        <v>1+ Failures</v>
      </c>
      <c r="M1740" t="str">
        <f t="shared" si="83"/>
        <v>10-20hrs</v>
      </c>
      <c r="N1740" t="str">
        <f t="shared" si="81"/>
        <v>12+ months</v>
      </c>
      <c r="O1740" t="str">
        <f t="shared" si="82"/>
        <v>Basic</v>
      </c>
      <c r="P1740" s="7">
        <v>45657</v>
      </c>
    </row>
    <row r="1741" spans="1:16" x14ac:dyDescent="0.3">
      <c r="A1741">
        <v>1740</v>
      </c>
      <c r="B1741" s="7">
        <v>45063</v>
      </c>
      <c r="C1741" t="s">
        <v>10</v>
      </c>
      <c r="D1741">
        <v>699</v>
      </c>
      <c r="E1741">
        <v>19.2</v>
      </c>
      <c r="F1741">
        <v>1</v>
      </c>
      <c r="G1741">
        <v>3</v>
      </c>
      <c r="H1741">
        <v>16</v>
      </c>
      <c r="I1741">
        <v>8</v>
      </c>
      <c r="J1741" t="s">
        <v>11</v>
      </c>
      <c r="K1741">
        <f>IF(J1741="Yes", 1, 0)</f>
        <v>1</v>
      </c>
      <c r="L1741" t="str">
        <f>IF(G1741=0,"0 Failures","1+ Failures")</f>
        <v>1+ Failures</v>
      </c>
      <c r="M1741" t="str">
        <f t="shared" si="83"/>
        <v>10-20hrs</v>
      </c>
      <c r="N1741" t="str">
        <f t="shared" si="81"/>
        <v>12+ months</v>
      </c>
      <c r="O1741" t="str">
        <f t="shared" si="82"/>
        <v>Premium</v>
      </c>
      <c r="P1741" s="7">
        <v>45657</v>
      </c>
    </row>
    <row r="1742" spans="1:16" x14ac:dyDescent="0.3">
      <c r="A1742">
        <v>1741</v>
      </c>
      <c r="B1742" s="7">
        <v>45282</v>
      </c>
      <c r="C1742" t="s">
        <v>14</v>
      </c>
      <c r="D1742">
        <v>399</v>
      </c>
      <c r="E1742">
        <v>22.5</v>
      </c>
      <c r="F1742">
        <v>6</v>
      </c>
      <c r="G1742">
        <v>4</v>
      </c>
      <c r="H1742">
        <v>21</v>
      </c>
      <c r="I1742">
        <v>25</v>
      </c>
      <c r="J1742" t="s">
        <v>11</v>
      </c>
      <c r="K1742">
        <f>IF(J1742="Yes", 1, 0)</f>
        <v>1</v>
      </c>
      <c r="L1742" t="str">
        <f>IF(G1742=0,"0 Failures","1+ Failures")</f>
        <v>1+ Failures</v>
      </c>
      <c r="M1742" t="str">
        <f t="shared" si="83"/>
        <v>20+ hrs</v>
      </c>
      <c r="N1742" t="str">
        <f t="shared" si="81"/>
        <v>12+ months</v>
      </c>
      <c r="O1742" t="str">
        <f t="shared" si="82"/>
        <v>Basic</v>
      </c>
      <c r="P1742" s="7">
        <v>45657</v>
      </c>
    </row>
    <row r="1743" spans="1:16" x14ac:dyDescent="0.3">
      <c r="A1743">
        <v>1742</v>
      </c>
      <c r="B1743" s="7">
        <v>45440</v>
      </c>
      <c r="C1743" t="s">
        <v>14</v>
      </c>
      <c r="D1743">
        <v>399</v>
      </c>
      <c r="E1743">
        <v>5.9</v>
      </c>
      <c r="F1743">
        <v>2</v>
      </c>
      <c r="G1743">
        <v>1</v>
      </c>
      <c r="H1743">
        <v>2</v>
      </c>
      <c r="I1743">
        <v>23</v>
      </c>
      <c r="J1743" t="s">
        <v>13</v>
      </c>
      <c r="K1743">
        <f>IF(J1743="Yes", 1, 0)</f>
        <v>0</v>
      </c>
      <c r="L1743" t="str">
        <f>IF(G1743=0,"0 Failures","1+ Failures")</f>
        <v>1+ Failures</v>
      </c>
      <c r="M1743" t="str">
        <f t="shared" si="83"/>
        <v>5-10 hrs</v>
      </c>
      <c r="N1743" t="str">
        <f t="shared" si="81"/>
        <v>0-3months</v>
      </c>
      <c r="O1743" t="str">
        <f t="shared" si="82"/>
        <v>Basic</v>
      </c>
      <c r="P1743" s="7">
        <v>45657</v>
      </c>
    </row>
    <row r="1744" spans="1:16" x14ac:dyDescent="0.3">
      <c r="A1744">
        <v>1743</v>
      </c>
      <c r="B1744" s="7">
        <v>45143</v>
      </c>
      <c r="C1744" t="s">
        <v>12</v>
      </c>
      <c r="D1744">
        <v>199</v>
      </c>
      <c r="E1744">
        <v>22.9</v>
      </c>
      <c r="F1744">
        <v>3</v>
      </c>
      <c r="G1744">
        <v>1</v>
      </c>
      <c r="H1744">
        <v>26</v>
      </c>
      <c r="I1744">
        <v>31</v>
      </c>
      <c r="J1744" t="s">
        <v>11</v>
      </c>
      <c r="K1744">
        <f>IF(J1744="Yes", 1, 0)</f>
        <v>1</v>
      </c>
      <c r="L1744" t="str">
        <f>IF(G1744=0,"0 Failures","1+ Failures")</f>
        <v>1+ Failures</v>
      </c>
      <c r="M1744" t="str">
        <f t="shared" si="83"/>
        <v>20+ hrs</v>
      </c>
      <c r="N1744" t="str">
        <f t="shared" si="81"/>
        <v>12+ months</v>
      </c>
      <c r="O1744" t="str">
        <f t="shared" si="82"/>
        <v>Basic</v>
      </c>
      <c r="P1744" s="7">
        <v>45657</v>
      </c>
    </row>
    <row r="1745" spans="1:16" x14ac:dyDescent="0.3">
      <c r="A1745">
        <v>1744</v>
      </c>
      <c r="B1745" s="7">
        <v>45218</v>
      </c>
      <c r="C1745" t="s">
        <v>14</v>
      </c>
      <c r="D1745">
        <v>399</v>
      </c>
      <c r="E1745">
        <v>2.8</v>
      </c>
      <c r="F1745">
        <v>6</v>
      </c>
      <c r="G1745">
        <v>5</v>
      </c>
      <c r="H1745">
        <v>28</v>
      </c>
      <c r="I1745">
        <v>11</v>
      </c>
      <c r="J1745" t="s">
        <v>11</v>
      </c>
      <c r="K1745">
        <f>IF(J1745="Yes", 1, 0)</f>
        <v>1</v>
      </c>
      <c r="L1745" t="str">
        <f>IF(G1745=0,"0 Failures","1+ Failures")</f>
        <v>1+ Failures</v>
      </c>
      <c r="M1745" t="str">
        <f t="shared" si="83"/>
        <v>0-5 hrs</v>
      </c>
      <c r="N1745" t="str">
        <f t="shared" si="81"/>
        <v>12+ months</v>
      </c>
      <c r="O1745" t="str">
        <f t="shared" si="82"/>
        <v>Basic</v>
      </c>
      <c r="P1745" s="7">
        <v>45657</v>
      </c>
    </row>
    <row r="1746" spans="1:16" x14ac:dyDescent="0.3">
      <c r="A1746">
        <v>1745</v>
      </c>
      <c r="B1746" s="7">
        <v>45358</v>
      </c>
      <c r="C1746" t="s">
        <v>14</v>
      </c>
      <c r="D1746">
        <v>399</v>
      </c>
      <c r="E1746">
        <v>17</v>
      </c>
      <c r="F1746">
        <v>7</v>
      </c>
      <c r="G1746">
        <v>0</v>
      </c>
      <c r="H1746">
        <v>25</v>
      </c>
      <c r="I1746">
        <v>16</v>
      </c>
      <c r="J1746" t="s">
        <v>13</v>
      </c>
      <c r="K1746">
        <f>IF(J1746="Yes", 1, 0)</f>
        <v>0</v>
      </c>
      <c r="L1746" t="str">
        <f>IF(G1746=0,"0 Failures","1+ Failures")</f>
        <v>0 Failures</v>
      </c>
      <c r="M1746" t="str">
        <f t="shared" si="83"/>
        <v>10-20hrs</v>
      </c>
      <c r="N1746" t="str">
        <f t="shared" si="81"/>
        <v>12+ months</v>
      </c>
      <c r="O1746" t="str">
        <f t="shared" si="82"/>
        <v>Basic</v>
      </c>
      <c r="P1746" s="7">
        <v>45657</v>
      </c>
    </row>
    <row r="1747" spans="1:16" x14ac:dyDescent="0.3">
      <c r="A1747">
        <v>1746</v>
      </c>
      <c r="B1747" s="7">
        <v>45281</v>
      </c>
      <c r="C1747" t="s">
        <v>12</v>
      </c>
      <c r="D1747">
        <v>199</v>
      </c>
      <c r="E1747">
        <v>10.3</v>
      </c>
      <c r="F1747">
        <v>8</v>
      </c>
      <c r="G1747">
        <v>0</v>
      </c>
      <c r="H1747">
        <v>11</v>
      </c>
      <c r="I1747">
        <v>29</v>
      </c>
      <c r="J1747" t="s">
        <v>13</v>
      </c>
      <c r="K1747">
        <f>IF(J1747="Yes", 1, 0)</f>
        <v>0</v>
      </c>
      <c r="L1747" t="str">
        <f>IF(G1747=0,"0 Failures","1+ Failures")</f>
        <v>0 Failures</v>
      </c>
      <c r="M1747" t="str">
        <f t="shared" si="83"/>
        <v>10-20hrs</v>
      </c>
      <c r="N1747" t="str">
        <f t="shared" si="81"/>
        <v>6-12months</v>
      </c>
      <c r="O1747" t="str">
        <f t="shared" si="82"/>
        <v>Basic</v>
      </c>
      <c r="P1747" s="7">
        <v>45657</v>
      </c>
    </row>
    <row r="1748" spans="1:16" x14ac:dyDescent="0.3">
      <c r="A1748">
        <v>1747</v>
      </c>
      <c r="B1748" s="7">
        <v>45515</v>
      </c>
      <c r="C1748" t="s">
        <v>10</v>
      </c>
      <c r="D1748">
        <v>699</v>
      </c>
      <c r="E1748">
        <v>16.600000000000001</v>
      </c>
      <c r="F1748">
        <v>6</v>
      </c>
      <c r="G1748">
        <v>0</v>
      </c>
      <c r="H1748">
        <v>7</v>
      </c>
      <c r="I1748">
        <v>10</v>
      </c>
      <c r="J1748" t="s">
        <v>13</v>
      </c>
      <c r="K1748">
        <f>IF(J1748="Yes", 1, 0)</f>
        <v>0</v>
      </c>
      <c r="L1748" t="str">
        <f>IF(G1748=0,"0 Failures","1+ Failures")</f>
        <v>0 Failures</v>
      </c>
      <c r="M1748" t="str">
        <f t="shared" si="83"/>
        <v>10-20hrs</v>
      </c>
      <c r="N1748" t="str">
        <f t="shared" si="81"/>
        <v>6-12months</v>
      </c>
      <c r="O1748" t="str">
        <f t="shared" si="82"/>
        <v>Premium</v>
      </c>
      <c r="P1748" s="7">
        <v>45657</v>
      </c>
    </row>
    <row r="1749" spans="1:16" x14ac:dyDescent="0.3">
      <c r="A1749">
        <v>1748</v>
      </c>
      <c r="B1749" s="7">
        <v>45338</v>
      </c>
      <c r="C1749" t="s">
        <v>10</v>
      </c>
      <c r="D1749">
        <v>699</v>
      </c>
      <c r="E1749">
        <v>17.3</v>
      </c>
      <c r="F1749">
        <v>0</v>
      </c>
      <c r="G1749">
        <v>3</v>
      </c>
      <c r="H1749">
        <v>25</v>
      </c>
      <c r="I1749">
        <v>41</v>
      </c>
      <c r="J1749" t="s">
        <v>13</v>
      </c>
      <c r="K1749">
        <f>IF(J1749="Yes", 1, 0)</f>
        <v>0</v>
      </c>
      <c r="L1749" t="str">
        <f>IF(G1749=0,"0 Failures","1+ Failures")</f>
        <v>1+ Failures</v>
      </c>
      <c r="M1749" t="str">
        <f t="shared" si="83"/>
        <v>10-20hrs</v>
      </c>
      <c r="N1749" t="str">
        <f t="shared" si="81"/>
        <v>12+ months</v>
      </c>
      <c r="O1749" t="str">
        <f t="shared" si="82"/>
        <v>Premium</v>
      </c>
      <c r="P1749" s="7">
        <v>45657</v>
      </c>
    </row>
    <row r="1750" spans="1:16" x14ac:dyDescent="0.3">
      <c r="A1750">
        <v>1749</v>
      </c>
      <c r="B1750" s="7">
        <v>45388</v>
      </c>
      <c r="C1750" t="s">
        <v>14</v>
      </c>
      <c r="D1750">
        <v>399</v>
      </c>
      <c r="E1750">
        <v>7.9</v>
      </c>
      <c r="F1750">
        <v>4</v>
      </c>
      <c r="G1750">
        <v>5</v>
      </c>
      <c r="H1750">
        <v>4</v>
      </c>
      <c r="I1750">
        <v>40</v>
      </c>
      <c r="J1750" t="s">
        <v>11</v>
      </c>
      <c r="K1750">
        <f>IF(J1750="Yes", 1, 0)</f>
        <v>1</v>
      </c>
      <c r="L1750" t="str">
        <f>IF(G1750=0,"0 Failures","1+ Failures")</f>
        <v>1+ Failures</v>
      </c>
      <c r="M1750" t="str">
        <f t="shared" si="83"/>
        <v>5-10 hrs</v>
      </c>
      <c r="N1750" t="str">
        <f t="shared" si="81"/>
        <v>3-6months</v>
      </c>
      <c r="O1750" t="str">
        <f t="shared" si="82"/>
        <v>Basic</v>
      </c>
      <c r="P1750" s="7">
        <v>45657</v>
      </c>
    </row>
    <row r="1751" spans="1:16" x14ac:dyDescent="0.3">
      <c r="A1751">
        <v>1750</v>
      </c>
      <c r="B1751" s="7">
        <v>45110</v>
      </c>
      <c r="C1751" t="s">
        <v>10</v>
      </c>
      <c r="D1751">
        <v>699</v>
      </c>
      <c r="E1751">
        <v>19.600000000000001</v>
      </c>
      <c r="F1751">
        <v>5</v>
      </c>
      <c r="G1751">
        <v>4</v>
      </c>
      <c r="H1751">
        <v>24</v>
      </c>
      <c r="I1751">
        <v>23</v>
      </c>
      <c r="J1751" t="s">
        <v>11</v>
      </c>
      <c r="K1751">
        <f>IF(J1751="Yes", 1, 0)</f>
        <v>1</v>
      </c>
      <c r="L1751" t="str">
        <f>IF(G1751=0,"0 Failures","1+ Failures")</f>
        <v>1+ Failures</v>
      </c>
      <c r="M1751" t="str">
        <f t="shared" si="83"/>
        <v>10-20hrs</v>
      </c>
      <c r="N1751" t="str">
        <f t="shared" si="81"/>
        <v>12+ months</v>
      </c>
      <c r="O1751" t="str">
        <f t="shared" si="82"/>
        <v>Premium</v>
      </c>
      <c r="P1751" s="7">
        <v>45657</v>
      </c>
    </row>
    <row r="1752" spans="1:16" x14ac:dyDescent="0.3">
      <c r="A1752">
        <v>1751</v>
      </c>
      <c r="B1752" s="7">
        <v>45651</v>
      </c>
      <c r="C1752" t="s">
        <v>14</v>
      </c>
      <c r="D1752">
        <v>399</v>
      </c>
      <c r="E1752">
        <v>19.100000000000001</v>
      </c>
      <c r="F1752">
        <v>1</v>
      </c>
      <c r="G1752">
        <v>1</v>
      </c>
      <c r="H1752">
        <v>35</v>
      </c>
      <c r="I1752">
        <v>0</v>
      </c>
      <c r="J1752" t="s">
        <v>13</v>
      </c>
      <c r="K1752">
        <f>IF(J1752="Yes", 1, 0)</f>
        <v>0</v>
      </c>
      <c r="L1752" t="str">
        <f>IF(G1752=0,"0 Failures","1+ Failures")</f>
        <v>1+ Failures</v>
      </c>
      <c r="M1752" t="str">
        <f t="shared" si="83"/>
        <v>10-20hrs</v>
      </c>
      <c r="N1752" t="str">
        <f t="shared" si="81"/>
        <v>12+ months</v>
      </c>
      <c r="O1752" t="str">
        <f t="shared" si="82"/>
        <v>Basic</v>
      </c>
      <c r="P1752" s="7">
        <v>45657</v>
      </c>
    </row>
    <row r="1753" spans="1:16" x14ac:dyDescent="0.3">
      <c r="A1753">
        <v>1752</v>
      </c>
      <c r="B1753" s="7">
        <v>44967</v>
      </c>
      <c r="C1753" t="s">
        <v>10</v>
      </c>
      <c r="D1753">
        <v>699</v>
      </c>
      <c r="E1753">
        <v>5.3</v>
      </c>
      <c r="F1753">
        <v>7</v>
      </c>
      <c r="G1753">
        <v>3</v>
      </c>
      <c r="H1753">
        <v>17</v>
      </c>
      <c r="I1753">
        <v>3</v>
      </c>
      <c r="J1753" t="s">
        <v>11</v>
      </c>
      <c r="K1753">
        <f>IF(J1753="Yes", 1, 0)</f>
        <v>1</v>
      </c>
      <c r="L1753" t="str">
        <f>IF(G1753=0,"0 Failures","1+ Failures")</f>
        <v>1+ Failures</v>
      </c>
      <c r="M1753" t="str">
        <f t="shared" si="83"/>
        <v>5-10 hrs</v>
      </c>
      <c r="N1753" t="str">
        <f t="shared" si="81"/>
        <v>12+ months</v>
      </c>
      <c r="O1753" t="str">
        <f t="shared" si="82"/>
        <v>Premium</v>
      </c>
      <c r="P1753" s="7">
        <v>45657</v>
      </c>
    </row>
    <row r="1754" spans="1:16" x14ac:dyDescent="0.3">
      <c r="A1754">
        <v>1753</v>
      </c>
      <c r="B1754" s="7">
        <v>45362</v>
      </c>
      <c r="C1754" t="s">
        <v>12</v>
      </c>
      <c r="D1754">
        <v>199</v>
      </c>
      <c r="E1754">
        <v>11.8</v>
      </c>
      <c r="F1754">
        <v>0</v>
      </c>
      <c r="G1754">
        <v>4</v>
      </c>
      <c r="H1754">
        <v>32</v>
      </c>
      <c r="I1754">
        <v>43</v>
      </c>
      <c r="J1754" t="s">
        <v>11</v>
      </c>
      <c r="K1754">
        <f>IF(J1754="Yes", 1, 0)</f>
        <v>1</v>
      </c>
      <c r="L1754" t="str">
        <f>IF(G1754=0,"0 Failures","1+ Failures")</f>
        <v>1+ Failures</v>
      </c>
      <c r="M1754" t="str">
        <f t="shared" si="83"/>
        <v>10-20hrs</v>
      </c>
      <c r="N1754" t="str">
        <f t="shared" si="81"/>
        <v>12+ months</v>
      </c>
      <c r="O1754" t="str">
        <f t="shared" si="82"/>
        <v>Basic</v>
      </c>
      <c r="P1754" s="7">
        <v>45657</v>
      </c>
    </row>
    <row r="1755" spans="1:16" x14ac:dyDescent="0.3">
      <c r="A1755">
        <v>1754</v>
      </c>
      <c r="B1755" s="7">
        <v>45292</v>
      </c>
      <c r="C1755" t="s">
        <v>14</v>
      </c>
      <c r="D1755">
        <v>399</v>
      </c>
      <c r="E1755">
        <v>19.3</v>
      </c>
      <c r="F1755">
        <v>0</v>
      </c>
      <c r="G1755">
        <v>4</v>
      </c>
      <c r="H1755">
        <v>19</v>
      </c>
      <c r="I1755">
        <v>17</v>
      </c>
      <c r="J1755" t="s">
        <v>11</v>
      </c>
      <c r="K1755">
        <f>IF(J1755="Yes", 1, 0)</f>
        <v>1</v>
      </c>
      <c r="L1755" t="str">
        <f>IF(G1755=0,"0 Failures","1+ Failures")</f>
        <v>1+ Failures</v>
      </c>
      <c r="M1755" t="str">
        <f t="shared" si="83"/>
        <v>10-20hrs</v>
      </c>
      <c r="N1755" t="str">
        <f t="shared" si="81"/>
        <v>12+ months</v>
      </c>
      <c r="O1755" t="str">
        <f t="shared" si="82"/>
        <v>Basic</v>
      </c>
      <c r="P1755" s="7">
        <v>45657</v>
      </c>
    </row>
    <row r="1756" spans="1:16" x14ac:dyDescent="0.3">
      <c r="A1756">
        <v>1755</v>
      </c>
      <c r="B1756" s="7">
        <v>45292</v>
      </c>
      <c r="C1756" t="s">
        <v>14</v>
      </c>
      <c r="D1756">
        <v>399</v>
      </c>
      <c r="E1756">
        <v>11.4</v>
      </c>
      <c r="F1756">
        <v>4</v>
      </c>
      <c r="G1756">
        <v>5</v>
      </c>
      <c r="H1756">
        <v>2</v>
      </c>
      <c r="I1756">
        <v>2</v>
      </c>
      <c r="J1756" t="s">
        <v>13</v>
      </c>
      <c r="K1756">
        <f>IF(J1756="Yes", 1, 0)</f>
        <v>0</v>
      </c>
      <c r="L1756" t="str">
        <f>IF(G1756=0,"0 Failures","1+ Failures")</f>
        <v>1+ Failures</v>
      </c>
      <c r="M1756" t="str">
        <f t="shared" si="83"/>
        <v>10-20hrs</v>
      </c>
      <c r="N1756" t="str">
        <f t="shared" si="81"/>
        <v>0-3months</v>
      </c>
      <c r="O1756" t="str">
        <f t="shared" si="82"/>
        <v>Basic</v>
      </c>
      <c r="P1756" s="7">
        <v>45657</v>
      </c>
    </row>
    <row r="1757" spans="1:16" x14ac:dyDescent="0.3">
      <c r="A1757">
        <v>1756</v>
      </c>
      <c r="B1757" s="7">
        <v>45023</v>
      </c>
      <c r="C1757" t="s">
        <v>10</v>
      </c>
      <c r="D1757">
        <v>699</v>
      </c>
      <c r="E1757">
        <v>13.5</v>
      </c>
      <c r="F1757">
        <v>6</v>
      </c>
      <c r="G1757">
        <v>1</v>
      </c>
      <c r="H1757">
        <v>3</v>
      </c>
      <c r="I1757">
        <v>11</v>
      </c>
      <c r="J1757" t="s">
        <v>11</v>
      </c>
      <c r="K1757">
        <f>IF(J1757="Yes", 1, 0)</f>
        <v>1</v>
      </c>
      <c r="L1757" t="str">
        <f>IF(G1757=0,"0 Failures","1+ Failures")</f>
        <v>1+ Failures</v>
      </c>
      <c r="M1757" t="str">
        <f t="shared" si="83"/>
        <v>10-20hrs</v>
      </c>
      <c r="N1757" t="str">
        <f t="shared" si="81"/>
        <v>0-3months</v>
      </c>
      <c r="O1757" t="str">
        <f t="shared" si="82"/>
        <v>Premium</v>
      </c>
      <c r="P1757" s="7">
        <v>45657</v>
      </c>
    </row>
    <row r="1758" spans="1:16" x14ac:dyDescent="0.3">
      <c r="A1758">
        <v>1757</v>
      </c>
      <c r="B1758" s="7">
        <v>45632</v>
      </c>
      <c r="C1758" t="s">
        <v>12</v>
      </c>
      <c r="D1758">
        <v>199</v>
      </c>
      <c r="E1758">
        <v>16</v>
      </c>
      <c r="F1758">
        <v>6</v>
      </c>
      <c r="G1758">
        <v>2</v>
      </c>
      <c r="H1758">
        <v>10</v>
      </c>
      <c r="I1758">
        <v>22</v>
      </c>
      <c r="J1758" t="s">
        <v>13</v>
      </c>
      <c r="K1758">
        <f>IF(J1758="Yes", 1, 0)</f>
        <v>0</v>
      </c>
      <c r="L1758" t="str">
        <f>IF(G1758=0,"0 Failures","1+ Failures")</f>
        <v>1+ Failures</v>
      </c>
      <c r="M1758" t="str">
        <f t="shared" si="83"/>
        <v>10-20hrs</v>
      </c>
      <c r="N1758" t="str">
        <f t="shared" si="81"/>
        <v>6-12months</v>
      </c>
      <c r="O1758" t="str">
        <f t="shared" si="82"/>
        <v>Basic</v>
      </c>
      <c r="P1758" s="7">
        <v>45657</v>
      </c>
    </row>
    <row r="1759" spans="1:16" x14ac:dyDescent="0.3">
      <c r="A1759">
        <v>1758</v>
      </c>
      <c r="B1759" s="7">
        <v>45261</v>
      </c>
      <c r="C1759" t="s">
        <v>10</v>
      </c>
      <c r="D1759">
        <v>699</v>
      </c>
      <c r="E1759">
        <v>23</v>
      </c>
      <c r="F1759">
        <v>8</v>
      </c>
      <c r="G1759">
        <v>4</v>
      </c>
      <c r="H1759">
        <v>16</v>
      </c>
      <c r="I1759">
        <v>29</v>
      </c>
      <c r="J1759" t="s">
        <v>11</v>
      </c>
      <c r="K1759">
        <f>IF(J1759="Yes", 1, 0)</f>
        <v>1</v>
      </c>
      <c r="L1759" t="str">
        <f>IF(G1759=0,"0 Failures","1+ Failures")</f>
        <v>1+ Failures</v>
      </c>
      <c r="M1759" t="str">
        <f t="shared" si="83"/>
        <v>20+ hrs</v>
      </c>
      <c r="N1759" t="str">
        <f t="shared" si="81"/>
        <v>12+ months</v>
      </c>
      <c r="O1759" t="str">
        <f t="shared" si="82"/>
        <v>Premium</v>
      </c>
      <c r="P1759" s="7">
        <v>45657</v>
      </c>
    </row>
    <row r="1760" spans="1:16" x14ac:dyDescent="0.3">
      <c r="A1760">
        <v>1759</v>
      </c>
      <c r="B1760" s="7">
        <v>45007</v>
      </c>
      <c r="C1760" t="s">
        <v>14</v>
      </c>
      <c r="D1760">
        <v>399</v>
      </c>
      <c r="E1760">
        <v>4.0999999999999996</v>
      </c>
      <c r="F1760">
        <v>1</v>
      </c>
      <c r="G1760">
        <v>3</v>
      </c>
      <c r="H1760">
        <v>3</v>
      </c>
      <c r="I1760">
        <v>32</v>
      </c>
      <c r="J1760" t="s">
        <v>13</v>
      </c>
      <c r="K1760">
        <f>IF(J1760="Yes", 1, 0)</f>
        <v>0</v>
      </c>
      <c r="L1760" t="str">
        <f>IF(G1760=0,"0 Failures","1+ Failures")</f>
        <v>1+ Failures</v>
      </c>
      <c r="M1760" t="str">
        <f t="shared" si="83"/>
        <v>0-5 hrs</v>
      </c>
      <c r="N1760" t="str">
        <f t="shared" si="81"/>
        <v>0-3months</v>
      </c>
      <c r="O1760" t="str">
        <f t="shared" si="82"/>
        <v>Basic</v>
      </c>
      <c r="P1760" s="7">
        <v>45657</v>
      </c>
    </row>
    <row r="1761" spans="1:16" x14ac:dyDescent="0.3">
      <c r="A1761">
        <v>1760</v>
      </c>
      <c r="B1761" s="7">
        <v>45595</v>
      </c>
      <c r="C1761" t="s">
        <v>14</v>
      </c>
      <c r="D1761">
        <v>399</v>
      </c>
      <c r="E1761">
        <v>10.9</v>
      </c>
      <c r="F1761">
        <v>0</v>
      </c>
      <c r="G1761">
        <v>1</v>
      </c>
      <c r="H1761">
        <v>20</v>
      </c>
      <c r="I1761">
        <v>60</v>
      </c>
      <c r="J1761" t="s">
        <v>13</v>
      </c>
      <c r="K1761">
        <f>IF(J1761="Yes", 1, 0)</f>
        <v>0</v>
      </c>
      <c r="L1761" t="str">
        <f>IF(G1761=0,"0 Failures","1+ Failures")</f>
        <v>1+ Failures</v>
      </c>
      <c r="M1761" t="str">
        <f t="shared" si="83"/>
        <v>10-20hrs</v>
      </c>
      <c r="N1761" t="str">
        <f t="shared" si="81"/>
        <v>12+ months</v>
      </c>
      <c r="O1761" t="str">
        <f t="shared" si="82"/>
        <v>Basic</v>
      </c>
      <c r="P1761" s="7">
        <v>45657</v>
      </c>
    </row>
    <row r="1762" spans="1:16" x14ac:dyDescent="0.3">
      <c r="A1762">
        <v>1761</v>
      </c>
      <c r="B1762" s="7">
        <v>45194</v>
      </c>
      <c r="C1762" t="s">
        <v>10</v>
      </c>
      <c r="D1762">
        <v>699</v>
      </c>
      <c r="E1762">
        <v>21</v>
      </c>
      <c r="F1762">
        <v>6</v>
      </c>
      <c r="G1762">
        <v>0</v>
      </c>
      <c r="H1762">
        <v>6</v>
      </c>
      <c r="I1762">
        <v>50</v>
      </c>
      <c r="J1762" t="s">
        <v>11</v>
      </c>
      <c r="K1762">
        <f>IF(J1762="Yes", 1, 0)</f>
        <v>1</v>
      </c>
      <c r="L1762" t="str">
        <f>IF(G1762=0,"0 Failures","1+ Failures")</f>
        <v>0 Failures</v>
      </c>
      <c r="M1762" t="str">
        <f t="shared" si="83"/>
        <v>20+ hrs</v>
      </c>
      <c r="N1762" t="str">
        <f t="shared" si="81"/>
        <v>3-6months</v>
      </c>
      <c r="O1762" t="str">
        <f t="shared" si="82"/>
        <v>Premium</v>
      </c>
      <c r="P1762" s="7">
        <v>45657</v>
      </c>
    </row>
    <row r="1763" spans="1:16" x14ac:dyDescent="0.3">
      <c r="A1763">
        <v>1762</v>
      </c>
      <c r="B1763" s="7">
        <v>45514</v>
      </c>
      <c r="C1763" t="s">
        <v>14</v>
      </c>
      <c r="D1763">
        <v>399</v>
      </c>
      <c r="E1763">
        <v>13.7</v>
      </c>
      <c r="F1763">
        <v>3</v>
      </c>
      <c r="G1763">
        <v>5</v>
      </c>
      <c r="H1763">
        <v>33</v>
      </c>
      <c r="I1763">
        <v>51</v>
      </c>
      <c r="J1763" t="s">
        <v>11</v>
      </c>
      <c r="K1763">
        <f>IF(J1763="Yes", 1, 0)</f>
        <v>1</v>
      </c>
      <c r="L1763" t="str">
        <f>IF(G1763=0,"0 Failures","1+ Failures")</f>
        <v>1+ Failures</v>
      </c>
      <c r="M1763" t="str">
        <f t="shared" si="83"/>
        <v>10-20hrs</v>
      </c>
      <c r="N1763" t="str">
        <f t="shared" si="81"/>
        <v>12+ months</v>
      </c>
      <c r="O1763" t="str">
        <f t="shared" si="82"/>
        <v>Basic</v>
      </c>
      <c r="P1763" s="7">
        <v>45657</v>
      </c>
    </row>
    <row r="1764" spans="1:16" x14ac:dyDescent="0.3">
      <c r="A1764">
        <v>1763</v>
      </c>
      <c r="B1764" s="7">
        <v>45117</v>
      </c>
      <c r="C1764" t="s">
        <v>14</v>
      </c>
      <c r="D1764">
        <v>399</v>
      </c>
      <c r="E1764">
        <v>19.100000000000001</v>
      </c>
      <c r="F1764">
        <v>6</v>
      </c>
      <c r="G1764">
        <v>2</v>
      </c>
      <c r="H1764">
        <v>14</v>
      </c>
      <c r="I1764">
        <v>47</v>
      </c>
      <c r="J1764" t="s">
        <v>11</v>
      </c>
      <c r="K1764">
        <f>IF(J1764="Yes", 1, 0)</f>
        <v>1</v>
      </c>
      <c r="L1764" t="str">
        <f>IF(G1764=0,"0 Failures","1+ Failures")</f>
        <v>1+ Failures</v>
      </c>
      <c r="M1764" t="str">
        <f t="shared" si="83"/>
        <v>10-20hrs</v>
      </c>
      <c r="N1764" t="str">
        <f t="shared" si="81"/>
        <v>12+ months</v>
      </c>
      <c r="O1764" t="str">
        <f t="shared" si="82"/>
        <v>Basic</v>
      </c>
      <c r="P1764" s="7">
        <v>45657</v>
      </c>
    </row>
    <row r="1765" spans="1:16" x14ac:dyDescent="0.3">
      <c r="A1765">
        <v>1764</v>
      </c>
      <c r="B1765" s="7">
        <v>44932</v>
      </c>
      <c r="C1765" t="s">
        <v>14</v>
      </c>
      <c r="D1765">
        <v>399</v>
      </c>
      <c r="E1765">
        <v>17</v>
      </c>
      <c r="F1765">
        <v>6</v>
      </c>
      <c r="G1765">
        <v>1</v>
      </c>
      <c r="H1765">
        <v>33</v>
      </c>
      <c r="I1765">
        <v>43</v>
      </c>
      <c r="J1765" t="s">
        <v>11</v>
      </c>
      <c r="K1765">
        <f>IF(J1765="Yes", 1, 0)</f>
        <v>1</v>
      </c>
      <c r="L1765" t="str">
        <f>IF(G1765=0,"0 Failures","1+ Failures")</f>
        <v>1+ Failures</v>
      </c>
      <c r="M1765" t="str">
        <f t="shared" si="83"/>
        <v>10-20hrs</v>
      </c>
      <c r="N1765" t="str">
        <f t="shared" si="81"/>
        <v>12+ months</v>
      </c>
      <c r="O1765" t="str">
        <f t="shared" si="82"/>
        <v>Basic</v>
      </c>
      <c r="P1765" s="7">
        <v>45657</v>
      </c>
    </row>
    <row r="1766" spans="1:16" x14ac:dyDescent="0.3">
      <c r="A1766">
        <v>1765</v>
      </c>
      <c r="B1766" s="7">
        <v>45400</v>
      </c>
      <c r="C1766" t="s">
        <v>14</v>
      </c>
      <c r="D1766">
        <v>399</v>
      </c>
      <c r="E1766">
        <v>1</v>
      </c>
      <c r="F1766">
        <v>6</v>
      </c>
      <c r="G1766">
        <v>5</v>
      </c>
      <c r="H1766">
        <v>14</v>
      </c>
      <c r="I1766">
        <v>8</v>
      </c>
      <c r="J1766" t="s">
        <v>11</v>
      </c>
      <c r="K1766">
        <f>IF(J1766="Yes", 1, 0)</f>
        <v>1</v>
      </c>
      <c r="L1766" t="str">
        <f>IF(G1766=0,"0 Failures","1+ Failures")</f>
        <v>1+ Failures</v>
      </c>
      <c r="M1766" t="str">
        <f t="shared" si="83"/>
        <v>0-5 hrs</v>
      </c>
      <c r="N1766" t="str">
        <f t="shared" si="81"/>
        <v>12+ months</v>
      </c>
      <c r="O1766" t="str">
        <f t="shared" si="82"/>
        <v>Basic</v>
      </c>
      <c r="P1766" s="7">
        <v>45657</v>
      </c>
    </row>
    <row r="1767" spans="1:16" x14ac:dyDescent="0.3">
      <c r="A1767">
        <v>1766</v>
      </c>
      <c r="B1767" s="7">
        <v>44992</v>
      </c>
      <c r="C1767" t="s">
        <v>10</v>
      </c>
      <c r="D1767">
        <v>699</v>
      </c>
      <c r="E1767">
        <v>2.9</v>
      </c>
      <c r="F1767">
        <v>3</v>
      </c>
      <c r="G1767">
        <v>0</v>
      </c>
      <c r="H1767">
        <v>21</v>
      </c>
      <c r="I1767">
        <v>45</v>
      </c>
      <c r="J1767" t="s">
        <v>11</v>
      </c>
      <c r="K1767">
        <f>IF(J1767="Yes", 1, 0)</f>
        <v>1</v>
      </c>
      <c r="L1767" t="str">
        <f>IF(G1767=0,"0 Failures","1+ Failures")</f>
        <v>0 Failures</v>
      </c>
      <c r="M1767" t="str">
        <f t="shared" si="83"/>
        <v>0-5 hrs</v>
      </c>
      <c r="N1767" t="str">
        <f t="shared" si="81"/>
        <v>12+ months</v>
      </c>
      <c r="O1767" t="str">
        <f t="shared" si="82"/>
        <v>Premium</v>
      </c>
      <c r="P1767" s="7">
        <v>45657</v>
      </c>
    </row>
    <row r="1768" spans="1:16" x14ac:dyDescent="0.3">
      <c r="A1768">
        <v>1767</v>
      </c>
      <c r="B1768" s="7">
        <v>45263</v>
      </c>
      <c r="C1768" t="s">
        <v>10</v>
      </c>
      <c r="D1768">
        <v>699</v>
      </c>
      <c r="E1768">
        <v>18.3</v>
      </c>
      <c r="F1768">
        <v>7</v>
      </c>
      <c r="G1768">
        <v>4</v>
      </c>
      <c r="H1768">
        <v>19</v>
      </c>
      <c r="I1768">
        <v>26</v>
      </c>
      <c r="J1768" t="s">
        <v>11</v>
      </c>
      <c r="K1768">
        <f>IF(J1768="Yes", 1, 0)</f>
        <v>1</v>
      </c>
      <c r="L1768" t="str">
        <f>IF(G1768=0,"0 Failures","1+ Failures")</f>
        <v>1+ Failures</v>
      </c>
      <c r="M1768" t="str">
        <f t="shared" si="83"/>
        <v>10-20hrs</v>
      </c>
      <c r="N1768" t="str">
        <f t="shared" si="81"/>
        <v>12+ months</v>
      </c>
      <c r="O1768" t="str">
        <f t="shared" si="82"/>
        <v>Premium</v>
      </c>
      <c r="P1768" s="7">
        <v>45657</v>
      </c>
    </row>
    <row r="1769" spans="1:16" x14ac:dyDescent="0.3">
      <c r="A1769">
        <v>1768</v>
      </c>
      <c r="B1769" s="7">
        <v>45281</v>
      </c>
      <c r="C1769" t="s">
        <v>10</v>
      </c>
      <c r="D1769">
        <v>699</v>
      </c>
      <c r="E1769">
        <v>12.2</v>
      </c>
      <c r="F1769">
        <v>8</v>
      </c>
      <c r="G1769">
        <v>0</v>
      </c>
      <c r="H1769">
        <v>25</v>
      </c>
      <c r="I1769">
        <v>21</v>
      </c>
      <c r="J1769" t="s">
        <v>11</v>
      </c>
      <c r="K1769">
        <f>IF(J1769="Yes", 1, 0)</f>
        <v>1</v>
      </c>
      <c r="L1769" t="str">
        <f>IF(G1769=0,"0 Failures","1+ Failures")</f>
        <v>0 Failures</v>
      </c>
      <c r="M1769" t="str">
        <f t="shared" si="83"/>
        <v>10-20hrs</v>
      </c>
      <c r="N1769" t="str">
        <f t="shared" si="81"/>
        <v>12+ months</v>
      </c>
      <c r="O1769" t="str">
        <f t="shared" si="82"/>
        <v>Premium</v>
      </c>
      <c r="P1769" s="7">
        <v>45657</v>
      </c>
    </row>
    <row r="1770" spans="1:16" x14ac:dyDescent="0.3">
      <c r="A1770">
        <v>1769</v>
      </c>
      <c r="B1770" s="7">
        <v>45616</v>
      </c>
      <c r="C1770" t="s">
        <v>14</v>
      </c>
      <c r="D1770">
        <v>399</v>
      </c>
      <c r="E1770">
        <v>11.8</v>
      </c>
      <c r="F1770">
        <v>7</v>
      </c>
      <c r="G1770">
        <v>1</v>
      </c>
      <c r="H1770">
        <v>10</v>
      </c>
      <c r="I1770">
        <v>34</v>
      </c>
      <c r="J1770" t="s">
        <v>13</v>
      </c>
      <c r="K1770">
        <f>IF(J1770="Yes", 1, 0)</f>
        <v>0</v>
      </c>
      <c r="L1770" t="str">
        <f>IF(G1770=0,"0 Failures","1+ Failures")</f>
        <v>1+ Failures</v>
      </c>
      <c r="M1770" t="str">
        <f t="shared" si="83"/>
        <v>10-20hrs</v>
      </c>
      <c r="N1770" t="str">
        <f t="shared" si="81"/>
        <v>6-12months</v>
      </c>
      <c r="O1770" t="str">
        <f t="shared" si="82"/>
        <v>Basic</v>
      </c>
      <c r="P1770" s="7">
        <v>45657</v>
      </c>
    </row>
    <row r="1771" spans="1:16" x14ac:dyDescent="0.3">
      <c r="A1771">
        <v>1770</v>
      </c>
      <c r="B1771" s="7">
        <v>45280</v>
      </c>
      <c r="C1771" t="s">
        <v>14</v>
      </c>
      <c r="D1771">
        <v>399</v>
      </c>
      <c r="E1771">
        <v>10.4</v>
      </c>
      <c r="F1771">
        <v>1</v>
      </c>
      <c r="G1771">
        <v>5</v>
      </c>
      <c r="H1771">
        <v>17</v>
      </c>
      <c r="I1771">
        <v>31</v>
      </c>
      <c r="J1771" t="s">
        <v>11</v>
      </c>
      <c r="K1771">
        <f>IF(J1771="Yes", 1, 0)</f>
        <v>1</v>
      </c>
      <c r="L1771" t="str">
        <f>IF(G1771=0,"0 Failures","1+ Failures")</f>
        <v>1+ Failures</v>
      </c>
      <c r="M1771" t="str">
        <f t="shared" si="83"/>
        <v>10-20hrs</v>
      </c>
      <c r="N1771" t="str">
        <f t="shared" si="81"/>
        <v>12+ months</v>
      </c>
      <c r="O1771" t="str">
        <f t="shared" si="82"/>
        <v>Basic</v>
      </c>
      <c r="P1771" s="7">
        <v>45657</v>
      </c>
    </row>
    <row r="1772" spans="1:16" x14ac:dyDescent="0.3">
      <c r="A1772">
        <v>1771</v>
      </c>
      <c r="B1772" s="7">
        <v>45249</v>
      </c>
      <c r="C1772" t="s">
        <v>12</v>
      </c>
      <c r="D1772">
        <v>199</v>
      </c>
      <c r="E1772">
        <v>18.8</v>
      </c>
      <c r="F1772">
        <v>8</v>
      </c>
      <c r="G1772">
        <v>2</v>
      </c>
      <c r="H1772">
        <v>14</v>
      </c>
      <c r="I1772">
        <v>19</v>
      </c>
      <c r="J1772" t="s">
        <v>11</v>
      </c>
      <c r="K1772">
        <f>IF(J1772="Yes", 1, 0)</f>
        <v>1</v>
      </c>
      <c r="L1772" t="str">
        <f>IF(G1772=0,"0 Failures","1+ Failures")</f>
        <v>1+ Failures</v>
      </c>
      <c r="M1772" t="str">
        <f t="shared" si="83"/>
        <v>10-20hrs</v>
      </c>
      <c r="N1772" t="str">
        <f t="shared" si="81"/>
        <v>12+ months</v>
      </c>
      <c r="O1772" t="str">
        <f t="shared" si="82"/>
        <v>Basic</v>
      </c>
      <c r="P1772" s="7">
        <v>45657</v>
      </c>
    </row>
    <row r="1773" spans="1:16" x14ac:dyDescent="0.3">
      <c r="A1773">
        <v>1772</v>
      </c>
      <c r="B1773" s="7">
        <v>45352</v>
      </c>
      <c r="C1773" t="s">
        <v>14</v>
      </c>
      <c r="D1773">
        <v>399</v>
      </c>
      <c r="E1773">
        <v>1.2</v>
      </c>
      <c r="F1773">
        <v>2</v>
      </c>
      <c r="G1773">
        <v>4</v>
      </c>
      <c r="H1773">
        <v>30</v>
      </c>
      <c r="I1773">
        <v>22</v>
      </c>
      <c r="J1773" t="s">
        <v>11</v>
      </c>
      <c r="K1773">
        <f>IF(J1773="Yes", 1, 0)</f>
        <v>1</v>
      </c>
      <c r="L1773" t="str">
        <f>IF(G1773=0,"0 Failures","1+ Failures")</f>
        <v>1+ Failures</v>
      </c>
      <c r="M1773" t="str">
        <f t="shared" si="83"/>
        <v>0-5 hrs</v>
      </c>
      <c r="N1773" t="str">
        <f t="shared" si="81"/>
        <v>12+ months</v>
      </c>
      <c r="O1773" t="str">
        <f t="shared" si="82"/>
        <v>Basic</v>
      </c>
      <c r="P1773" s="7">
        <v>45657</v>
      </c>
    </row>
    <row r="1774" spans="1:16" x14ac:dyDescent="0.3">
      <c r="A1774">
        <v>1773</v>
      </c>
      <c r="B1774" s="7">
        <v>45061</v>
      </c>
      <c r="C1774" t="s">
        <v>12</v>
      </c>
      <c r="D1774">
        <v>199</v>
      </c>
      <c r="E1774">
        <v>14.1</v>
      </c>
      <c r="F1774">
        <v>7</v>
      </c>
      <c r="G1774">
        <v>1</v>
      </c>
      <c r="H1774">
        <v>19</v>
      </c>
      <c r="I1774">
        <v>24</v>
      </c>
      <c r="J1774" t="s">
        <v>13</v>
      </c>
      <c r="K1774">
        <f>IF(J1774="Yes", 1, 0)</f>
        <v>0</v>
      </c>
      <c r="L1774" t="str">
        <f>IF(G1774=0,"0 Failures","1+ Failures")</f>
        <v>1+ Failures</v>
      </c>
      <c r="M1774" t="str">
        <f t="shared" si="83"/>
        <v>10-20hrs</v>
      </c>
      <c r="N1774" t="str">
        <f t="shared" si="81"/>
        <v>12+ months</v>
      </c>
      <c r="O1774" t="str">
        <f t="shared" si="82"/>
        <v>Basic</v>
      </c>
      <c r="P1774" s="7">
        <v>45657</v>
      </c>
    </row>
    <row r="1775" spans="1:16" x14ac:dyDescent="0.3">
      <c r="A1775">
        <v>1774</v>
      </c>
      <c r="B1775" s="7">
        <v>45109</v>
      </c>
      <c r="C1775" t="s">
        <v>14</v>
      </c>
      <c r="D1775">
        <v>399</v>
      </c>
      <c r="E1775">
        <v>2.9</v>
      </c>
      <c r="F1775">
        <v>3</v>
      </c>
      <c r="G1775">
        <v>1</v>
      </c>
      <c r="H1775">
        <v>8</v>
      </c>
      <c r="I1775">
        <v>7</v>
      </c>
      <c r="J1775" t="s">
        <v>13</v>
      </c>
      <c r="K1775">
        <f>IF(J1775="Yes", 1, 0)</f>
        <v>0</v>
      </c>
      <c r="L1775" t="str">
        <f>IF(G1775=0,"0 Failures","1+ Failures")</f>
        <v>1+ Failures</v>
      </c>
      <c r="M1775" t="str">
        <f t="shared" si="83"/>
        <v>0-5 hrs</v>
      </c>
      <c r="N1775" t="str">
        <f t="shared" si="81"/>
        <v>6-12months</v>
      </c>
      <c r="O1775" t="str">
        <f t="shared" si="82"/>
        <v>Basic</v>
      </c>
      <c r="P1775" s="7">
        <v>45657</v>
      </c>
    </row>
    <row r="1776" spans="1:16" x14ac:dyDescent="0.3">
      <c r="A1776">
        <v>1775</v>
      </c>
      <c r="B1776" s="7">
        <v>45212</v>
      </c>
      <c r="C1776" t="s">
        <v>12</v>
      </c>
      <c r="D1776">
        <v>199</v>
      </c>
      <c r="E1776">
        <v>14</v>
      </c>
      <c r="F1776">
        <v>5</v>
      </c>
      <c r="G1776">
        <v>1</v>
      </c>
      <c r="H1776">
        <v>26</v>
      </c>
      <c r="I1776">
        <v>26</v>
      </c>
      <c r="J1776" t="s">
        <v>13</v>
      </c>
      <c r="K1776">
        <f>IF(J1776="Yes", 1, 0)</f>
        <v>0</v>
      </c>
      <c r="L1776" t="str">
        <f>IF(G1776=0,"0 Failures","1+ Failures")</f>
        <v>1+ Failures</v>
      </c>
      <c r="M1776" t="str">
        <f t="shared" si="83"/>
        <v>10-20hrs</v>
      </c>
      <c r="N1776" t="str">
        <f t="shared" si="81"/>
        <v>12+ months</v>
      </c>
      <c r="O1776" t="str">
        <f t="shared" si="82"/>
        <v>Basic</v>
      </c>
      <c r="P1776" s="7">
        <v>45657</v>
      </c>
    </row>
    <row r="1777" spans="1:16" x14ac:dyDescent="0.3">
      <c r="A1777">
        <v>1776</v>
      </c>
      <c r="B1777" s="7">
        <v>45157</v>
      </c>
      <c r="C1777" t="s">
        <v>14</v>
      </c>
      <c r="D1777">
        <v>399</v>
      </c>
      <c r="E1777">
        <v>15.9</v>
      </c>
      <c r="F1777">
        <v>5</v>
      </c>
      <c r="G1777">
        <v>4</v>
      </c>
      <c r="H1777">
        <v>24</v>
      </c>
      <c r="I1777">
        <v>34</v>
      </c>
      <c r="J1777" t="s">
        <v>11</v>
      </c>
      <c r="K1777">
        <f>IF(J1777="Yes", 1, 0)</f>
        <v>1</v>
      </c>
      <c r="L1777" t="str">
        <f>IF(G1777=0,"0 Failures","1+ Failures")</f>
        <v>1+ Failures</v>
      </c>
      <c r="M1777" t="str">
        <f t="shared" si="83"/>
        <v>10-20hrs</v>
      </c>
      <c r="N1777" t="str">
        <f t="shared" si="81"/>
        <v>12+ months</v>
      </c>
      <c r="O1777" t="str">
        <f t="shared" si="82"/>
        <v>Basic</v>
      </c>
      <c r="P1777" s="7">
        <v>45657</v>
      </c>
    </row>
    <row r="1778" spans="1:16" x14ac:dyDescent="0.3">
      <c r="A1778">
        <v>1777</v>
      </c>
      <c r="B1778" s="7">
        <v>45108</v>
      </c>
      <c r="C1778" t="s">
        <v>14</v>
      </c>
      <c r="D1778">
        <v>399</v>
      </c>
      <c r="E1778">
        <v>19</v>
      </c>
      <c r="F1778">
        <v>4</v>
      </c>
      <c r="G1778">
        <v>3</v>
      </c>
      <c r="H1778">
        <v>32</v>
      </c>
      <c r="I1778">
        <v>10</v>
      </c>
      <c r="J1778" t="s">
        <v>13</v>
      </c>
      <c r="K1778">
        <f>IF(J1778="Yes", 1, 0)</f>
        <v>0</v>
      </c>
      <c r="L1778" t="str">
        <f>IF(G1778=0,"0 Failures","1+ Failures")</f>
        <v>1+ Failures</v>
      </c>
      <c r="M1778" t="str">
        <f t="shared" si="83"/>
        <v>10-20hrs</v>
      </c>
      <c r="N1778" t="str">
        <f t="shared" si="81"/>
        <v>12+ months</v>
      </c>
      <c r="O1778" t="str">
        <f t="shared" si="82"/>
        <v>Basic</v>
      </c>
      <c r="P1778" s="7">
        <v>45657</v>
      </c>
    </row>
    <row r="1779" spans="1:16" x14ac:dyDescent="0.3">
      <c r="A1779">
        <v>1778</v>
      </c>
      <c r="B1779" s="7">
        <v>45027</v>
      </c>
      <c r="C1779" t="s">
        <v>14</v>
      </c>
      <c r="D1779">
        <v>399</v>
      </c>
      <c r="E1779">
        <v>0.6</v>
      </c>
      <c r="F1779">
        <v>5</v>
      </c>
      <c r="G1779">
        <v>3</v>
      </c>
      <c r="H1779">
        <v>19</v>
      </c>
      <c r="I1779">
        <v>41</v>
      </c>
      <c r="J1779" t="s">
        <v>11</v>
      </c>
      <c r="K1779">
        <f>IF(J1779="Yes", 1, 0)</f>
        <v>1</v>
      </c>
      <c r="L1779" t="str">
        <f>IF(G1779=0,"0 Failures","1+ Failures")</f>
        <v>1+ Failures</v>
      </c>
      <c r="M1779" t="str">
        <f t="shared" si="83"/>
        <v>0-5 hrs</v>
      </c>
      <c r="N1779" t="str">
        <f t="shared" si="81"/>
        <v>12+ months</v>
      </c>
      <c r="O1779" t="str">
        <f t="shared" si="82"/>
        <v>Basic</v>
      </c>
      <c r="P1779" s="7">
        <v>45657</v>
      </c>
    </row>
    <row r="1780" spans="1:16" x14ac:dyDescent="0.3">
      <c r="A1780">
        <v>1779</v>
      </c>
      <c r="B1780" s="7">
        <v>45156</v>
      </c>
      <c r="C1780" t="s">
        <v>14</v>
      </c>
      <c r="D1780">
        <v>399</v>
      </c>
      <c r="E1780">
        <v>24.4</v>
      </c>
      <c r="F1780">
        <v>6</v>
      </c>
      <c r="G1780">
        <v>1</v>
      </c>
      <c r="H1780">
        <v>27</v>
      </c>
      <c r="I1780">
        <v>40</v>
      </c>
      <c r="J1780" t="s">
        <v>11</v>
      </c>
      <c r="K1780">
        <f>IF(J1780="Yes", 1, 0)</f>
        <v>1</v>
      </c>
      <c r="L1780" t="str">
        <f>IF(G1780=0,"0 Failures","1+ Failures")</f>
        <v>1+ Failures</v>
      </c>
      <c r="M1780" t="str">
        <f t="shared" si="83"/>
        <v>20+ hrs</v>
      </c>
      <c r="N1780" t="str">
        <f t="shared" si="81"/>
        <v>12+ months</v>
      </c>
      <c r="O1780" t="str">
        <f t="shared" si="82"/>
        <v>Basic</v>
      </c>
      <c r="P1780" s="7">
        <v>45657</v>
      </c>
    </row>
    <row r="1781" spans="1:16" x14ac:dyDescent="0.3">
      <c r="A1781">
        <v>1780</v>
      </c>
      <c r="B1781" s="7">
        <v>45097</v>
      </c>
      <c r="C1781" t="s">
        <v>12</v>
      </c>
      <c r="D1781">
        <v>199</v>
      </c>
      <c r="E1781">
        <v>25</v>
      </c>
      <c r="F1781">
        <v>6</v>
      </c>
      <c r="G1781">
        <v>0</v>
      </c>
      <c r="H1781">
        <v>33</v>
      </c>
      <c r="I1781">
        <v>20</v>
      </c>
      <c r="J1781" t="s">
        <v>13</v>
      </c>
      <c r="K1781">
        <f>IF(J1781="Yes", 1, 0)</f>
        <v>0</v>
      </c>
      <c r="L1781" t="str">
        <f>IF(G1781=0,"0 Failures","1+ Failures")</f>
        <v>0 Failures</v>
      </c>
      <c r="M1781" t="str">
        <f t="shared" si="83"/>
        <v>20+ hrs</v>
      </c>
      <c r="N1781" t="str">
        <f t="shared" si="81"/>
        <v>12+ months</v>
      </c>
      <c r="O1781" t="str">
        <f t="shared" si="82"/>
        <v>Basic</v>
      </c>
      <c r="P1781" s="7">
        <v>45657</v>
      </c>
    </row>
    <row r="1782" spans="1:16" x14ac:dyDescent="0.3">
      <c r="A1782">
        <v>1781</v>
      </c>
      <c r="B1782" s="7">
        <v>45596</v>
      </c>
      <c r="C1782" t="s">
        <v>10</v>
      </c>
      <c r="D1782">
        <v>699</v>
      </c>
      <c r="E1782">
        <v>17.3</v>
      </c>
      <c r="F1782">
        <v>5</v>
      </c>
      <c r="G1782">
        <v>0</v>
      </c>
      <c r="H1782">
        <v>31</v>
      </c>
      <c r="I1782">
        <v>47</v>
      </c>
      <c r="J1782" t="s">
        <v>13</v>
      </c>
      <c r="K1782">
        <f>IF(J1782="Yes", 1, 0)</f>
        <v>0</v>
      </c>
      <c r="L1782" t="str">
        <f>IF(G1782=0,"0 Failures","1+ Failures")</f>
        <v>0 Failures</v>
      </c>
      <c r="M1782" t="str">
        <f t="shared" si="83"/>
        <v>10-20hrs</v>
      </c>
      <c r="N1782" t="str">
        <f t="shared" si="81"/>
        <v>12+ months</v>
      </c>
      <c r="O1782" t="str">
        <f t="shared" si="82"/>
        <v>Premium</v>
      </c>
      <c r="P1782" s="7">
        <v>45657</v>
      </c>
    </row>
    <row r="1783" spans="1:16" x14ac:dyDescent="0.3">
      <c r="A1783">
        <v>1782</v>
      </c>
      <c r="B1783" s="7">
        <v>45172</v>
      </c>
      <c r="C1783" t="s">
        <v>14</v>
      </c>
      <c r="D1783">
        <v>399</v>
      </c>
      <c r="E1783">
        <v>13</v>
      </c>
      <c r="F1783">
        <v>3</v>
      </c>
      <c r="G1783">
        <v>1</v>
      </c>
      <c r="H1783">
        <v>36</v>
      </c>
      <c r="I1783">
        <v>29</v>
      </c>
      <c r="J1783" t="s">
        <v>13</v>
      </c>
      <c r="K1783">
        <f>IF(J1783="Yes", 1, 0)</f>
        <v>0</v>
      </c>
      <c r="L1783" t="str">
        <f>IF(G1783=0,"0 Failures","1+ Failures")</f>
        <v>1+ Failures</v>
      </c>
      <c r="M1783" t="str">
        <f t="shared" si="83"/>
        <v>10-20hrs</v>
      </c>
      <c r="N1783" t="str">
        <f t="shared" si="81"/>
        <v>12+ months</v>
      </c>
      <c r="O1783" t="str">
        <f t="shared" si="82"/>
        <v>Basic</v>
      </c>
      <c r="P1783" s="7">
        <v>45657</v>
      </c>
    </row>
    <row r="1784" spans="1:16" x14ac:dyDescent="0.3">
      <c r="A1784">
        <v>1783</v>
      </c>
      <c r="B1784" s="7">
        <v>44958</v>
      </c>
      <c r="C1784" t="s">
        <v>12</v>
      </c>
      <c r="D1784">
        <v>199</v>
      </c>
      <c r="E1784">
        <v>23.5</v>
      </c>
      <c r="F1784">
        <v>3</v>
      </c>
      <c r="G1784">
        <v>2</v>
      </c>
      <c r="H1784">
        <v>31</v>
      </c>
      <c r="I1784">
        <v>8</v>
      </c>
      <c r="J1784" t="s">
        <v>11</v>
      </c>
      <c r="K1784">
        <f>IF(J1784="Yes", 1, 0)</f>
        <v>1</v>
      </c>
      <c r="L1784" t="str">
        <f>IF(G1784=0,"0 Failures","1+ Failures")</f>
        <v>1+ Failures</v>
      </c>
      <c r="M1784" t="str">
        <f t="shared" si="83"/>
        <v>20+ hrs</v>
      </c>
      <c r="N1784" t="str">
        <f t="shared" si="81"/>
        <v>12+ months</v>
      </c>
      <c r="O1784" t="str">
        <f t="shared" si="82"/>
        <v>Basic</v>
      </c>
      <c r="P1784" s="7">
        <v>45657</v>
      </c>
    </row>
    <row r="1785" spans="1:16" x14ac:dyDescent="0.3">
      <c r="A1785">
        <v>1784</v>
      </c>
      <c r="B1785" s="7">
        <v>45399</v>
      </c>
      <c r="C1785" t="s">
        <v>12</v>
      </c>
      <c r="D1785">
        <v>199</v>
      </c>
      <c r="E1785">
        <v>11.8</v>
      </c>
      <c r="F1785">
        <v>7</v>
      </c>
      <c r="G1785">
        <v>1</v>
      </c>
      <c r="H1785">
        <v>30</v>
      </c>
      <c r="I1785">
        <v>50</v>
      </c>
      <c r="J1785" t="s">
        <v>11</v>
      </c>
      <c r="K1785">
        <f>IF(J1785="Yes", 1, 0)</f>
        <v>1</v>
      </c>
      <c r="L1785" t="str">
        <f>IF(G1785=0,"0 Failures","1+ Failures")</f>
        <v>1+ Failures</v>
      </c>
      <c r="M1785" t="str">
        <f t="shared" si="83"/>
        <v>10-20hrs</v>
      </c>
      <c r="N1785" t="str">
        <f t="shared" si="81"/>
        <v>12+ months</v>
      </c>
      <c r="O1785" t="str">
        <f t="shared" si="82"/>
        <v>Basic</v>
      </c>
      <c r="P1785" s="7">
        <v>45657</v>
      </c>
    </row>
    <row r="1786" spans="1:16" x14ac:dyDescent="0.3">
      <c r="A1786">
        <v>1785</v>
      </c>
      <c r="B1786" s="7">
        <v>44998</v>
      </c>
      <c r="C1786" t="s">
        <v>10</v>
      </c>
      <c r="D1786">
        <v>699</v>
      </c>
      <c r="E1786">
        <v>20.2</v>
      </c>
      <c r="F1786">
        <v>5</v>
      </c>
      <c r="G1786">
        <v>1</v>
      </c>
      <c r="H1786">
        <v>8</v>
      </c>
      <c r="I1786">
        <v>15</v>
      </c>
      <c r="J1786" t="s">
        <v>13</v>
      </c>
      <c r="K1786">
        <f>IF(J1786="Yes", 1, 0)</f>
        <v>0</v>
      </c>
      <c r="L1786" t="str">
        <f>IF(G1786=0,"0 Failures","1+ Failures")</f>
        <v>1+ Failures</v>
      </c>
      <c r="M1786" t="str">
        <f t="shared" si="83"/>
        <v>20+ hrs</v>
      </c>
      <c r="N1786" t="str">
        <f t="shared" si="81"/>
        <v>6-12months</v>
      </c>
      <c r="O1786" t="str">
        <f t="shared" si="82"/>
        <v>Premium</v>
      </c>
      <c r="P1786" s="7">
        <v>45657</v>
      </c>
    </row>
    <row r="1787" spans="1:16" x14ac:dyDescent="0.3">
      <c r="A1787">
        <v>1786</v>
      </c>
      <c r="B1787" s="7">
        <v>44999</v>
      </c>
      <c r="C1787" t="s">
        <v>12</v>
      </c>
      <c r="D1787">
        <v>199</v>
      </c>
      <c r="E1787">
        <v>17.2</v>
      </c>
      <c r="F1787">
        <v>6</v>
      </c>
      <c r="G1787">
        <v>4</v>
      </c>
      <c r="H1787">
        <v>3</v>
      </c>
      <c r="I1787">
        <v>30</v>
      </c>
      <c r="J1787" t="s">
        <v>13</v>
      </c>
      <c r="K1787">
        <f>IF(J1787="Yes", 1, 0)</f>
        <v>0</v>
      </c>
      <c r="L1787" t="str">
        <f>IF(G1787=0,"0 Failures","1+ Failures")</f>
        <v>1+ Failures</v>
      </c>
      <c r="M1787" t="str">
        <f t="shared" si="83"/>
        <v>10-20hrs</v>
      </c>
      <c r="N1787" t="str">
        <f t="shared" si="81"/>
        <v>0-3months</v>
      </c>
      <c r="O1787" t="str">
        <f t="shared" si="82"/>
        <v>Basic</v>
      </c>
      <c r="P1787" s="7">
        <v>45657</v>
      </c>
    </row>
    <row r="1788" spans="1:16" x14ac:dyDescent="0.3">
      <c r="A1788">
        <v>1787</v>
      </c>
      <c r="B1788" s="7">
        <v>45589</v>
      </c>
      <c r="C1788" t="s">
        <v>14</v>
      </c>
      <c r="D1788">
        <v>399</v>
      </c>
      <c r="E1788">
        <v>22.1</v>
      </c>
      <c r="F1788">
        <v>8</v>
      </c>
      <c r="G1788">
        <v>0</v>
      </c>
      <c r="H1788">
        <v>17</v>
      </c>
      <c r="I1788">
        <v>45</v>
      </c>
      <c r="J1788" t="s">
        <v>13</v>
      </c>
      <c r="K1788">
        <f>IF(J1788="Yes", 1, 0)</f>
        <v>0</v>
      </c>
      <c r="L1788" t="str">
        <f>IF(G1788=0,"0 Failures","1+ Failures")</f>
        <v>0 Failures</v>
      </c>
      <c r="M1788" t="str">
        <f t="shared" si="83"/>
        <v>20+ hrs</v>
      </c>
      <c r="N1788" t="str">
        <f t="shared" si="81"/>
        <v>12+ months</v>
      </c>
      <c r="O1788" t="str">
        <f t="shared" si="82"/>
        <v>Basic</v>
      </c>
      <c r="P1788" s="7">
        <v>45657</v>
      </c>
    </row>
    <row r="1789" spans="1:16" x14ac:dyDescent="0.3">
      <c r="A1789">
        <v>1788</v>
      </c>
      <c r="B1789" s="7">
        <v>44967</v>
      </c>
      <c r="C1789" t="s">
        <v>10</v>
      </c>
      <c r="D1789">
        <v>699</v>
      </c>
      <c r="E1789">
        <v>11.2</v>
      </c>
      <c r="F1789">
        <v>0</v>
      </c>
      <c r="G1789">
        <v>2</v>
      </c>
      <c r="H1789">
        <v>2</v>
      </c>
      <c r="I1789">
        <v>51</v>
      </c>
      <c r="J1789" t="s">
        <v>11</v>
      </c>
      <c r="K1789">
        <f>IF(J1789="Yes", 1, 0)</f>
        <v>1</v>
      </c>
      <c r="L1789" t="str">
        <f>IF(G1789=0,"0 Failures","1+ Failures")</f>
        <v>1+ Failures</v>
      </c>
      <c r="M1789" t="str">
        <f t="shared" si="83"/>
        <v>10-20hrs</v>
      </c>
      <c r="N1789" t="str">
        <f t="shared" si="81"/>
        <v>0-3months</v>
      </c>
      <c r="O1789" t="str">
        <f t="shared" si="82"/>
        <v>Premium</v>
      </c>
      <c r="P1789" s="7">
        <v>45657</v>
      </c>
    </row>
    <row r="1790" spans="1:16" x14ac:dyDescent="0.3">
      <c r="A1790">
        <v>1789</v>
      </c>
      <c r="B1790" s="7">
        <v>45054</v>
      </c>
      <c r="C1790" t="s">
        <v>14</v>
      </c>
      <c r="D1790">
        <v>399</v>
      </c>
      <c r="E1790">
        <v>18.100000000000001</v>
      </c>
      <c r="F1790">
        <v>8</v>
      </c>
      <c r="G1790">
        <v>5</v>
      </c>
      <c r="H1790">
        <v>26</v>
      </c>
      <c r="I1790">
        <v>41</v>
      </c>
      <c r="J1790" t="s">
        <v>11</v>
      </c>
      <c r="K1790">
        <f>IF(J1790="Yes", 1, 0)</f>
        <v>1</v>
      </c>
      <c r="L1790" t="str">
        <f>IF(G1790=0,"0 Failures","1+ Failures")</f>
        <v>1+ Failures</v>
      </c>
      <c r="M1790" t="str">
        <f t="shared" si="83"/>
        <v>10-20hrs</v>
      </c>
      <c r="N1790" t="str">
        <f t="shared" si="81"/>
        <v>12+ months</v>
      </c>
      <c r="O1790" t="str">
        <f t="shared" si="82"/>
        <v>Basic</v>
      </c>
      <c r="P1790" s="7">
        <v>45657</v>
      </c>
    </row>
    <row r="1791" spans="1:16" x14ac:dyDescent="0.3">
      <c r="A1791">
        <v>1790</v>
      </c>
      <c r="B1791" s="7">
        <v>45599</v>
      </c>
      <c r="C1791" t="s">
        <v>12</v>
      </c>
      <c r="D1791">
        <v>199</v>
      </c>
      <c r="E1791">
        <v>21.3</v>
      </c>
      <c r="F1791">
        <v>1</v>
      </c>
      <c r="G1791">
        <v>5</v>
      </c>
      <c r="H1791">
        <v>10</v>
      </c>
      <c r="I1791">
        <v>10</v>
      </c>
      <c r="J1791" t="s">
        <v>13</v>
      </c>
      <c r="K1791">
        <f>IF(J1791="Yes", 1, 0)</f>
        <v>0</v>
      </c>
      <c r="L1791" t="str">
        <f>IF(G1791=0,"0 Failures","1+ Failures")</f>
        <v>1+ Failures</v>
      </c>
      <c r="M1791" t="str">
        <f t="shared" si="83"/>
        <v>20+ hrs</v>
      </c>
      <c r="N1791" t="str">
        <f t="shared" si="81"/>
        <v>6-12months</v>
      </c>
      <c r="O1791" t="str">
        <f t="shared" si="82"/>
        <v>Basic</v>
      </c>
      <c r="P1791" s="7">
        <v>45657</v>
      </c>
    </row>
    <row r="1792" spans="1:16" x14ac:dyDescent="0.3">
      <c r="A1792">
        <v>1791</v>
      </c>
      <c r="B1792" s="7">
        <v>45584</v>
      </c>
      <c r="C1792" t="s">
        <v>14</v>
      </c>
      <c r="D1792">
        <v>399</v>
      </c>
      <c r="E1792">
        <v>22.9</v>
      </c>
      <c r="F1792">
        <v>7</v>
      </c>
      <c r="G1792">
        <v>1</v>
      </c>
      <c r="H1792">
        <v>10</v>
      </c>
      <c r="I1792">
        <v>16</v>
      </c>
      <c r="J1792" t="s">
        <v>11</v>
      </c>
      <c r="K1792">
        <f>IF(J1792="Yes", 1, 0)</f>
        <v>1</v>
      </c>
      <c r="L1792" t="str">
        <f>IF(G1792=0,"0 Failures","1+ Failures")</f>
        <v>1+ Failures</v>
      </c>
      <c r="M1792" t="str">
        <f t="shared" si="83"/>
        <v>20+ hrs</v>
      </c>
      <c r="N1792" t="str">
        <f t="shared" si="81"/>
        <v>6-12months</v>
      </c>
      <c r="O1792" t="str">
        <f t="shared" si="82"/>
        <v>Basic</v>
      </c>
      <c r="P1792" s="7">
        <v>45657</v>
      </c>
    </row>
    <row r="1793" spans="1:16" x14ac:dyDescent="0.3">
      <c r="A1793">
        <v>1792</v>
      </c>
      <c r="B1793" s="7">
        <v>45229</v>
      </c>
      <c r="C1793" t="s">
        <v>10</v>
      </c>
      <c r="D1793">
        <v>699</v>
      </c>
      <c r="E1793">
        <v>11.7</v>
      </c>
      <c r="F1793">
        <v>7</v>
      </c>
      <c r="G1793">
        <v>1</v>
      </c>
      <c r="H1793">
        <v>5</v>
      </c>
      <c r="I1793">
        <v>48</v>
      </c>
      <c r="J1793" t="s">
        <v>11</v>
      </c>
      <c r="K1793">
        <f>IF(J1793="Yes", 1, 0)</f>
        <v>1</v>
      </c>
      <c r="L1793" t="str">
        <f>IF(G1793=0,"0 Failures","1+ Failures")</f>
        <v>1+ Failures</v>
      </c>
      <c r="M1793" t="str">
        <f t="shared" si="83"/>
        <v>10-20hrs</v>
      </c>
      <c r="N1793" t="str">
        <f t="shared" si="81"/>
        <v>3-6months</v>
      </c>
      <c r="O1793" t="str">
        <f t="shared" si="82"/>
        <v>Premium</v>
      </c>
      <c r="P1793" s="7">
        <v>45657</v>
      </c>
    </row>
    <row r="1794" spans="1:16" x14ac:dyDescent="0.3">
      <c r="A1794">
        <v>1793</v>
      </c>
      <c r="B1794" s="7">
        <v>45535</v>
      </c>
      <c r="C1794" t="s">
        <v>10</v>
      </c>
      <c r="D1794">
        <v>699</v>
      </c>
      <c r="E1794">
        <v>8.6</v>
      </c>
      <c r="F1794">
        <v>7</v>
      </c>
      <c r="G1794">
        <v>5</v>
      </c>
      <c r="H1794">
        <v>29</v>
      </c>
      <c r="I1794">
        <v>16</v>
      </c>
      <c r="J1794" t="s">
        <v>13</v>
      </c>
      <c r="K1794">
        <f>IF(J1794="Yes", 1, 0)</f>
        <v>0</v>
      </c>
      <c r="L1794" t="str">
        <f>IF(G1794=0,"0 Failures","1+ Failures")</f>
        <v>1+ Failures</v>
      </c>
      <c r="M1794" t="str">
        <f t="shared" si="83"/>
        <v>5-10 hrs</v>
      </c>
      <c r="N1794" t="str">
        <f t="shared" si="81"/>
        <v>12+ months</v>
      </c>
      <c r="O1794" t="str">
        <f t="shared" si="82"/>
        <v>Premium</v>
      </c>
      <c r="P1794" s="7">
        <v>45657</v>
      </c>
    </row>
    <row r="1795" spans="1:16" x14ac:dyDescent="0.3">
      <c r="A1795">
        <v>1794</v>
      </c>
      <c r="B1795" s="7">
        <v>45504</v>
      </c>
      <c r="C1795" t="s">
        <v>12</v>
      </c>
      <c r="D1795">
        <v>199</v>
      </c>
      <c r="E1795">
        <v>4.0999999999999996</v>
      </c>
      <c r="F1795">
        <v>4</v>
      </c>
      <c r="G1795">
        <v>0</v>
      </c>
      <c r="H1795">
        <v>9</v>
      </c>
      <c r="I1795">
        <v>14</v>
      </c>
      <c r="J1795" t="s">
        <v>13</v>
      </c>
      <c r="K1795">
        <f>IF(J1795="Yes", 1, 0)</f>
        <v>0</v>
      </c>
      <c r="L1795" t="str">
        <f>IF(G1795=0,"0 Failures","1+ Failures")</f>
        <v>0 Failures</v>
      </c>
      <c r="M1795" t="str">
        <f t="shared" si="83"/>
        <v>0-5 hrs</v>
      </c>
      <c r="N1795" t="str">
        <f t="shared" ref="N1795:N1858" si="84">IF(H1795&lt;=3, "0-3months", IF(H1795&lt;=6, "3-6months", IF(H1795&lt;=12, "6-12months", "12+ months")))</f>
        <v>6-12months</v>
      </c>
      <c r="O1795" t="str">
        <f t="shared" ref="O1795:O1858" si="85">IF(C1795="premium", "Premium", "Basic")</f>
        <v>Basic</v>
      </c>
      <c r="P1795" s="7">
        <v>45657</v>
      </c>
    </row>
    <row r="1796" spans="1:16" x14ac:dyDescent="0.3">
      <c r="A1796">
        <v>1795</v>
      </c>
      <c r="B1796" s="7">
        <v>45657</v>
      </c>
      <c r="C1796" t="s">
        <v>14</v>
      </c>
      <c r="D1796">
        <v>399</v>
      </c>
      <c r="E1796">
        <v>8</v>
      </c>
      <c r="F1796">
        <v>2</v>
      </c>
      <c r="G1796">
        <v>4</v>
      </c>
      <c r="H1796">
        <v>19</v>
      </c>
      <c r="I1796">
        <v>40</v>
      </c>
      <c r="J1796" t="s">
        <v>11</v>
      </c>
      <c r="K1796">
        <f>IF(J1796="Yes", 1, 0)</f>
        <v>1</v>
      </c>
      <c r="L1796" t="str">
        <f>IF(G1796=0,"0 Failures","1+ Failures")</f>
        <v>1+ Failures</v>
      </c>
      <c r="M1796" t="str">
        <f t="shared" si="83"/>
        <v>5-10 hrs</v>
      </c>
      <c r="N1796" t="str">
        <f t="shared" si="84"/>
        <v>12+ months</v>
      </c>
      <c r="O1796" t="str">
        <f t="shared" si="85"/>
        <v>Basic</v>
      </c>
      <c r="P1796" s="7">
        <v>45657</v>
      </c>
    </row>
    <row r="1797" spans="1:16" x14ac:dyDescent="0.3">
      <c r="A1797">
        <v>1796</v>
      </c>
      <c r="B1797" s="7">
        <v>45320</v>
      </c>
      <c r="C1797" t="s">
        <v>14</v>
      </c>
      <c r="D1797">
        <v>399</v>
      </c>
      <c r="E1797">
        <v>4.3</v>
      </c>
      <c r="F1797">
        <v>2</v>
      </c>
      <c r="G1797">
        <v>1</v>
      </c>
      <c r="H1797">
        <v>19</v>
      </c>
      <c r="I1797">
        <v>38</v>
      </c>
      <c r="J1797" t="s">
        <v>11</v>
      </c>
      <c r="K1797">
        <f>IF(J1797="Yes", 1, 0)</f>
        <v>1</v>
      </c>
      <c r="L1797" t="str">
        <f>IF(G1797=0,"0 Failures","1+ Failures")</f>
        <v>1+ Failures</v>
      </c>
      <c r="M1797" t="str">
        <f t="shared" si="83"/>
        <v>0-5 hrs</v>
      </c>
      <c r="N1797" t="str">
        <f t="shared" si="84"/>
        <v>12+ months</v>
      </c>
      <c r="O1797" t="str">
        <f t="shared" si="85"/>
        <v>Basic</v>
      </c>
      <c r="P1797" s="7">
        <v>45657</v>
      </c>
    </row>
    <row r="1798" spans="1:16" x14ac:dyDescent="0.3">
      <c r="A1798">
        <v>1797</v>
      </c>
      <c r="B1798" s="7">
        <v>44939</v>
      </c>
      <c r="C1798" t="s">
        <v>14</v>
      </c>
      <c r="D1798">
        <v>399</v>
      </c>
      <c r="E1798">
        <v>1.2</v>
      </c>
      <c r="F1798">
        <v>3</v>
      </c>
      <c r="G1798">
        <v>4</v>
      </c>
      <c r="H1798">
        <v>15</v>
      </c>
      <c r="I1798">
        <v>19</v>
      </c>
      <c r="J1798" t="s">
        <v>11</v>
      </c>
      <c r="K1798">
        <f>IF(J1798="Yes", 1, 0)</f>
        <v>1</v>
      </c>
      <c r="L1798" t="str">
        <f>IF(G1798=0,"0 Failures","1+ Failures")</f>
        <v>1+ Failures</v>
      </c>
      <c r="M1798" t="str">
        <f t="shared" si="83"/>
        <v>0-5 hrs</v>
      </c>
      <c r="N1798" t="str">
        <f t="shared" si="84"/>
        <v>12+ months</v>
      </c>
      <c r="O1798" t="str">
        <f t="shared" si="85"/>
        <v>Basic</v>
      </c>
      <c r="P1798" s="7">
        <v>45657</v>
      </c>
    </row>
    <row r="1799" spans="1:16" x14ac:dyDescent="0.3">
      <c r="A1799">
        <v>1798</v>
      </c>
      <c r="B1799" s="7">
        <v>45101</v>
      </c>
      <c r="C1799" t="s">
        <v>14</v>
      </c>
      <c r="D1799">
        <v>399</v>
      </c>
      <c r="E1799">
        <v>18.2</v>
      </c>
      <c r="F1799">
        <v>8</v>
      </c>
      <c r="G1799">
        <v>3</v>
      </c>
      <c r="H1799">
        <v>24</v>
      </c>
      <c r="I1799">
        <v>30</v>
      </c>
      <c r="J1799" t="s">
        <v>11</v>
      </c>
      <c r="K1799">
        <f>IF(J1799="Yes", 1, 0)</f>
        <v>1</v>
      </c>
      <c r="L1799" t="str">
        <f>IF(G1799=0,"0 Failures","1+ Failures")</f>
        <v>1+ Failures</v>
      </c>
      <c r="M1799" t="str">
        <f t="shared" si="83"/>
        <v>10-20hrs</v>
      </c>
      <c r="N1799" t="str">
        <f t="shared" si="84"/>
        <v>12+ months</v>
      </c>
      <c r="O1799" t="str">
        <f t="shared" si="85"/>
        <v>Basic</v>
      </c>
      <c r="P1799" s="7">
        <v>45657</v>
      </c>
    </row>
    <row r="1800" spans="1:16" x14ac:dyDescent="0.3">
      <c r="A1800">
        <v>1799</v>
      </c>
      <c r="B1800" s="7">
        <v>45423</v>
      </c>
      <c r="C1800" t="s">
        <v>14</v>
      </c>
      <c r="D1800">
        <v>399</v>
      </c>
      <c r="E1800">
        <v>14.9</v>
      </c>
      <c r="F1800">
        <v>8</v>
      </c>
      <c r="G1800">
        <v>2</v>
      </c>
      <c r="H1800">
        <v>10</v>
      </c>
      <c r="I1800">
        <v>33</v>
      </c>
      <c r="J1800" t="s">
        <v>11</v>
      </c>
      <c r="K1800">
        <f>IF(J1800="Yes", 1, 0)</f>
        <v>1</v>
      </c>
      <c r="L1800" t="str">
        <f>IF(G1800=0,"0 Failures","1+ Failures")</f>
        <v>1+ Failures</v>
      </c>
      <c r="M1800" t="str">
        <f t="shared" si="83"/>
        <v>10-20hrs</v>
      </c>
      <c r="N1800" t="str">
        <f t="shared" si="84"/>
        <v>6-12months</v>
      </c>
      <c r="O1800" t="str">
        <f t="shared" si="85"/>
        <v>Basic</v>
      </c>
      <c r="P1800" s="7">
        <v>45657</v>
      </c>
    </row>
    <row r="1801" spans="1:16" x14ac:dyDescent="0.3">
      <c r="A1801">
        <v>1800</v>
      </c>
      <c r="B1801" s="7">
        <v>44941</v>
      </c>
      <c r="C1801" t="s">
        <v>10</v>
      </c>
      <c r="D1801">
        <v>699</v>
      </c>
      <c r="E1801">
        <v>21.8</v>
      </c>
      <c r="F1801">
        <v>7</v>
      </c>
      <c r="G1801">
        <v>1</v>
      </c>
      <c r="H1801">
        <v>11</v>
      </c>
      <c r="I1801">
        <v>30</v>
      </c>
      <c r="J1801" t="s">
        <v>13</v>
      </c>
      <c r="K1801">
        <f>IF(J1801="Yes", 1, 0)</f>
        <v>0</v>
      </c>
      <c r="L1801" t="str">
        <f>IF(G1801=0,"0 Failures","1+ Failures")</f>
        <v>1+ Failures</v>
      </c>
      <c r="M1801" t="str">
        <f t="shared" si="83"/>
        <v>20+ hrs</v>
      </c>
      <c r="N1801" t="str">
        <f t="shared" si="84"/>
        <v>6-12months</v>
      </c>
      <c r="O1801" t="str">
        <f t="shared" si="85"/>
        <v>Premium</v>
      </c>
      <c r="P1801" s="7">
        <v>45657</v>
      </c>
    </row>
    <row r="1802" spans="1:16" x14ac:dyDescent="0.3">
      <c r="A1802">
        <v>1801</v>
      </c>
      <c r="B1802" s="7">
        <v>45550</v>
      </c>
      <c r="C1802" t="s">
        <v>10</v>
      </c>
      <c r="D1802">
        <v>699</v>
      </c>
      <c r="E1802">
        <v>8.9</v>
      </c>
      <c r="F1802">
        <v>4</v>
      </c>
      <c r="G1802">
        <v>1</v>
      </c>
      <c r="H1802">
        <v>5</v>
      </c>
      <c r="I1802">
        <v>14</v>
      </c>
      <c r="J1802" t="s">
        <v>11</v>
      </c>
      <c r="K1802">
        <f>IF(J1802="Yes", 1, 0)</f>
        <v>1</v>
      </c>
      <c r="L1802" t="str">
        <f>IF(G1802=0,"0 Failures","1+ Failures")</f>
        <v>1+ Failures</v>
      </c>
      <c r="M1802" t="str">
        <f t="shared" si="83"/>
        <v>5-10 hrs</v>
      </c>
      <c r="N1802" t="str">
        <f t="shared" si="84"/>
        <v>3-6months</v>
      </c>
      <c r="O1802" t="str">
        <f t="shared" si="85"/>
        <v>Premium</v>
      </c>
      <c r="P1802" s="7">
        <v>45657</v>
      </c>
    </row>
    <row r="1803" spans="1:16" x14ac:dyDescent="0.3">
      <c r="A1803">
        <v>1802</v>
      </c>
      <c r="B1803" s="7">
        <v>45580</v>
      </c>
      <c r="C1803" t="s">
        <v>10</v>
      </c>
      <c r="D1803">
        <v>699</v>
      </c>
      <c r="E1803">
        <v>16.399999999999999</v>
      </c>
      <c r="F1803">
        <v>5</v>
      </c>
      <c r="G1803">
        <v>3</v>
      </c>
      <c r="H1803">
        <v>8</v>
      </c>
      <c r="I1803">
        <v>29</v>
      </c>
      <c r="J1803" t="s">
        <v>11</v>
      </c>
      <c r="K1803">
        <f>IF(J1803="Yes", 1, 0)</f>
        <v>1</v>
      </c>
      <c r="L1803" t="str">
        <f>IF(G1803=0,"0 Failures","1+ Failures")</f>
        <v>1+ Failures</v>
      </c>
      <c r="M1803" t="str">
        <f t="shared" ref="M1803:M1866" si="86">IF(E1803&lt;=5, "0-5 hrs",    IF(E1803&lt;=10, "5-10 hrs",    IF(E1803&lt;=20, "10-20hrs", "20+ hrs")))</f>
        <v>10-20hrs</v>
      </c>
      <c r="N1803" t="str">
        <f t="shared" si="84"/>
        <v>6-12months</v>
      </c>
      <c r="O1803" t="str">
        <f t="shared" si="85"/>
        <v>Premium</v>
      </c>
      <c r="P1803" s="7">
        <v>45657</v>
      </c>
    </row>
    <row r="1804" spans="1:16" x14ac:dyDescent="0.3">
      <c r="A1804">
        <v>1803</v>
      </c>
      <c r="B1804" s="7">
        <v>45568</v>
      </c>
      <c r="C1804" t="s">
        <v>12</v>
      </c>
      <c r="D1804">
        <v>199</v>
      </c>
      <c r="E1804">
        <v>22.5</v>
      </c>
      <c r="F1804">
        <v>3</v>
      </c>
      <c r="G1804">
        <v>2</v>
      </c>
      <c r="H1804">
        <v>34</v>
      </c>
      <c r="I1804">
        <v>42</v>
      </c>
      <c r="J1804" t="s">
        <v>11</v>
      </c>
      <c r="K1804">
        <f>IF(J1804="Yes", 1, 0)</f>
        <v>1</v>
      </c>
      <c r="L1804" t="str">
        <f>IF(G1804=0,"0 Failures","1+ Failures")</f>
        <v>1+ Failures</v>
      </c>
      <c r="M1804" t="str">
        <f t="shared" si="86"/>
        <v>20+ hrs</v>
      </c>
      <c r="N1804" t="str">
        <f t="shared" si="84"/>
        <v>12+ months</v>
      </c>
      <c r="O1804" t="str">
        <f t="shared" si="85"/>
        <v>Basic</v>
      </c>
      <c r="P1804" s="7">
        <v>45657</v>
      </c>
    </row>
    <row r="1805" spans="1:16" x14ac:dyDescent="0.3">
      <c r="A1805">
        <v>1804</v>
      </c>
      <c r="B1805" s="7">
        <v>45477</v>
      </c>
      <c r="C1805" t="s">
        <v>12</v>
      </c>
      <c r="D1805">
        <v>199</v>
      </c>
      <c r="E1805">
        <v>12.9</v>
      </c>
      <c r="F1805">
        <v>4</v>
      </c>
      <c r="G1805">
        <v>4</v>
      </c>
      <c r="H1805">
        <v>22</v>
      </c>
      <c r="I1805">
        <v>34</v>
      </c>
      <c r="J1805" t="s">
        <v>13</v>
      </c>
      <c r="K1805">
        <f>IF(J1805="Yes", 1, 0)</f>
        <v>0</v>
      </c>
      <c r="L1805" t="str">
        <f>IF(G1805=0,"0 Failures","1+ Failures")</f>
        <v>1+ Failures</v>
      </c>
      <c r="M1805" t="str">
        <f t="shared" si="86"/>
        <v>10-20hrs</v>
      </c>
      <c r="N1805" t="str">
        <f t="shared" si="84"/>
        <v>12+ months</v>
      </c>
      <c r="O1805" t="str">
        <f t="shared" si="85"/>
        <v>Basic</v>
      </c>
      <c r="P1805" s="7">
        <v>45657</v>
      </c>
    </row>
    <row r="1806" spans="1:16" x14ac:dyDescent="0.3">
      <c r="A1806">
        <v>1805</v>
      </c>
      <c r="B1806" s="7">
        <v>45114</v>
      </c>
      <c r="C1806" t="s">
        <v>12</v>
      </c>
      <c r="D1806">
        <v>199</v>
      </c>
      <c r="E1806">
        <v>11.4</v>
      </c>
      <c r="F1806">
        <v>8</v>
      </c>
      <c r="G1806">
        <v>1</v>
      </c>
      <c r="H1806">
        <v>4</v>
      </c>
      <c r="I1806">
        <v>15</v>
      </c>
      <c r="J1806" t="s">
        <v>13</v>
      </c>
      <c r="K1806">
        <f>IF(J1806="Yes", 1, 0)</f>
        <v>0</v>
      </c>
      <c r="L1806" t="str">
        <f>IF(G1806=0,"0 Failures","1+ Failures")</f>
        <v>1+ Failures</v>
      </c>
      <c r="M1806" t="str">
        <f t="shared" si="86"/>
        <v>10-20hrs</v>
      </c>
      <c r="N1806" t="str">
        <f t="shared" si="84"/>
        <v>3-6months</v>
      </c>
      <c r="O1806" t="str">
        <f t="shared" si="85"/>
        <v>Basic</v>
      </c>
      <c r="P1806" s="7">
        <v>45657</v>
      </c>
    </row>
    <row r="1807" spans="1:16" x14ac:dyDescent="0.3">
      <c r="A1807">
        <v>1806</v>
      </c>
      <c r="B1807" s="7">
        <v>45199</v>
      </c>
      <c r="C1807" t="s">
        <v>10</v>
      </c>
      <c r="D1807">
        <v>699</v>
      </c>
      <c r="E1807">
        <v>6.1</v>
      </c>
      <c r="F1807">
        <v>7</v>
      </c>
      <c r="G1807">
        <v>1</v>
      </c>
      <c r="H1807">
        <v>16</v>
      </c>
      <c r="I1807">
        <v>2</v>
      </c>
      <c r="J1807" t="s">
        <v>13</v>
      </c>
      <c r="K1807">
        <f>IF(J1807="Yes", 1, 0)</f>
        <v>0</v>
      </c>
      <c r="L1807" t="str">
        <f>IF(G1807=0,"0 Failures","1+ Failures")</f>
        <v>1+ Failures</v>
      </c>
      <c r="M1807" t="str">
        <f t="shared" si="86"/>
        <v>5-10 hrs</v>
      </c>
      <c r="N1807" t="str">
        <f t="shared" si="84"/>
        <v>12+ months</v>
      </c>
      <c r="O1807" t="str">
        <f t="shared" si="85"/>
        <v>Premium</v>
      </c>
      <c r="P1807" s="7">
        <v>45657</v>
      </c>
    </row>
    <row r="1808" spans="1:16" x14ac:dyDescent="0.3">
      <c r="A1808">
        <v>1807</v>
      </c>
      <c r="B1808" s="7">
        <v>45062</v>
      </c>
      <c r="C1808" t="s">
        <v>10</v>
      </c>
      <c r="D1808">
        <v>699</v>
      </c>
      <c r="E1808">
        <v>2.7</v>
      </c>
      <c r="F1808">
        <v>3</v>
      </c>
      <c r="G1808">
        <v>5</v>
      </c>
      <c r="H1808">
        <v>18</v>
      </c>
      <c r="I1808">
        <v>53</v>
      </c>
      <c r="J1808" t="s">
        <v>13</v>
      </c>
      <c r="K1808">
        <f>IF(J1808="Yes", 1, 0)</f>
        <v>0</v>
      </c>
      <c r="L1808" t="str">
        <f>IF(G1808=0,"0 Failures","1+ Failures")</f>
        <v>1+ Failures</v>
      </c>
      <c r="M1808" t="str">
        <f t="shared" si="86"/>
        <v>0-5 hrs</v>
      </c>
      <c r="N1808" t="str">
        <f t="shared" si="84"/>
        <v>12+ months</v>
      </c>
      <c r="O1808" t="str">
        <f t="shared" si="85"/>
        <v>Premium</v>
      </c>
      <c r="P1808" s="7">
        <v>45657</v>
      </c>
    </row>
    <row r="1809" spans="1:16" x14ac:dyDescent="0.3">
      <c r="A1809">
        <v>1808</v>
      </c>
      <c r="B1809" s="7">
        <v>45415</v>
      </c>
      <c r="C1809" t="s">
        <v>10</v>
      </c>
      <c r="D1809">
        <v>699</v>
      </c>
      <c r="E1809">
        <v>2</v>
      </c>
      <c r="F1809">
        <v>3</v>
      </c>
      <c r="G1809">
        <v>1</v>
      </c>
      <c r="H1809">
        <v>20</v>
      </c>
      <c r="I1809">
        <v>37</v>
      </c>
      <c r="J1809" t="s">
        <v>13</v>
      </c>
      <c r="K1809">
        <f>IF(J1809="Yes", 1, 0)</f>
        <v>0</v>
      </c>
      <c r="L1809" t="str">
        <f>IF(G1809=0,"0 Failures","1+ Failures")</f>
        <v>1+ Failures</v>
      </c>
      <c r="M1809" t="str">
        <f t="shared" si="86"/>
        <v>0-5 hrs</v>
      </c>
      <c r="N1809" t="str">
        <f t="shared" si="84"/>
        <v>12+ months</v>
      </c>
      <c r="O1809" t="str">
        <f t="shared" si="85"/>
        <v>Premium</v>
      </c>
      <c r="P1809" s="7">
        <v>45657</v>
      </c>
    </row>
    <row r="1810" spans="1:16" x14ac:dyDescent="0.3">
      <c r="A1810">
        <v>1809</v>
      </c>
      <c r="B1810" s="7">
        <v>45128</v>
      </c>
      <c r="C1810" t="s">
        <v>14</v>
      </c>
      <c r="D1810">
        <v>399</v>
      </c>
      <c r="E1810">
        <v>13.7</v>
      </c>
      <c r="F1810">
        <v>0</v>
      </c>
      <c r="G1810">
        <v>2</v>
      </c>
      <c r="H1810">
        <v>7</v>
      </c>
      <c r="I1810">
        <v>50</v>
      </c>
      <c r="J1810" t="s">
        <v>13</v>
      </c>
      <c r="K1810">
        <f>IF(J1810="Yes", 1, 0)</f>
        <v>0</v>
      </c>
      <c r="L1810" t="str">
        <f>IF(G1810=0,"0 Failures","1+ Failures")</f>
        <v>1+ Failures</v>
      </c>
      <c r="M1810" t="str">
        <f t="shared" si="86"/>
        <v>10-20hrs</v>
      </c>
      <c r="N1810" t="str">
        <f t="shared" si="84"/>
        <v>6-12months</v>
      </c>
      <c r="O1810" t="str">
        <f t="shared" si="85"/>
        <v>Basic</v>
      </c>
      <c r="P1810" s="7">
        <v>45657</v>
      </c>
    </row>
    <row r="1811" spans="1:16" x14ac:dyDescent="0.3">
      <c r="A1811">
        <v>1810</v>
      </c>
      <c r="B1811" s="7">
        <v>45147</v>
      </c>
      <c r="C1811" t="s">
        <v>14</v>
      </c>
      <c r="D1811">
        <v>399</v>
      </c>
      <c r="E1811">
        <v>11.3</v>
      </c>
      <c r="F1811">
        <v>7</v>
      </c>
      <c r="G1811">
        <v>1</v>
      </c>
      <c r="H1811">
        <v>8</v>
      </c>
      <c r="I1811">
        <v>6</v>
      </c>
      <c r="J1811" t="s">
        <v>13</v>
      </c>
      <c r="K1811">
        <f>IF(J1811="Yes", 1, 0)</f>
        <v>0</v>
      </c>
      <c r="L1811" t="str">
        <f>IF(G1811=0,"0 Failures","1+ Failures")</f>
        <v>1+ Failures</v>
      </c>
      <c r="M1811" t="str">
        <f t="shared" si="86"/>
        <v>10-20hrs</v>
      </c>
      <c r="N1811" t="str">
        <f t="shared" si="84"/>
        <v>6-12months</v>
      </c>
      <c r="O1811" t="str">
        <f t="shared" si="85"/>
        <v>Basic</v>
      </c>
      <c r="P1811" s="7">
        <v>45657</v>
      </c>
    </row>
    <row r="1812" spans="1:16" x14ac:dyDescent="0.3">
      <c r="A1812">
        <v>1811</v>
      </c>
      <c r="B1812" s="7">
        <v>45041</v>
      </c>
      <c r="C1812" t="s">
        <v>10</v>
      </c>
      <c r="D1812">
        <v>699</v>
      </c>
      <c r="E1812">
        <v>7.8</v>
      </c>
      <c r="F1812">
        <v>0</v>
      </c>
      <c r="G1812">
        <v>4</v>
      </c>
      <c r="H1812">
        <v>32</v>
      </c>
      <c r="I1812">
        <v>27</v>
      </c>
      <c r="J1812" t="s">
        <v>13</v>
      </c>
      <c r="K1812">
        <f>IF(J1812="Yes", 1, 0)</f>
        <v>0</v>
      </c>
      <c r="L1812" t="str">
        <f>IF(G1812=0,"0 Failures","1+ Failures")</f>
        <v>1+ Failures</v>
      </c>
      <c r="M1812" t="str">
        <f t="shared" si="86"/>
        <v>5-10 hrs</v>
      </c>
      <c r="N1812" t="str">
        <f t="shared" si="84"/>
        <v>12+ months</v>
      </c>
      <c r="O1812" t="str">
        <f t="shared" si="85"/>
        <v>Premium</v>
      </c>
      <c r="P1812" s="7">
        <v>45657</v>
      </c>
    </row>
    <row r="1813" spans="1:16" x14ac:dyDescent="0.3">
      <c r="A1813">
        <v>1812</v>
      </c>
      <c r="B1813" s="7">
        <v>45394</v>
      </c>
      <c r="C1813" t="s">
        <v>10</v>
      </c>
      <c r="D1813">
        <v>699</v>
      </c>
      <c r="E1813">
        <v>19.5</v>
      </c>
      <c r="F1813">
        <v>3</v>
      </c>
      <c r="G1813">
        <v>4</v>
      </c>
      <c r="H1813">
        <v>29</v>
      </c>
      <c r="I1813">
        <v>51</v>
      </c>
      <c r="J1813" t="s">
        <v>13</v>
      </c>
      <c r="K1813">
        <f>IF(J1813="Yes", 1, 0)</f>
        <v>0</v>
      </c>
      <c r="L1813" t="str">
        <f>IF(G1813=0,"0 Failures","1+ Failures")</f>
        <v>1+ Failures</v>
      </c>
      <c r="M1813" t="str">
        <f t="shared" si="86"/>
        <v>10-20hrs</v>
      </c>
      <c r="N1813" t="str">
        <f t="shared" si="84"/>
        <v>12+ months</v>
      </c>
      <c r="O1813" t="str">
        <f t="shared" si="85"/>
        <v>Premium</v>
      </c>
      <c r="P1813" s="7">
        <v>45657</v>
      </c>
    </row>
    <row r="1814" spans="1:16" x14ac:dyDescent="0.3">
      <c r="A1814">
        <v>1813</v>
      </c>
      <c r="B1814" s="7">
        <v>45446</v>
      </c>
      <c r="C1814" t="s">
        <v>12</v>
      </c>
      <c r="D1814">
        <v>199</v>
      </c>
      <c r="E1814">
        <v>19</v>
      </c>
      <c r="F1814">
        <v>4</v>
      </c>
      <c r="G1814">
        <v>3</v>
      </c>
      <c r="H1814">
        <v>17</v>
      </c>
      <c r="I1814">
        <v>40</v>
      </c>
      <c r="J1814" t="s">
        <v>11</v>
      </c>
      <c r="K1814">
        <f>IF(J1814="Yes", 1, 0)</f>
        <v>1</v>
      </c>
      <c r="L1814" t="str">
        <f>IF(G1814=0,"0 Failures","1+ Failures")</f>
        <v>1+ Failures</v>
      </c>
      <c r="M1814" t="str">
        <f t="shared" si="86"/>
        <v>10-20hrs</v>
      </c>
      <c r="N1814" t="str">
        <f t="shared" si="84"/>
        <v>12+ months</v>
      </c>
      <c r="O1814" t="str">
        <f t="shared" si="85"/>
        <v>Basic</v>
      </c>
      <c r="P1814" s="7">
        <v>45657</v>
      </c>
    </row>
    <row r="1815" spans="1:16" x14ac:dyDescent="0.3">
      <c r="A1815">
        <v>1814</v>
      </c>
      <c r="B1815" s="7">
        <v>45276</v>
      </c>
      <c r="C1815" t="s">
        <v>14</v>
      </c>
      <c r="D1815">
        <v>399</v>
      </c>
      <c r="E1815">
        <v>7.5</v>
      </c>
      <c r="F1815">
        <v>4</v>
      </c>
      <c r="G1815">
        <v>2</v>
      </c>
      <c r="H1815">
        <v>33</v>
      </c>
      <c r="I1815">
        <v>55</v>
      </c>
      <c r="J1815" t="s">
        <v>11</v>
      </c>
      <c r="K1815">
        <f>IF(J1815="Yes", 1, 0)</f>
        <v>1</v>
      </c>
      <c r="L1815" t="str">
        <f>IF(G1815=0,"0 Failures","1+ Failures")</f>
        <v>1+ Failures</v>
      </c>
      <c r="M1815" t="str">
        <f t="shared" si="86"/>
        <v>5-10 hrs</v>
      </c>
      <c r="N1815" t="str">
        <f t="shared" si="84"/>
        <v>12+ months</v>
      </c>
      <c r="O1815" t="str">
        <f t="shared" si="85"/>
        <v>Basic</v>
      </c>
      <c r="P1815" s="7">
        <v>45657</v>
      </c>
    </row>
    <row r="1816" spans="1:16" x14ac:dyDescent="0.3">
      <c r="A1816">
        <v>1815</v>
      </c>
      <c r="B1816" s="7">
        <v>45426</v>
      </c>
      <c r="C1816" t="s">
        <v>14</v>
      </c>
      <c r="D1816">
        <v>399</v>
      </c>
      <c r="E1816">
        <v>12.8</v>
      </c>
      <c r="F1816">
        <v>7</v>
      </c>
      <c r="G1816">
        <v>0</v>
      </c>
      <c r="H1816">
        <v>36</v>
      </c>
      <c r="I1816">
        <v>48</v>
      </c>
      <c r="J1816" t="s">
        <v>13</v>
      </c>
      <c r="K1816">
        <f>IF(J1816="Yes", 1, 0)</f>
        <v>0</v>
      </c>
      <c r="L1816" t="str">
        <f>IF(G1816=0,"0 Failures","1+ Failures")</f>
        <v>0 Failures</v>
      </c>
      <c r="M1816" t="str">
        <f t="shared" si="86"/>
        <v>10-20hrs</v>
      </c>
      <c r="N1816" t="str">
        <f t="shared" si="84"/>
        <v>12+ months</v>
      </c>
      <c r="O1816" t="str">
        <f t="shared" si="85"/>
        <v>Basic</v>
      </c>
      <c r="P1816" s="7">
        <v>45657</v>
      </c>
    </row>
    <row r="1817" spans="1:16" x14ac:dyDescent="0.3">
      <c r="A1817">
        <v>1816</v>
      </c>
      <c r="B1817" s="7">
        <v>44994</v>
      </c>
      <c r="C1817" t="s">
        <v>12</v>
      </c>
      <c r="D1817">
        <v>199</v>
      </c>
      <c r="E1817">
        <v>22.4</v>
      </c>
      <c r="F1817">
        <v>8</v>
      </c>
      <c r="G1817">
        <v>3</v>
      </c>
      <c r="H1817">
        <v>21</v>
      </c>
      <c r="I1817">
        <v>31</v>
      </c>
      <c r="J1817" t="s">
        <v>11</v>
      </c>
      <c r="K1817">
        <f>IF(J1817="Yes", 1, 0)</f>
        <v>1</v>
      </c>
      <c r="L1817" t="str">
        <f>IF(G1817=0,"0 Failures","1+ Failures")</f>
        <v>1+ Failures</v>
      </c>
      <c r="M1817" t="str">
        <f t="shared" si="86"/>
        <v>20+ hrs</v>
      </c>
      <c r="N1817" t="str">
        <f t="shared" si="84"/>
        <v>12+ months</v>
      </c>
      <c r="O1817" t="str">
        <f t="shared" si="85"/>
        <v>Basic</v>
      </c>
      <c r="P1817" s="7">
        <v>45657</v>
      </c>
    </row>
    <row r="1818" spans="1:16" x14ac:dyDescent="0.3">
      <c r="A1818">
        <v>1817</v>
      </c>
      <c r="B1818" s="7">
        <v>45114</v>
      </c>
      <c r="C1818" t="s">
        <v>14</v>
      </c>
      <c r="D1818">
        <v>399</v>
      </c>
      <c r="E1818">
        <v>2.8</v>
      </c>
      <c r="F1818">
        <v>7</v>
      </c>
      <c r="G1818">
        <v>2</v>
      </c>
      <c r="H1818">
        <v>20</v>
      </c>
      <c r="I1818">
        <v>40</v>
      </c>
      <c r="J1818" t="s">
        <v>11</v>
      </c>
      <c r="K1818">
        <f>IF(J1818="Yes", 1, 0)</f>
        <v>1</v>
      </c>
      <c r="L1818" t="str">
        <f>IF(G1818=0,"0 Failures","1+ Failures")</f>
        <v>1+ Failures</v>
      </c>
      <c r="M1818" t="str">
        <f t="shared" si="86"/>
        <v>0-5 hrs</v>
      </c>
      <c r="N1818" t="str">
        <f t="shared" si="84"/>
        <v>12+ months</v>
      </c>
      <c r="O1818" t="str">
        <f t="shared" si="85"/>
        <v>Basic</v>
      </c>
      <c r="P1818" s="7">
        <v>45657</v>
      </c>
    </row>
    <row r="1819" spans="1:16" x14ac:dyDescent="0.3">
      <c r="A1819">
        <v>1818</v>
      </c>
      <c r="B1819" s="7">
        <v>45470</v>
      </c>
      <c r="C1819" t="s">
        <v>12</v>
      </c>
      <c r="D1819">
        <v>199</v>
      </c>
      <c r="E1819">
        <v>19.2</v>
      </c>
      <c r="F1819">
        <v>3</v>
      </c>
      <c r="G1819">
        <v>2</v>
      </c>
      <c r="H1819">
        <v>7</v>
      </c>
      <c r="I1819">
        <v>32</v>
      </c>
      <c r="J1819" t="s">
        <v>11</v>
      </c>
      <c r="K1819">
        <f>IF(J1819="Yes", 1, 0)</f>
        <v>1</v>
      </c>
      <c r="L1819" t="str">
        <f>IF(G1819=0,"0 Failures","1+ Failures")</f>
        <v>1+ Failures</v>
      </c>
      <c r="M1819" t="str">
        <f t="shared" si="86"/>
        <v>10-20hrs</v>
      </c>
      <c r="N1819" t="str">
        <f t="shared" si="84"/>
        <v>6-12months</v>
      </c>
      <c r="O1819" t="str">
        <f t="shared" si="85"/>
        <v>Basic</v>
      </c>
      <c r="P1819" s="7">
        <v>45657</v>
      </c>
    </row>
    <row r="1820" spans="1:16" x14ac:dyDescent="0.3">
      <c r="A1820">
        <v>1819</v>
      </c>
      <c r="B1820" s="7">
        <v>45087</v>
      </c>
      <c r="C1820" t="s">
        <v>14</v>
      </c>
      <c r="D1820">
        <v>399</v>
      </c>
      <c r="E1820">
        <v>17.3</v>
      </c>
      <c r="F1820">
        <v>3</v>
      </c>
      <c r="G1820">
        <v>4</v>
      </c>
      <c r="H1820">
        <v>7</v>
      </c>
      <c r="I1820">
        <v>43</v>
      </c>
      <c r="J1820" t="s">
        <v>11</v>
      </c>
      <c r="K1820">
        <f>IF(J1820="Yes", 1, 0)</f>
        <v>1</v>
      </c>
      <c r="L1820" t="str">
        <f>IF(G1820=0,"0 Failures","1+ Failures")</f>
        <v>1+ Failures</v>
      </c>
      <c r="M1820" t="str">
        <f t="shared" si="86"/>
        <v>10-20hrs</v>
      </c>
      <c r="N1820" t="str">
        <f t="shared" si="84"/>
        <v>6-12months</v>
      </c>
      <c r="O1820" t="str">
        <f t="shared" si="85"/>
        <v>Basic</v>
      </c>
      <c r="P1820" s="7">
        <v>45657</v>
      </c>
    </row>
    <row r="1821" spans="1:16" x14ac:dyDescent="0.3">
      <c r="A1821">
        <v>1820</v>
      </c>
      <c r="B1821" s="7">
        <v>45455</v>
      </c>
      <c r="C1821" t="s">
        <v>12</v>
      </c>
      <c r="D1821">
        <v>199</v>
      </c>
      <c r="E1821">
        <v>19.8</v>
      </c>
      <c r="F1821">
        <v>2</v>
      </c>
      <c r="G1821">
        <v>4</v>
      </c>
      <c r="H1821">
        <v>26</v>
      </c>
      <c r="I1821">
        <v>42</v>
      </c>
      <c r="J1821" t="s">
        <v>11</v>
      </c>
      <c r="K1821">
        <f>IF(J1821="Yes", 1, 0)</f>
        <v>1</v>
      </c>
      <c r="L1821" t="str">
        <f>IF(G1821=0,"0 Failures","1+ Failures")</f>
        <v>1+ Failures</v>
      </c>
      <c r="M1821" t="str">
        <f t="shared" si="86"/>
        <v>10-20hrs</v>
      </c>
      <c r="N1821" t="str">
        <f t="shared" si="84"/>
        <v>12+ months</v>
      </c>
      <c r="O1821" t="str">
        <f t="shared" si="85"/>
        <v>Basic</v>
      </c>
      <c r="P1821" s="7">
        <v>45657</v>
      </c>
    </row>
    <row r="1822" spans="1:16" x14ac:dyDescent="0.3">
      <c r="A1822">
        <v>1821</v>
      </c>
      <c r="B1822" s="7">
        <v>45237</v>
      </c>
      <c r="C1822" t="s">
        <v>14</v>
      </c>
      <c r="D1822">
        <v>399</v>
      </c>
      <c r="E1822">
        <v>19.600000000000001</v>
      </c>
      <c r="F1822">
        <v>4</v>
      </c>
      <c r="G1822">
        <v>1</v>
      </c>
      <c r="H1822">
        <v>27</v>
      </c>
      <c r="I1822">
        <v>59</v>
      </c>
      <c r="J1822" t="s">
        <v>11</v>
      </c>
      <c r="K1822">
        <f>IF(J1822="Yes", 1, 0)</f>
        <v>1</v>
      </c>
      <c r="L1822" t="str">
        <f>IF(G1822=0,"0 Failures","1+ Failures")</f>
        <v>1+ Failures</v>
      </c>
      <c r="M1822" t="str">
        <f t="shared" si="86"/>
        <v>10-20hrs</v>
      </c>
      <c r="N1822" t="str">
        <f t="shared" si="84"/>
        <v>12+ months</v>
      </c>
      <c r="O1822" t="str">
        <f t="shared" si="85"/>
        <v>Basic</v>
      </c>
      <c r="P1822" s="7">
        <v>45657</v>
      </c>
    </row>
    <row r="1823" spans="1:16" x14ac:dyDescent="0.3">
      <c r="A1823">
        <v>1822</v>
      </c>
      <c r="B1823" s="7">
        <v>45362</v>
      </c>
      <c r="C1823" t="s">
        <v>14</v>
      </c>
      <c r="D1823">
        <v>399</v>
      </c>
      <c r="E1823">
        <v>8</v>
      </c>
      <c r="F1823">
        <v>5</v>
      </c>
      <c r="G1823">
        <v>5</v>
      </c>
      <c r="H1823">
        <v>10</v>
      </c>
      <c r="I1823">
        <v>20</v>
      </c>
      <c r="J1823" t="s">
        <v>11</v>
      </c>
      <c r="K1823">
        <f>IF(J1823="Yes", 1, 0)</f>
        <v>1</v>
      </c>
      <c r="L1823" t="str">
        <f>IF(G1823=0,"0 Failures","1+ Failures")</f>
        <v>1+ Failures</v>
      </c>
      <c r="M1823" t="str">
        <f t="shared" si="86"/>
        <v>5-10 hrs</v>
      </c>
      <c r="N1823" t="str">
        <f t="shared" si="84"/>
        <v>6-12months</v>
      </c>
      <c r="O1823" t="str">
        <f t="shared" si="85"/>
        <v>Basic</v>
      </c>
      <c r="P1823" s="7">
        <v>45657</v>
      </c>
    </row>
    <row r="1824" spans="1:16" x14ac:dyDescent="0.3">
      <c r="A1824">
        <v>1823</v>
      </c>
      <c r="B1824" s="7">
        <v>45289</v>
      </c>
      <c r="C1824" t="s">
        <v>10</v>
      </c>
      <c r="D1824">
        <v>699</v>
      </c>
      <c r="E1824">
        <v>19.2</v>
      </c>
      <c r="F1824">
        <v>0</v>
      </c>
      <c r="G1824">
        <v>3</v>
      </c>
      <c r="H1824">
        <v>26</v>
      </c>
      <c r="I1824">
        <v>3</v>
      </c>
      <c r="J1824" t="s">
        <v>13</v>
      </c>
      <c r="K1824">
        <f>IF(J1824="Yes", 1, 0)</f>
        <v>0</v>
      </c>
      <c r="L1824" t="str">
        <f>IF(G1824=0,"0 Failures","1+ Failures")</f>
        <v>1+ Failures</v>
      </c>
      <c r="M1824" t="str">
        <f t="shared" si="86"/>
        <v>10-20hrs</v>
      </c>
      <c r="N1824" t="str">
        <f t="shared" si="84"/>
        <v>12+ months</v>
      </c>
      <c r="O1824" t="str">
        <f t="shared" si="85"/>
        <v>Premium</v>
      </c>
      <c r="P1824" s="7">
        <v>45657</v>
      </c>
    </row>
    <row r="1825" spans="1:16" x14ac:dyDescent="0.3">
      <c r="A1825">
        <v>1824</v>
      </c>
      <c r="B1825" s="7">
        <v>45140</v>
      </c>
      <c r="C1825" t="s">
        <v>10</v>
      </c>
      <c r="D1825">
        <v>699</v>
      </c>
      <c r="E1825">
        <v>24.4</v>
      </c>
      <c r="F1825">
        <v>4</v>
      </c>
      <c r="G1825">
        <v>0</v>
      </c>
      <c r="H1825">
        <v>9</v>
      </c>
      <c r="I1825">
        <v>52</v>
      </c>
      <c r="J1825" t="s">
        <v>13</v>
      </c>
      <c r="K1825">
        <f>IF(J1825="Yes", 1, 0)</f>
        <v>0</v>
      </c>
      <c r="L1825" t="str">
        <f>IF(G1825=0,"0 Failures","1+ Failures")</f>
        <v>0 Failures</v>
      </c>
      <c r="M1825" t="str">
        <f t="shared" si="86"/>
        <v>20+ hrs</v>
      </c>
      <c r="N1825" t="str">
        <f t="shared" si="84"/>
        <v>6-12months</v>
      </c>
      <c r="O1825" t="str">
        <f t="shared" si="85"/>
        <v>Premium</v>
      </c>
      <c r="P1825" s="7">
        <v>45657</v>
      </c>
    </row>
    <row r="1826" spans="1:16" x14ac:dyDescent="0.3">
      <c r="A1826">
        <v>1825</v>
      </c>
      <c r="B1826" s="7">
        <v>45318</v>
      </c>
      <c r="C1826" t="s">
        <v>10</v>
      </c>
      <c r="D1826">
        <v>699</v>
      </c>
      <c r="E1826">
        <v>7.7</v>
      </c>
      <c r="F1826">
        <v>5</v>
      </c>
      <c r="G1826">
        <v>0</v>
      </c>
      <c r="H1826">
        <v>17</v>
      </c>
      <c r="I1826">
        <v>20</v>
      </c>
      <c r="J1826" t="s">
        <v>13</v>
      </c>
      <c r="K1826">
        <f>IF(J1826="Yes", 1, 0)</f>
        <v>0</v>
      </c>
      <c r="L1826" t="str">
        <f>IF(G1826=0,"0 Failures","1+ Failures")</f>
        <v>0 Failures</v>
      </c>
      <c r="M1826" t="str">
        <f t="shared" si="86"/>
        <v>5-10 hrs</v>
      </c>
      <c r="N1826" t="str">
        <f t="shared" si="84"/>
        <v>12+ months</v>
      </c>
      <c r="O1826" t="str">
        <f t="shared" si="85"/>
        <v>Premium</v>
      </c>
      <c r="P1826" s="7">
        <v>45657</v>
      </c>
    </row>
    <row r="1827" spans="1:16" x14ac:dyDescent="0.3">
      <c r="A1827">
        <v>1826</v>
      </c>
      <c r="B1827" s="7">
        <v>45207</v>
      </c>
      <c r="C1827" t="s">
        <v>14</v>
      </c>
      <c r="D1827">
        <v>399</v>
      </c>
      <c r="E1827">
        <v>14.2</v>
      </c>
      <c r="F1827">
        <v>3</v>
      </c>
      <c r="G1827">
        <v>1</v>
      </c>
      <c r="H1827">
        <v>36</v>
      </c>
      <c r="I1827">
        <v>39</v>
      </c>
      <c r="J1827" t="s">
        <v>13</v>
      </c>
      <c r="K1827">
        <f>IF(J1827="Yes", 1, 0)</f>
        <v>0</v>
      </c>
      <c r="L1827" t="str">
        <f>IF(G1827=0,"0 Failures","1+ Failures")</f>
        <v>1+ Failures</v>
      </c>
      <c r="M1827" t="str">
        <f t="shared" si="86"/>
        <v>10-20hrs</v>
      </c>
      <c r="N1827" t="str">
        <f t="shared" si="84"/>
        <v>12+ months</v>
      </c>
      <c r="O1827" t="str">
        <f t="shared" si="85"/>
        <v>Basic</v>
      </c>
      <c r="P1827" s="7">
        <v>45657</v>
      </c>
    </row>
    <row r="1828" spans="1:16" x14ac:dyDescent="0.3">
      <c r="A1828">
        <v>1827</v>
      </c>
      <c r="B1828" s="7">
        <v>45534</v>
      </c>
      <c r="C1828" t="s">
        <v>12</v>
      </c>
      <c r="D1828">
        <v>199</v>
      </c>
      <c r="E1828">
        <v>6.5</v>
      </c>
      <c r="F1828">
        <v>5</v>
      </c>
      <c r="G1828">
        <v>5</v>
      </c>
      <c r="H1828">
        <v>5</v>
      </c>
      <c r="I1828">
        <v>30</v>
      </c>
      <c r="J1828" t="s">
        <v>13</v>
      </c>
      <c r="K1828">
        <f>IF(J1828="Yes", 1, 0)</f>
        <v>0</v>
      </c>
      <c r="L1828" t="str">
        <f>IF(G1828=0,"0 Failures","1+ Failures")</f>
        <v>1+ Failures</v>
      </c>
      <c r="M1828" t="str">
        <f t="shared" si="86"/>
        <v>5-10 hrs</v>
      </c>
      <c r="N1828" t="str">
        <f t="shared" si="84"/>
        <v>3-6months</v>
      </c>
      <c r="O1828" t="str">
        <f t="shared" si="85"/>
        <v>Basic</v>
      </c>
      <c r="P1828" s="7">
        <v>45657</v>
      </c>
    </row>
    <row r="1829" spans="1:16" x14ac:dyDescent="0.3">
      <c r="A1829">
        <v>1828</v>
      </c>
      <c r="B1829" s="7">
        <v>45182</v>
      </c>
      <c r="C1829" t="s">
        <v>14</v>
      </c>
      <c r="D1829">
        <v>399</v>
      </c>
      <c r="E1829">
        <v>19.600000000000001</v>
      </c>
      <c r="F1829">
        <v>6</v>
      </c>
      <c r="G1829">
        <v>5</v>
      </c>
      <c r="H1829">
        <v>3</v>
      </c>
      <c r="I1829">
        <v>58</v>
      </c>
      <c r="J1829" t="s">
        <v>11</v>
      </c>
      <c r="K1829">
        <f>IF(J1829="Yes", 1, 0)</f>
        <v>1</v>
      </c>
      <c r="L1829" t="str">
        <f>IF(G1829=0,"0 Failures","1+ Failures")</f>
        <v>1+ Failures</v>
      </c>
      <c r="M1829" t="str">
        <f t="shared" si="86"/>
        <v>10-20hrs</v>
      </c>
      <c r="N1829" t="str">
        <f t="shared" si="84"/>
        <v>0-3months</v>
      </c>
      <c r="O1829" t="str">
        <f t="shared" si="85"/>
        <v>Basic</v>
      </c>
      <c r="P1829" s="7">
        <v>45657</v>
      </c>
    </row>
    <row r="1830" spans="1:16" x14ac:dyDescent="0.3">
      <c r="A1830">
        <v>1829</v>
      </c>
      <c r="B1830" s="7">
        <v>45305</v>
      </c>
      <c r="C1830" t="s">
        <v>14</v>
      </c>
      <c r="D1830">
        <v>399</v>
      </c>
      <c r="E1830">
        <v>2</v>
      </c>
      <c r="F1830">
        <v>0</v>
      </c>
      <c r="G1830">
        <v>5</v>
      </c>
      <c r="H1830">
        <v>25</v>
      </c>
      <c r="I1830">
        <v>21</v>
      </c>
      <c r="J1830" t="s">
        <v>11</v>
      </c>
      <c r="K1830">
        <f>IF(J1830="Yes", 1, 0)</f>
        <v>1</v>
      </c>
      <c r="L1830" t="str">
        <f>IF(G1830=0,"0 Failures","1+ Failures")</f>
        <v>1+ Failures</v>
      </c>
      <c r="M1830" t="str">
        <f t="shared" si="86"/>
        <v>0-5 hrs</v>
      </c>
      <c r="N1830" t="str">
        <f t="shared" si="84"/>
        <v>12+ months</v>
      </c>
      <c r="O1830" t="str">
        <f t="shared" si="85"/>
        <v>Basic</v>
      </c>
      <c r="P1830" s="7">
        <v>45657</v>
      </c>
    </row>
    <row r="1831" spans="1:16" x14ac:dyDescent="0.3">
      <c r="A1831">
        <v>1830</v>
      </c>
      <c r="B1831" s="7">
        <v>45350</v>
      </c>
      <c r="C1831" t="s">
        <v>14</v>
      </c>
      <c r="D1831">
        <v>399</v>
      </c>
      <c r="E1831">
        <v>3.2</v>
      </c>
      <c r="F1831">
        <v>2</v>
      </c>
      <c r="G1831">
        <v>5</v>
      </c>
      <c r="H1831">
        <v>19</v>
      </c>
      <c r="I1831">
        <v>4</v>
      </c>
      <c r="J1831" t="s">
        <v>11</v>
      </c>
      <c r="K1831">
        <f>IF(J1831="Yes", 1, 0)</f>
        <v>1</v>
      </c>
      <c r="L1831" t="str">
        <f>IF(G1831=0,"0 Failures","1+ Failures")</f>
        <v>1+ Failures</v>
      </c>
      <c r="M1831" t="str">
        <f t="shared" si="86"/>
        <v>0-5 hrs</v>
      </c>
      <c r="N1831" t="str">
        <f t="shared" si="84"/>
        <v>12+ months</v>
      </c>
      <c r="O1831" t="str">
        <f t="shared" si="85"/>
        <v>Basic</v>
      </c>
      <c r="P1831" s="7">
        <v>45657</v>
      </c>
    </row>
    <row r="1832" spans="1:16" x14ac:dyDescent="0.3">
      <c r="A1832">
        <v>1831</v>
      </c>
      <c r="B1832" s="7">
        <v>45262</v>
      </c>
      <c r="C1832" t="s">
        <v>12</v>
      </c>
      <c r="D1832">
        <v>199</v>
      </c>
      <c r="E1832">
        <v>15</v>
      </c>
      <c r="F1832">
        <v>3</v>
      </c>
      <c r="G1832">
        <v>4</v>
      </c>
      <c r="H1832">
        <v>10</v>
      </c>
      <c r="I1832">
        <v>5</v>
      </c>
      <c r="J1832" t="s">
        <v>13</v>
      </c>
      <c r="K1832">
        <f>IF(J1832="Yes", 1, 0)</f>
        <v>0</v>
      </c>
      <c r="L1832" t="str">
        <f>IF(G1832=0,"0 Failures","1+ Failures")</f>
        <v>1+ Failures</v>
      </c>
      <c r="M1832" t="str">
        <f t="shared" si="86"/>
        <v>10-20hrs</v>
      </c>
      <c r="N1832" t="str">
        <f t="shared" si="84"/>
        <v>6-12months</v>
      </c>
      <c r="O1832" t="str">
        <f t="shared" si="85"/>
        <v>Basic</v>
      </c>
      <c r="P1832" s="7">
        <v>45657</v>
      </c>
    </row>
    <row r="1833" spans="1:16" x14ac:dyDescent="0.3">
      <c r="A1833">
        <v>1832</v>
      </c>
      <c r="B1833" s="7">
        <v>45633</v>
      </c>
      <c r="C1833" t="s">
        <v>10</v>
      </c>
      <c r="D1833">
        <v>699</v>
      </c>
      <c r="E1833">
        <v>19.2</v>
      </c>
      <c r="F1833">
        <v>4</v>
      </c>
      <c r="G1833">
        <v>4</v>
      </c>
      <c r="H1833">
        <v>35</v>
      </c>
      <c r="I1833">
        <v>33</v>
      </c>
      <c r="J1833" t="s">
        <v>13</v>
      </c>
      <c r="K1833">
        <f>IF(J1833="Yes", 1, 0)</f>
        <v>0</v>
      </c>
      <c r="L1833" t="str">
        <f>IF(G1833=0,"0 Failures","1+ Failures")</f>
        <v>1+ Failures</v>
      </c>
      <c r="M1833" t="str">
        <f t="shared" si="86"/>
        <v>10-20hrs</v>
      </c>
      <c r="N1833" t="str">
        <f t="shared" si="84"/>
        <v>12+ months</v>
      </c>
      <c r="O1833" t="str">
        <f t="shared" si="85"/>
        <v>Premium</v>
      </c>
      <c r="P1833" s="7">
        <v>45657</v>
      </c>
    </row>
    <row r="1834" spans="1:16" x14ac:dyDescent="0.3">
      <c r="A1834">
        <v>1833</v>
      </c>
      <c r="B1834" s="7">
        <v>45296</v>
      </c>
      <c r="C1834" t="s">
        <v>12</v>
      </c>
      <c r="D1834">
        <v>199</v>
      </c>
      <c r="E1834">
        <v>19.399999999999999</v>
      </c>
      <c r="F1834">
        <v>1</v>
      </c>
      <c r="G1834">
        <v>5</v>
      </c>
      <c r="H1834">
        <v>9</v>
      </c>
      <c r="I1834">
        <v>45</v>
      </c>
      <c r="J1834" t="s">
        <v>13</v>
      </c>
      <c r="K1834">
        <f>IF(J1834="Yes", 1, 0)</f>
        <v>0</v>
      </c>
      <c r="L1834" t="str">
        <f>IF(G1834=0,"0 Failures","1+ Failures")</f>
        <v>1+ Failures</v>
      </c>
      <c r="M1834" t="str">
        <f t="shared" si="86"/>
        <v>10-20hrs</v>
      </c>
      <c r="N1834" t="str">
        <f t="shared" si="84"/>
        <v>6-12months</v>
      </c>
      <c r="O1834" t="str">
        <f t="shared" si="85"/>
        <v>Basic</v>
      </c>
      <c r="P1834" s="7">
        <v>45657</v>
      </c>
    </row>
    <row r="1835" spans="1:16" x14ac:dyDescent="0.3">
      <c r="A1835">
        <v>1834</v>
      </c>
      <c r="B1835" s="7">
        <v>45130</v>
      </c>
      <c r="C1835" t="s">
        <v>14</v>
      </c>
      <c r="D1835">
        <v>399</v>
      </c>
      <c r="E1835">
        <v>5</v>
      </c>
      <c r="F1835">
        <v>7</v>
      </c>
      <c r="G1835">
        <v>1</v>
      </c>
      <c r="H1835">
        <v>14</v>
      </c>
      <c r="I1835">
        <v>29</v>
      </c>
      <c r="J1835" t="s">
        <v>11</v>
      </c>
      <c r="K1835">
        <f>IF(J1835="Yes", 1, 0)</f>
        <v>1</v>
      </c>
      <c r="L1835" t="str">
        <f>IF(G1835=0,"0 Failures","1+ Failures")</f>
        <v>1+ Failures</v>
      </c>
      <c r="M1835" t="str">
        <f t="shared" si="86"/>
        <v>0-5 hrs</v>
      </c>
      <c r="N1835" t="str">
        <f t="shared" si="84"/>
        <v>12+ months</v>
      </c>
      <c r="O1835" t="str">
        <f t="shared" si="85"/>
        <v>Basic</v>
      </c>
      <c r="P1835" s="7">
        <v>45657</v>
      </c>
    </row>
    <row r="1836" spans="1:16" x14ac:dyDescent="0.3">
      <c r="A1836">
        <v>1835</v>
      </c>
      <c r="B1836" s="7">
        <v>45364</v>
      </c>
      <c r="C1836" t="s">
        <v>10</v>
      </c>
      <c r="D1836">
        <v>699</v>
      </c>
      <c r="E1836">
        <v>6.8</v>
      </c>
      <c r="F1836">
        <v>0</v>
      </c>
      <c r="G1836">
        <v>1</v>
      </c>
      <c r="H1836">
        <v>17</v>
      </c>
      <c r="I1836">
        <v>7</v>
      </c>
      <c r="J1836" t="s">
        <v>13</v>
      </c>
      <c r="K1836">
        <f>IF(J1836="Yes", 1, 0)</f>
        <v>0</v>
      </c>
      <c r="L1836" t="str">
        <f>IF(G1836=0,"0 Failures","1+ Failures")</f>
        <v>1+ Failures</v>
      </c>
      <c r="M1836" t="str">
        <f t="shared" si="86"/>
        <v>5-10 hrs</v>
      </c>
      <c r="N1836" t="str">
        <f t="shared" si="84"/>
        <v>12+ months</v>
      </c>
      <c r="O1836" t="str">
        <f t="shared" si="85"/>
        <v>Premium</v>
      </c>
      <c r="P1836" s="7">
        <v>45657</v>
      </c>
    </row>
    <row r="1837" spans="1:16" x14ac:dyDescent="0.3">
      <c r="A1837">
        <v>1836</v>
      </c>
      <c r="B1837" s="7">
        <v>45309</v>
      </c>
      <c r="C1837" t="s">
        <v>14</v>
      </c>
      <c r="D1837">
        <v>399</v>
      </c>
      <c r="E1837">
        <v>20.100000000000001</v>
      </c>
      <c r="F1837">
        <v>8</v>
      </c>
      <c r="G1837">
        <v>0</v>
      </c>
      <c r="H1837">
        <v>32</v>
      </c>
      <c r="I1837">
        <v>58</v>
      </c>
      <c r="J1837" t="s">
        <v>13</v>
      </c>
      <c r="K1837">
        <f>IF(J1837="Yes", 1, 0)</f>
        <v>0</v>
      </c>
      <c r="L1837" t="str">
        <f>IF(G1837=0,"0 Failures","1+ Failures")</f>
        <v>0 Failures</v>
      </c>
      <c r="M1837" t="str">
        <f t="shared" si="86"/>
        <v>20+ hrs</v>
      </c>
      <c r="N1837" t="str">
        <f t="shared" si="84"/>
        <v>12+ months</v>
      </c>
      <c r="O1837" t="str">
        <f t="shared" si="85"/>
        <v>Basic</v>
      </c>
      <c r="P1837" s="7">
        <v>45657</v>
      </c>
    </row>
    <row r="1838" spans="1:16" x14ac:dyDescent="0.3">
      <c r="A1838">
        <v>1837</v>
      </c>
      <c r="B1838" s="7">
        <v>45216</v>
      </c>
      <c r="C1838" t="s">
        <v>12</v>
      </c>
      <c r="D1838">
        <v>199</v>
      </c>
      <c r="E1838">
        <v>24.9</v>
      </c>
      <c r="F1838">
        <v>8</v>
      </c>
      <c r="G1838">
        <v>2</v>
      </c>
      <c r="H1838">
        <v>28</v>
      </c>
      <c r="I1838">
        <v>50</v>
      </c>
      <c r="J1838" t="s">
        <v>11</v>
      </c>
      <c r="K1838">
        <f>IF(J1838="Yes", 1, 0)</f>
        <v>1</v>
      </c>
      <c r="L1838" t="str">
        <f>IF(G1838=0,"0 Failures","1+ Failures")</f>
        <v>1+ Failures</v>
      </c>
      <c r="M1838" t="str">
        <f t="shared" si="86"/>
        <v>20+ hrs</v>
      </c>
      <c r="N1838" t="str">
        <f t="shared" si="84"/>
        <v>12+ months</v>
      </c>
      <c r="O1838" t="str">
        <f t="shared" si="85"/>
        <v>Basic</v>
      </c>
      <c r="P1838" s="7">
        <v>45657</v>
      </c>
    </row>
    <row r="1839" spans="1:16" x14ac:dyDescent="0.3">
      <c r="A1839">
        <v>1838</v>
      </c>
      <c r="B1839" s="7">
        <v>45042</v>
      </c>
      <c r="C1839" t="s">
        <v>10</v>
      </c>
      <c r="D1839">
        <v>699</v>
      </c>
      <c r="E1839">
        <v>16</v>
      </c>
      <c r="F1839">
        <v>1</v>
      </c>
      <c r="G1839">
        <v>4</v>
      </c>
      <c r="H1839">
        <v>22</v>
      </c>
      <c r="I1839">
        <v>5</v>
      </c>
      <c r="J1839" t="s">
        <v>13</v>
      </c>
      <c r="K1839">
        <f>IF(J1839="Yes", 1, 0)</f>
        <v>0</v>
      </c>
      <c r="L1839" t="str">
        <f>IF(G1839=0,"0 Failures","1+ Failures")</f>
        <v>1+ Failures</v>
      </c>
      <c r="M1839" t="str">
        <f t="shared" si="86"/>
        <v>10-20hrs</v>
      </c>
      <c r="N1839" t="str">
        <f t="shared" si="84"/>
        <v>12+ months</v>
      </c>
      <c r="O1839" t="str">
        <f t="shared" si="85"/>
        <v>Premium</v>
      </c>
      <c r="P1839" s="7">
        <v>45657</v>
      </c>
    </row>
    <row r="1840" spans="1:16" x14ac:dyDescent="0.3">
      <c r="A1840">
        <v>1839</v>
      </c>
      <c r="B1840" s="7">
        <v>45592</v>
      </c>
      <c r="C1840" t="s">
        <v>10</v>
      </c>
      <c r="D1840">
        <v>699</v>
      </c>
      <c r="E1840">
        <v>20.100000000000001</v>
      </c>
      <c r="F1840">
        <v>1</v>
      </c>
      <c r="G1840">
        <v>4</v>
      </c>
      <c r="H1840">
        <v>11</v>
      </c>
      <c r="I1840">
        <v>59</v>
      </c>
      <c r="J1840" t="s">
        <v>11</v>
      </c>
      <c r="K1840">
        <f>IF(J1840="Yes", 1, 0)</f>
        <v>1</v>
      </c>
      <c r="L1840" t="str">
        <f>IF(G1840=0,"0 Failures","1+ Failures")</f>
        <v>1+ Failures</v>
      </c>
      <c r="M1840" t="str">
        <f t="shared" si="86"/>
        <v>20+ hrs</v>
      </c>
      <c r="N1840" t="str">
        <f t="shared" si="84"/>
        <v>6-12months</v>
      </c>
      <c r="O1840" t="str">
        <f t="shared" si="85"/>
        <v>Premium</v>
      </c>
      <c r="P1840" s="7">
        <v>45657</v>
      </c>
    </row>
    <row r="1841" spans="1:16" x14ac:dyDescent="0.3">
      <c r="A1841">
        <v>1840</v>
      </c>
      <c r="B1841" s="7">
        <v>45082</v>
      </c>
      <c r="C1841" t="s">
        <v>12</v>
      </c>
      <c r="D1841">
        <v>199</v>
      </c>
      <c r="E1841">
        <v>19.3</v>
      </c>
      <c r="F1841">
        <v>6</v>
      </c>
      <c r="G1841">
        <v>2</v>
      </c>
      <c r="H1841">
        <v>5</v>
      </c>
      <c r="I1841">
        <v>29</v>
      </c>
      <c r="J1841" t="s">
        <v>11</v>
      </c>
      <c r="K1841">
        <f>IF(J1841="Yes", 1, 0)</f>
        <v>1</v>
      </c>
      <c r="L1841" t="str">
        <f>IF(G1841=0,"0 Failures","1+ Failures")</f>
        <v>1+ Failures</v>
      </c>
      <c r="M1841" t="str">
        <f t="shared" si="86"/>
        <v>10-20hrs</v>
      </c>
      <c r="N1841" t="str">
        <f t="shared" si="84"/>
        <v>3-6months</v>
      </c>
      <c r="O1841" t="str">
        <f t="shared" si="85"/>
        <v>Basic</v>
      </c>
      <c r="P1841" s="7">
        <v>45657</v>
      </c>
    </row>
    <row r="1842" spans="1:16" x14ac:dyDescent="0.3">
      <c r="A1842">
        <v>1841</v>
      </c>
      <c r="B1842" s="7">
        <v>45369</v>
      </c>
      <c r="C1842" t="s">
        <v>10</v>
      </c>
      <c r="D1842">
        <v>699</v>
      </c>
      <c r="E1842">
        <v>2.2999999999999998</v>
      </c>
      <c r="F1842">
        <v>5</v>
      </c>
      <c r="G1842">
        <v>3</v>
      </c>
      <c r="H1842">
        <v>22</v>
      </c>
      <c r="I1842">
        <v>33</v>
      </c>
      <c r="J1842" t="s">
        <v>11</v>
      </c>
      <c r="K1842">
        <f>IF(J1842="Yes", 1, 0)</f>
        <v>1</v>
      </c>
      <c r="L1842" t="str">
        <f>IF(G1842=0,"0 Failures","1+ Failures")</f>
        <v>1+ Failures</v>
      </c>
      <c r="M1842" t="str">
        <f t="shared" si="86"/>
        <v>0-5 hrs</v>
      </c>
      <c r="N1842" t="str">
        <f t="shared" si="84"/>
        <v>12+ months</v>
      </c>
      <c r="O1842" t="str">
        <f t="shared" si="85"/>
        <v>Premium</v>
      </c>
      <c r="P1842" s="7">
        <v>45657</v>
      </c>
    </row>
    <row r="1843" spans="1:16" x14ac:dyDescent="0.3">
      <c r="A1843">
        <v>1842</v>
      </c>
      <c r="B1843" s="7">
        <v>44935</v>
      </c>
      <c r="C1843" t="s">
        <v>12</v>
      </c>
      <c r="D1843">
        <v>199</v>
      </c>
      <c r="E1843">
        <v>14.6</v>
      </c>
      <c r="F1843">
        <v>0</v>
      </c>
      <c r="G1843">
        <v>4</v>
      </c>
      <c r="H1843">
        <v>26</v>
      </c>
      <c r="I1843">
        <v>53</v>
      </c>
      <c r="J1843" t="s">
        <v>11</v>
      </c>
      <c r="K1843">
        <f>IF(J1843="Yes", 1, 0)</f>
        <v>1</v>
      </c>
      <c r="L1843" t="str">
        <f>IF(G1843=0,"0 Failures","1+ Failures")</f>
        <v>1+ Failures</v>
      </c>
      <c r="M1843" t="str">
        <f t="shared" si="86"/>
        <v>10-20hrs</v>
      </c>
      <c r="N1843" t="str">
        <f t="shared" si="84"/>
        <v>12+ months</v>
      </c>
      <c r="O1843" t="str">
        <f t="shared" si="85"/>
        <v>Basic</v>
      </c>
      <c r="P1843" s="7">
        <v>45657</v>
      </c>
    </row>
    <row r="1844" spans="1:16" x14ac:dyDescent="0.3">
      <c r="A1844">
        <v>1843</v>
      </c>
      <c r="B1844" s="7">
        <v>45261</v>
      </c>
      <c r="C1844" t="s">
        <v>12</v>
      </c>
      <c r="D1844">
        <v>199</v>
      </c>
      <c r="E1844">
        <v>11</v>
      </c>
      <c r="F1844">
        <v>4</v>
      </c>
      <c r="G1844">
        <v>1</v>
      </c>
      <c r="H1844">
        <v>21</v>
      </c>
      <c r="I1844">
        <v>37</v>
      </c>
      <c r="J1844" t="s">
        <v>13</v>
      </c>
      <c r="K1844">
        <f>IF(J1844="Yes", 1, 0)</f>
        <v>0</v>
      </c>
      <c r="L1844" t="str">
        <f>IF(G1844=0,"0 Failures","1+ Failures")</f>
        <v>1+ Failures</v>
      </c>
      <c r="M1844" t="str">
        <f t="shared" si="86"/>
        <v>10-20hrs</v>
      </c>
      <c r="N1844" t="str">
        <f t="shared" si="84"/>
        <v>12+ months</v>
      </c>
      <c r="O1844" t="str">
        <f t="shared" si="85"/>
        <v>Basic</v>
      </c>
      <c r="P1844" s="7">
        <v>45657</v>
      </c>
    </row>
    <row r="1845" spans="1:16" x14ac:dyDescent="0.3">
      <c r="A1845">
        <v>1844</v>
      </c>
      <c r="B1845" s="7">
        <v>45517</v>
      </c>
      <c r="C1845" t="s">
        <v>10</v>
      </c>
      <c r="D1845">
        <v>699</v>
      </c>
      <c r="E1845">
        <v>16.5</v>
      </c>
      <c r="F1845">
        <v>3</v>
      </c>
      <c r="G1845">
        <v>4</v>
      </c>
      <c r="H1845">
        <v>30</v>
      </c>
      <c r="I1845">
        <v>59</v>
      </c>
      <c r="J1845" t="s">
        <v>11</v>
      </c>
      <c r="K1845">
        <f>IF(J1845="Yes", 1, 0)</f>
        <v>1</v>
      </c>
      <c r="L1845" t="str">
        <f>IF(G1845=0,"0 Failures","1+ Failures")</f>
        <v>1+ Failures</v>
      </c>
      <c r="M1845" t="str">
        <f t="shared" si="86"/>
        <v>10-20hrs</v>
      </c>
      <c r="N1845" t="str">
        <f t="shared" si="84"/>
        <v>12+ months</v>
      </c>
      <c r="O1845" t="str">
        <f t="shared" si="85"/>
        <v>Premium</v>
      </c>
      <c r="P1845" s="7">
        <v>45657</v>
      </c>
    </row>
    <row r="1846" spans="1:16" x14ac:dyDescent="0.3">
      <c r="A1846">
        <v>1845</v>
      </c>
      <c r="B1846" s="7">
        <v>45473</v>
      </c>
      <c r="C1846" t="s">
        <v>12</v>
      </c>
      <c r="D1846">
        <v>199</v>
      </c>
      <c r="E1846">
        <v>19.399999999999999</v>
      </c>
      <c r="F1846">
        <v>3</v>
      </c>
      <c r="G1846">
        <v>2</v>
      </c>
      <c r="H1846">
        <v>13</v>
      </c>
      <c r="I1846">
        <v>11</v>
      </c>
      <c r="J1846" t="s">
        <v>11</v>
      </c>
      <c r="K1846">
        <f>IF(J1846="Yes", 1, 0)</f>
        <v>1</v>
      </c>
      <c r="L1846" t="str">
        <f>IF(G1846=0,"0 Failures","1+ Failures")</f>
        <v>1+ Failures</v>
      </c>
      <c r="M1846" t="str">
        <f t="shared" si="86"/>
        <v>10-20hrs</v>
      </c>
      <c r="N1846" t="str">
        <f t="shared" si="84"/>
        <v>12+ months</v>
      </c>
      <c r="O1846" t="str">
        <f t="shared" si="85"/>
        <v>Basic</v>
      </c>
      <c r="P1846" s="7">
        <v>45657</v>
      </c>
    </row>
    <row r="1847" spans="1:16" x14ac:dyDescent="0.3">
      <c r="A1847">
        <v>1846</v>
      </c>
      <c r="B1847" s="7">
        <v>45249</v>
      </c>
      <c r="C1847" t="s">
        <v>10</v>
      </c>
      <c r="D1847">
        <v>699</v>
      </c>
      <c r="E1847">
        <v>19.600000000000001</v>
      </c>
      <c r="F1847">
        <v>8</v>
      </c>
      <c r="G1847">
        <v>2</v>
      </c>
      <c r="H1847">
        <v>3</v>
      </c>
      <c r="I1847">
        <v>4</v>
      </c>
      <c r="J1847" t="s">
        <v>11</v>
      </c>
      <c r="K1847">
        <f>IF(J1847="Yes", 1, 0)</f>
        <v>1</v>
      </c>
      <c r="L1847" t="str">
        <f>IF(G1847=0,"0 Failures","1+ Failures")</f>
        <v>1+ Failures</v>
      </c>
      <c r="M1847" t="str">
        <f t="shared" si="86"/>
        <v>10-20hrs</v>
      </c>
      <c r="N1847" t="str">
        <f t="shared" si="84"/>
        <v>0-3months</v>
      </c>
      <c r="O1847" t="str">
        <f t="shared" si="85"/>
        <v>Premium</v>
      </c>
      <c r="P1847" s="7">
        <v>45657</v>
      </c>
    </row>
    <row r="1848" spans="1:16" x14ac:dyDescent="0.3">
      <c r="A1848">
        <v>1847</v>
      </c>
      <c r="B1848" s="7">
        <v>45149</v>
      </c>
      <c r="C1848" t="s">
        <v>12</v>
      </c>
      <c r="D1848">
        <v>199</v>
      </c>
      <c r="E1848">
        <v>5.4</v>
      </c>
      <c r="F1848">
        <v>2</v>
      </c>
      <c r="G1848">
        <v>3</v>
      </c>
      <c r="H1848">
        <v>14</v>
      </c>
      <c r="I1848">
        <v>17</v>
      </c>
      <c r="J1848" t="s">
        <v>11</v>
      </c>
      <c r="K1848">
        <f>IF(J1848="Yes", 1, 0)</f>
        <v>1</v>
      </c>
      <c r="L1848" t="str">
        <f>IF(G1848=0,"0 Failures","1+ Failures")</f>
        <v>1+ Failures</v>
      </c>
      <c r="M1848" t="str">
        <f t="shared" si="86"/>
        <v>5-10 hrs</v>
      </c>
      <c r="N1848" t="str">
        <f t="shared" si="84"/>
        <v>12+ months</v>
      </c>
      <c r="O1848" t="str">
        <f t="shared" si="85"/>
        <v>Basic</v>
      </c>
      <c r="P1848" s="7">
        <v>45657</v>
      </c>
    </row>
    <row r="1849" spans="1:16" x14ac:dyDescent="0.3">
      <c r="A1849">
        <v>1848</v>
      </c>
      <c r="B1849" s="7">
        <v>44953</v>
      </c>
      <c r="C1849" t="s">
        <v>14</v>
      </c>
      <c r="D1849">
        <v>399</v>
      </c>
      <c r="E1849">
        <v>3.9</v>
      </c>
      <c r="F1849">
        <v>7</v>
      </c>
      <c r="G1849">
        <v>0</v>
      </c>
      <c r="H1849">
        <v>2</v>
      </c>
      <c r="I1849">
        <v>53</v>
      </c>
      <c r="J1849" t="s">
        <v>13</v>
      </c>
      <c r="K1849">
        <f>IF(J1849="Yes", 1, 0)</f>
        <v>0</v>
      </c>
      <c r="L1849" t="str">
        <f>IF(G1849=0,"0 Failures","1+ Failures")</f>
        <v>0 Failures</v>
      </c>
      <c r="M1849" t="str">
        <f t="shared" si="86"/>
        <v>0-5 hrs</v>
      </c>
      <c r="N1849" t="str">
        <f t="shared" si="84"/>
        <v>0-3months</v>
      </c>
      <c r="O1849" t="str">
        <f t="shared" si="85"/>
        <v>Basic</v>
      </c>
      <c r="P1849" s="7">
        <v>45657</v>
      </c>
    </row>
    <row r="1850" spans="1:16" x14ac:dyDescent="0.3">
      <c r="A1850">
        <v>1849</v>
      </c>
      <c r="B1850" s="7">
        <v>45316</v>
      </c>
      <c r="C1850" t="s">
        <v>14</v>
      </c>
      <c r="D1850">
        <v>399</v>
      </c>
      <c r="E1850">
        <v>9.8000000000000007</v>
      </c>
      <c r="F1850">
        <v>7</v>
      </c>
      <c r="G1850">
        <v>3</v>
      </c>
      <c r="H1850">
        <v>14</v>
      </c>
      <c r="I1850">
        <v>25</v>
      </c>
      <c r="J1850" t="s">
        <v>11</v>
      </c>
      <c r="K1850">
        <f>IF(J1850="Yes", 1, 0)</f>
        <v>1</v>
      </c>
      <c r="L1850" t="str">
        <f>IF(G1850=0,"0 Failures","1+ Failures")</f>
        <v>1+ Failures</v>
      </c>
      <c r="M1850" t="str">
        <f t="shared" si="86"/>
        <v>5-10 hrs</v>
      </c>
      <c r="N1850" t="str">
        <f t="shared" si="84"/>
        <v>12+ months</v>
      </c>
      <c r="O1850" t="str">
        <f t="shared" si="85"/>
        <v>Basic</v>
      </c>
      <c r="P1850" s="7">
        <v>45657</v>
      </c>
    </row>
    <row r="1851" spans="1:16" x14ac:dyDescent="0.3">
      <c r="A1851">
        <v>1850</v>
      </c>
      <c r="B1851" s="7">
        <v>45455</v>
      </c>
      <c r="C1851" t="s">
        <v>10</v>
      </c>
      <c r="D1851">
        <v>699</v>
      </c>
      <c r="E1851">
        <v>2.8</v>
      </c>
      <c r="F1851">
        <v>2</v>
      </c>
      <c r="G1851">
        <v>4</v>
      </c>
      <c r="H1851">
        <v>8</v>
      </c>
      <c r="I1851">
        <v>58</v>
      </c>
      <c r="J1851" t="s">
        <v>11</v>
      </c>
      <c r="K1851">
        <f>IF(J1851="Yes", 1, 0)</f>
        <v>1</v>
      </c>
      <c r="L1851" t="str">
        <f>IF(G1851=0,"0 Failures","1+ Failures")</f>
        <v>1+ Failures</v>
      </c>
      <c r="M1851" t="str">
        <f t="shared" si="86"/>
        <v>0-5 hrs</v>
      </c>
      <c r="N1851" t="str">
        <f t="shared" si="84"/>
        <v>6-12months</v>
      </c>
      <c r="O1851" t="str">
        <f t="shared" si="85"/>
        <v>Premium</v>
      </c>
      <c r="P1851" s="7">
        <v>45657</v>
      </c>
    </row>
    <row r="1852" spans="1:16" x14ac:dyDescent="0.3">
      <c r="A1852">
        <v>1851</v>
      </c>
      <c r="B1852" s="7">
        <v>45251</v>
      </c>
      <c r="C1852" t="s">
        <v>12</v>
      </c>
      <c r="D1852">
        <v>199</v>
      </c>
      <c r="E1852">
        <v>19</v>
      </c>
      <c r="F1852">
        <v>1</v>
      </c>
      <c r="G1852">
        <v>3</v>
      </c>
      <c r="H1852">
        <v>11</v>
      </c>
      <c r="I1852">
        <v>47</v>
      </c>
      <c r="J1852" t="s">
        <v>13</v>
      </c>
      <c r="K1852">
        <f>IF(J1852="Yes", 1, 0)</f>
        <v>0</v>
      </c>
      <c r="L1852" t="str">
        <f>IF(G1852=0,"0 Failures","1+ Failures")</f>
        <v>1+ Failures</v>
      </c>
      <c r="M1852" t="str">
        <f t="shared" si="86"/>
        <v>10-20hrs</v>
      </c>
      <c r="N1852" t="str">
        <f t="shared" si="84"/>
        <v>6-12months</v>
      </c>
      <c r="O1852" t="str">
        <f t="shared" si="85"/>
        <v>Basic</v>
      </c>
      <c r="P1852" s="7">
        <v>45657</v>
      </c>
    </row>
    <row r="1853" spans="1:16" x14ac:dyDescent="0.3">
      <c r="A1853">
        <v>1852</v>
      </c>
      <c r="B1853" s="7">
        <v>45447</v>
      </c>
      <c r="C1853" t="s">
        <v>14</v>
      </c>
      <c r="D1853">
        <v>399</v>
      </c>
      <c r="E1853">
        <v>5.7</v>
      </c>
      <c r="F1853">
        <v>1</v>
      </c>
      <c r="G1853">
        <v>4</v>
      </c>
      <c r="H1853">
        <v>13</v>
      </c>
      <c r="I1853">
        <v>23</v>
      </c>
      <c r="J1853" t="s">
        <v>11</v>
      </c>
      <c r="K1853">
        <f>IF(J1853="Yes", 1, 0)</f>
        <v>1</v>
      </c>
      <c r="L1853" t="str">
        <f>IF(G1853=0,"0 Failures","1+ Failures")</f>
        <v>1+ Failures</v>
      </c>
      <c r="M1853" t="str">
        <f t="shared" si="86"/>
        <v>5-10 hrs</v>
      </c>
      <c r="N1853" t="str">
        <f t="shared" si="84"/>
        <v>12+ months</v>
      </c>
      <c r="O1853" t="str">
        <f t="shared" si="85"/>
        <v>Basic</v>
      </c>
      <c r="P1853" s="7">
        <v>45657</v>
      </c>
    </row>
    <row r="1854" spans="1:16" x14ac:dyDescent="0.3">
      <c r="A1854">
        <v>1853</v>
      </c>
      <c r="B1854" s="7">
        <v>45029</v>
      </c>
      <c r="C1854" t="s">
        <v>12</v>
      </c>
      <c r="D1854">
        <v>199</v>
      </c>
      <c r="E1854">
        <v>0.9</v>
      </c>
      <c r="F1854">
        <v>6</v>
      </c>
      <c r="G1854">
        <v>3</v>
      </c>
      <c r="H1854">
        <v>30</v>
      </c>
      <c r="I1854">
        <v>25</v>
      </c>
      <c r="J1854" t="s">
        <v>11</v>
      </c>
      <c r="K1854">
        <f>IF(J1854="Yes", 1, 0)</f>
        <v>1</v>
      </c>
      <c r="L1854" t="str">
        <f>IF(G1854=0,"0 Failures","1+ Failures")</f>
        <v>1+ Failures</v>
      </c>
      <c r="M1854" t="str">
        <f t="shared" si="86"/>
        <v>0-5 hrs</v>
      </c>
      <c r="N1854" t="str">
        <f t="shared" si="84"/>
        <v>12+ months</v>
      </c>
      <c r="O1854" t="str">
        <f t="shared" si="85"/>
        <v>Basic</v>
      </c>
      <c r="P1854" s="7">
        <v>45657</v>
      </c>
    </row>
    <row r="1855" spans="1:16" x14ac:dyDescent="0.3">
      <c r="A1855">
        <v>1854</v>
      </c>
      <c r="B1855" s="7">
        <v>45234</v>
      </c>
      <c r="C1855" t="s">
        <v>14</v>
      </c>
      <c r="D1855">
        <v>399</v>
      </c>
      <c r="E1855">
        <v>23.7</v>
      </c>
      <c r="F1855">
        <v>1</v>
      </c>
      <c r="G1855">
        <v>3</v>
      </c>
      <c r="H1855">
        <v>24</v>
      </c>
      <c r="I1855">
        <v>60</v>
      </c>
      <c r="J1855" t="s">
        <v>13</v>
      </c>
      <c r="K1855">
        <f>IF(J1855="Yes", 1, 0)</f>
        <v>0</v>
      </c>
      <c r="L1855" t="str">
        <f>IF(G1855=0,"0 Failures","1+ Failures")</f>
        <v>1+ Failures</v>
      </c>
      <c r="M1855" t="str">
        <f t="shared" si="86"/>
        <v>20+ hrs</v>
      </c>
      <c r="N1855" t="str">
        <f t="shared" si="84"/>
        <v>12+ months</v>
      </c>
      <c r="O1855" t="str">
        <f t="shared" si="85"/>
        <v>Basic</v>
      </c>
      <c r="P1855" s="7">
        <v>45657</v>
      </c>
    </row>
    <row r="1856" spans="1:16" x14ac:dyDescent="0.3">
      <c r="A1856">
        <v>1855</v>
      </c>
      <c r="B1856" s="7">
        <v>45208</v>
      </c>
      <c r="C1856" t="s">
        <v>12</v>
      </c>
      <c r="D1856">
        <v>199</v>
      </c>
      <c r="E1856">
        <v>16.399999999999999</v>
      </c>
      <c r="F1856">
        <v>6</v>
      </c>
      <c r="G1856">
        <v>3</v>
      </c>
      <c r="H1856">
        <v>6</v>
      </c>
      <c r="I1856">
        <v>1</v>
      </c>
      <c r="J1856" t="s">
        <v>13</v>
      </c>
      <c r="K1856">
        <f>IF(J1856="Yes", 1, 0)</f>
        <v>0</v>
      </c>
      <c r="L1856" t="str">
        <f>IF(G1856=0,"0 Failures","1+ Failures")</f>
        <v>1+ Failures</v>
      </c>
      <c r="M1856" t="str">
        <f t="shared" si="86"/>
        <v>10-20hrs</v>
      </c>
      <c r="N1856" t="str">
        <f t="shared" si="84"/>
        <v>3-6months</v>
      </c>
      <c r="O1856" t="str">
        <f t="shared" si="85"/>
        <v>Basic</v>
      </c>
      <c r="P1856" s="7">
        <v>45657</v>
      </c>
    </row>
    <row r="1857" spans="1:16" x14ac:dyDescent="0.3">
      <c r="A1857">
        <v>1856</v>
      </c>
      <c r="B1857" s="7">
        <v>45458</v>
      </c>
      <c r="C1857" t="s">
        <v>10</v>
      </c>
      <c r="D1857">
        <v>699</v>
      </c>
      <c r="E1857">
        <v>1.6</v>
      </c>
      <c r="F1857">
        <v>3</v>
      </c>
      <c r="G1857">
        <v>1</v>
      </c>
      <c r="H1857">
        <v>21</v>
      </c>
      <c r="I1857">
        <v>36</v>
      </c>
      <c r="J1857" t="s">
        <v>11</v>
      </c>
      <c r="K1857">
        <f>IF(J1857="Yes", 1, 0)</f>
        <v>1</v>
      </c>
      <c r="L1857" t="str">
        <f>IF(G1857=0,"0 Failures","1+ Failures")</f>
        <v>1+ Failures</v>
      </c>
      <c r="M1857" t="str">
        <f t="shared" si="86"/>
        <v>0-5 hrs</v>
      </c>
      <c r="N1857" t="str">
        <f t="shared" si="84"/>
        <v>12+ months</v>
      </c>
      <c r="O1857" t="str">
        <f t="shared" si="85"/>
        <v>Premium</v>
      </c>
      <c r="P1857" s="7">
        <v>45657</v>
      </c>
    </row>
    <row r="1858" spans="1:16" x14ac:dyDescent="0.3">
      <c r="A1858">
        <v>1857</v>
      </c>
      <c r="B1858" s="7">
        <v>45603</v>
      </c>
      <c r="C1858" t="s">
        <v>12</v>
      </c>
      <c r="D1858">
        <v>199</v>
      </c>
      <c r="E1858">
        <v>17.5</v>
      </c>
      <c r="F1858">
        <v>0</v>
      </c>
      <c r="G1858">
        <v>0</v>
      </c>
      <c r="H1858">
        <v>9</v>
      </c>
      <c r="I1858">
        <v>38</v>
      </c>
      <c r="J1858" t="s">
        <v>13</v>
      </c>
      <c r="K1858">
        <f>IF(J1858="Yes", 1, 0)</f>
        <v>0</v>
      </c>
      <c r="L1858" t="str">
        <f>IF(G1858=0,"0 Failures","1+ Failures")</f>
        <v>0 Failures</v>
      </c>
      <c r="M1858" t="str">
        <f t="shared" si="86"/>
        <v>10-20hrs</v>
      </c>
      <c r="N1858" t="str">
        <f t="shared" si="84"/>
        <v>6-12months</v>
      </c>
      <c r="O1858" t="str">
        <f t="shared" si="85"/>
        <v>Basic</v>
      </c>
      <c r="P1858" s="7">
        <v>45657</v>
      </c>
    </row>
    <row r="1859" spans="1:16" x14ac:dyDescent="0.3">
      <c r="A1859">
        <v>1858</v>
      </c>
      <c r="B1859" s="7">
        <v>45458</v>
      </c>
      <c r="C1859" t="s">
        <v>14</v>
      </c>
      <c r="D1859">
        <v>399</v>
      </c>
      <c r="E1859">
        <v>15.6</v>
      </c>
      <c r="F1859">
        <v>2</v>
      </c>
      <c r="G1859">
        <v>3</v>
      </c>
      <c r="H1859">
        <v>24</v>
      </c>
      <c r="I1859">
        <v>11</v>
      </c>
      <c r="J1859" t="s">
        <v>11</v>
      </c>
      <c r="K1859">
        <f>IF(J1859="Yes", 1, 0)</f>
        <v>1</v>
      </c>
      <c r="L1859" t="str">
        <f>IF(G1859=0,"0 Failures","1+ Failures")</f>
        <v>1+ Failures</v>
      </c>
      <c r="M1859" t="str">
        <f t="shared" si="86"/>
        <v>10-20hrs</v>
      </c>
      <c r="N1859" t="str">
        <f t="shared" ref="N1859:N1922" si="87">IF(H1859&lt;=3, "0-3months", IF(H1859&lt;=6, "3-6months", IF(H1859&lt;=12, "6-12months", "12+ months")))</f>
        <v>12+ months</v>
      </c>
      <c r="O1859" t="str">
        <f t="shared" ref="O1859:O1922" si="88">IF(C1859="premium", "Premium", "Basic")</f>
        <v>Basic</v>
      </c>
      <c r="P1859" s="7">
        <v>45657</v>
      </c>
    </row>
    <row r="1860" spans="1:16" x14ac:dyDescent="0.3">
      <c r="A1860">
        <v>1859</v>
      </c>
      <c r="B1860" s="7">
        <v>45240</v>
      </c>
      <c r="C1860" t="s">
        <v>12</v>
      </c>
      <c r="D1860">
        <v>199</v>
      </c>
      <c r="E1860">
        <v>9.4</v>
      </c>
      <c r="F1860">
        <v>1</v>
      </c>
      <c r="G1860">
        <v>1</v>
      </c>
      <c r="H1860">
        <v>12</v>
      </c>
      <c r="I1860">
        <v>1</v>
      </c>
      <c r="J1860" t="s">
        <v>13</v>
      </c>
      <c r="K1860">
        <f>IF(J1860="Yes", 1, 0)</f>
        <v>0</v>
      </c>
      <c r="L1860" t="str">
        <f>IF(G1860=0,"0 Failures","1+ Failures")</f>
        <v>1+ Failures</v>
      </c>
      <c r="M1860" t="str">
        <f t="shared" si="86"/>
        <v>5-10 hrs</v>
      </c>
      <c r="N1860" t="str">
        <f t="shared" si="87"/>
        <v>6-12months</v>
      </c>
      <c r="O1860" t="str">
        <f t="shared" si="88"/>
        <v>Basic</v>
      </c>
      <c r="P1860" s="7">
        <v>45657</v>
      </c>
    </row>
    <row r="1861" spans="1:16" x14ac:dyDescent="0.3">
      <c r="A1861">
        <v>1860</v>
      </c>
      <c r="B1861" s="7">
        <v>44953</v>
      </c>
      <c r="C1861" t="s">
        <v>14</v>
      </c>
      <c r="D1861">
        <v>399</v>
      </c>
      <c r="E1861">
        <v>22.8</v>
      </c>
      <c r="F1861">
        <v>4</v>
      </c>
      <c r="G1861">
        <v>4</v>
      </c>
      <c r="H1861">
        <v>24</v>
      </c>
      <c r="I1861">
        <v>20</v>
      </c>
      <c r="J1861" t="s">
        <v>11</v>
      </c>
      <c r="K1861">
        <f>IF(J1861="Yes", 1, 0)</f>
        <v>1</v>
      </c>
      <c r="L1861" t="str">
        <f>IF(G1861=0,"0 Failures","1+ Failures")</f>
        <v>1+ Failures</v>
      </c>
      <c r="M1861" t="str">
        <f t="shared" si="86"/>
        <v>20+ hrs</v>
      </c>
      <c r="N1861" t="str">
        <f t="shared" si="87"/>
        <v>12+ months</v>
      </c>
      <c r="O1861" t="str">
        <f t="shared" si="88"/>
        <v>Basic</v>
      </c>
      <c r="P1861" s="7">
        <v>45657</v>
      </c>
    </row>
    <row r="1862" spans="1:16" x14ac:dyDescent="0.3">
      <c r="A1862">
        <v>1861</v>
      </c>
      <c r="B1862" s="7">
        <v>45344</v>
      </c>
      <c r="C1862" t="s">
        <v>14</v>
      </c>
      <c r="D1862">
        <v>399</v>
      </c>
      <c r="E1862">
        <v>22.3</v>
      </c>
      <c r="F1862">
        <v>0</v>
      </c>
      <c r="G1862">
        <v>5</v>
      </c>
      <c r="H1862">
        <v>2</v>
      </c>
      <c r="I1862">
        <v>55</v>
      </c>
      <c r="J1862" t="s">
        <v>11</v>
      </c>
      <c r="K1862">
        <f>IF(J1862="Yes", 1, 0)</f>
        <v>1</v>
      </c>
      <c r="L1862" t="str">
        <f>IF(G1862=0,"0 Failures","1+ Failures")</f>
        <v>1+ Failures</v>
      </c>
      <c r="M1862" t="str">
        <f t="shared" si="86"/>
        <v>20+ hrs</v>
      </c>
      <c r="N1862" t="str">
        <f t="shared" si="87"/>
        <v>0-3months</v>
      </c>
      <c r="O1862" t="str">
        <f t="shared" si="88"/>
        <v>Basic</v>
      </c>
      <c r="P1862" s="7">
        <v>45657</v>
      </c>
    </row>
    <row r="1863" spans="1:16" x14ac:dyDescent="0.3">
      <c r="A1863">
        <v>1862</v>
      </c>
      <c r="B1863" s="7">
        <v>45284</v>
      </c>
      <c r="C1863" t="s">
        <v>12</v>
      </c>
      <c r="D1863">
        <v>199</v>
      </c>
      <c r="E1863">
        <v>9.6999999999999993</v>
      </c>
      <c r="F1863">
        <v>8</v>
      </c>
      <c r="G1863">
        <v>1</v>
      </c>
      <c r="H1863">
        <v>35</v>
      </c>
      <c r="I1863">
        <v>10</v>
      </c>
      <c r="J1863" t="s">
        <v>11</v>
      </c>
      <c r="K1863">
        <f>IF(J1863="Yes", 1, 0)</f>
        <v>1</v>
      </c>
      <c r="L1863" t="str">
        <f>IF(G1863=0,"0 Failures","1+ Failures")</f>
        <v>1+ Failures</v>
      </c>
      <c r="M1863" t="str">
        <f t="shared" si="86"/>
        <v>5-10 hrs</v>
      </c>
      <c r="N1863" t="str">
        <f t="shared" si="87"/>
        <v>12+ months</v>
      </c>
      <c r="O1863" t="str">
        <f t="shared" si="88"/>
        <v>Basic</v>
      </c>
      <c r="P1863" s="7">
        <v>45657</v>
      </c>
    </row>
    <row r="1864" spans="1:16" x14ac:dyDescent="0.3">
      <c r="A1864">
        <v>1863</v>
      </c>
      <c r="B1864" s="7">
        <v>45352</v>
      </c>
      <c r="C1864" t="s">
        <v>12</v>
      </c>
      <c r="D1864">
        <v>199</v>
      </c>
      <c r="E1864">
        <v>10.8</v>
      </c>
      <c r="F1864">
        <v>1</v>
      </c>
      <c r="G1864">
        <v>0</v>
      </c>
      <c r="H1864">
        <v>6</v>
      </c>
      <c r="I1864">
        <v>30</v>
      </c>
      <c r="J1864" t="s">
        <v>13</v>
      </c>
      <c r="K1864">
        <f>IF(J1864="Yes", 1, 0)</f>
        <v>0</v>
      </c>
      <c r="L1864" t="str">
        <f>IF(G1864=0,"0 Failures","1+ Failures")</f>
        <v>0 Failures</v>
      </c>
      <c r="M1864" t="str">
        <f t="shared" si="86"/>
        <v>10-20hrs</v>
      </c>
      <c r="N1864" t="str">
        <f t="shared" si="87"/>
        <v>3-6months</v>
      </c>
      <c r="O1864" t="str">
        <f t="shared" si="88"/>
        <v>Basic</v>
      </c>
      <c r="P1864" s="7">
        <v>45657</v>
      </c>
    </row>
    <row r="1865" spans="1:16" x14ac:dyDescent="0.3">
      <c r="A1865">
        <v>1864</v>
      </c>
      <c r="B1865" s="7">
        <v>45190</v>
      </c>
      <c r="C1865" t="s">
        <v>10</v>
      </c>
      <c r="D1865">
        <v>699</v>
      </c>
      <c r="E1865">
        <v>3.8</v>
      </c>
      <c r="F1865">
        <v>0</v>
      </c>
      <c r="G1865">
        <v>2</v>
      </c>
      <c r="H1865">
        <v>29</v>
      </c>
      <c r="I1865">
        <v>30</v>
      </c>
      <c r="J1865" t="s">
        <v>11</v>
      </c>
      <c r="K1865">
        <f>IF(J1865="Yes", 1, 0)</f>
        <v>1</v>
      </c>
      <c r="L1865" t="str">
        <f>IF(G1865=0,"0 Failures","1+ Failures")</f>
        <v>1+ Failures</v>
      </c>
      <c r="M1865" t="str">
        <f t="shared" si="86"/>
        <v>0-5 hrs</v>
      </c>
      <c r="N1865" t="str">
        <f t="shared" si="87"/>
        <v>12+ months</v>
      </c>
      <c r="O1865" t="str">
        <f t="shared" si="88"/>
        <v>Premium</v>
      </c>
      <c r="P1865" s="7">
        <v>45657</v>
      </c>
    </row>
    <row r="1866" spans="1:16" x14ac:dyDescent="0.3">
      <c r="A1866">
        <v>1865</v>
      </c>
      <c r="B1866" s="7">
        <v>45416</v>
      </c>
      <c r="C1866" t="s">
        <v>12</v>
      </c>
      <c r="D1866">
        <v>199</v>
      </c>
      <c r="E1866">
        <v>16.600000000000001</v>
      </c>
      <c r="F1866">
        <v>5</v>
      </c>
      <c r="G1866">
        <v>4</v>
      </c>
      <c r="H1866">
        <v>21</v>
      </c>
      <c r="I1866">
        <v>42</v>
      </c>
      <c r="J1866" t="s">
        <v>11</v>
      </c>
      <c r="K1866">
        <f>IF(J1866="Yes", 1, 0)</f>
        <v>1</v>
      </c>
      <c r="L1866" t="str">
        <f>IF(G1866=0,"0 Failures","1+ Failures")</f>
        <v>1+ Failures</v>
      </c>
      <c r="M1866" t="str">
        <f t="shared" si="86"/>
        <v>10-20hrs</v>
      </c>
      <c r="N1866" t="str">
        <f t="shared" si="87"/>
        <v>12+ months</v>
      </c>
      <c r="O1866" t="str">
        <f t="shared" si="88"/>
        <v>Basic</v>
      </c>
      <c r="P1866" s="7">
        <v>45657</v>
      </c>
    </row>
    <row r="1867" spans="1:16" x14ac:dyDescent="0.3">
      <c r="A1867">
        <v>1866</v>
      </c>
      <c r="B1867" s="7">
        <v>45157</v>
      </c>
      <c r="C1867" t="s">
        <v>14</v>
      </c>
      <c r="D1867">
        <v>399</v>
      </c>
      <c r="E1867">
        <v>3.6</v>
      </c>
      <c r="F1867">
        <v>8</v>
      </c>
      <c r="G1867">
        <v>1</v>
      </c>
      <c r="H1867">
        <v>13</v>
      </c>
      <c r="I1867">
        <v>51</v>
      </c>
      <c r="J1867" t="s">
        <v>13</v>
      </c>
      <c r="K1867">
        <f>IF(J1867="Yes", 1, 0)</f>
        <v>0</v>
      </c>
      <c r="L1867" t="str">
        <f>IF(G1867=0,"0 Failures","1+ Failures")</f>
        <v>1+ Failures</v>
      </c>
      <c r="M1867" t="str">
        <f t="shared" ref="M1867:M1930" si="89">IF(E1867&lt;=5, "0-5 hrs",    IF(E1867&lt;=10, "5-10 hrs",    IF(E1867&lt;=20, "10-20hrs", "20+ hrs")))</f>
        <v>0-5 hrs</v>
      </c>
      <c r="N1867" t="str">
        <f t="shared" si="87"/>
        <v>12+ months</v>
      </c>
      <c r="O1867" t="str">
        <f t="shared" si="88"/>
        <v>Basic</v>
      </c>
      <c r="P1867" s="7">
        <v>45657</v>
      </c>
    </row>
    <row r="1868" spans="1:16" x14ac:dyDescent="0.3">
      <c r="A1868">
        <v>1867</v>
      </c>
      <c r="B1868" s="7">
        <v>45182</v>
      </c>
      <c r="C1868" t="s">
        <v>10</v>
      </c>
      <c r="D1868">
        <v>699</v>
      </c>
      <c r="E1868">
        <v>18.7</v>
      </c>
      <c r="F1868">
        <v>6</v>
      </c>
      <c r="G1868">
        <v>2</v>
      </c>
      <c r="H1868">
        <v>6</v>
      </c>
      <c r="I1868">
        <v>56</v>
      </c>
      <c r="J1868" t="s">
        <v>11</v>
      </c>
      <c r="K1868">
        <f>IF(J1868="Yes", 1, 0)</f>
        <v>1</v>
      </c>
      <c r="L1868" t="str">
        <f>IF(G1868=0,"0 Failures","1+ Failures")</f>
        <v>1+ Failures</v>
      </c>
      <c r="M1868" t="str">
        <f t="shared" si="89"/>
        <v>10-20hrs</v>
      </c>
      <c r="N1868" t="str">
        <f t="shared" si="87"/>
        <v>3-6months</v>
      </c>
      <c r="O1868" t="str">
        <f t="shared" si="88"/>
        <v>Premium</v>
      </c>
      <c r="P1868" s="7">
        <v>45657</v>
      </c>
    </row>
    <row r="1869" spans="1:16" x14ac:dyDescent="0.3">
      <c r="A1869">
        <v>1868</v>
      </c>
      <c r="B1869" s="7">
        <v>45611</v>
      </c>
      <c r="C1869" t="s">
        <v>12</v>
      </c>
      <c r="D1869">
        <v>199</v>
      </c>
      <c r="E1869">
        <v>5</v>
      </c>
      <c r="F1869">
        <v>4</v>
      </c>
      <c r="G1869">
        <v>2</v>
      </c>
      <c r="H1869">
        <v>17</v>
      </c>
      <c r="I1869">
        <v>45</v>
      </c>
      <c r="J1869" t="s">
        <v>13</v>
      </c>
      <c r="K1869">
        <f>IF(J1869="Yes", 1, 0)</f>
        <v>0</v>
      </c>
      <c r="L1869" t="str">
        <f>IF(G1869=0,"0 Failures","1+ Failures")</f>
        <v>1+ Failures</v>
      </c>
      <c r="M1869" t="str">
        <f t="shared" si="89"/>
        <v>0-5 hrs</v>
      </c>
      <c r="N1869" t="str">
        <f t="shared" si="87"/>
        <v>12+ months</v>
      </c>
      <c r="O1869" t="str">
        <f t="shared" si="88"/>
        <v>Basic</v>
      </c>
      <c r="P1869" s="7">
        <v>45657</v>
      </c>
    </row>
    <row r="1870" spans="1:16" x14ac:dyDescent="0.3">
      <c r="A1870">
        <v>1869</v>
      </c>
      <c r="B1870" s="7">
        <v>45604</v>
      </c>
      <c r="C1870" t="s">
        <v>10</v>
      </c>
      <c r="D1870">
        <v>699</v>
      </c>
      <c r="E1870">
        <v>13.2</v>
      </c>
      <c r="F1870">
        <v>4</v>
      </c>
      <c r="G1870">
        <v>1</v>
      </c>
      <c r="H1870">
        <v>34</v>
      </c>
      <c r="I1870">
        <v>20</v>
      </c>
      <c r="J1870" t="s">
        <v>13</v>
      </c>
      <c r="K1870">
        <f>IF(J1870="Yes", 1, 0)</f>
        <v>0</v>
      </c>
      <c r="L1870" t="str">
        <f>IF(G1870=0,"0 Failures","1+ Failures")</f>
        <v>1+ Failures</v>
      </c>
      <c r="M1870" t="str">
        <f t="shared" si="89"/>
        <v>10-20hrs</v>
      </c>
      <c r="N1870" t="str">
        <f t="shared" si="87"/>
        <v>12+ months</v>
      </c>
      <c r="O1870" t="str">
        <f t="shared" si="88"/>
        <v>Premium</v>
      </c>
      <c r="P1870" s="7">
        <v>45657</v>
      </c>
    </row>
    <row r="1871" spans="1:16" x14ac:dyDescent="0.3">
      <c r="A1871">
        <v>1870</v>
      </c>
      <c r="B1871" s="7">
        <v>45113</v>
      </c>
      <c r="C1871" t="s">
        <v>12</v>
      </c>
      <c r="D1871">
        <v>199</v>
      </c>
      <c r="E1871">
        <v>18.8</v>
      </c>
      <c r="F1871">
        <v>6</v>
      </c>
      <c r="G1871">
        <v>5</v>
      </c>
      <c r="H1871">
        <v>3</v>
      </c>
      <c r="I1871">
        <v>3</v>
      </c>
      <c r="J1871" t="s">
        <v>13</v>
      </c>
      <c r="K1871">
        <f>IF(J1871="Yes", 1, 0)</f>
        <v>0</v>
      </c>
      <c r="L1871" t="str">
        <f>IF(G1871=0,"0 Failures","1+ Failures")</f>
        <v>1+ Failures</v>
      </c>
      <c r="M1871" t="str">
        <f t="shared" si="89"/>
        <v>10-20hrs</v>
      </c>
      <c r="N1871" t="str">
        <f t="shared" si="87"/>
        <v>0-3months</v>
      </c>
      <c r="O1871" t="str">
        <f t="shared" si="88"/>
        <v>Basic</v>
      </c>
      <c r="P1871" s="7">
        <v>45657</v>
      </c>
    </row>
    <row r="1872" spans="1:16" x14ac:dyDescent="0.3">
      <c r="A1872">
        <v>1871</v>
      </c>
      <c r="B1872" s="7">
        <v>45512</v>
      </c>
      <c r="C1872" t="s">
        <v>12</v>
      </c>
      <c r="D1872">
        <v>199</v>
      </c>
      <c r="E1872">
        <v>16</v>
      </c>
      <c r="F1872">
        <v>3</v>
      </c>
      <c r="G1872">
        <v>1</v>
      </c>
      <c r="H1872">
        <v>10</v>
      </c>
      <c r="I1872">
        <v>25</v>
      </c>
      <c r="J1872" t="s">
        <v>11</v>
      </c>
      <c r="K1872">
        <f>IF(J1872="Yes", 1, 0)</f>
        <v>1</v>
      </c>
      <c r="L1872" t="str">
        <f>IF(G1872=0,"0 Failures","1+ Failures")</f>
        <v>1+ Failures</v>
      </c>
      <c r="M1872" t="str">
        <f t="shared" si="89"/>
        <v>10-20hrs</v>
      </c>
      <c r="N1872" t="str">
        <f t="shared" si="87"/>
        <v>6-12months</v>
      </c>
      <c r="O1872" t="str">
        <f t="shared" si="88"/>
        <v>Basic</v>
      </c>
      <c r="P1872" s="7">
        <v>45657</v>
      </c>
    </row>
    <row r="1873" spans="1:16" x14ac:dyDescent="0.3">
      <c r="A1873">
        <v>1872</v>
      </c>
      <c r="B1873" s="7">
        <v>45518</v>
      </c>
      <c r="C1873" t="s">
        <v>14</v>
      </c>
      <c r="D1873">
        <v>399</v>
      </c>
      <c r="E1873">
        <v>21.5</v>
      </c>
      <c r="F1873">
        <v>3</v>
      </c>
      <c r="G1873">
        <v>5</v>
      </c>
      <c r="H1873">
        <v>31</v>
      </c>
      <c r="I1873">
        <v>55</v>
      </c>
      <c r="J1873" t="s">
        <v>13</v>
      </c>
      <c r="K1873">
        <f>IF(J1873="Yes", 1, 0)</f>
        <v>0</v>
      </c>
      <c r="L1873" t="str">
        <f>IF(G1873=0,"0 Failures","1+ Failures")</f>
        <v>1+ Failures</v>
      </c>
      <c r="M1873" t="str">
        <f t="shared" si="89"/>
        <v>20+ hrs</v>
      </c>
      <c r="N1873" t="str">
        <f t="shared" si="87"/>
        <v>12+ months</v>
      </c>
      <c r="O1873" t="str">
        <f t="shared" si="88"/>
        <v>Basic</v>
      </c>
      <c r="P1873" s="7">
        <v>45657</v>
      </c>
    </row>
    <row r="1874" spans="1:16" x14ac:dyDescent="0.3">
      <c r="A1874">
        <v>1873</v>
      </c>
      <c r="B1874" s="7">
        <v>45047</v>
      </c>
      <c r="C1874" t="s">
        <v>14</v>
      </c>
      <c r="D1874">
        <v>399</v>
      </c>
      <c r="E1874">
        <v>24.8</v>
      </c>
      <c r="F1874">
        <v>7</v>
      </c>
      <c r="G1874">
        <v>4</v>
      </c>
      <c r="H1874">
        <v>29</v>
      </c>
      <c r="I1874">
        <v>16</v>
      </c>
      <c r="J1874" t="s">
        <v>13</v>
      </c>
      <c r="K1874">
        <f>IF(J1874="Yes", 1, 0)</f>
        <v>0</v>
      </c>
      <c r="L1874" t="str">
        <f>IF(G1874=0,"0 Failures","1+ Failures")</f>
        <v>1+ Failures</v>
      </c>
      <c r="M1874" t="str">
        <f t="shared" si="89"/>
        <v>20+ hrs</v>
      </c>
      <c r="N1874" t="str">
        <f t="shared" si="87"/>
        <v>12+ months</v>
      </c>
      <c r="O1874" t="str">
        <f t="shared" si="88"/>
        <v>Basic</v>
      </c>
      <c r="P1874" s="7">
        <v>45657</v>
      </c>
    </row>
    <row r="1875" spans="1:16" x14ac:dyDescent="0.3">
      <c r="A1875">
        <v>1874</v>
      </c>
      <c r="B1875" s="7">
        <v>45117</v>
      </c>
      <c r="C1875" t="s">
        <v>10</v>
      </c>
      <c r="D1875">
        <v>699</v>
      </c>
      <c r="E1875">
        <v>16.600000000000001</v>
      </c>
      <c r="F1875">
        <v>8</v>
      </c>
      <c r="G1875">
        <v>2</v>
      </c>
      <c r="H1875">
        <v>18</v>
      </c>
      <c r="I1875">
        <v>21</v>
      </c>
      <c r="J1875" t="s">
        <v>13</v>
      </c>
      <c r="K1875">
        <f>IF(J1875="Yes", 1, 0)</f>
        <v>0</v>
      </c>
      <c r="L1875" t="str">
        <f>IF(G1875=0,"0 Failures","1+ Failures")</f>
        <v>1+ Failures</v>
      </c>
      <c r="M1875" t="str">
        <f t="shared" si="89"/>
        <v>10-20hrs</v>
      </c>
      <c r="N1875" t="str">
        <f t="shared" si="87"/>
        <v>12+ months</v>
      </c>
      <c r="O1875" t="str">
        <f t="shared" si="88"/>
        <v>Premium</v>
      </c>
      <c r="P1875" s="7">
        <v>45657</v>
      </c>
    </row>
    <row r="1876" spans="1:16" x14ac:dyDescent="0.3">
      <c r="A1876">
        <v>1875</v>
      </c>
      <c r="B1876" s="7">
        <v>45611</v>
      </c>
      <c r="C1876" t="s">
        <v>14</v>
      </c>
      <c r="D1876">
        <v>399</v>
      </c>
      <c r="E1876">
        <v>20.3</v>
      </c>
      <c r="F1876">
        <v>7</v>
      </c>
      <c r="G1876">
        <v>4</v>
      </c>
      <c r="H1876">
        <v>22</v>
      </c>
      <c r="I1876">
        <v>29</v>
      </c>
      <c r="J1876" t="s">
        <v>11</v>
      </c>
      <c r="K1876">
        <f>IF(J1876="Yes", 1, 0)</f>
        <v>1</v>
      </c>
      <c r="L1876" t="str">
        <f>IF(G1876=0,"0 Failures","1+ Failures")</f>
        <v>1+ Failures</v>
      </c>
      <c r="M1876" t="str">
        <f t="shared" si="89"/>
        <v>20+ hrs</v>
      </c>
      <c r="N1876" t="str">
        <f t="shared" si="87"/>
        <v>12+ months</v>
      </c>
      <c r="O1876" t="str">
        <f t="shared" si="88"/>
        <v>Basic</v>
      </c>
      <c r="P1876" s="7">
        <v>45657</v>
      </c>
    </row>
    <row r="1877" spans="1:16" x14ac:dyDescent="0.3">
      <c r="A1877">
        <v>1876</v>
      </c>
      <c r="B1877" s="7">
        <v>45483</v>
      </c>
      <c r="C1877" t="s">
        <v>14</v>
      </c>
      <c r="D1877">
        <v>399</v>
      </c>
      <c r="E1877">
        <v>6.9</v>
      </c>
      <c r="F1877">
        <v>5</v>
      </c>
      <c r="G1877">
        <v>3</v>
      </c>
      <c r="H1877">
        <v>34</v>
      </c>
      <c r="I1877">
        <v>41</v>
      </c>
      <c r="J1877" t="s">
        <v>11</v>
      </c>
      <c r="K1877">
        <f>IF(J1877="Yes", 1, 0)</f>
        <v>1</v>
      </c>
      <c r="L1877" t="str">
        <f>IF(G1877=0,"0 Failures","1+ Failures")</f>
        <v>1+ Failures</v>
      </c>
      <c r="M1877" t="str">
        <f t="shared" si="89"/>
        <v>5-10 hrs</v>
      </c>
      <c r="N1877" t="str">
        <f t="shared" si="87"/>
        <v>12+ months</v>
      </c>
      <c r="O1877" t="str">
        <f t="shared" si="88"/>
        <v>Basic</v>
      </c>
      <c r="P1877" s="7">
        <v>45657</v>
      </c>
    </row>
    <row r="1878" spans="1:16" x14ac:dyDescent="0.3">
      <c r="A1878">
        <v>1877</v>
      </c>
      <c r="B1878" s="7">
        <v>45229</v>
      </c>
      <c r="C1878" t="s">
        <v>12</v>
      </c>
      <c r="D1878">
        <v>199</v>
      </c>
      <c r="E1878">
        <v>6.1</v>
      </c>
      <c r="F1878">
        <v>7</v>
      </c>
      <c r="G1878">
        <v>0</v>
      </c>
      <c r="H1878">
        <v>7</v>
      </c>
      <c r="I1878">
        <v>7</v>
      </c>
      <c r="J1878" t="s">
        <v>13</v>
      </c>
      <c r="K1878">
        <f>IF(J1878="Yes", 1, 0)</f>
        <v>0</v>
      </c>
      <c r="L1878" t="str">
        <f>IF(G1878=0,"0 Failures","1+ Failures")</f>
        <v>0 Failures</v>
      </c>
      <c r="M1878" t="str">
        <f t="shared" si="89"/>
        <v>5-10 hrs</v>
      </c>
      <c r="N1878" t="str">
        <f t="shared" si="87"/>
        <v>6-12months</v>
      </c>
      <c r="O1878" t="str">
        <f t="shared" si="88"/>
        <v>Basic</v>
      </c>
      <c r="P1878" s="7">
        <v>45657</v>
      </c>
    </row>
    <row r="1879" spans="1:16" x14ac:dyDescent="0.3">
      <c r="A1879">
        <v>1878</v>
      </c>
      <c r="B1879" s="7">
        <v>45443</v>
      </c>
      <c r="C1879" t="s">
        <v>12</v>
      </c>
      <c r="D1879">
        <v>199</v>
      </c>
      <c r="E1879">
        <v>8</v>
      </c>
      <c r="F1879">
        <v>6</v>
      </c>
      <c r="G1879">
        <v>4</v>
      </c>
      <c r="H1879">
        <v>23</v>
      </c>
      <c r="I1879">
        <v>60</v>
      </c>
      <c r="J1879" t="s">
        <v>11</v>
      </c>
      <c r="K1879">
        <f>IF(J1879="Yes", 1, 0)</f>
        <v>1</v>
      </c>
      <c r="L1879" t="str">
        <f>IF(G1879=0,"0 Failures","1+ Failures")</f>
        <v>1+ Failures</v>
      </c>
      <c r="M1879" t="str">
        <f t="shared" si="89"/>
        <v>5-10 hrs</v>
      </c>
      <c r="N1879" t="str">
        <f t="shared" si="87"/>
        <v>12+ months</v>
      </c>
      <c r="O1879" t="str">
        <f t="shared" si="88"/>
        <v>Basic</v>
      </c>
      <c r="P1879" s="7">
        <v>45657</v>
      </c>
    </row>
    <row r="1880" spans="1:16" x14ac:dyDescent="0.3">
      <c r="A1880">
        <v>1879</v>
      </c>
      <c r="B1880" s="7">
        <v>45154</v>
      </c>
      <c r="C1880" t="s">
        <v>12</v>
      </c>
      <c r="D1880">
        <v>199</v>
      </c>
      <c r="E1880">
        <v>20.6</v>
      </c>
      <c r="F1880">
        <v>8</v>
      </c>
      <c r="G1880">
        <v>1</v>
      </c>
      <c r="H1880">
        <v>26</v>
      </c>
      <c r="I1880">
        <v>9</v>
      </c>
      <c r="J1880" t="s">
        <v>13</v>
      </c>
      <c r="K1880">
        <f>IF(J1880="Yes", 1, 0)</f>
        <v>0</v>
      </c>
      <c r="L1880" t="str">
        <f>IF(G1880=0,"0 Failures","1+ Failures")</f>
        <v>1+ Failures</v>
      </c>
      <c r="M1880" t="str">
        <f t="shared" si="89"/>
        <v>20+ hrs</v>
      </c>
      <c r="N1880" t="str">
        <f t="shared" si="87"/>
        <v>12+ months</v>
      </c>
      <c r="O1880" t="str">
        <f t="shared" si="88"/>
        <v>Basic</v>
      </c>
      <c r="P1880" s="7">
        <v>45657</v>
      </c>
    </row>
    <row r="1881" spans="1:16" x14ac:dyDescent="0.3">
      <c r="A1881">
        <v>1880</v>
      </c>
      <c r="B1881" s="7">
        <v>45503</v>
      </c>
      <c r="C1881" t="s">
        <v>12</v>
      </c>
      <c r="D1881">
        <v>199</v>
      </c>
      <c r="E1881">
        <v>18.5</v>
      </c>
      <c r="F1881">
        <v>5</v>
      </c>
      <c r="G1881">
        <v>4</v>
      </c>
      <c r="H1881">
        <v>13</v>
      </c>
      <c r="I1881">
        <v>38</v>
      </c>
      <c r="J1881" t="s">
        <v>13</v>
      </c>
      <c r="K1881">
        <f>IF(J1881="Yes", 1, 0)</f>
        <v>0</v>
      </c>
      <c r="L1881" t="str">
        <f>IF(G1881=0,"0 Failures","1+ Failures")</f>
        <v>1+ Failures</v>
      </c>
      <c r="M1881" t="str">
        <f t="shared" si="89"/>
        <v>10-20hrs</v>
      </c>
      <c r="N1881" t="str">
        <f t="shared" si="87"/>
        <v>12+ months</v>
      </c>
      <c r="O1881" t="str">
        <f t="shared" si="88"/>
        <v>Basic</v>
      </c>
      <c r="P1881" s="7">
        <v>45657</v>
      </c>
    </row>
    <row r="1882" spans="1:16" x14ac:dyDescent="0.3">
      <c r="A1882">
        <v>1881</v>
      </c>
      <c r="B1882" s="7">
        <v>45470</v>
      </c>
      <c r="C1882" t="s">
        <v>10</v>
      </c>
      <c r="D1882">
        <v>699</v>
      </c>
      <c r="E1882">
        <v>1.7</v>
      </c>
      <c r="F1882">
        <v>8</v>
      </c>
      <c r="G1882">
        <v>2</v>
      </c>
      <c r="H1882">
        <v>34</v>
      </c>
      <c r="I1882">
        <v>34</v>
      </c>
      <c r="J1882" t="s">
        <v>11</v>
      </c>
      <c r="K1882">
        <f>IF(J1882="Yes", 1, 0)</f>
        <v>1</v>
      </c>
      <c r="L1882" t="str">
        <f>IF(G1882=0,"0 Failures","1+ Failures")</f>
        <v>1+ Failures</v>
      </c>
      <c r="M1882" t="str">
        <f t="shared" si="89"/>
        <v>0-5 hrs</v>
      </c>
      <c r="N1882" t="str">
        <f t="shared" si="87"/>
        <v>12+ months</v>
      </c>
      <c r="O1882" t="str">
        <f t="shared" si="88"/>
        <v>Premium</v>
      </c>
      <c r="P1882" s="7">
        <v>45657</v>
      </c>
    </row>
    <row r="1883" spans="1:16" x14ac:dyDescent="0.3">
      <c r="A1883">
        <v>1882</v>
      </c>
      <c r="B1883" s="7">
        <v>45158</v>
      </c>
      <c r="C1883" t="s">
        <v>12</v>
      </c>
      <c r="D1883">
        <v>199</v>
      </c>
      <c r="E1883">
        <v>4.4000000000000004</v>
      </c>
      <c r="F1883">
        <v>2</v>
      </c>
      <c r="G1883">
        <v>5</v>
      </c>
      <c r="H1883">
        <v>24</v>
      </c>
      <c r="I1883">
        <v>40</v>
      </c>
      <c r="J1883" t="s">
        <v>13</v>
      </c>
      <c r="K1883">
        <f>IF(J1883="Yes", 1, 0)</f>
        <v>0</v>
      </c>
      <c r="L1883" t="str">
        <f>IF(G1883=0,"0 Failures","1+ Failures")</f>
        <v>1+ Failures</v>
      </c>
      <c r="M1883" t="str">
        <f t="shared" si="89"/>
        <v>0-5 hrs</v>
      </c>
      <c r="N1883" t="str">
        <f t="shared" si="87"/>
        <v>12+ months</v>
      </c>
      <c r="O1883" t="str">
        <f t="shared" si="88"/>
        <v>Basic</v>
      </c>
      <c r="P1883" s="7">
        <v>45657</v>
      </c>
    </row>
    <row r="1884" spans="1:16" x14ac:dyDescent="0.3">
      <c r="A1884">
        <v>1883</v>
      </c>
      <c r="B1884" s="7">
        <v>45337</v>
      </c>
      <c r="C1884" t="s">
        <v>10</v>
      </c>
      <c r="D1884">
        <v>699</v>
      </c>
      <c r="E1884">
        <v>13.8</v>
      </c>
      <c r="F1884">
        <v>6</v>
      </c>
      <c r="G1884">
        <v>1</v>
      </c>
      <c r="H1884">
        <v>10</v>
      </c>
      <c r="I1884">
        <v>17</v>
      </c>
      <c r="J1884" t="s">
        <v>11</v>
      </c>
      <c r="K1884">
        <f>IF(J1884="Yes", 1, 0)</f>
        <v>1</v>
      </c>
      <c r="L1884" t="str">
        <f>IF(G1884=0,"0 Failures","1+ Failures")</f>
        <v>1+ Failures</v>
      </c>
      <c r="M1884" t="str">
        <f t="shared" si="89"/>
        <v>10-20hrs</v>
      </c>
      <c r="N1884" t="str">
        <f t="shared" si="87"/>
        <v>6-12months</v>
      </c>
      <c r="O1884" t="str">
        <f t="shared" si="88"/>
        <v>Premium</v>
      </c>
      <c r="P1884" s="7">
        <v>45657</v>
      </c>
    </row>
    <row r="1885" spans="1:16" x14ac:dyDescent="0.3">
      <c r="A1885">
        <v>1884</v>
      </c>
      <c r="B1885" s="7">
        <v>45234</v>
      </c>
      <c r="C1885" t="s">
        <v>14</v>
      </c>
      <c r="D1885">
        <v>399</v>
      </c>
      <c r="E1885">
        <v>22.6</v>
      </c>
      <c r="F1885">
        <v>6</v>
      </c>
      <c r="G1885">
        <v>3</v>
      </c>
      <c r="H1885">
        <v>25</v>
      </c>
      <c r="I1885">
        <v>29</v>
      </c>
      <c r="J1885" t="s">
        <v>11</v>
      </c>
      <c r="K1885">
        <f>IF(J1885="Yes", 1, 0)</f>
        <v>1</v>
      </c>
      <c r="L1885" t="str">
        <f>IF(G1885=0,"0 Failures","1+ Failures")</f>
        <v>1+ Failures</v>
      </c>
      <c r="M1885" t="str">
        <f t="shared" si="89"/>
        <v>20+ hrs</v>
      </c>
      <c r="N1885" t="str">
        <f t="shared" si="87"/>
        <v>12+ months</v>
      </c>
      <c r="O1885" t="str">
        <f t="shared" si="88"/>
        <v>Basic</v>
      </c>
      <c r="P1885" s="7">
        <v>45657</v>
      </c>
    </row>
    <row r="1886" spans="1:16" x14ac:dyDescent="0.3">
      <c r="A1886">
        <v>1885</v>
      </c>
      <c r="B1886" s="7">
        <v>45554</v>
      </c>
      <c r="C1886" t="s">
        <v>12</v>
      </c>
      <c r="D1886">
        <v>199</v>
      </c>
      <c r="E1886">
        <v>6.7</v>
      </c>
      <c r="F1886">
        <v>8</v>
      </c>
      <c r="G1886">
        <v>5</v>
      </c>
      <c r="H1886">
        <v>5</v>
      </c>
      <c r="I1886">
        <v>19</v>
      </c>
      <c r="J1886" t="s">
        <v>11</v>
      </c>
      <c r="K1886">
        <f>IF(J1886="Yes", 1, 0)</f>
        <v>1</v>
      </c>
      <c r="L1886" t="str">
        <f>IF(G1886=0,"0 Failures","1+ Failures")</f>
        <v>1+ Failures</v>
      </c>
      <c r="M1886" t="str">
        <f t="shared" si="89"/>
        <v>5-10 hrs</v>
      </c>
      <c r="N1886" t="str">
        <f t="shared" si="87"/>
        <v>3-6months</v>
      </c>
      <c r="O1886" t="str">
        <f t="shared" si="88"/>
        <v>Basic</v>
      </c>
      <c r="P1886" s="7">
        <v>45657</v>
      </c>
    </row>
    <row r="1887" spans="1:16" x14ac:dyDescent="0.3">
      <c r="A1887">
        <v>1886</v>
      </c>
      <c r="B1887" s="7">
        <v>45091</v>
      </c>
      <c r="C1887" t="s">
        <v>10</v>
      </c>
      <c r="D1887">
        <v>699</v>
      </c>
      <c r="E1887">
        <v>2</v>
      </c>
      <c r="F1887">
        <v>6</v>
      </c>
      <c r="G1887">
        <v>1</v>
      </c>
      <c r="H1887">
        <v>5</v>
      </c>
      <c r="I1887">
        <v>9</v>
      </c>
      <c r="J1887" t="s">
        <v>11</v>
      </c>
      <c r="K1887">
        <f>IF(J1887="Yes", 1, 0)</f>
        <v>1</v>
      </c>
      <c r="L1887" t="str">
        <f>IF(G1887=0,"0 Failures","1+ Failures")</f>
        <v>1+ Failures</v>
      </c>
      <c r="M1887" t="str">
        <f t="shared" si="89"/>
        <v>0-5 hrs</v>
      </c>
      <c r="N1887" t="str">
        <f t="shared" si="87"/>
        <v>3-6months</v>
      </c>
      <c r="O1887" t="str">
        <f t="shared" si="88"/>
        <v>Premium</v>
      </c>
      <c r="P1887" s="7">
        <v>45657</v>
      </c>
    </row>
    <row r="1888" spans="1:16" x14ac:dyDescent="0.3">
      <c r="A1888">
        <v>1887</v>
      </c>
      <c r="B1888" s="7">
        <v>45285</v>
      </c>
      <c r="C1888" t="s">
        <v>12</v>
      </c>
      <c r="D1888">
        <v>199</v>
      </c>
      <c r="E1888">
        <v>19.8</v>
      </c>
      <c r="F1888">
        <v>6</v>
      </c>
      <c r="G1888">
        <v>3</v>
      </c>
      <c r="H1888">
        <v>26</v>
      </c>
      <c r="I1888">
        <v>37</v>
      </c>
      <c r="J1888" t="s">
        <v>11</v>
      </c>
      <c r="K1888">
        <f>IF(J1888="Yes", 1, 0)</f>
        <v>1</v>
      </c>
      <c r="L1888" t="str">
        <f>IF(G1888=0,"0 Failures","1+ Failures")</f>
        <v>1+ Failures</v>
      </c>
      <c r="M1888" t="str">
        <f t="shared" si="89"/>
        <v>10-20hrs</v>
      </c>
      <c r="N1888" t="str">
        <f t="shared" si="87"/>
        <v>12+ months</v>
      </c>
      <c r="O1888" t="str">
        <f t="shared" si="88"/>
        <v>Basic</v>
      </c>
      <c r="P1888" s="7">
        <v>45657</v>
      </c>
    </row>
    <row r="1889" spans="1:16" x14ac:dyDescent="0.3">
      <c r="A1889">
        <v>1888</v>
      </c>
      <c r="B1889" s="7">
        <v>45526</v>
      </c>
      <c r="C1889" t="s">
        <v>12</v>
      </c>
      <c r="D1889">
        <v>199</v>
      </c>
      <c r="E1889">
        <v>24.1</v>
      </c>
      <c r="F1889">
        <v>4</v>
      </c>
      <c r="G1889">
        <v>1</v>
      </c>
      <c r="H1889">
        <v>15</v>
      </c>
      <c r="I1889">
        <v>57</v>
      </c>
      <c r="J1889" t="s">
        <v>11</v>
      </c>
      <c r="K1889">
        <f>IF(J1889="Yes", 1, 0)</f>
        <v>1</v>
      </c>
      <c r="L1889" t="str">
        <f>IF(G1889=0,"0 Failures","1+ Failures")</f>
        <v>1+ Failures</v>
      </c>
      <c r="M1889" t="str">
        <f t="shared" si="89"/>
        <v>20+ hrs</v>
      </c>
      <c r="N1889" t="str">
        <f t="shared" si="87"/>
        <v>12+ months</v>
      </c>
      <c r="O1889" t="str">
        <f t="shared" si="88"/>
        <v>Basic</v>
      </c>
      <c r="P1889" s="7">
        <v>45657</v>
      </c>
    </row>
    <row r="1890" spans="1:16" x14ac:dyDescent="0.3">
      <c r="A1890">
        <v>1889</v>
      </c>
      <c r="B1890" s="7">
        <v>44938</v>
      </c>
      <c r="C1890" t="s">
        <v>10</v>
      </c>
      <c r="D1890">
        <v>699</v>
      </c>
      <c r="E1890">
        <v>5.5</v>
      </c>
      <c r="F1890">
        <v>2</v>
      </c>
      <c r="G1890">
        <v>5</v>
      </c>
      <c r="H1890">
        <v>10</v>
      </c>
      <c r="I1890">
        <v>17</v>
      </c>
      <c r="J1890" t="s">
        <v>13</v>
      </c>
      <c r="K1890">
        <f>IF(J1890="Yes", 1, 0)</f>
        <v>0</v>
      </c>
      <c r="L1890" t="str">
        <f>IF(G1890=0,"0 Failures","1+ Failures")</f>
        <v>1+ Failures</v>
      </c>
      <c r="M1890" t="str">
        <f t="shared" si="89"/>
        <v>5-10 hrs</v>
      </c>
      <c r="N1890" t="str">
        <f t="shared" si="87"/>
        <v>6-12months</v>
      </c>
      <c r="O1890" t="str">
        <f t="shared" si="88"/>
        <v>Premium</v>
      </c>
      <c r="P1890" s="7">
        <v>45657</v>
      </c>
    </row>
    <row r="1891" spans="1:16" x14ac:dyDescent="0.3">
      <c r="A1891">
        <v>1890</v>
      </c>
      <c r="B1891" s="7">
        <v>45409</v>
      </c>
      <c r="C1891" t="s">
        <v>10</v>
      </c>
      <c r="D1891">
        <v>699</v>
      </c>
      <c r="E1891">
        <v>13.3</v>
      </c>
      <c r="F1891">
        <v>8</v>
      </c>
      <c r="G1891">
        <v>0</v>
      </c>
      <c r="H1891">
        <v>8</v>
      </c>
      <c r="I1891">
        <v>49</v>
      </c>
      <c r="J1891" t="s">
        <v>13</v>
      </c>
      <c r="K1891">
        <f>IF(J1891="Yes", 1, 0)</f>
        <v>0</v>
      </c>
      <c r="L1891" t="str">
        <f>IF(G1891=0,"0 Failures","1+ Failures")</f>
        <v>0 Failures</v>
      </c>
      <c r="M1891" t="str">
        <f t="shared" si="89"/>
        <v>10-20hrs</v>
      </c>
      <c r="N1891" t="str">
        <f t="shared" si="87"/>
        <v>6-12months</v>
      </c>
      <c r="O1891" t="str">
        <f t="shared" si="88"/>
        <v>Premium</v>
      </c>
      <c r="P1891" s="7">
        <v>45657</v>
      </c>
    </row>
    <row r="1892" spans="1:16" x14ac:dyDescent="0.3">
      <c r="A1892">
        <v>1891</v>
      </c>
      <c r="B1892" s="7">
        <v>45084</v>
      </c>
      <c r="C1892" t="s">
        <v>12</v>
      </c>
      <c r="D1892">
        <v>199</v>
      </c>
      <c r="E1892">
        <v>7.8</v>
      </c>
      <c r="F1892">
        <v>1</v>
      </c>
      <c r="G1892">
        <v>4</v>
      </c>
      <c r="H1892">
        <v>29</v>
      </c>
      <c r="I1892">
        <v>47</v>
      </c>
      <c r="J1892" t="s">
        <v>13</v>
      </c>
      <c r="K1892">
        <f>IF(J1892="Yes", 1, 0)</f>
        <v>0</v>
      </c>
      <c r="L1892" t="str">
        <f>IF(G1892=0,"0 Failures","1+ Failures")</f>
        <v>1+ Failures</v>
      </c>
      <c r="M1892" t="str">
        <f t="shared" si="89"/>
        <v>5-10 hrs</v>
      </c>
      <c r="N1892" t="str">
        <f t="shared" si="87"/>
        <v>12+ months</v>
      </c>
      <c r="O1892" t="str">
        <f t="shared" si="88"/>
        <v>Basic</v>
      </c>
      <c r="P1892" s="7">
        <v>45657</v>
      </c>
    </row>
    <row r="1893" spans="1:16" x14ac:dyDescent="0.3">
      <c r="A1893">
        <v>1892</v>
      </c>
      <c r="B1893" s="7">
        <v>45042</v>
      </c>
      <c r="C1893" t="s">
        <v>12</v>
      </c>
      <c r="D1893">
        <v>199</v>
      </c>
      <c r="E1893">
        <v>21.9</v>
      </c>
      <c r="F1893">
        <v>0</v>
      </c>
      <c r="G1893">
        <v>3</v>
      </c>
      <c r="H1893">
        <v>22</v>
      </c>
      <c r="I1893">
        <v>53</v>
      </c>
      <c r="J1893" t="s">
        <v>13</v>
      </c>
      <c r="K1893">
        <f>IF(J1893="Yes", 1, 0)</f>
        <v>0</v>
      </c>
      <c r="L1893" t="str">
        <f>IF(G1893=0,"0 Failures","1+ Failures")</f>
        <v>1+ Failures</v>
      </c>
      <c r="M1893" t="str">
        <f t="shared" si="89"/>
        <v>20+ hrs</v>
      </c>
      <c r="N1893" t="str">
        <f t="shared" si="87"/>
        <v>12+ months</v>
      </c>
      <c r="O1893" t="str">
        <f t="shared" si="88"/>
        <v>Basic</v>
      </c>
      <c r="P1893" s="7">
        <v>45657</v>
      </c>
    </row>
    <row r="1894" spans="1:16" x14ac:dyDescent="0.3">
      <c r="A1894">
        <v>1893</v>
      </c>
      <c r="B1894" s="7">
        <v>45425</v>
      </c>
      <c r="C1894" t="s">
        <v>10</v>
      </c>
      <c r="D1894">
        <v>699</v>
      </c>
      <c r="E1894">
        <v>10.9</v>
      </c>
      <c r="F1894">
        <v>2</v>
      </c>
      <c r="G1894">
        <v>5</v>
      </c>
      <c r="H1894">
        <v>30</v>
      </c>
      <c r="I1894">
        <v>44</v>
      </c>
      <c r="J1894" t="s">
        <v>13</v>
      </c>
      <c r="K1894">
        <f>IF(J1894="Yes", 1, 0)</f>
        <v>0</v>
      </c>
      <c r="L1894" t="str">
        <f>IF(G1894=0,"0 Failures","1+ Failures")</f>
        <v>1+ Failures</v>
      </c>
      <c r="M1894" t="str">
        <f t="shared" si="89"/>
        <v>10-20hrs</v>
      </c>
      <c r="N1894" t="str">
        <f t="shared" si="87"/>
        <v>12+ months</v>
      </c>
      <c r="O1894" t="str">
        <f t="shared" si="88"/>
        <v>Premium</v>
      </c>
      <c r="P1894" s="7">
        <v>45657</v>
      </c>
    </row>
    <row r="1895" spans="1:16" x14ac:dyDescent="0.3">
      <c r="A1895">
        <v>1894</v>
      </c>
      <c r="B1895" s="7">
        <v>45298</v>
      </c>
      <c r="C1895" t="s">
        <v>14</v>
      </c>
      <c r="D1895">
        <v>399</v>
      </c>
      <c r="E1895">
        <v>13.3</v>
      </c>
      <c r="F1895">
        <v>1</v>
      </c>
      <c r="G1895">
        <v>5</v>
      </c>
      <c r="H1895">
        <v>15</v>
      </c>
      <c r="I1895">
        <v>38</v>
      </c>
      <c r="J1895" t="s">
        <v>13</v>
      </c>
      <c r="K1895">
        <f>IF(J1895="Yes", 1, 0)</f>
        <v>0</v>
      </c>
      <c r="L1895" t="str">
        <f>IF(G1895=0,"0 Failures","1+ Failures")</f>
        <v>1+ Failures</v>
      </c>
      <c r="M1895" t="str">
        <f t="shared" si="89"/>
        <v>10-20hrs</v>
      </c>
      <c r="N1895" t="str">
        <f t="shared" si="87"/>
        <v>12+ months</v>
      </c>
      <c r="O1895" t="str">
        <f t="shared" si="88"/>
        <v>Basic</v>
      </c>
      <c r="P1895" s="7">
        <v>45657</v>
      </c>
    </row>
    <row r="1896" spans="1:16" x14ac:dyDescent="0.3">
      <c r="A1896">
        <v>1895</v>
      </c>
      <c r="B1896" s="7">
        <v>45213</v>
      </c>
      <c r="C1896" t="s">
        <v>12</v>
      </c>
      <c r="D1896">
        <v>199</v>
      </c>
      <c r="E1896">
        <v>21</v>
      </c>
      <c r="F1896">
        <v>6</v>
      </c>
      <c r="G1896">
        <v>3</v>
      </c>
      <c r="H1896">
        <v>32</v>
      </c>
      <c r="I1896">
        <v>3</v>
      </c>
      <c r="J1896" t="s">
        <v>13</v>
      </c>
      <c r="K1896">
        <f>IF(J1896="Yes", 1, 0)</f>
        <v>0</v>
      </c>
      <c r="L1896" t="str">
        <f>IF(G1896=0,"0 Failures","1+ Failures")</f>
        <v>1+ Failures</v>
      </c>
      <c r="M1896" t="str">
        <f t="shared" si="89"/>
        <v>20+ hrs</v>
      </c>
      <c r="N1896" t="str">
        <f t="shared" si="87"/>
        <v>12+ months</v>
      </c>
      <c r="O1896" t="str">
        <f t="shared" si="88"/>
        <v>Basic</v>
      </c>
      <c r="P1896" s="7">
        <v>45657</v>
      </c>
    </row>
    <row r="1897" spans="1:16" x14ac:dyDescent="0.3">
      <c r="A1897">
        <v>1896</v>
      </c>
      <c r="B1897" s="7">
        <v>45184</v>
      </c>
      <c r="C1897" t="s">
        <v>10</v>
      </c>
      <c r="D1897">
        <v>699</v>
      </c>
      <c r="E1897">
        <v>22.7</v>
      </c>
      <c r="F1897">
        <v>8</v>
      </c>
      <c r="G1897">
        <v>2</v>
      </c>
      <c r="H1897">
        <v>18</v>
      </c>
      <c r="I1897">
        <v>26</v>
      </c>
      <c r="J1897" t="s">
        <v>11</v>
      </c>
      <c r="K1897">
        <f>IF(J1897="Yes", 1, 0)</f>
        <v>1</v>
      </c>
      <c r="L1897" t="str">
        <f>IF(G1897=0,"0 Failures","1+ Failures")</f>
        <v>1+ Failures</v>
      </c>
      <c r="M1897" t="str">
        <f t="shared" si="89"/>
        <v>20+ hrs</v>
      </c>
      <c r="N1897" t="str">
        <f t="shared" si="87"/>
        <v>12+ months</v>
      </c>
      <c r="O1897" t="str">
        <f t="shared" si="88"/>
        <v>Premium</v>
      </c>
      <c r="P1897" s="7">
        <v>45657</v>
      </c>
    </row>
    <row r="1898" spans="1:16" x14ac:dyDescent="0.3">
      <c r="A1898">
        <v>1897</v>
      </c>
      <c r="B1898" s="7">
        <v>45532</v>
      </c>
      <c r="C1898" t="s">
        <v>14</v>
      </c>
      <c r="D1898">
        <v>399</v>
      </c>
      <c r="E1898">
        <v>0.8</v>
      </c>
      <c r="F1898">
        <v>7</v>
      </c>
      <c r="G1898">
        <v>1</v>
      </c>
      <c r="H1898">
        <v>6</v>
      </c>
      <c r="I1898">
        <v>37</v>
      </c>
      <c r="J1898" t="s">
        <v>11</v>
      </c>
      <c r="K1898">
        <f>IF(J1898="Yes", 1, 0)</f>
        <v>1</v>
      </c>
      <c r="L1898" t="str">
        <f>IF(G1898=0,"0 Failures","1+ Failures")</f>
        <v>1+ Failures</v>
      </c>
      <c r="M1898" t="str">
        <f t="shared" si="89"/>
        <v>0-5 hrs</v>
      </c>
      <c r="N1898" t="str">
        <f t="shared" si="87"/>
        <v>3-6months</v>
      </c>
      <c r="O1898" t="str">
        <f t="shared" si="88"/>
        <v>Basic</v>
      </c>
      <c r="P1898" s="7">
        <v>45657</v>
      </c>
    </row>
    <row r="1899" spans="1:16" x14ac:dyDescent="0.3">
      <c r="A1899">
        <v>1898</v>
      </c>
      <c r="B1899" s="7">
        <v>45311</v>
      </c>
      <c r="C1899" t="s">
        <v>14</v>
      </c>
      <c r="D1899">
        <v>399</v>
      </c>
      <c r="E1899">
        <v>3</v>
      </c>
      <c r="F1899">
        <v>7</v>
      </c>
      <c r="G1899">
        <v>4</v>
      </c>
      <c r="H1899">
        <v>18</v>
      </c>
      <c r="I1899">
        <v>38</v>
      </c>
      <c r="J1899" t="s">
        <v>11</v>
      </c>
      <c r="K1899">
        <f>IF(J1899="Yes", 1, 0)</f>
        <v>1</v>
      </c>
      <c r="L1899" t="str">
        <f>IF(G1899=0,"0 Failures","1+ Failures")</f>
        <v>1+ Failures</v>
      </c>
      <c r="M1899" t="str">
        <f t="shared" si="89"/>
        <v>0-5 hrs</v>
      </c>
      <c r="N1899" t="str">
        <f t="shared" si="87"/>
        <v>12+ months</v>
      </c>
      <c r="O1899" t="str">
        <f t="shared" si="88"/>
        <v>Basic</v>
      </c>
      <c r="P1899" s="7">
        <v>45657</v>
      </c>
    </row>
    <row r="1900" spans="1:16" x14ac:dyDescent="0.3">
      <c r="A1900">
        <v>1899</v>
      </c>
      <c r="B1900" s="7">
        <v>45585</v>
      </c>
      <c r="C1900" t="s">
        <v>10</v>
      </c>
      <c r="D1900">
        <v>699</v>
      </c>
      <c r="E1900">
        <v>21.8</v>
      </c>
      <c r="F1900">
        <v>6</v>
      </c>
      <c r="G1900">
        <v>0</v>
      </c>
      <c r="H1900">
        <v>34</v>
      </c>
      <c r="I1900">
        <v>38</v>
      </c>
      <c r="J1900" t="s">
        <v>11</v>
      </c>
      <c r="K1900">
        <f>IF(J1900="Yes", 1, 0)</f>
        <v>1</v>
      </c>
      <c r="L1900" t="str">
        <f>IF(G1900=0,"0 Failures","1+ Failures")</f>
        <v>0 Failures</v>
      </c>
      <c r="M1900" t="str">
        <f t="shared" si="89"/>
        <v>20+ hrs</v>
      </c>
      <c r="N1900" t="str">
        <f t="shared" si="87"/>
        <v>12+ months</v>
      </c>
      <c r="O1900" t="str">
        <f t="shared" si="88"/>
        <v>Premium</v>
      </c>
      <c r="P1900" s="7">
        <v>45657</v>
      </c>
    </row>
    <row r="1901" spans="1:16" x14ac:dyDescent="0.3">
      <c r="A1901">
        <v>1900</v>
      </c>
      <c r="B1901" s="7">
        <v>45545</v>
      </c>
      <c r="C1901" t="s">
        <v>12</v>
      </c>
      <c r="D1901">
        <v>199</v>
      </c>
      <c r="E1901">
        <v>3.4</v>
      </c>
      <c r="F1901">
        <v>3</v>
      </c>
      <c r="G1901">
        <v>2</v>
      </c>
      <c r="H1901">
        <v>7</v>
      </c>
      <c r="I1901">
        <v>37</v>
      </c>
      <c r="J1901" t="s">
        <v>11</v>
      </c>
      <c r="K1901">
        <f>IF(J1901="Yes", 1, 0)</f>
        <v>1</v>
      </c>
      <c r="L1901" t="str">
        <f>IF(G1901=0,"0 Failures","1+ Failures")</f>
        <v>1+ Failures</v>
      </c>
      <c r="M1901" t="str">
        <f t="shared" si="89"/>
        <v>0-5 hrs</v>
      </c>
      <c r="N1901" t="str">
        <f t="shared" si="87"/>
        <v>6-12months</v>
      </c>
      <c r="O1901" t="str">
        <f t="shared" si="88"/>
        <v>Basic</v>
      </c>
      <c r="P1901" s="7">
        <v>45657</v>
      </c>
    </row>
    <row r="1902" spans="1:16" x14ac:dyDescent="0.3">
      <c r="A1902">
        <v>1901</v>
      </c>
      <c r="B1902" s="7">
        <v>45398</v>
      </c>
      <c r="C1902" t="s">
        <v>14</v>
      </c>
      <c r="D1902">
        <v>399</v>
      </c>
      <c r="E1902">
        <v>18.100000000000001</v>
      </c>
      <c r="F1902">
        <v>0</v>
      </c>
      <c r="G1902">
        <v>2</v>
      </c>
      <c r="H1902">
        <v>26</v>
      </c>
      <c r="I1902">
        <v>41</v>
      </c>
      <c r="J1902" t="s">
        <v>13</v>
      </c>
      <c r="K1902">
        <f>IF(J1902="Yes", 1, 0)</f>
        <v>0</v>
      </c>
      <c r="L1902" t="str">
        <f>IF(G1902=0,"0 Failures","1+ Failures")</f>
        <v>1+ Failures</v>
      </c>
      <c r="M1902" t="str">
        <f t="shared" si="89"/>
        <v>10-20hrs</v>
      </c>
      <c r="N1902" t="str">
        <f t="shared" si="87"/>
        <v>12+ months</v>
      </c>
      <c r="O1902" t="str">
        <f t="shared" si="88"/>
        <v>Basic</v>
      </c>
      <c r="P1902" s="7">
        <v>45657</v>
      </c>
    </row>
    <row r="1903" spans="1:16" x14ac:dyDescent="0.3">
      <c r="A1903">
        <v>1902</v>
      </c>
      <c r="B1903" s="7">
        <v>45612</v>
      </c>
      <c r="C1903" t="s">
        <v>10</v>
      </c>
      <c r="D1903">
        <v>699</v>
      </c>
      <c r="E1903">
        <v>1.4</v>
      </c>
      <c r="F1903">
        <v>6</v>
      </c>
      <c r="G1903">
        <v>5</v>
      </c>
      <c r="H1903">
        <v>34</v>
      </c>
      <c r="I1903">
        <v>47</v>
      </c>
      <c r="J1903" t="s">
        <v>11</v>
      </c>
      <c r="K1903">
        <f>IF(J1903="Yes", 1, 0)</f>
        <v>1</v>
      </c>
      <c r="L1903" t="str">
        <f>IF(G1903=0,"0 Failures","1+ Failures")</f>
        <v>1+ Failures</v>
      </c>
      <c r="M1903" t="str">
        <f t="shared" si="89"/>
        <v>0-5 hrs</v>
      </c>
      <c r="N1903" t="str">
        <f t="shared" si="87"/>
        <v>12+ months</v>
      </c>
      <c r="O1903" t="str">
        <f t="shared" si="88"/>
        <v>Premium</v>
      </c>
      <c r="P1903" s="7">
        <v>45657</v>
      </c>
    </row>
    <row r="1904" spans="1:16" x14ac:dyDescent="0.3">
      <c r="A1904">
        <v>1903</v>
      </c>
      <c r="B1904" s="7">
        <v>45226</v>
      </c>
      <c r="C1904" t="s">
        <v>12</v>
      </c>
      <c r="D1904">
        <v>199</v>
      </c>
      <c r="E1904">
        <v>14.4</v>
      </c>
      <c r="F1904">
        <v>0</v>
      </c>
      <c r="G1904">
        <v>5</v>
      </c>
      <c r="H1904">
        <v>14</v>
      </c>
      <c r="I1904">
        <v>60</v>
      </c>
      <c r="J1904" t="s">
        <v>11</v>
      </c>
      <c r="K1904">
        <f>IF(J1904="Yes", 1, 0)</f>
        <v>1</v>
      </c>
      <c r="L1904" t="str">
        <f>IF(G1904=0,"0 Failures","1+ Failures")</f>
        <v>1+ Failures</v>
      </c>
      <c r="M1904" t="str">
        <f t="shared" si="89"/>
        <v>10-20hrs</v>
      </c>
      <c r="N1904" t="str">
        <f t="shared" si="87"/>
        <v>12+ months</v>
      </c>
      <c r="O1904" t="str">
        <f t="shared" si="88"/>
        <v>Basic</v>
      </c>
      <c r="P1904" s="7">
        <v>45657</v>
      </c>
    </row>
    <row r="1905" spans="1:16" x14ac:dyDescent="0.3">
      <c r="A1905">
        <v>1904</v>
      </c>
      <c r="B1905" s="7">
        <v>45287</v>
      </c>
      <c r="C1905" t="s">
        <v>14</v>
      </c>
      <c r="D1905">
        <v>399</v>
      </c>
      <c r="E1905">
        <v>18.399999999999999</v>
      </c>
      <c r="F1905">
        <v>4</v>
      </c>
      <c r="G1905">
        <v>2</v>
      </c>
      <c r="H1905">
        <v>2</v>
      </c>
      <c r="I1905">
        <v>52</v>
      </c>
      <c r="J1905" t="s">
        <v>11</v>
      </c>
      <c r="K1905">
        <f>IF(J1905="Yes", 1, 0)</f>
        <v>1</v>
      </c>
      <c r="L1905" t="str">
        <f>IF(G1905=0,"0 Failures","1+ Failures")</f>
        <v>1+ Failures</v>
      </c>
      <c r="M1905" t="str">
        <f t="shared" si="89"/>
        <v>10-20hrs</v>
      </c>
      <c r="N1905" t="str">
        <f t="shared" si="87"/>
        <v>0-3months</v>
      </c>
      <c r="O1905" t="str">
        <f t="shared" si="88"/>
        <v>Basic</v>
      </c>
      <c r="P1905" s="7">
        <v>45657</v>
      </c>
    </row>
    <row r="1906" spans="1:16" x14ac:dyDescent="0.3">
      <c r="A1906">
        <v>1905</v>
      </c>
      <c r="B1906" s="7">
        <v>45577</v>
      </c>
      <c r="C1906" t="s">
        <v>12</v>
      </c>
      <c r="D1906">
        <v>199</v>
      </c>
      <c r="E1906">
        <v>11.4</v>
      </c>
      <c r="F1906">
        <v>0</v>
      </c>
      <c r="G1906">
        <v>2</v>
      </c>
      <c r="H1906">
        <v>18</v>
      </c>
      <c r="I1906">
        <v>29</v>
      </c>
      <c r="J1906" t="s">
        <v>13</v>
      </c>
      <c r="K1906">
        <f>IF(J1906="Yes", 1, 0)</f>
        <v>0</v>
      </c>
      <c r="L1906" t="str">
        <f>IF(G1906=0,"0 Failures","1+ Failures")</f>
        <v>1+ Failures</v>
      </c>
      <c r="M1906" t="str">
        <f t="shared" si="89"/>
        <v>10-20hrs</v>
      </c>
      <c r="N1906" t="str">
        <f t="shared" si="87"/>
        <v>12+ months</v>
      </c>
      <c r="O1906" t="str">
        <f t="shared" si="88"/>
        <v>Basic</v>
      </c>
      <c r="P1906" s="7">
        <v>45657</v>
      </c>
    </row>
    <row r="1907" spans="1:16" x14ac:dyDescent="0.3">
      <c r="A1907">
        <v>1906</v>
      </c>
      <c r="B1907" s="7">
        <v>45283</v>
      </c>
      <c r="C1907" t="s">
        <v>14</v>
      </c>
      <c r="D1907">
        <v>399</v>
      </c>
      <c r="E1907">
        <v>5.6</v>
      </c>
      <c r="F1907">
        <v>8</v>
      </c>
      <c r="G1907">
        <v>5</v>
      </c>
      <c r="H1907">
        <v>11</v>
      </c>
      <c r="I1907">
        <v>20</v>
      </c>
      <c r="J1907" t="s">
        <v>13</v>
      </c>
      <c r="K1907">
        <f>IF(J1907="Yes", 1, 0)</f>
        <v>0</v>
      </c>
      <c r="L1907" t="str">
        <f>IF(G1907=0,"0 Failures","1+ Failures")</f>
        <v>1+ Failures</v>
      </c>
      <c r="M1907" t="str">
        <f t="shared" si="89"/>
        <v>5-10 hrs</v>
      </c>
      <c r="N1907" t="str">
        <f t="shared" si="87"/>
        <v>6-12months</v>
      </c>
      <c r="O1907" t="str">
        <f t="shared" si="88"/>
        <v>Basic</v>
      </c>
      <c r="P1907" s="7">
        <v>45657</v>
      </c>
    </row>
    <row r="1908" spans="1:16" x14ac:dyDescent="0.3">
      <c r="A1908">
        <v>1907</v>
      </c>
      <c r="B1908" s="7">
        <v>45160</v>
      </c>
      <c r="C1908" t="s">
        <v>12</v>
      </c>
      <c r="D1908">
        <v>199</v>
      </c>
      <c r="E1908">
        <v>21.5</v>
      </c>
      <c r="F1908">
        <v>5</v>
      </c>
      <c r="G1908">
        <v>2</v>
      </c>
      <c r="H1908">
        <v>32</v>
      </c>
      <c r="I1908">
        <v>39</v>
      </c>
      <c r="J1908" t="s">
        <v>11</v>
      </c>
      <c r="K1908">
        <f>IF(J1908="Yes", 1, 0)</f>
        <v>1</v>
      </c>
      <c r="L1908" t="str">
        <f>IF(G1908=0,"0 Failures","1+ Failures")</f>
        <v>1+ Failures</v>
      </c>
      <c r="M1908" t="str">
        <f t="shared" si="89"/>
        <v>20+ hrs</v>
      </c>
      <c r="N1908" t="str">
        <f t="shared" si="87"/>
        <v>12+ months</v>
      </c>
      <c r="O1908" t="str">
        <f t="shared" si="88"/>
        <v>Basic</v>
      </c>
      <c r="P1908" s="7">
        <v>45657</v>
      </c>
    </row>
    <row r="1909" spans="1:16" x14ac:dyDescent="0.3">
      <c r="A1909">
        <v>1908</v>
      </c>
      <c r="B1909" s="7">
        <v>45436</v>
      </c>
      <c r="C1909" t="s">
        <v>14</v>
      </c>
      <c r="D1909">
        <v>399</v>
      </c>
      <c r="E1909">
        <v>3</v>
      </c>
      <c r="F1909">
        <v>1</v>
      </c>
      <c r="G1909">
        <v>5</v>
      </c>
      <c r="H1909">
        <v>20</v>
      </c>
      <c r="I1909">
        <v>25</v>
      </c>
      <c r="J1909" t="s">
        <v>11</v>
      </c>
      <c r="K1909">
        <f>IF(J1909="Yes", 1, 0)</f>
        <v>1</v>
      </c>
      <c r="L1909" t="str">
        <f>IF(G1909=0,"0 Failures","1+ Failures")</f>
        <v>1+ Failures</v>
      </c>
      <c r="M1909" t="str">
        <f t="shared" si="89"/>
        <v>0-5 hrs</v>
      </c>
      <c r="N1909" t="str">
        <f t="shared" si="87"/>
        <v>12+ months</v>
      </c>
      <c r="O1909" t="str">
        <f t="shared" si="88"/>
        <v>Basic</v>
      </c>
      <c r="P1909" s="7">
        <v>45657</v>
      </c>
    </row>
    <row r="1910" spans="1:16" x14ac:dyDescent="0.3">
      <c r="A1910">
        <v>1909</v>
      </c>
      <c r="B1910" s="7">
        <v>45286</v>
      </c>
      <c r="C1910" t="s">
        <v>10</v>
      </c>
      <c r="D1910">
        <v>699</v>
      </c>
      <c r="E1910">
        <v>19</v>
      </c>
      <c r="F1910">
        <v>3</v>
      </c>
      <c r="G1910">
        <v>2</v>
      </c>
      <c r="H1910">
        <v>12</v>
      </c>
      <c r="I1910">
        <v>54</v>
      </c>
      <c r="J1910" t="s">
        <v>13</v>
      </c>
      <c r="K1910">
        <f>IF(J1910="Yes", 1, 0)</f>
        <v>0</v>
      </c>
      <c r="L1910" t="str">
        <f>IF(G1910=0,"0 Failures","1+ Failures")</f>
        <v>1+ Failures</v>
      </c>
      <c r="M1910" t="str">
        <f t="shared" si="89"/>
        <v>10-20hrs</v>
      </c>
      <c r="N1910" t="str">
        <f t="shared" si="87"/>
        <v>6-12months</v>
      </c>
      <c r="O1910" t="str">
        <f t="shared" si="88"/>
        <v>Premium</v>
      </c>
      <c r="P1910" s="7">
        <v>45657</v>
      </c>
    </row>
    <row r="1911" spans="1:16" x14ac:dyDescent="0.3">
      <c r="A1911">
        <v>1910</v>
      </c>
      <c r="B1911" s="7">
        <v>45121</v>
      </c>
      <c r="C1911" t="s">
        <v>14</v>
      </c>
      <c r="D1911">
        <v>399</v>
      </c>
      <c r="E1911">
        <v>22.4</v>
      </c>
      <c r="F1911">
        <v>2</v>
      </c>
      <c r="G1911">
        <v>1</v>
      </c>
      <c r="H1911">
        <v>29</v>
      </c>
      <c r="I1911">
        <v>20</v>
      </c>
      <c r="J1911" t="s">
        <v>11</v>
      </c>
      <c r="K1911">
        <f>IF(J1911="Yes", 1, 0)</f>
        <v>1</v>
      </c>
      <c r="L1911" t="str">
        <f>IF(G1911=0,"0 Failures","1+ Failures")</f>
        <v>1+ Failures</v>
      </c>
      <c r="M1911" t="str">
        <f t="shared" si="89"/>
        <v>20+ hrs</v>
      </c>
      <c r="N1911" t="str">
        <f t="shared" si="87"/>
        <v>12+ months</v>
      </c>
      <c r="O1911" t="str">
        <f t="shared" si="88"/>
        <v>Basic</v>
      </c>
      <c r="P1911" s="7">
        <v>45657</v>
      </c>
    </row>
    <row r="1912" spans="1:16" x14ac:dyDescent="0.3">
      <c r="A1912">
        <v>1911</v>
      </c>
      <c r="B1912" s="7">
        <v>45109</v>
      </c>
      <c r="C1912" t="s">
        <v>10</v>
      </c>
      <c r="D1912">
        <v>699</v>
      </c>
      <c r="E1912">
        <v>22.8</v>
      </c>
      <c r="F1912">
        <v>8</v>
      </c>
      <c r="G1912">
        <v>2</v>
      </c>
      <c r="H1912">
        <v>20</v>
      </c>
      <c r="I1912">
        <v>48</v>
      </c>
      <c r="J1912" t="s">
        <v>11</v>
      </c>
      <c r="K1912">
        <f>IF(J1912="Yes", 1, 0)</f>
        <v>1</v>
      </c>
      <c r="L1912" t="str">
        <f>IF(G1912=0,"0 Failures","1+ Failures")</f>
        <v>1+ Failures</v>
      </c>
      <c r="M1912" t="str">
        <f t="shared" si="89"/>
        <v>20+ hrs</v>
      </c>
      <c r="N1912" t="str">
        <f t="shared" si="87"/>
        <v>12+ months</v>
      </c>
      <c r="O1912" t="str">
        <f t="shared" si="88"/>
        <v>Premium</v>
      </c>
      <c r="P1912" s="7">
        <v>45657</v>
      </c>
    </row>
    <row r="1913" spans="1:16" x14ac:dyDescent="0.3">
      <c r="A1913">
        <v>1912</v>
      </c>
      <c r="B1913" s="7">
        <v>45606</v>
      </c>
      <c r="C1913" t="s">
        <v>14</v>
      </c>
      <c r="D1913">
        <v>399</v>
      </c>
      <c r="E1913">
        <v>5.4</v>
      </c>
      <c r="F1913">
        <v>1</v>
      </c>
      <c r="G1913">
        <v>5</v>
      </c>
      <c r="H1913">
        <v>5</v>
      </c>
      <c r="I1913">
        <v>38</v>
      </c>
      <c r="J1913" t="s">
        <v>13</v>
      </c>
      <c r="K1913">
        <f>IF(J1913="Yes", 1, 0)</f>
        <v>0</v>
      </c>
      <c r="L1913" t="str">
        <f>IF(G1913=0,"0 Failures","1+ Failures")</f>
        <v>1+ Failures</v>
      </c>
      <c r="M1913" t="str">
        <f t="shared" si="89"/>
        <v>5-10 hrs</v>
      </c>
      <c r="N1913" t="str">
        <f t="shared" si="87"/>
        <v>3-6months</v>
      </c>
      <c r="O1913" t="str">
        <f t="shared" si="88"/>
        <v>Basic</v>
      </c>
      <c r="P1913" s="7">
        <v>45657</v>
      </c>
    </row>
    <row r="1914" spans="1:16" x14ac:dyDescent="0.3">
      <c r="A1914">
        <v>1913</v>
      </c>
      <c r="B1914" s="7">
        <v>45321</v>
      </c>
      <c r="C1914" t="s">
        <v>14</v>
      </c>
      <c r="D1914">
        <v>399</v>
      </c>
      <c r="E1914">
        <v>4.0999999999999996</v>
      </c>
      <c r="F1914">
        <v>5</v>
      </c>
      <c r="G1914">
        <v>4</v>
      </c>
      <c r="H1914">
        <v>17</v>
      </c>
      <c r="I1914">
        <v>22</v>
      </c>
      <c r="J1914" t="s">
        <v>11</v>
      </c>
      <c r="K1914">
        <f>IF(J1914="Yes", 1, 0)</f>
        <v>1</v>
      </c>
      <c r="L1914" t="str">
        <f>IF(G1914=0,"0 Failures","1+ Failures")</f>
        <v>1+ Failures</v>
      </c>
      <c r="M1914" t="str">
        <f t="shared" si="89"/>
        <v>0-5 hrs</v>
      </c>
      <c r="N1914" t="str">
        <f t="shared" si="87"/>
        <v>12+ months</v>
      </c>
      <c r="O1914" t="str">
        <f t="shared" si="88"/>
        <v>Basic</v>
      </c>
      <c r="P1914" s="7">
        <v>45657</v>
      </c>
    </row>
    <row r="1915" spans="1:16" x14ac:dyDescent="0.3">
      <c r="A1915">
        <v>1914</v>
      </c>
      <c r="B1915" s="7">
        <v>44968</v>
      </c>
      <c r="C1915" t="s">
        <v>12</v>
      </c>
      <c r="D1915">
        <v>199</v>
      </c>
      <c r="E1915">
        <v>15.5</v>
      </c>
      <c r="F1915">
        <v>1</v>
      </c>
      <c r="G1915">
        <v>2</v>
      </c>
      <c r="H1915">
        <v>19</v>
      </c>
      <c r="I1915">
        <v>14</v>
      </c>
      <c r="J1915" t="s">
        <v>13</v>
      </c>
      <c r="K1915">
        <f>IF(J1915="Yes", 1, 0)</f>
        <v>0</v>
      </c>
      <c r="L1915" t="str">
        <f>IF(G1915=0,"0 Failures","1+ Failures")</f>
        <v>1+ Failures</v>
      </c>
      <c r="M1915" t="str">
        <f t="shared" si="89"/>
        <v>10-20hrs</v>
      </c>
      <c r="N1915" t="str">
        <f t="shared" si="87"/>
        <v>12+ months</v>
      </c>
      <c r="O1915" t="str">
        <f t="shared" si="88"/>
        <v>Basic</v>
      </c>
      <c r="P1915" s="7">
        <v>45657</v>
      </c>
    </row>
    <row r="1916" spans="1:16" x14ac:dyDescent="0.3">
      <c r="A1916">
        <v>1915</v>
      </c>
      <c r="B1916" s="7">
        <v>45638</v>
      </c>
      <c r="C1916" t="s">
        <v>12</v>
      </c>
      <c r="D1916">
        <v>199</v>
      </c>
      <c r="E1916">
        <v>4.3</v>
      </c>
      <c r="F1916">
        <v>4</v>
      </c>
      <c r="G1916">
        <v>0</v>
      </c>
      <c r="H1916">
        <v>36</v>
      </c>
      <c r="I1916">
        <v>31</v>
      </c>
      <c r="J1916" t="s">
        <v>11</v>
      </c>
      <c r="K1916">
        <f>IF(J1916="Yes", 1, 0)</f>
        <v>1</v>
      </c>
      <c r="L1916" t="str">
        <f>IF(G1916=0,"0 Failures","1+ Failures")</f>
        <v>0 Failures</v>
      </c>
      <c r="M1916" t="str">
        <f t="shared" si="89"/>
        <v>0-5 hrs</v>
      </c>
      <c r="N1916" t="str">
        <f t="shared" si="87"/>
        <v>12+ months</v>
      </c>
      <c r="O1916" t="str">
        <f t="shared" si="88"/>
        <v>Basic</v>
      </c>
      <c r="P1916" s="7">
        <v>45657</v>
      </c>
    </row>
    <row r="1917" spans="1:16" x14ac:dyDescent="0.3">
      <c r="A1917">
        <v>1916</v>
      </c>
      <c r="B1917" s="7">
        <v>44939</v>
      </c>
      <c r="C1917" t="s">
        <v>12</v>
      </c>
      <c r="D1917">
        <v>199</v>
      </c>
      <c r="E1917">
        <v>21.9</v>
      </c>
      <c r="F1917">
        <v>7</v>
      </c>
      <c r="G1917">
        <v>5</v>
      </c>
      <c r="H1917">
        <v>16</v>
      </c>
      <c r="I1917">
        <v>51</v>
      </c>
      <c r="J1917" t="s">
        <v>11</v>
      </c>
      <c r="K1917">
        <f>IF(J1917="Yes", 1, 0)</f>
        <v>1</v>
      </c>
      <c r="L1917" t="str">
        <f>IF(G1917=0,"0 Failures","1+ Failures")</f>
        <v>1+ Failures</v>
      </c>
      <c r="M1917" t="str">
        <f t="shared" si="89"/>
        <v>20+ hrs</v>
      </c>
      <c r="N1917" t="str">
        <f t="shared" si="87"/>
        <v>12+ months</v>
      </c>
      <c r="O1917" t="str">
        <f t="shared" si="88"/>
        <v>Basic</v>
      </c>
      <c r="P1917" s="7">
        <v>45657</v>
      </c>
    </row>
    <row r="1918" spans="1:16" x14ac:dyDescent="0.3">
      <c r="A1918">
        <v>1917</v>
      </c>
      <c r="B1918" s="7">
        <v>45508</v>
      </c>
      <c r="C1918" t="s">
        <v>14</v>
      </c>
      <c r="D1918">
        <v>399</v>
      </c>
      <c r="E1918">
        <v>24.1</v>
      </c>
      <c r="F1918">
        <v>7</v>
      </c>
      <c r="G1918">
        <v>3</v>
      </c>
      <c r="H1918">
        <v>16</v>
      </c>
      <c r="I1918">
        <v>26</v>
      </c>
      <c r="J1918" t="s">
        <v>11</v>
      </c>
      <c r="K1918">
        <f>IF(J1918="Yes", 1, 0)</f>
        <v>1</v>
      </c>
      <c r="L1918" t="str">
        <f>IF(G1918=0,"0 Failures","1+ Failures")</f>
        <v>1+ Failures</v>
      </c>
      <c r="M1918" t="str">
        <f t="shared" si="89"/>
        <v>20+ hrs</v>
      </c>
      <c r="N1918" t="str">
        <f t="shared" si="87"/>
        <v>12+ months</v>
      </c>
      <c r="O1918" t="str">
        <f t="shared" si="88"/>
        <v>Basic</v>
      </c>
      <c r="P1918" s="7">
        <v>45657</v>
      </c>
    </row>
    <row r="1919" spans="1:16" x14ac:dyDescent="0.3">
      <c r="A1919">
        <v>1918</v>
      </c>
      <c r="B1919" s="7">
        <v>45323</v>
      </c>
      <c r="C1919" t="s">
        <v>12</v>
      </c>
      <c r="D1919">
        <v>199</v>
      </c>
      <c r="E1919">
        <v>5.0999999999999996</v>
      </c>
      <c r="F1919">
        <v>8</v>
      </c>
      <c r="G1919">
        <v>4</v>
      </c>
      <c r="H1919">
        <v>27</v>
      </c>
      <c r="I1919">
        <v>25</v>
      </c>
      <c r="J1919" t="s">
        <v>11</v>
      </c>
      <c r="K1919">
        <f>IF(J1919="Yes", 1, 0)</f>
        <v>1</v>
      </c>
      <c r="L1919" t="str">
        <f>IF(G1919=0,"0 Failures","1+ Failures")</f>
        <v>1+ Failures</v>
      </c>
      <c r="M1919" t="str">
        <f t="shared" si="89"/>
        <v>5-10 hrs</v>
      </c>
      <c r="N1919" t="str">
        <f t="shared" si="87"/>
        <v>12+ months</v>
      </c>
      <c r="O1919" t="str">
        <f t="shared" si="88"/>
        <v>Basic</v>
      </c>
      <c r="P1919" s="7">
        <v>45657</v>
      </c>
    </row>
    <row r="1920" spans="1:16" x14ac:dyDescent="0.3">
      <c r="A1920">
        <v>1919</v>
      </c>
      <c r="B1920" s="7">
        <v>45167</v>
      </c>
      <c r="C1920" t="s">
        <v>10</v>
      </c>
      <c r="D1920">
        <v>699</v>
      </c>
      <c r="E1920">
        <v>17.8</v>
      </c>
      <c r="F1920">
        <v>5</v>
      </c>
      <c r="G1920">
        <v>2</v>
      </c>
      <c r="H1920">
        <v>17</v>
      </c>
      <c r="I1920">
        <v>27</v>
      </c>
      <c r="J1920" t="s">
        <v>11</v>
      </c>
      <c r="K1920">
        <f>IF(J1920="Yes", 1, 0)</f>
        <v>1</v>
      </c>
      <c r="L1920" t="str">
        <f>IF(G1920=0,"0 Failures","1+ Failures")</f>
        <v>1+ Failures</v>
      </c>
      <c r="M1920" t="str">
        <f t="shared" si="89"/>
        <v>10-20hrs</v>
      </c>
      <c r="N1920" t="str">
        <f t="shared" si="87"/>
        <v>12+ months</v>
      </c>
      <c r="O1920" t="str">
        <f t="shared" si="88"/>
        <v>Premium</v>
      </c>
      <c r="P1920" s="7">
        <v>45657</v>
      </c>
    </row>
    <row r="1921" spans="1:16" x14ac:dyDescent="0.3">
      <c r="A1921">
        <v>1920</v>
      </c>
      <c r="B1921" s="7">
        <v>45646</v>
      </c>
      <c r="C1921" t="s">
        <v>14</v>
      </c>
      <c r="D1921">
        <v>399</v>
      </c>
      <c r="E1921">
        <v>9.1999999999999993</v>
      </c>
      <c r="F1921">
        <v>2</v>
      </c>
      <c r="G1921">
        <v>2</v>
      </c>
      <c r="H1921">
        <v>35</v>
      </c>
      <c r="I1921">
        <v>55</v>
      </c>
      <c r="J1921" t="s">
        <v>13</v>
      </c>
      <c r="K1921">
        <f>IF(J1921="Yes", 1, 0)</f>
        <v>0</v>
      </c>
      <c r="L1921" t="str">
        <f>IF(G1921=0,"0 Failures","1+ Failures")</f>
        <v>1+ Failures</v>
      </c>
      <c r="M1921" t="str">
        <f t="shared" si="89"/>
        <v>5-10 hrs</v>
      </c>
      <c r="N1921" t="str">
        <f t="shared" si="87"/>
        <v>12+ months</v>
      </c>
      <c r="O1921" t="str">
        <f t="shared" si="88"/>
        <v>Basic</v>
      </c>
      <c r="P1921" s="7">
        <v>45657</v>
      </c>
    </row>
    <row r="1922" spans="1:16" x14ac:dyDescent="0.3">
      <c r="A1922">
        <v>1921</v>
      </c>
      <c r="B1922" s="7">
        <v>45248</v>
      </c>
      <c r="C1922" t="s">
        <v>12</v>
      </c>
      <c r="D1922">
        <v>199</v>
      </c>
      <c r="E1922">
        <v>14.7</v>
      </c>
      <c r="F1922">
        <v>1</v>
      </c>
      <c r="G1922">
        <v>4</v>
      </c>
      <c r="H1922">
        <v>35</v>
      </c>
      <c r="I1922">
        <v>45</v>
      </c>
      <c r="J1922" t="s">
        <v>11</v>
      </c>
      <c r="K1922">
        <f>IF(J1922="Yes", 1, 0)</f>
        <v>1</v>
      </c>
      <c r="L1922" t="str">
        <f>IF(G1922=0,"0 Failures","1+ Failures")</f>
        <v>1+ Failures</v>
      </c>
      <c r="M1922" t="str">
        <f t="shared" si="89"/>
        <v>10-20hrs</v>
      </c>
      <c r="N1922" t="str">
        <f t="shared" si="87"/>
        <v>12+ months</v>
      </c>
      <c r="O1922" t="str">
        <f t="shared" si="88"/>
        <v>Basic</v>
      </c>
      <c r="P1922" s="7">
        <v>45657</v>
      </c>
    </row>
    <row r="1923" spans="1:16" x14ac:dyDescent="0.3">
      <c r="A1923">
        <v>1922</v>
      </c>
      <c r="B1923" s="7">
        <v>44981</v>
      </c>
      <c r="C1923" t="s">
        <v>12</v>
      </c>
      <c r="D1923">
        <v>199</v>
      </c>
      <c r="E1923">
        <v>18.100000000000001</v>
      </c>
      <c r="F1923">
        <v>8</v>
      </c>
      <c r="G1923">
        <v>1</v>
      </c>
      <c r="H1923">
        <v>15</v>
      </c>
      <c r="I1923">
        <v>29</v>
      </c>
      <c r="J1923" t="s">
        <v>11</v>
      </c>
      <c r="K1923">
        <f>IF(J1923="Yes", 1, 0)</f>
        <v>1</v>
      </c>
      <c r="L1923" t="str">
        <f>IF(G1923=0,"0 Failures","1+ Failures")</f>
        <v>1+ Failures</v>
      </c>
      <c r="M1923" t="str">
        <f t="shared" si="89"/>
        <v>10-20hrs</v>
      </c>
      <c r="N1923" t="str">
        <f t="shared" ref="N1923:N1986" si="90">IF(H1923&lt;=3, "0-3months", IF(H1923&lt;=6, "3-6months", IF(H1923&lt;=12, "6-12months", "12+ months")))</f>
        <v>12+ months</v>
      </c>
      <c r="O1923" t="str">
        <f t="shared" ref="O1923:O1986" si="91">IF(C1923="premium", "Premium", "Basic")</f>
        <v>Basic</v>
      </c>
      <c r="P1923" s="7">
        <v>45657</v>
      </c>
    </row>
    <row r="1924" spans="1:16" x14ac:dyDescent="0.3">
      <c r="A1924">
        <v>1923</v>
      </c>
      <c r="B1924" s="7">
        <v>45386</v>
      </c>
      <c r="C1924" t="s">
        <v>14</v>
      </c>
      <c r="D1924">
        <v>399</v>
      </c>
      <c r="E1924">
        <v>12.7</v>
      </c>
      <c r="F1924">
        <v>6</v>
      </c>
      <c r="G1924">
        <v>0</v>
      </c>
      <c r="H1924">
        <v>29</v>
      </c>
      <c r="I1924">
        <v>10</v>
      </c>
      <c r="J1924" t="s">
        <v>11</v>
      </c>
      <c r="K1924">
        <f>IF(J1924="Yes", 1, 0)</f>
        <v>1</v>
      </c>
      <c r="L1924" t="str">
        <f>IF(G1924=0,"0 Failures","1+ Failures")</f>
        <v>0 Failures</v>
      </c>
      <c r="M1924" t="str">
        <f t="shared" si="89"/>
        <v>10-20hrs</v>
      </c>
      <c r="N1924" t="str">
        <f t="shared" si="90"/>
        <v>12+ months</v>
      </c>
      <c r="O1924" t="str">
        <f t="shared" si="91"/>
        <v>Basic</v>
      </c>
      <c r="P1924" s="7">
        <v>45657</v>
      </c>
    </row>
    <row r="1925" spans="1:16" x14ac:dyDescent="0.3">
      <c r="A1925">
        <v>1924</v>
      </c>
      <c r="B1925" s="7">
        <v>45289</v>
      </c>
      <c r="C1925" t="s">
        <v>10</v>
      </c>
      <c r="D1925">
        <v>699</v>
      </c>
      <c r="E1925">
        <v>22.4</v>
      </c>
      <c r="F1925">
        <v>7</v>
      </c>
      <c r="G1925">
        <v>5</v>
      </c>
      <c r="H1925">
        <v>4</v>
      </c>
      <c r="I1925">
        <v>9</v>
      </c>
      <c r="J1925" t="s">
        <v>11</v>
      </c>
      <c r="K1925">
        <f>IF(J1925="Yes", 1, 0)</f>
        <v>1</v>
      </c>
      <c r="L1925" t="str">
        <f>IF(G1925=0,"0 Failures","1+ Failures")</f>
        <v>1+ Failures</v>
      </c>
      <c r="M1925" t="str">
        <f t="shared" si="89"/>
        <v>20+ hrs</v>
      </c>
      <c r="N1925" t="str">
        <f t="shared" si="90"/>
        <v>3-6months</v>
      </c>
      <c r="O1925" t="str">
        <f t="shared" si="91"/>
        <v>Premium</v>
      </c>
      <c r="P1925" s="7">
        <v>45657</v>
      </c>
    </row>
    <row r="1926" spans="1:16" x14ac:dyDescent="0.3">
      <c r="A1926">
        <v>1925</v>
      </c>
      <c r="B1926" s="7">
        <v>45648</v>
      </c>
      <c r="C1926" t="s">
        <v>12</v>
      </c>
      <c r="D1926">
        <v>199</v>
      </c>
      <c r="E1926">
        <v>14.5</v>
      </c>
      <c r="F1926">
        <v>0</v>
      </c>
      <c r="G1926">
        <v>5</v>
      </c>
      <c r="H1926">
        <v>18</v>
      </c>
      <c r="I1926">
        <v>38</v>
      </c>
      <c r="J1926" t="s">
        <v>11</v>
      </c>
      <c r="K1926">
        <f>IF(J1926="Yes", 1, 0)</f>
        <v>1</v>
      </c>
      <c r="L1926" t="str">
        <f>IF(G1926=0,"0 Failures","1+ Failures")</f>
        <v>1+ Failures</v>
      </c>
      <c r="M1926" t="str">
        <f t="shared" si="89"/>
        <v>10-20hrs</v>
      </c>
      <c r="N1926" t="str">
        <f t="shared" si="90"/>
        <v>12+ months</v>
      </c>
      <c r="O1926" t="str">
        <f t="shared" si="91"/>
        <v>Basic</v>
      </c>
      <c r="P1926" s="7">
        <v>45657</v>
      </c>
    </row>
    <row r="1927" spans="1:16" x14ac:dyDescent="0.3">
      <c r="A1927">
        <v>1926</v>
      </c>
      <c r="B1927" s="7">
        <v>45238</v>
      </c>
      <c r="C1927" t="s">
        <v>12</v>
      </c>
      <c r="D1927">
        <v>199</v>
      </c>
      <c r="E1927">
        <v>5.8</v>
      </c>
      <c r="F1927">
        <v>7</v>
      </c>
      <c r="G1927">
        <v>2</v>
      </c>
      <c r="H1927">
        <v>26</v>
      </c>
      <c r="I1927">
        <v>34</v>
      </c>
      <c r="J1927" t="s">
        <v>11</v>
      </c>
      <c r="K1927">
        <f>IF(J1927="Yes", 1, 0)</f>
        <v>1</v>
      </c>
      <c r="L1927" t="str">
        <f>IF(G1927=0,"0 Failures","1+ Failures")</f>
        <v>1+ Failures</v>
      </c>
      <c r="M1927" t="str">
        <f t="shared" si="89"/>
        <v>5-10 hrs</v>
      </c>
      <c r="N1927" t="str">
        <f t="shared" si="90"/>
        <v>12+ months</v>
      </c>
      <c r="O1927" t="str">
        <f t="shared" si="91"/>
        <v>Basic</v>
      </c>
      <c r="P1927" s="7">
        <v>45657</v>
      </c>
    </row>
    <row r="1928" spans="1:16" x14ac:dyDescent="0.3">
      <c r="A1928">
        <v>1927</v>
      </c>
      <c r="B1928" s="7">
        <v>45624</v>
      </c>
      <c r="C1928" t="s">
        <v>14</v>
      </c>
      <c r="D1928">
        <v>399</v>
      </c>
      <c r="E1928">
        <v>14.5</v>
      </c>
      <c r="F1928">
        <v>8</v>
      </c>
      <c r="G1928">
        <v>3</v>
      </c>
      <c r="H1928">
        <v>15</v>
      </c>
      <c r="I1928">
        <v>9</v>
      </c>
      <c r="J1928" t="s">
        <v>13</v>
      </c>
      <c r="K1928">
        <f>IF(J1928="Yes", 1, 0)</f>
        <v>0</v>
      </c>
      <c r="L1928" t="str">
        <f>IF(G1928=0,"0 Failures","1+ Failures")</f>
        <v>1+ Failures</v>
      </c>
      <c r="M1928" t="str">
        <f t="shared" si="89"/>
        <v>10-20hrs</v>
      </c>
      <c r="N1928" t="str">
        <f t="shared" si="90"/>
        <v>12+ months</v>
      </c>
      <c r="O1928" t="str">
        <f t="shared" si="91"/>
        <v>Basic</v>
      </c>
      <c r="P1928" s="7">
        <v>45657</v>
      </c>
    </row>
    <row r="1929" spans="1:16" x14ac:dyDescent="0.3">
      <c r="A1929">
        <v>1928</v>
      </c>
      <c r="B1929" s="7">
        <v>45049</v>
      </c>
      <c r="C1929" t="s">
        <v>10</v>
      </c>
      <c r="D1929">
        <v>699</v>
      </c>
      <c r="E1929">
        <v>21.6</v>
      </c>
      <c r="F1929">
        <v>0</v>
      </c>
      <c r="G1929">
        <v>5</v>
      </c>
      <c r="H1929">
        <v>21</v>
      </c>
      <c r="I1929">
        <v>48</v>
      </c>
      <c r="J1929" t="s">
        <v>11</v>
      </c>
      <c r="K1929">
        <f>IF(J1929="Yes", 1, 0)</f>
        <v>1</v>
      </c>
      <c r="L1929" t="str">
        <f>IF(G1929=0,"0 Failures","1+ Failures")</f>
        <v>1+ Failures</v>
      </c>
      <c r="M1929" t="str">
        <f t="shared" si="89"/>
        <v>20+ hrs</v>
      </c>
      <c r="N1929" t="str">
        <f t="shared" si="90"/>
        <v>12+ months</v>
      </c>
      <c r="O1929" t="str">
        <f t="shared" si="91"/>
        <v>Premium</v>
      </c>
      <c r="P1929" s="7">
        <v>45657</v>
      </c>
    </row>
    <row r="1930" spans="1:16" x14ac:dyDescent="0.3">
      <c r="A1930">
        <v>1929</v>
      </c>
      <c r="B1930" s="7">
        <v>45542</v>
      </c>
      <c r="C1930" t="s">
        <v>12</v>
      </c>
      <c r="D1930">
        <v>199</v>
      </c>
      <c r="E1930">
        <v>13.5</v>
      </c>
      <c r="F1930">
        <v>2</v>
      </c>
      <c r="G1930">
        <v>5</v>
      </c>
      <c r="H1930">
        <v>5</v>
      </c>
      <c r="I1930">
        <v>12</v>
      </c>
      <c r="J1930" t="s">
        <v>11</v>
      </c>
      <c r="K1930">
        <f>IF(J1930="Yes", 1, 0)</f>
        <v>1</v>
      </c>
      <c r="L1930" t="str">
        <f>IF(G1930=0,"0 Failures","1+ Failures")</f>
        <v>1+ Failures</v>
      </c>
      <c r="M1930" t="str">
        <f t="shared" si="89"/>
        <v>10-20hrs</v>
      </c>
      <c r="N1930" t="str">
        <f t="shared" si="90"/>
        <v>3-6months</v>
      </c>
      <c r="O1930" t="str">
        <f t="shared" si="91"/>
        <v>Basic</v>
      </c>
      <c r="P1930" s="7">
        <v>45657</v>
      </c>
    </row>
    <row r="1931" spans="1:16" x14ac:dyDescent="0.3">
      <c r="A1931">
        <v>1930</v>
      </c>
      <c r="B1931" s="7">
        <v>45023</v>
      </c>
      <c r="C1931" t="s">
        <v>12</v>
      </c>
      <c r="D1931">
        <v>199</v>
      </c>
      <c r="E1931">
        <v>1.2</v>
      </c>
      <c r="F1931">
        <v>7</v>
      </c>
      <c r="G1931">
        <v>5</v>
      </c>
      <c r="H1931">
        <v>12</v>
      </c>
      <c r="I1931">
        <v>7</v>
      </c>
      <c r="J1931" t="s">
        <v>11</v>
      </c>
      <c r="K1931">
        <f>IF(J1931="Yes", 1, 0)</f>
        <v>1</v>
      </c>
      <c r="L1931" t="str">
        <f>IF(G1931=0,"0 Failures","1+ Failures")</f>
        <v>1+ Failures</v>
      </c>
      <c r="M1931" t="str">
        <f t="shared" ref="M1931:M1994" si="92">IF(E1931&lt;=5, "0-5 hrs",    IF(E1931&lt;=10, "5-10 hrs",    IF(E1931&lt;=20, "10-20hrs", "20+ hrs")))</f>
        <v>0-5 hrs</v>
      </c>
      <c r="N1931" t="str">
        <f t="shared" si="90"/>
        <v>6-12months</v>
      </c>
      <c r="O1931" t="str">
        <f t="shared" si="91"/>
        <v>Basic</v>
      </c>
      <c r="P1931" s="7">
        <v>45657</v>
      </c>
    </row>
    <row r="1932" spans="1:16" x14ac:dyDescent="0.3">
      <c r="A1932">
        <v>1931</v>
      </c>
      <c r="B1932" s="7">
        <v>45278</v>
      </c>
      <c r="C1932" t="s">
        <v>14</v>
      </c>
      <c r="D1932">
        <v>399</v>
      </c>
      <c r="E1932">
        <v>20.2</v>
      </c>
      <c r="F1932">
        <v>6</v>
      </c>
      <c r="G1932">
        <v>5</v>
      </c>
      <c r="H1932">
        <v>25</v>
      </c>
      <c r="I1932">
        <v>30</v>
      </c>
      <c r="J1932" t="s">
        <v>11</v>
      </c>
      <c r="K1932">
        <f>IF(J1932="Yes", 1, 0)</f>
        <v>1</v>
      </c>
      <c r="L1932" t="str">
        <f>IF(G1932=0,"0 Failures","1+ Failures")</f>
        <v>1+ Failures</v>
      </c>
      <c r="M1932" t="str">
        <f t="shared" si="92"/>
        <v>20+ hrs</v>
      </c>
      <c r="N1932" t="str">
        <f t="shared" si="90"/>
        <v>12+ months</v>
      </c>
      <c r="O1932" t="str">
        <f t="shared" si="91"/>
        <v>Basic</v>
      </c>
      <c r="P1932" s="7">
        <v>45657</v>
      </c>
    </row>
    <row r="1933" spans="1:16" x14ac:dyDescent="0.3">
      <c r="A1933">
        <v>1932</v>
      </c>
      <c r="B1933" s="7">
        <v>45438</v>
      </c>
      <c r="C1933" t="s">
        <v>12</v>
      </c>
      <c r="D1933">
        <v>199</v>
      </c>
      <c r="E1933">
        <v>8.1</v>
      </c>
      <c r="F1933">
        <v>2</v>
      </c>
      <c r="G1933">
        <v>5</v>
      </c>
      <c r="H1933">
        <v>7</v>
      </c>
      <c r="I1933">
        <v>27</v>
      </c>
      <c r="J1933" t="s">
        <v>13</v>
      </c>
      <c r="K1933">
        <f>IF(J1933="Yes", 1, 0)</f>
        <v>0</v>
      </c>
      <c r="L1933" t="str">
        <f>IF(G1933=0,"0 Failures","1+ Failures")</f>
        <v>1+ Failures</v>
      </c>
      <c r="M1933" t="str">
        <f t="shared" si="92"/>
        <v>5-10 hrs</v>
      </c>
      <c r="N1933" t="str">
        <f t="shared" si="90"/>
        <v>6-12months</v>
      </c>
      <c r="O1933" t="str">
        <f t="shared" si="91"/>
        <v>Basic</v>
      </c>
      <c r="P1933" s="7">
        <v>45657</v>
      </c>
    </row>
    <row r="1934" spans="1:16" x14ac:dyDescent="0.3">
      <c r="A1934">
        <v>1933</v>
      </c>
      <c r="B1934" s="7">
        <v>45575</v>
      </c>
      <c r="C1934" t="s">
        <v>12</v>
      </c>
      <c r="D1934">
        <v>199</v>
      </c>
      <c r="E1934">
        <v>6.9</v>
      </c>
      <c r="F1934">
        <v>3</v>
      </c>
      <c r="G1934">
        <v>1</v>
      </c>
      <c r="H1934">
        <v>12</v>
      </c>
      <c r="I1934">
        <v>22</v>
      </c>
      <c r="J1934" t="s">
        <v>13</v>
      </c>
      <c r="K1934">
        <f>IF(J1934="Yes", 1, 0)</f>
        <v>0</v>
      </c>
      <c r="L1934" t="str">
        <f>IF(G1934=0,"0 Failures","1+ Failures")</f>
        <v>1+ Failures</v>
      </c>
      <c r="M1934" t="str">
        <f t="shared" si="92"/>
        <v>5-10 hrs</v>
      </c>
      <c r="N1934" t="str">
        <f t="shared" si="90"/>
        <v>6-12months</v>
      </c>
      <c r="O1934" t="str">
        <f t="shared" si="91"/>
        <v>Basic</v>
      </c>
      <c r="P1934" s="7">
        <v>45657</v>
      </c>
    </row>
    <row r="1935" spans="1:16" x14ac:dyDescent="0.3">
      <c r="A1935">
        <v>1934</v>
      </c>
      <c r="B1935" s="7">
        <v>45547</v>
      </c>
      <c r="C1935" t="s">
        <v>12</v>
      </c>
      <c r="D1935">
        <v>199</v>
      </c>
      <c r="E1935">
        <v>11.6</v>
      </c>
      <c r="F1935">
        <v>1</v>
      </c>
      <c r="G1935">
        <v>4</v>
      </c>
      <c r="H1935">
        <v>22</v>
      </c>
      <c r="I1935">
        <v>16</v>
      </c>
      <c r="J1935" t="s">
        <v>11</v>
      </c>
      <c r="K1935">
        <f>IF(J1935="Yes", 1, 0)</f>
        <v>1</v>
      </c>
      <c r="L1935" t="str">
        <f>IF(G1935=0,"0 Failures","1+ Failures")</f>
        <v>1+ Failures</v>
      </c>
      <c r="M1935" t="str">
        <f t="shared" si="92"/>
        <v>10-20hrs</v>
      </c>
      <c r="N1935" t="str">
        <f t="shared" si="90"/>
        <v>12+ months</v>
      </c>
      <c r="O1935" t="str">
        <f t="shared" si="91"/>
        <v>Basic</v>
      </c>
      <c r="P1935" s="7">
        <v>45657</v>
      </c>
    </row>
    <row r="1936" spans="1:16" x14ac:dyDescent="0.3">
      <c r="A1936">
        <v>1935</v>
      </c>
      <c r="B1936" s="7">
        <v>45468</v>
      </c>
      <c r="C1936" t="s">
        <v>12</v>
      </c>
      <c r="D1936">
        <v>199</v>
      </c>
      <c r="E1936">
        <v>1.9</v>
      </c>
      <c r="F1936">
        <v>5</v>
      </c>
      <c r="G1936">
        <v>0</v>
      </c>
      <c r="H1936">
        <v>36</v>
      </c>
      <c r="I1936">
        <v>10</v>
      </c>
      <c r="J1936" t="s">
        <v>11</v>
      </c>
      <c r="K1936">
        <f>IF(J1936="Yes", 1, 0)</f>
        <v>1</v>
      </c>
      <c r="L1936" t="str">
        <f>IF(G1936=0,"0 Failures","1+ Failures")</f>
        <v>0 Failures</v>
      </c>
      <c r="M1936" t="str">
        <f t="shared" si="92"/>
        <v>0-5 hrs</v>
      </c>
      <c r="N1936" t="str">
        <f t="shared" si="90"/>
        <v>12+ months</v>
      </c>
      <c r="O1936" t="str">
        <f t="shared" si="91"/>
        <v>Basic</v>
      </c>
      <c r="P1936" s="7">
        <v>45657</v>
      </c>
    </row>
    <row r="1937" spans="1:16" x14ac:dyDescent="0.3">
      <c r="A1937">
        <v>1936</v>
      </c>
      <c r="B1937" s="7">
        <v>45503</v>
      </c>
      <c r="C1937" t="s">
        <v>12</v>
      </c>
      <c r="D1937">
        <v>199</v>
      </c>
      <c r="E1937">
        <v>8.5</v>
      </c>
      <c r="F1937">
        <v>4</v>
      </c>
      <c r="G1937">
        <v>0</v>
      </c>
      <c r="H1937">
        <v>1</v>
      </c>
      <c r="I1937">
        <v>51</v>
      </c>
      <c r="J1937" t="s">
        <v>13</v>
      </c>
      <c r="K1937">
        <f>IF(J1937="Yes", 1, 0)</f>
        <v>0</v>
      </c>
      <c r="L1937" t="str">
        <f>IF(G1937=0,"0 Failures","1+ Failures")</f>
        <v>0 Failures</v>
      </c>
      <c r="M1937" t="str">
        <f t="shared" si="92"/>
        <v>5-10 hrs</v>
      </c>
      <c r="N1937" t="str">
        <f t="shared" si="90"/>
        <v>0-3months</v>
      </c>
      <c r="O1937" t="str">
        <f t="shared" si="91"/>
        <v>Basic</v>
      </c>
      <c r="P1937" s="7">
        <v>45657</v>
      </c>
    </row>
    <row r="1938" spans="1:16" x14ac:dyDescent="0.3">
      <c r="A1938">
        <v>1937</v>
      </c>
      <c r="B1938" s="7">
        <v>45475</v>
      </c>
      <c r="C1938" t="s">
        <v>14</v>
      </c>
      <c r="D1938">
        <v>399</v>
      </c>
      <c r="E1938">
        <v>23.9</v>
      </c>
      <c r="F1938">
        <v>3</v>
      </c>
      <c r="G1938">
        <v>5</v>
      </c>
      <c r="H1938">
        <v>5</v>
      </c>
      <c r="I1938">
        <v>39</v>
      </c>
      <c r="J1938" t="s">
        <v>11</v>
      </c>
      <c r="K1938">
        <f>IF(J1938="Yes", 1, 0)</f>
        <v>1</v>
      </c>
      <c r="L1938" t="str">
        <f>IF(G1938=0,"0 Failures","1+ Failures")</f>
        <v>1+ Failures</v>
      </c>
      <c r="M1938" t="str">
        <f t="shared" si="92"/>
        <v>20+ hrs</v>
      </c>
      <c r="N1938" t="str">
        <f t="shared" si="90"/>
        <v>3-6months</v>
      </c>
      <c r="O1938" t="str">
        <f t="shared" si="91"/>
        <v>Basic</v>
      </c>
      <c r="P1938" s="7">
        <v>45657</v>
      </c>
    </row>
    <row r="1939" spans="1:16" x14ac:dyDescent="0.3">
      <c r="A1939">
        <v>1938</v>
      </c>
      <c r="B1939" s="7">
        <v>45378</v>
      </c>
      <c r="C1939" t="s">
        <v>12</v>
      </c>
      <c r="D1939">
        <v>199</v>
      </c>
      <c r="E1939">
        <v>2.9</v>
      </c>
      <c r="F1939">
        <v>2</v>
      </c>
      <c r="G1939">
        <v>4</v>
      </c>
      <c r="H1939">
        <v>23</v>
      </c>
      <c r="I1939">
        <v>23</v>
      </c>
      <c r="J1939" t="s">
        <v>11</v>
      </c>
      <c r="K1939">
        <f>IF(J1939="Yes", 1, 0)</f>
        <v>1</v>
      </c>
      <c r="L1939" t="str">
        <f>IF(G1939=0,"0 Failures","1+ Failures")</f>
        <v>1+ Failures</v>
      </c>
      <c r="M1939" t="str">
        <f t="shared" si="92"/>
        <v>0-5 hrs</v>
      </c>
      <c r="N1939" t="str">
        <f t="shared" si="90"/>
        <v>12+ months</v>
      </c>
      <c r="O1939" t="str">
        <f t="shared" si="91"/>
        <v>Basic</v>
      </c>
      <c r="P1939" s="7">
        <v>45657</v>
      </c>
    </row>
    <row r="1940" spans="1:16" x14ac:dyDescent="0.3">
      <c r="A1940">
        <v>1939</v>
      </c>
      <c r="B1940" s="7">
        <v>45477</v>
      </c>
      <c r="C1940" t="s">
        <v>10</v>
      </c>
      <c r="D1940">
        <v>699</v>
      </c>
      <c r="E1940">
        <v>12.9</v>
      </c>
      <c r="F1940">
        <v>7</v>
      </c>
      <c r="G1940">
        <v>0</v>
      </c>
      <c r="H1940">
        <v>12</v>
      </c>
      <c r="I1940">
        <v>39</v>
      </c>
      <c r="J1940" t="s">
        <v>11</v>
      </c>
      <c r="K1940">
        <f>IF(J1940="Yes", 1, 0)</f>
        <v>1</v>
      </c>
      <c r="L1940" t="str">
        <f>IF(G1940=0,"0 Failures","1+ Failures")</f>
        <v>0 Failures</v>
      </c>
      <c r="M1940" t="str">
        <f t="shared" si="92"/>
        <v>10-20hrs</v>
      </c>
      <c r="N1940" t="str">
        <f t="shared" si="90"/>
        <v>6-12months</v>
      </c>
      <c r="O1940" t="str">
        <f t="shared" si="91"/>
        <v>Premium</v>
      </c>
      <c r="P1940" s="7">
        <v>45657</v>
      </c>
    </row>
    <row r="1941" spans="1:16" x14ac:dyDescent="0.3">
      <c r="A1941">
        <v>1940</v>
      </c>
      <c r="B1941" s="7">
        <v>45457</v>
      </c>
      <c r="C1941" t="s">
        <v>12</v>
      </c>
      <c r="D1941">
        <v>199</v>
      </c>
      <c r="E1941">
        <v>23.4</v>
      </c>
      <c r="F1941">
        <v>1</v>
      </c>
      <c r="G1941">
        <v>2</v>
      </c>
      <c r="H1941">
        <v>20</v>
      </c>
      <c r="I1941">
        <v>43</v>
      </c>
      <c r="J1941" t="s">
        <v>11</v>
      </c>
      <c r="K1941">
        <f>IF(J1941="Yes", 1, 0)</f>
        <v>1</v>
      </c>
      <c r="L1941" t="str">
        <f>IF(G1941=0,"0 Failures","1+ Failures")</f>
        <v>1+ Failures</v>
      </c>
      <c r="M1941" t="str">
        <f t="shared" si="92"/>
        <v>20+ hrs</v>
      </c>
      <c r="N1941" t="str">
        <f t="shared" si="90"/>
        <v>12+ months</v>
      </c>
      <c r="O1941" t="str">
        <f t="shared" si="91"/>
        <v>Basic</v>
      </c>
      <c r="P1941" s="7">
        <v>45657</v>
      </c>
    </row>
    <row r="1942" spans="1:16" x14ac:dyDescent="0.3">
      <c r="A1942">
        <v>1941</v>
      </c>
      <c r="B1942" s="7">
        <v>45392</v>
      </c>
      <c r="C1942" t="s">
        <v>12</v>
      </c>
      <c r="D1942">
        <v>199</v>
      </c>
      <c r="E1942">
        <v>12.7</v>
      </c>
      <c r="F1942">
        <v>2</v>
      </c>
      <c r="G1942">
        <v>4</v>
      </c>
      <c r="H1942">
        <v>7</v>
      </c>
      <c r="I1942">
        <v>58</v>
      </c>
      <c r="J1942" t="s">
        <v>11</v>
      </c>
      <c r="K1942">
        <f>IF(J1942="Yes", 1, 0)</f>
        <v>1</v>
      </c>
      <c r="L1942" t="str">
        <f>IF(G1942=0,"0 Failures","1+ Failures")</f>
        <v>1+ Failures</v>
      </c>
      <c r="M1942" t="str">
        <f t="shared" si="92"/>
        <v>10-20hrs</v>
      </c>
      <c r="N1942" t="str">
        <f t="shared" si="90"/>
        <v>6-12months</v>
      </c>
      <c r="O1942" t="str">
        <f t="shared" si="91"/>
        <v>Basic</v>
      </c>
      <c r="P1942" s="7">
        <v>45657</v>
      </c>
    </row>
    <row r="1943" spans="1:16" x14ac:dyDescent="0.3">
      <c r="A1943">
        <v>1942</v>
      </c>
      <c r="B1943" s="7">
        <v>45273</v>
      </c>
      <c r="C1943" t="s">
        <v>10</v>
      </c>
      <c r="D1943">
        <v>699</v>
      </c>
      <c r="E1943">
        <v>20.9</v>
      </c>
      <c r="F1943">
        <v>7</v>
      </c>
      <c r="G1943">
        <v>0</v>
      </c>
      <c r="H1943">
        <v>36</v>
      </c>
      <c r="I1943">
        <v>42</v>
      </c>
      <c r="J1943" t="s">
        <v>13</v>
      </c>
      <c r="K1943">
        <f>IF(J1943="Yes", 1, 0)</f>
        <v>0</v>
      </c>
      <c r="L1943" t="str">
        <f>IF(G1943=0,"0 Failures","1+ Failures")</f>
        <v>0 Failures</v>
      </c>
      <c r="M1943" t="str">
        <f t="shared" si="92"/>
        <v>20+ hrs</v>
      </c>
      <c r="N1943" t="str">
        <f t="shared" si="90"/>
        <v>12+ months</v>
      </c>
      <c r="O1943" t="str">
        <f t="shared" si="91"/>
        <v>Premium</v>
      </c>
      <c r="P1943" s="7">
        <v>45657</v>
      </c>
    </row>
    <row r="1944" spans="1:16" x14ac:dyDescent="0.3">
      <c r="A1944">
        <v>1943</v>
      </c>
      <c r="B1944" s="7">
        <v>45293</v>
      </c>
      <c r="C1944" t="s">
        <v>12</v>
      </c>
      <c r="D1944">
        <v>199</v>
      </c>
      <c r="E1944">
        <v>4</v>
      </c>
      <c r="F1944">
        <v>7</v>
      </c>
      <c r="G1944">
        <v>1</v>
      </c>
      <c r="H1944">
        <v>24</v>
      </c>
      <c r="I1944">
        <v>50</v>
      </c>
      <c r="J1944" t="s">
        <v>11</v>
      </c>
      <c r="K1944">
        <f>IF(J1944="Yes", 1, 0)</f>
        <v>1</v>
      </c>
      <c r="L1944" t="str">
        <f>IF(G1944=0,"0 Failures","1+ Failures")</f>
        <v>1+ Failures</v>
      </c>
      <c r="M1944" t="str">
        <f t="shared" si="92"/>
        <v>0-5 hrs</v>
      </c>
      <c r="N1944" t="str">
        <f t="shared" si="90"/>
        <v>12+ months</v>
      </c>
      <c r="O1944" t="str">
        <f t="shared" si="91"/>
        <v>Basic</v>
      </c>
      <c r="P1944" s="7">
        <v>45657</v>
      </c>
    </row>
    <row r="1945" spans="1:16" x14ac:dyDescent="0.3">
      <c r="A1945">
        <v>1944</v>
      </c>
      <c r="B1945" s="7">
        <v>45255</v>
      </c>
      <c r="C1945" t="s">
        <v>12</v>
      </c>
      <c r="D1945">
        <v>199</v>
      </c>
      <c r="E1945">
        <v>20.399999999999999</v>
      </c>
      <c r="F1945">
        <v>1</v>
      </c>
      <c r="G1945">
        <v>4</v>
      </c>
      <c r="H1945">
        <v>31</v>
      </c>
      <c r="I1945">
        <v>5</v>
      </c>
      <c r="J1945" t="s">
        <v>13</v>
      </c>
      <c r="K1945">
        <f>IF(J1945="Yes", 1, 0)</f>
        <v>0</v>
      </c>
      <c r="L1945" t="str">
        <f>IF(G1945=0,"0 Failures","1+ Failures")</f>
        <v>1+ Failures</v>
      </c>
      <c r="M1945" t="str">
        <f t="shared" si="92"/>
        <v>20+ hrs</v>
      </c>
      <c r="N1945" t="str">
        <f t="shared" si="90"/>
        <v>12+ months</v>
      </c>
      <c r="O1945" t="str">
        <f t="shared" si="91"/>
        <v>Basic</v>
      </c>
      <c r="P1945" s="7">
        <v>45657</v>
      </c>
    </row>
    <row r="1946" spans="1:16" x14ac:dyDescent="0.3">
      <c r="A1946">
        <v>1945</v>
      </c>
      <c r="B1946" s="7">
        <v>45065</v>
      </c>
      <c r="C1946" t="s">
        <v>10</v>
      </c>
      <c r="D1946">
        <v>699</v>
      </c>
      <c r="E1946">
        <v>13.3</v>
      </c>
      <c r="F1946">
        <v>8</v>
      </c>
      <c r="G1946">
        <v>5</v>
      </c>
      <c r="H1946">
        <v>35</v>
      </c>
      <c r="I1946">
        <v>12</v>
      </c>
      <c r="J1946" t="s">
        <v>11</v>
      </c>
      <c r="K1946">
        <f>IF(J1946="Yes", 1, 0)</f>
        <v>1</v>
      </c>
      <c r="L1946" t="str">
        <f>IF(G1946=0,"0 Failures","1+ Failures")</f>
        <v>1+ Failures</v>
      </c>
      <c r="M1946" t="str">
        <f t="shared" si="92"/>
        <v>10-20hrs</v>
      </c>
      <c r="N1946" t="str">
        <f t="shared" si="90"/>
        <v>12+ months</v>
      </c>
      <c r="O1946" t="str">
        <f t="shared" si="91"/>
        <v>Premium</v>
      </c>
      <c r="P1946" s="7">
        <v>45657</v>
      </c>
    </row>
    <row r="1947" spans="1:16" x14ac:dyDescent="0.3">
      <c r="A1947">
        <v>1946</v>
      </c>
      <c r="B1947" s="7">
        <v>45429</v>
      </c>
      <c r="C1947" t="s">
        <v>14</v>
      </c>
      <c r="D1947">
        <v>399</v>
      </c>
      <c r="E1947">
        <v>7.7</v>
      </c>
      <c r="F1947">
        <v>6</v>
      </c>
      <c r="G1947">
        <v>3</v>
      </c>
      <c r="H1947">
        <v>13</v>
      </c>
      <c r="I1947">
        <v>27</v>
      </c>
      <c r="J1947" t="s">
        <v>11</v>
      </c>
      <c r="K1947">
        <f>IF(J1947="Yes", 1, 0)</f>
        <v>1</v>
      </c>
      <c r="L1947" t="str">
        <f>IF(G1947=0,"0 Failures","1+ Failures")</f>
        <v>1+ Failures</v>
      </c>
      <c r="M1947" t="str">
        <f t="shared" si="92"/>
        <v>5-10 hrs</v>
      </c>
      <c r="N1947" t="str">
        <f t="shared" si="90"/>
        <v>12+ months</v>
      </c>
      <c r="O1947" t="str">
        <f t="shared" si="91"/>
        <v>Basic</v>
      </c>
      <c r="P1947" s="7">
        <v>45657</v>
      </c>
    </row>
    <row r="1948" spans="1:16" x14ac:dyDescent="0.3">
      <c r="A1948">
        <v>1947</v>
      </c>
      <c r="B1948" s="7">
        <v>45436</v>
      </c>
      <c r="C1948" t="s">
        <v>12</v>
      </c>
      <c r="D1948">
        <v>199</v>
      </c>
      <c r="E1948">
        <v>3.1</v>
      </c>
      <c r="F1948">
        <v>8</v>
      </c>
      <c r="G1948">
        <v>3</v>
      </c>
      <c r="H1948">
        <v>32</v>
      </c>
      <c r="I1948">
        <v>39</v>
      </c>
      <c r="J1948" t="s">
        <v>11</v>
      </c>
      <c r="K1948">
        <f>IF(J1948="Yes", 1, 0)</f>
        <v>1</v>
      </c>
      <c r="L1948" t="str">
        <f>IF(G1948=0,"0 Failures","1+ Failures")</f>
        <v>1+ Failures</v>
      </c>
      <c r="M1948" t="str">
        <f t="shared" si="92"/>
        <v>0-5 hrs</v>
      </c>
      <c r="N1948" t="str">
        <f t="shared" si="90"/>
        <v>12+ months</v>
      </c>
      <c r="O1948" t="str">
        <f t="shared" si="91"/>
        <v>Basic</v>
      </c>
      <c r="P1948" s="7">
        <v>45657</v>
      </c>
    </row>
    <row r="1949" spans="1:16" x14ac:dyDescent="0.3">
      <c r="A1949">
        <v>1948</v>
      </c>
      <c r="B1949" s="7">
        <v>45528</v>
      </c>
      <c r="C1949" t="s">
        <v>14</v>
      </c>
      <c r="D1949">
        <v>399</v>
      </c>
      <c r="E1949">
        <v>13.4</v>
      </c>
      <c r="F1949">
        <v>0</v>
      </c>
      <c r="G1949">
        <v>1</v>
      </c>
      <c r="H1949">
        <v>4</v>
      </c>
      <c r="I1949">
        <v>60</v>
      </c>
      <c r="J1949" t="s">
        <v>11</v>
      </c>
      <c r="K1949">
        <f>IF(J1949="Yes", 1, 0)</f>
        <v>1</v>
      </c>
      <c r="L1949" t="str">
        <f>IF(G1949=0,"0 Failures","1+ Failures")</f>
        <v>1+ Failures</v>
      </c>
      <c r="M1949" t="str">
        <f t="shared" si="92"/>
        <v>10-20hrs</v>
      </c>
      <c r="N1949" t="str">
        <f t="shared" si="90"/>
        <v>3-6months</v>
      </c>
      <c r="O1949" t="str">
        <f t="shared" si="91"/>
        <v>Basic</v>
      </c>
      <c r="P1949" s="7">
        <v>45657</v>
      </c>
    </row>
    <row r="1950" spans="1:16" x14ac:dyDescent="0.3">
      <c r="A1950">
        <v>1949</v>
      </c>
      <c r="B1950" s="7">
        <v>44975</v>
      </c>
      <c r="C1950" t="s">
        <v>10</v>
      </c>
      <c r="D1950">
        <v>699</v>
      </c>
      <c r="E1950">
        <v>4.7</v>
      </c>
      <c r="F1950">
        <v>5</v>
      </c>
      <c r="G1950">
        <v>5</v>
      </c>
      <c r="H1950">
        <v>35</v>
      </c>
      <c r="I1950">
        <v>3</v>
      </c>
      <c r="J1950" t="s">
        <v>11</v>
      </c>
      <c r="K1950">
        <f>IF(J1950="Yes", 1, 0)</f>
        <v>1</v>
      </c>
      <c r="L1950" t="str">
        <f>IF(G1950=0,"0 Failures","1+ Failures")</f>
        <v>1+ Failures</v>
      </c>
      <c r="M1950" t="str">
        <f t="shared" si="92"/>
        <v>0-5 hrs</v>
      </c>
      <c r="N1950" t="str">
        <f t="shared" si="90"/>
        <v>12+ months</v>
      </c>
      <c r="O1950" t="str">
        <f t="shared" si="91"/>
        <v>Premium</v>
      </c>
      <c r="P1950" s="7">
        <v>45657</v>
      </c>
    </row>
    <row r="1951" spans="1:16" x14ac:dyDescent="0.3">
      <c r="A1951">
        <v>1950</v>
      </c>
      <c r="B1951" s="7">
        <v>45371</v>
      </c>
      <c r="C1951" t="s">
        <v>14</v>
      </c>
      <c r="D1951">
        <v>399</v>
      </c>
      <c r="E1951">
        <v>5.0999999999999996</v>
      </c>
      <c r="F1951">
        <v>8</v>
      </c>
      <c r="G1951">
        <v>0</v>
      </c>
      <c r="H1951">
        <v>25</v>
      </c>
      <c r="I1951">
        <v>52</v>
      </c>
      <c r="J1951" t="s">
        <v>13</v>
      </c>
      <c r="K1951">
        <f>IF(J1951="Yes", 1, 0)</f>
        <v>0</v>
      </c>
      <c r="L1951" t="str">
        <f>IF(G1951=0,"0 Failures","1+ Failures")</f>
        <v>0 Failures</v>
      </c>
      <c r="M1951" t="str">
        <f t="shared" si="92"/>
        <v>5-10 hrs</v>
      </c>
      <c r="N1951" t="str">
        <f t="shared" si="90"/>
        <v>12+ months</v>
      </c>
      <c r="O1951" t="str">
        <f t="shared" si="91"/>
        <v>Basic</v>
      </c>
      <c r="P1951" s="7">
        <v>45657</v>
      </c>
    </row>
    <row r="1952" spans="1:16" x14ac:dyDescent="0.3">
      <c r="A1952">
        <v>1951</v>
      </c>
      <c r="B1952" s="7">
        <v>44972</v>
      </c>
      <c r="C1952" t="s">
        <v>10</v>
      </c>
      <c r="D1952">
        <v>699</v>
      </c>
      <c r="E1952">
        <v>13.3</v>
      </c>
      <c r="F1952">
        <v>2</v>
      </c>
      <c r="G1952">
        <v>4</v>
      </c>
      <c r="H1952">
        <v>33</v>
      </c>
      <c r="I1952">
        <v>23</v>
      </c>
      <c r="J1952" t="s">
        <v>13</v>
      </c>
      <c r="K1952">
        <f>IF(J1952="Yes", 1, 0)</f>
        <v>0</v>
      </c>
      <c r="L1952" t="str">
        <f>IF(G1952=0,"0 Failures","1+ Failures")</f>
        <v>1+ Failures</v>
      </c>
      <c r="M1952" t="str">
        <f t="shared" si="92"/>
        <v>10-20hrs</v>
      </c>
      <c r="N1952" t="str">
        <f t="shared" si="90"/>
        <v>12+ months</v>
      </c>
      <c r="O1952" t="str">
        <f t="shared" si="91"/>
        <v>Premium</v>
      </c>
      <c r="P1952" s="7">
        <v>45657</v>
      </c>
    </row>
    <row r="1953" spans="1:16" x14ac:dyDescent="0.3">
      <c r="A1953">
        <v>1952</v>
      </c>
      <c r="B1953" s="7">
        <v>45135</v>
      </c>
      <c r="C1953" t="s">
        <v>12</v>
      </c>
      <c r="D1953">
        <v>199</v>
      </c>
      <c r="E1953">
        <v>11.7</v>
      </c>
      <c r="F1953">
        <v>2</v>
      </c>
      <c r="G1953">
        <v>1</v>
      </c>
      <c r="H1953">
        <v>7</v>
      </c>
      <c r="I1953">
        <v>45</v>
      </c>
      <c r="J1953" t="s">
        <v>11</v>
      </c>
      <c r="K1953">
        <f>IF(J1953="Yes", 1, 0)</f>
        <v>1</v>
      </c>
      <c r="L1953" t="str">
        <f>IF(G1953=0,"0 Failures","1+ Failures")</f>
        <v>1+ Failures</v>
      </c>
      <c r="M1953" t="str">
        <f t="shared" si="92"/>
        <v>10-20hrs</v>
      </c>
      <c r="N1953" t="str">
        <f t="shared" si="90"/>
        <v>6-12months</v>
      </c>
      <c r="O1953" t="str">
        <f t="shared" si="91"/>
        <v>Basic</v>
      </c>
      <c r="P1953" s="7">
        <v>45657</v>
      </c>
    </row>
    <row r="1954" spans="1:16" x14ac:dyDescent="0.3">
      <c r="A1954">
        <v>1953</v>
      </c>
      <c r="B1954" s="7">
        <v>45632</v>
      </c>
      <c r="C1954" t="s">
        <v>14</v>
      </c>
      <c r="D1954">
        <v>399</v>
      </c>
      <c r="E1954">
        <v>14.5</v>
      </c>
      <c r="F1954">
        <v>0</v>
      </c>
      <c r="G1954">
        <v>0</v>
      </c>
      <c r="H1954">
        <v>14</v>
      </c>
      <c r="I1954">
        <v>59</v>
      </c>
      <c r="J1954" t="s">
        <v>13</v>
      </c>
      <c r="K1954">
        <f>IF(J1954="Yes", 1, 0)</f>
        <v>0</v>
      </c>
      <c r="L1954" t="str">
        <f>IF(G1954=0,"0 Failures","1+ Failures")</f>
        <v>0 Failures</v>
      </c>
      <c r="M1954" t="str">
        <f t="shared" si="92"/>
        <v>10-20hrs</v>
      </c>
      <c r="N1954" t="str">
        <f t="shared" si="90"/>
        <v>12+ months</v>
      </c>
      <c r="O1954" t="str">
        <f t="shared" si="91"/>
        <v>Basic</v>
      </c>
      <c r="P1954" s="7">
        <v>45657</v>
      </c>
    </row>
    <row r="1955" spans="1:16" x14ac:dyDescent="0.3">
      <c r="A1955">
        <v>1954</v>
      </c>
      <c r="B1955" s="7">
        <v>45265</v>
      </c>
      <c r="C1955" t="s">
        <v>12</v>
      </c>
      <c r="D1955">
        <v>199</v>
      </c>
      <c r="E1955">
        <v>0.6</v>
      </c>
      <c r="F1955">
        <v>3</v>
      </c>
      <c r="G1955">
        <v>5</v>
      </c>
      <c r="H1955">
        <v>19</v>
      </c>
      <c r="I1955">
        <v>52</v>
      </c>
      <c r="J1955" t="s">
        <v>13</v>
      </c>
      <c r="K1955">
        <f>IF(J1955="Yes", 1, 0)</f>
        <v>0</v>
      </c>
      <c r="L1955" t="str">
        <f>IF(G1955=0,"0 Failures","1+ Failures")</f>
        <v>1+ Failures</v>
      </c>
      <c r="M1955" t="str">
        <f t="shared" si="92"/>
        <v>0-5 hrs</v>
      </c>
      <c r="N1955" t="str">
        <f t="shared" si="90"/>
        <v>12+ months</v>
      </c>
      <c r="O1955" t="str">
        <f t="shared" si="91"/>
        <v>Basic</v>
      </c>
      <c r="P1955" s="7">
        <v>45657</v>
      </c>
    </row>
    <row r="1956" spans="1:16" x14ac:dyDescent="0.3">
      <c r="A1956">
        <v>1955</v>
      </c>
      <c r="B1956" s="7">
        <v>45540</v>
      </c>
      <c r="C1956" t="s">
        <v>12</v>
      </c>
      <c r="D1956">
        <v>199</v>
      </c>
      <c r="E1956">
        <v>20.8</v>
      </c>
      <c r="F1956">
        <v>5</v>
      </c>
      <c r="G1956">
        <v>3</v>
      </c>
      <c r="H1956">
        <v>25</v>
      </c>
      <c r="I1956">
        <v>2</v>
      </c>
      <c r="J1956" t="s">
        <v>11</v>
      </c>
      <c r="K1956">
        <f>IF(J1956="Yes", 1, 0)</f>
        <v>1</v>
      </c>
      <c r="L1956" t="str">
        <f>IF(G1956=0,"0 Failures","1+ Failures")</f>
        <v>1+ Failures</v>
      </c>
      <c r="M1956" t="str">
        <f t="shared" si="92"/>
        <v>20+ hrs</v>
      </c>
      <c r="N1956" t="str">
        <f t="shared" si="90"/>
        <v>12+ months</v>
      </c>
      <c r="O1956" t="str">
        <f t="shared" si="91"/>
        <v>Basic</v>
      </c>
      <c r="P1956" s="7">
        <v>45657</v>
      </c>
    </row>
    <row r="1957" spans="1:16" x14ac:dyDescent="0.3">
      <c r="A1957">
        <v>1956</v>
      </c>
      <c r="B1957" s="7">
        <v>45568</v>
      </c>
      <c r="C1957" t="s">
        <v>12</v>
      </c>
      <c r="D1957">
        <v>199</v>
      </c>
      <c r="E1957">
        <v>22.1</v>
      </c>
      <c r="F1957">
        <v>6</v>
      </c>
      <c r="G1957">
        <v>5</v>
      </c>
      <c r="H1957">
        <v>17</v>
      </c>
      <c r="I1957">
        <v>36</v>
      </c>
      <c r="J1957" t="s">
        <v>11</v>
      </c>
      <c r="K1957">
        <f>IF(J1957="Yes", 1, 0)</f>
        <v>1</v>
      </c>
      <c r="L1957" t="str">
        <f>IF(G1957=0,"0 Failures","1+ Failures")</f>
        <v>1+ Failures</v>
      </c>
      <c r="M1957" t="str">
        <f t="shared" si="92"/>
        <v>20+ hrs</v>
      </c>
      <c r="N1957" t="str">
        <f t="shared" si="90"/>
        <v>12+ months</v>
      </c>
      <c r="O1957" t="str">
        <f t="shared" si="91"/>
        <v>Basic</v>
      </c>
      <c r="P1957" s="7">
        <v>45657</v>
      </c>
    </row>
    <row r="1958" spans="1:16" x14ac:dyDescent="0.3">
      <c r="A1958">
        <v>1957</v>
      </c>
      <c r="B1958" s="7">
        <v>45350</v>
      </c>
      <c r="C1958" t="s">
        <v>14</v>
      </c>
      <c r="D1958">
        <v>399</v>
      </c>
      <c r="E1958">
        <v>23.5</v>
      </c>
      <c r="F1958">
        <v>4</v>
      </c>
      <c r="G1958">
        <v>3</v>
      </c>
      <c r="H1958">
        <v>14</v>
      </c>
      <c r="I1958">
        <v>44</v>
      </c>
      <c r="J1958" t="s">
        <v>11</v>
      </c>
      <c r="K1958">
        <f>IF(J1958="Yes", 1, 0)</f>
        <v>1</v>
      </c>
      <c r="L1958" t="str">
        <f>IF(G1958=0,"0 Failures","1+ Failures")</f>
        <v>1+ Failures</v>
      </c>
      <c r="M1958" t="str">
        <f t="shared" si="92"/>
        <v>20+ hrs</v>
      </c>
      <c r="N1958" t="str">
        <f t="shared" si="90"/>
        <v>12+ months</v>
      </c>
      <c r="O1958" t="str">
        <f t="shared" si="91"/>
        <v>Basic</v>
      </c>
      <c r="P1958" s="7">
        <v>45657</v>
      </c>
    </row>
    <row r="1959" spans="1:16" x14ac:dyDescent="0.3">
      <c r="A1959">
        <v>1958</v>
      </c>
      <c r="B1959" s="7">
        <v>45568</v>
      </c>
      <c r="C1959" t="s">
        <v>14</v>
      </c>
      <c r="D1959">
        <v>399</v>
      </c>
      <c r="E1959">
        <v>21.1</v>
      </c>
      <c r="F1959">
        <v>3</v>
      </c>
      <c r="G1959">
        <v>3</v>
      </c>
      <c r="H1959">
        <v>18</v>
      </c>
      <c r="I1959">
        <v>16</v>
      </c>
      <c r="J1959" t="s">
        <v>13</v>
      </c>
      <c r="K1959">
        <f>IF(J1959="Yes", 1, 0)</f>
        <v>0</v>
      </c>
      <c r="L1959" t="str">
        <f>IF(G1959=0,"0 Failures","1+ Failures")</f>
        <v>1+ Failures</v>
      </c>
      <c r="M1959" t="str">
        <f t="shared" si="92"/>
        <v>20+ hrs</v>
      </c>
      <c r="N1959" t="str">
        <f t="shared" si="90"/>
        <v>12+ months</v>
      </c>
      <c r="O1959" t="str">
        <f t="shared" si="91"/>
        <v>Basic</v>
      </c>
      <c r="P1959" s="7">
        <v>45657</v>
      </c>
    </row>
    <row r="1960" spans="1:16" x14ac:dyDescent="0.3">
      <c r="A1960">
        <v>1959</v>
      </c>
      <c r="B1960" s="7">
        <v>44999</v>
      </c>
      <c r="C1960" t="s">
        <v>10</v>
      </c>
      <c r="D1960">
        <v>699</v>
      </c>
      <c r="E1960">
        <v>1.5</v>
      </c>
      <c r="F1960">
        <v>7</v>
      </c>
      <c r="G1960">
        <v>1</v>
      </c>
      <c r="H1960">
        <v>26</v>
      </c>
      <c r="I1960">
        <v>42</v>
      </c>
      <c r="J1960" t="s">
        <v>11</v>
      </c>
      <c r="K1960">
        <f>IF(J1960="Yes", 1, 0)</f>
        <v>1</v>
      </c>
      <c r="L1960" t="str">
        <f>IF(G1960=0,"0 Failures","1+ Failures")</f>
        <v>1+ Failures</v>
      </c>
      <c r="M1960" t="str">
        <f t="shared" si="92"/>
        <v>0-5 hrs</v>
      </c>
      <c r="N1960" t="str">
        <f t="shared" si="90"/>
        <v>12+ months</v>
      </c>
      <c r="O1960" t="str">
        <f t="shared" si="91"/>
        <v>Premium</v>
      </c>
      <c r="P1960" s="7">
        <v>45657</v>
      </c>
    </row>
    <row r="1961" spans="1:16" x14ac:dyDescent="0.3">
      <c r="A1961">
        <v>1960</v>
      </c>
      <c r="B1961" s="7">
        <v>45098</v>
      </c>
      <c r="C1961" t="s">
        <v>10</v>
      </c>
      <c r="D1961">
        <v>699</v>
      </c>
      <c r="E1961">
        <v>3.3</v>
      </c>
      <c r="F1961">
        <v>7</v>
      </c>
      <c r="G1961">
        <v>0</v>
      </c>
      <c r="H1961">
        <v>8</v>
      </c>
      <c r="I1961">
        <v>11</v>
      </c>
      <c r="J1961" t="s">
        <v>13</v>
      </c>
      <c r="K1961">
        <f>IF(J1961="Yes", 1, 0)</f>
        <v>0</v>
      </c>
      <c r="L1961" t="str">
        <f>IF(G1961=0,"0 Failures","1+ Failures")</f>
        <v>0 Failures</v>
      </c>
      <c r="M1961" t="str">
        <f t="shared" si="92"/>
        <v>0-5 hrs</v>
      </c>
      <c r="N1961" t="str">
        <f t="shared" si="90"/>
        <v>6-12months</v>
      </c>
      <c r="O1961" t="str">
        <f t="shared" si="91"/>
        <v>Premium</v>
      </c>
      <c r="P1961" s="7">
        <v>45657</v>
      </c>
    </row>
    <row r="1962" spans="1:16" x14ac:dyDescent="0.3">
      <c r="A1962">
        <v>1961</v>
      </c>
      <c r="B1962" s="7">
        <v>45510</v>
      </c>
      <c r="C1962" t="s">
        <v>10</v>
      </c>
      <c r="D1962">
        <v>699</v>
      </c>
      <c r="E1962">
        <v>23.9</v>
      </c>
      <c r="F1962">
        <v>6</v>
      </c>
      <c r="G1962">
        <v>2</v>
      </c>
      <c r="H1962">
        <v>17</v>
      </c>
      <c r="I1962">
        <v>34</v>
      </c>
      <c r="J1962" t="s">
        <v>11</v>
      </c>
      <c r="K1962">
        <f>IF(J1962="Yes", 1, 0)</f>
        <v>1</v>
      </c>
      <c r="L1962" t="str">
        <f>IF(G1962=0,"0 Failures","1+ Failures")</f>
        <v>1+ Failures</v>
      </c>
      <c r="M1962" t="str">
        <f t="shared" si="92"/>
        <v>20+ hrs</v>
      </c>
      <c r="N1962" t="str">
        <f t="shared" si="90"/>
        <v>12+ months</v>
      </c>
      <c r="O1962" t="str">
        <f t="shared" si="91"/>
        <v>Premium</v>
      </c>
      <c r="P1962" s="7">
        <v>45657</v>
      </c>
    </row>
    <row r="1963" spans="1:16" x14ac:dyDescent="0.3">
      <c r="A1963">
        <v>1962</v>
      </c>
      <c r="B1963" s="7">
        <v>45436</v>
      </c>
      <c r="C1963" t="s">
        <v>14</v>
      </c>
      <c r="D1963">
        <v>399</v>
      </c>
      <c r="E1963">
        <v>19.100000000000001</v>
      </c>
      <c r="F1963">
        <v>6</v>
      </c>
      <c r="G1963">
        <v>1</v>
      </c>
      <c r="H1963">
        <v>7</v>
      </c>
      <c r="I1963">
        <v>60</v>
      </c>
      <c r="J1963" t="s">
        <v>11</v>
      </c>
      <c r="K1963">
        <f>IF(J1963="Yes", 1, 0)</f>
        <v>1</v>
      </c>
      <c r="L1963" t="str">
        <f>IF(G1963=0,"0 Failures","1+ Failures")</f>
        <v>1+ Failures</v>
      </c>
      <c r="M1963" t="str">
        <f t="shared" si="92"/>
        <v>10-20hrs</v>
      </c>
      <c r="N1963" t="str">
        <f t="shared" si="90"/>
        <v>6-12months</v>
      </c>
      <c r="O1963" t="str">
        <f t="shared" si="91"/>
        <v>Basic</v>
      </c>
      <c r="P1963" s="7">
        <v>45657</v>
      </c>
    </row>
    <row r="1964" spans="1:16" x14ac:dyDescent="0.3">
      <c r="A1964">
        <v>1963</v>
      </c>
      <c r="B1964" s="7">
        <v>45161</v>
      </c>
      <c r="C1964" t="s">
        <v>12</v>
      </c>
      <c r="D1964">
        <v>199</v>
      </c>
      <c r="E1964">
        <v>13.2</v>
      </c>
      <c r="F1964">
        <v>0</v>
      </c>
      <c r="G1964">
        <v>3</v>
      </c>
      <c r="H1964">
        <v>9</v>
      </c>
      <c r="I1964">
        <v>30</v>
      </c>
      <c r="J1964" t="s">
        <v>11</v>
      </c>
      <c r="K1964">
        <f>IF(J1964="Yes", 1, 0)</f>
        <v>1</v>
      </c>
      <c r="L1964" t="str">
        <f>IF(G1964=0,"0 Failures","1+ Failures")</f>
        <v>1+ Failures</v>
      </c>
      <c r="M1964" t="str">
        <f t="shared" si="92"/>
        <v>10-20hrs</v>
      </c>
      <c r="N1964" t="str">
        <f t="shared" si="90"/>
        <v>6-12months</v>
      </c>
      <c r="O1964" t="str">
        <f t="shared" si="91"/>
        <v>Basic</v>
      </c>
      <c r="P1964" s="7">
        <v>45657</v>
      </c>
    </row>
    <row r="1965" spans="1:16" x14ac:dyDescent="0.3">
      <c r="A1965">
        <v>1964</v>
      </c>
      <c r="B1965" s="7">
        <v>45375</v>
      </c>
      <c r="C1965" t="s">
        <v>12</v>
      </c>
      <c r="D1965">
        <v>199</v>
      </c>
      <c r="E1965">
        <v>5</v>
      </c>
      <c r="F1965">
        <v>1</v>
      </c>
      <c r="G1965">
        <v>1</v>
      </c>
      <c r="H1965">
        <v>25</v>
      </c>
      <c r="I1965">
        <v>27</v>
      </c>
      <c r="J1965" t="s">
        <v>13</v>
      </c>
      <c r="K1965">
        <f>IF(J1965="Yes", 1, 0)</f>
        <v>0</v>
      </c>
      <c r="L1965" t="str">
        <f>IF(G1965=0,"0 Failures","1+ Failures")</f>
        <v>1+ Failures</v>
      </c>
      <c r="M1965" t="str">
        <f t="shared" si="92"/>
        <v>0-5 hrs</v>
      </c>
      <c r="N1965" t="str">
        <f t="shared" si="90"/>
        <v>12+ months</v>
      </c>
      <c r="O1965" t="str">
        <f t="shared" si="91"/>
        <v>Basic</v>
      </c>
      <c r="P1965" s="7">
        <v>45657</v>
      </c>
    </row>
    <row r="1966" spans="1:16" x14ac:dyDescent="0.3">
      <c r="A1966">
        <v>1965</v>
      </c>
      <c r="B1966" s="7">
        <v>45120</v>
      </c>
      <c r="C1966" t="s">
        <v>10</v>
      </c>
      <c r="D1966">
        <v>699</v>
      </c>
      <c r="E1966">
        <v>11.3</v>
      </c>
      <c r="F1966">
        <v>0</v>
      </c>
      <c r="G1966">
        <v>5</v>
      </c>
      <c r="H1966">
        <v>10</v>
      </c>
      <c r="I1966">
        <v>59</v>
      </c>
      <c r="J1966" t="s">
        <v>11</v>
      </c>
      <c r="K1966">
        <f>IF(J1966="Yes", 1, 0)</f>
        <v>1</v>
      </c>
      <c r="L1966" t="str">
        <f>IF(G1966=0,"0 Failures","1+ Failures")</f>
        <v>1+ Failures</v>
      </c>
      <c r="M1966" t="str">
        <f t="shared" si="92"/>
        <v>10-20hrs</v>
      </c>
      <c r="N1966" t="str">
        <f t="shared" si="90"/>
        <v>6-12months</v>
      </c>
      <c r="O1966" t="str">
        <f t="shared" si="91"/>
        <v>Premium</v>
      </c>
      <c r="P1966" s="7">
        <v>45657</v>
      </c>
    </row>
    <row r="1967" spans="1:16" x14ac:dyDescent="0.3">
      <c r="A1967">
        <v>1966</v>
      </c>
      <c r="B1967" s="7">
        <v>45183</v>
      </c>
      <c r="C1967" t="s">
        <v>12</v>
      </c>
      <c r="D1967">
        <v>199</v>
      </c>
      <c r="E1967">
        <v>1.6</v>
      </c>
      <c r="F1967">
        <v>0</v>
      </c>
      <c r="G1967">
        <v>1</v>
      </c>
      <c r="H1967">
        <v>21</v>
      </c>
      <c r="I1967">
        <v>21</v>
      </c>
      <c r="J1967" t="s">
        <v>13</v>
      </c>
      <c r="K1967">
        <f>IF(J1967="Yes", 1, 0)</f>
        <v>0</v>
      </c>
      <c r="L1967" t="str">
        <f>IF(G1967=0,"0 Failures","1+ Failures")</f>
        <v>1+ Failures</v>
      </c>
      <c r="M1967" t="str">
        <f t="shared" si="92"/>
        <v>0-5 hrs</v>
      </c>
      <c r="N1967" t="str">
        <f t="shared" si="90"/>
        <v>12+ months</v>
      </c>
      <c r="O1967" t="str">
        <f t="shared" si="91"/>
        <v>Basic</v>
      </c>
      <c r="P1967" s="7">
        <v>45657</v>
      </c>
    </row>
    <row r="1968" spans="1:16" x14ac:dyDescent="0.3">
      <c r="A1968">
        <v>1967</v>
      </c>
      <c r="B1968" s="7">
        <v>45225</v>
      </c>
      <c r="C1968" t="s">
        <v>12</v>
      </c>
      <c r="D1968">
        <v>199</v>
      </c>
      <c r="E1968">
        <v>11.8</v>
      </c>
      <c r="F1968">
        <v>0</v>
      </c>
      <c r="G1968">
        <v>3</v>
      </c>
      <c r="H1968">
        <v>23</v>
      </c>
      <c r="I1968">
        <v>24</v>
      </c>
      <c r="J1968" t="s">
        <v>11</v>
      </c>
      <c r="K1968">
        <f>IF(J1968="Yes", 1, 0)</f>
        <v>1</v>
      </c>
      <c r="L1968" t="str">
        <f>IF(G1968=0,"0 Failures","1+ Failures")</f>
        <v>1+ Failures</v>
      </c>
      <c r="M1968" t="str">
        <f t="shared" si="92"/>
        <v>10-20hrs</v>
      </c>
      <c r="N1968" t="str">
        <f t="shared" si="90"/>
        <v>12+ months</v>
      </c>
      <c r="O1968" t="str">
        <f t="shared" si="91"/>
        <v>Basic</v>
      </c>
      <c r="P1968" s="7">
        <v>45657</v>
      </c>
    </row>
    <row r="1969" spans="1:16" x14ac:dyDescent="0.3">
      <c r="A1969">
        <v>1968</v>
      </c>
      <c r="B1969" s="7">
        <v>44952</v>
      </c>
      <c r="C1969" t="s">
        <v>10</v>
      </c>
      <c r="D1969">
        <v>699</v>
      </c>
      <c r="E1969">
        <v>6</v>
      </c>
      <c r="F1969">
        <v>3</v>
      </c>
      <c r="G1969">
        <v>2</v>
      </c>
      <c r="H1969">
        <v>5</v>
      </c>
      <c r="I1969">
        <v>42</v>
      </c>
      <c r="J1969" t="s">
        <v>13</v>
      </c>
      <c r="K1969">
        <f>IF(J1969="Yes", 1, 0)</f>
        <v>0</v>
      </c>
      <c r="L1969" t="str">
        <f>IF(G1969=0,"0 Failures","1+ Failures")</f>
        <v>1+ Failures</v>
      </c>
      <c r="M1969" t="str">
        <f t="shared" si="92"/>
        <v>5-10 hrs</v>
      </c>
      <c r="N1969" t="str">
        <f t="shared" si="90"/>
        <v>3-6months</v>
      </c>
      <c r="O1969" t="str">
        <f t="shared" si="91"/>
        <v>Premium</v>
      </c>
      <c r="P1969" s="7">
        <v>45657</v>
      </c>
    </row>
    <row r="1970" spans="1:16" x14ac:dyDescent="0.3">
      <c r="A1970">
        <v>1969</v>
      </c>
      <c r="B1970" s="7">
        <v>45487</v>
      </c>
      <c r="C1970" t="s">
        <v>14</v>
      </c>
      <c r="D1970">
        <v>399</v>
      </c>
      <c r="E1970">
        <v>21.2</v>
      </c>
      <c r="F1970">
        <v>8</v>
      </c>
      <c r="G1970">
        <v>2</v>
      </c>
      <c r="H1970">
        <v>5</v>
      </c>
      <c r="I1970">
        <v>35</v>
      </c>
      <c r="J1970" t="s">
        <v>11</v>
      </c>
      <c r="K1970">
        <f>IF(J1970="Yes", 1, 0)</f>
        <v>1</v>
      </c>
      <c r="L1970" t="str">
        <f>IF(G1970=0,"0 Failures","1+ Failures")</f>
        <v>1+ Failures</v>
      </c>
      <c r="M1970" t="str">
        <f t="shared" si="92"/>
        <v>20+ hrs</v>
      </c>
      <c r="N1970" t="str">
        <f t="shared" si="90"/>
        <v>3-6months</v>
      </c>
      <c r="O1970" t="str">
        <f t="shared" si="91"/>
        <v>Basic</v>
      </c>
      <c r="P1970" s="7">
        <v>45657</v>
      </c>
    </row>
    <row r="1971" spans="1:16" x14ac:dyDescent="0.3">
      <c r="A1971">
        <v>1970</v>
      </c>
      <c r="B1971" s="7">
        <v>45560</v>
      </c>
      <c r="C1971" t="s">
        <v>14</v>
      </c>
      <c r="D1971">
        <v>399</v>
      </c>
      <c r="E1971">
        <v>3.2</v>
      </c>
      <c r="F1971">
        <v>1</v>
      </c>
      <c r="G1971">
        <v>3</v>
      </c>
      <c r="H1971">
        <v>4</v>
      </c>
      <c r="I1971">
        <v>33</v>
      </c>
      <c r="J1971" t="s">
        <v>11</v>
      </c>
      <c r="K1971">
        <f>IF(J1971="Yes", 1, 0)</f>
        <v>1</v>
      </c>
      <c r="L1971" t="str">
        <f>IF(G1971=0,"0 Failures","1+ Failures")</f>
        <v>1+ Failures</v>
      </c>
      <c r="M1971" t="str">
        <f t="shared" si="92"/>
        <v>0-5 hrs</v>
      </c>
      <c r="N1971" t="str">
        <f t="shared" si="90"/>
        <v>3-6months</v>
      </c>
      <c r="O1971" t="str">
        <f t="shared" si="91"/>
        <v>Basic</v>
      </c>
      <c r="P1971" s="7">
        <v>45657</v>
      </c>
    </row>
    <row r="1972" spans="1:16" x14ac:dyDescent="0.3">
      <c r="A1972">
        <v>1971</v>
      </c>
      <c r="B1972" s="7">
        <v>45033</v>
      </c>
      <c r="C1972" t="s">
        <v>10</v>
      </c>
      <c r="D1972">
        <v>699</v>
      </c>
      <c r="E1972">
        <v>18.2</v>
      </c>
      <c r="F1972">
        <v>5</v>
      </c>
      <c r="G1972">
        <v>2</v>
      </c>
      <c r="H1972">
        <v>11</v>
      </c>
      <c r="I1972">
        <v>2</v>
      </c>
      <c r="J1972" t="s">
        <v>11</v>
      </c>
      <c r="K1972">
        <f>IF(J1972="Yes", 1, 0)</f>
        <v>1</v>
      </c>
      <c r="L1972" t="str">
        <f>IF(G1972=0,"0 Failures","1+ Failures")</f>
        <v>1+ Failures</v>
      </c>
      <c r="M1972" t="str">
        <f t="shared" si="92"/>
        <v>10-20hrs</v>
      </c>
      <c r="N1972" t="str">
        <f t="shared" si="90"/>
        <v>6-12months</v>
      </c>
      <c r="O1972" t="str">
        <f t="shared" si="91"/>
        <v>Premium</v>
      </c>
      <c r="P1972" s="7">
        <v>45657</v>
      </c>
    </row>
    <row r="1973" spans="1:16" x14ac:dyDescent="0.3">
      <c r="A1973">
        <v>1972</v>
      </c>
      <c r="B1973" s="7">
        <v>45507</v>
      </c>
      <c r="C1973" t="s">
        <v>10</v>
      </c>
      <c r="D1973">
        <v>699</v>
      </c>
      <c r="E1973">
        <v>0.6</v>
      </c>
      <c r="F1973">
        <v>0</v>
      </c>
      <c r="G1973">
        <v>4</v>
      </c>
      <c r="H1973">
        <v>15</v>
      </c>
      <c r="I1973">
        <v>3</v>
      </c>
      <c r="J1973" t="s">
        <v>13</v>
      </c>
      <c r="K1973">
        <f>IF(J1973="Yes", 1, 0)</f>
        <v>0</v>
      </c>
      <c r="L1973" t="str">
        <f>IF(G1973=0,"0 Failures","1+ Failures")</f>
        <v>1+ Failures</v>
      </c>
      <c r="M1973" t="str">
        <f t="shared" si="92"/>
        <v>0-5 hrs</v>
      </c>
      <c r="N1973" t="str">
        <f t="shared" si="90"/>
        <v>12+ months</v>
      </c>
      <c r="O1973" t="str">
        <f t="shared" si="91"/>
        <v>Premium</v>
      </c>
      <c r="P1973" s="7">
        <v>45657</v>
      </c>
    </row>
    <row r="1974" spans="1:16" x14ac:dyDescent="0.3">
      <c r="A1974">
        <v>1973</v>
      </c>
      <c r="B1974" s="7">
        <v>45591</v>
      </c>
      <c r="C1974" t="s">
        <v>12</v>
      </c>
      <c r="D1974">
        <v>199</v>
      </c>
      <c r="E1974">
        <v>19.2</v>
      </c>
      <c r="F1974">
        <v>0</v>
      </c>
      <c r="G1974">
        <v>4</v>
      </c>
      <c r="H1974">
        <v>15</v>
      </c>
      <c r="I1974">
        <v>34</v>
      </c>
      <c r="J1974" t="s">
        <v>11</v>
      </c>
      <c r="K1974">
        <f>IF(J1974="Yes", 1, 0)</f>
        <v>1</v>
      </c>
      <c r="L1974" t="str">
        <f>IF(G1974=0,"0 Failures","1+ Failures")</f>
        <v>1+ Failures</v>
      </c>
      <c r="M1974" t="str">
        <f t="shared" si="92"/>
        <v>10-20hrs</v>
      </c>
      <c r="N1974" t="str">
        <f t="shared" si="90"/>
        <v>12+ months</v>
      </c>
      <c r="O1974" t="str">
        <f t="shared" si="91"/>
        <v>Basic</v>
      </c>
      <c r="P1974" s="7">
        <v>45657</v>
      </c>
    </row>
    <row r="1975" spans="1:16" x14ac:dyDescent="0.3">
      <c r="A1975">
        <v>1974</v>
      </c>
      <c r="B1975" s="7">
        <v>45626</v>
      </c>
      <c r="C1975" t="s">
        <v>14</v>
      </c>
      <c r="D1975">
        <v>399</v>
      </c>
      <c r="E1975">
        <v>7.4</v>
      </c>
      <c r="F1975">
        <v>6</v>
      </c>
      <c r="G1975">
        <v>3</v>
      </c>
      <c r="H1975">
        <v>25</v>
      </c>
      <c r="I1975">
        <v>58</v>
      </c>
      <c r="J1975" t="s">
        <v>11</v>
      </c>
      <c r="K1975">
        <f>IF(J1975="Yes", 1, 0)</f>
        <v>1</v>
      </c>
      <c r="L1975" t="str">
        <f>IF(G1975=0,"0 Failures","1+ Failures")</f>
        <v>1+ Failures</v>
      </c>
      <c r="M1975" t="str">
        <f t="shared" si="92"/>
        <v>5-10 hrs</v>
      </c>
      <c r="N1975" t="str">
        <f t="shared" si="90"/>
        <v>12+ months</v>
      </c>
      <c r="O1975" t="str">
        <f t="shared" si="91"/>
        <v>Basic</v>
      </c>
      <c r="P1975" s="7">
        <v>45657</v>
      </c>
    </row>
    <row r="1976" spans="1:16" x14ac:dyDescent="0.3">
      <c r="A1976">
        <v>1975</v>
      </c>
      <c r="B1976" s="7">
        <v>45392</v>
      </c>
      <c r="C1976" t="s">
        <v>14</v>
      </c>
      <c r="D1976">
        <v>399</v>
      </c>
      <c r="E1976">
        <v>9</v>
      </c>
      <c r="F1976">
        <v>7</v>
      </c>
      <c r="G1976">
        <v>3</v>
      </c>
      <c r="H1976">
        <v>17</v>
      </c>
      <c r="I1976">
        <v>58</v>
      </c>
      <c r="J1976" t="s">
        <v>13</v>
      </c>
      <c r="K1976">
        <f>IF(J1976="Yes", 1, 0)</f>
        <v>0</v>
      </c>
      <c r="L1976" t="str">
        <f>IF(G1976=0,"0 Failures","1+ Failures")</f>
        <v>1+ Failures</v>
      </c>
      <c r="M1976" t="str">
        <f t="shared" si="92"/>
        <v>5-10 hrs</v>
      </c>
      <c r="N1976" t="str">
        <f t="shared" si="90"/>
        <v>12+ months</v>
      </c>
      <c r="O1976" t="str">
        <f t="shared" si="91"/>
        <v>Basic</v>
      </c>
      <c r="P1976" s="7">
        <v>45657</v>
      </c>
    </row>
    <row r="1977" spans="1:16" x14ac:dyDescent="0.3">
      <c r="A1977">
        <v>1976</v>
      </c>
      <c r="B1977" s="7">
        <v>45324</v>
      </c>
      <c r="C1977" t="s">
        <v>10</v>
      </c>
      <c r="D1977">
        <v>699</v>
      </c>
      <c r="E1977">
        <v>6</v>
      </c>
      <c r="F1977">
        <v>4</v>
      </c>
      <c r="G1977">
        <v>5</v>
      </c>
      <c r="H1977">
        <v>24</v>
      </c>
      <c r="I1977">
        <v>46</v>
      </c>
      <c r="J1977" t="s">
        <v>11</v>
      </c>
      <c r="K1977">
        <f>IF(J1977="Yes", 1, 0)</f>
        <v>1</v>
      </c>
      <c r="L1977" t="str">
        <f>IF(G1977=0,"0 Failures","1+ Failures")</f>
        <v>1+ Failures</v>
      </c>
      <c r="M1977" t="str">
        <f t="shared" si="92"/>
        <v>5-10 hrs</v>
      </c>
      <c r="N1977" t="str">
        <f t="shared" si="90"/>
        <v>12+ months</v>
      </c>
      <c r="O1977" t="str">
        <f t="shared" si="91"/>
        <v>Premium</v>
      </c>
      <c r="P1977" s="7">
        <v>45657</v>
      </c>
    </row>
    <row r="1978" spans="1:16" x14ac:dyDescent="0.3">
      <c r="A1978">
        <v>1977</v>
      </c>
      <c r="B1978" s="7">
        <v>44970</v>
      </c>
      <c r="C1978" t="s">
        <v>14</v>
      </c>
      <c r="D1978">
        <v>399</v>
      </c>
      <c r="E1978">
        <v>9.5</v>
      </c>
      <c r="F1978">
        <v>0</v>
      </c>
      <c r="G1978">
        <v>3</v>
      </c>
      <c r="H1978">
        <v>11</v>
      </c>
      <c r="I1978">
        <v>51</v>
      </c>
      <c r="J1978" t="s">
        <v>11</v>
      </c>
      <c r="K1978">
        <f>IF(J1978="Yes", 1, 0)</f>
        <v>1</v>
      </c>
      <c r="L1978" t="str">
        <f>IF(G1978=0,"0 Failures","1+ Failures")</f>
        <v>1+ Failures</v>
      </c>
      <c r="M1978" t="str">
        <f t="shared" si="92"/>
        <v>5-10 hrs</v>
      </c>
      <c r="N1978" t="str">
        <f t="shared" si="90"/>
        <v>6-12months</v>
      </c>
      <c r="O1978" t="str">
        <f t="shared" si="91"/>
        <v>Basic</v>
      </c>
      <c r="P1978" s="7">
        <v>45657</v>
      </c>
    </row>
    <row r="1979" spans="1:16" x14ac:dyDescent="0.3">
      <c r="A1979">
        <v>1978</v>
      </c>
      <c r="B1979" s="7">
        <v>45568</v>
      </c>
      <c r="C1979" t="s">
        <v>14</v>
      </c>
      <c r="D1979">
        <v>399</v>
      </c>
      <c r="E1979">
        <v>17.899999999999999</v>
      </c>
      <c r="F1979">
        <v>8</v>
      </c>
      <c r="G1979">
        <v>1</v>
      </c>
      <c r="H1979">
        <v>27</v>
      </c>
      <c r="I1979">
        <v>25</v>
      </c>
      <c r="J1979" t="s">
        <v>11</v>
      </c>
      <c r="K1979">
        <f>IF(J1979="Yes", 1, 0)</f>
        <v>1</v>
      </c>
      <c r="L1979" t="str">
        <f>IF(G1979=0,"0 Failures","1+ Failures")</f>
        <v>1+ Failures</v>
      </c>
      <c r="M1979" t="str">
        <f t="shared" si="92"/>
        <v>10-20hrs</v>
      </c>
      <c r="N1979" t="str">
        <f t="shared" si="90"/>
        <v>12+ months</v>
      </c>
      <c r="O1979" t="str">
        <f t="shared" si="91"/>
        <v>Basic</v>
      </c>
      <c r="P1979" s="7">
        <v>45657</v>
      </c>
    </row>
    <row r="1980" spans="1:16" x14ac:dyDescent="0.3">
      <c r="A1980">
        <v>1979</v>
      </c>
      <c r="B1980" s="7">
        <v>45381</v>
      </c>
      <c r="C1980" t="s">
        <v>14</v>
      </c>
      <c r="D1980">
        <v>399</v>
      </c>
      <c r="E1980">
        <v>23.6</v>
      </c>
      <c r="F1980">
        <v>6</v>
      </c>
      <c r="G1980">
        <v>3</v>
      </c>
      <c r="H1980">
        <v>14</v>
      </c>
      <c r="I1980">
        <v>29</v>
      </c>
      <c r="J1980" t="s">
        <v>11</v>
      </c>
      <c r="K1980">
        <f>IF(J1980="Yes", 1, 0)</f>
        <v>1</v>
      </c>
      <c r="L1980" t="str">
        <f>IF(G1980=0,"0 Failures","1+ Failures")</f>
        <v>1+ Failures</v>
      </c>
      <c r="M1980" t="str">
        <f t="shared" si="92"/>
        <v>20+ hrs</v>
      </c>
      <c r="N1980" t="str">
        <f t="shared" si="90"/>
        <v>12+ months</v>
      </c>
      <c r="O1980" t="str">
        <f t="shared" si="91"/>
        <v>Basic</v>
      </c>
      <c r="P1980" s="7">
        <v>45657</v>
      </c>
    </row>
    <row r="1981" spans="1:16" x14ac:dyDescent="0.3">
      <c r="A1981">
        <v>1980</v>
      </c>
      <c r="B1981" s="7">
        <v>45469</v>
      </c>
      <c r="C1981" t="s">
        <v>14</v>
      </c>
      <c r="D1981">
        <v>399</v>
      </c>
      <c r="E1981">
        <v>9.4</v>
      </c>
      <c r="F1981">
        <v>5</v>
      </c>
      <c r="G1981">
        <v>5</v>
      </c>
      <c r="H1981">
        <v>30</v>
      </c>
      <c r="I1981">
        <v>25</v>
      </c>
      <c r="J1981" t="s">
        <v>11</v>
      </c>
      <c r="K1981">
        <f>IF(J1981="Yes", 1, 0)</f>
        <v>1</v>
      </c>
      <c r="L1981" t="str">
        <f>IF(G1981=0,"0 Failures","1+ Failures")</f>
        <v>1+ Failures</v>
      </c>
      <c r="M1981" t="str">
        <f t="shared" si="92"/>
        <v>5-10 hrs</v>
      </c>
      <c r="N1981" t="str">
        <f t="shared" si="90"/>
        <v>12+ months</v>
      </c>
      <c r="O1981" t="str">
        <f t="shared" si="91"/>
        <v>Basic</v>
      </c>
      <c r="P1981" s="7">
        <v>45657</v>
      </c>
    </row>
    <row r="1982" spans="1:16" x14ac:dyDescent="0.3">
      <c r="A1982">
        <v>1981</v>
      </c>
      <c r="B1982" s="7">
        <v>45602</v>
      </c>
      <c r="C1982" t="s">
        <v>12</v>
      </c>
      <c r="D1982">
        <v>199</v>
      </c>
      <c r="E1982">
        <v>5.8</v>
      </c>
      <c r="F1982">
        <v>3</v>
      </c>
      <c r="G1982">
        <v>4</v>
      </c>
      <c r="H1982">
        <v>16</v>
      </c>
      <c r="I1982">
        <v>12</v>
      </c>
      <c r="J1982" t="s">
        <v>13</v>
      </c>
      <c r="K1982">
        <f>IF(J1982="Yes", 1, 0)</f>
        <v>0</v>
      </c>
      <c r="L1982" t="str">
        <f>IF(G1982=0,"0 Failures","1+ Failures")</f>
        <v>1+ Failures</v>
      </c>
      <c r="M1982" t="str">
        <f t="shared" si="92"/>
        <v>5-10 hrs</v>
      </c>
      <c r="N1982" t="str">
        <f t="shared" si="90"/>
        <v>12+ months</v>
      </c>
      <c r="O1982" t="str">
        <f t="shared" si="91"/>
        <v>Basic</v>
      </c>
      <c r="P1982" s="7">
        <v>45657</v>
      </c>
    </row>
    <row r="1983" spans="1:16" x14ac:dyDescent="0.3">
      <c r="A1983">
        <v>1982</v>
      </c>
      <c r="B1983" s="7">
        <v>45145</v>
      </c>
      <c r="C1983" t="s">
        <v>10</v>
      </c>
      <c r="D1983">
        <v>699</v>
      </c>
      <c r="E1983">
        <v>22.6</v>
      </c>
      <c r="F1983">
        <v>8</v>
      </c>
      <c r="G1983">
        <v>3</v>
      </c>
      <c r="H1983">
        <v>24</v>
      </c>
      <c r="I1983">
        <v>23</v>
      </c>
      <c r="J1983" t="s">
        <v>11</v>
      </c>
      <c r="K1983">
        <f>IF(J1983="Yes", 1, 0)</f>
        <v>1</v>
      </c>
      <c r="L1983" t="str">
        <f>IF(G1983=0,"0 Failures","1+ Failures")</f>
        <v>1+ Failures</v>
      </c>
      <c r="M1983" t="str">
        <f t="shared" si="92"/>
        <v>20+ hrs</v>
      </c>
      <c r="N1983" t="str">
        <f t="shared" si="90"/>
        <v>12+ months</v>
      </c>
      <c r="O1983" t="str">
        <f t="shared" si="91"/>
        <v>Premium</v>
      </c>
      <c r="P1983" s="7">
        <v>45657</v>
      </c>
    </row>
    <row r="1984" spans="1:16" x14ac:dyDescent="0.3">
      <c r="A1984">
        <v>1983</v>
      </c>
      <c r="B1984" s="7">
        <v>45565</v>
      </c>
      <c r="C1984" t="s">
        <v>14</v>
      </c>
      <c r="D1984">
        <v>399</v>
      </c>
      <c r="E1984">
        <v>12</v>
      </c>
      <c r="F1984">
        <v>8</v>
      </c>
      <c r="G1984">
        <v>5</v>
      </c>
      <c r="H1984">
        <v>10</v>
      </c>
      <c r="I1984">
        <v>28</v>
      </c>
      <c r="J1984" t="s">
        <v>11</v>
      </c>
      <c r="K1984">
        <f>IF(J1984="Yes", 1, 0)</f>
        <v>1</v>
      </c>
      <c r="L1984" t="str">
        <f>IF(G1984=0,"0 Failures","1+ Failures")</f>
        <v>1+ Failures</v>
      </c>
      <c r="M1984" t="str">
        <f t="shared" si="92"/>
        <v>10-20hrs</v>
      </c>
      <c r="N1984" t="str">
        <f t="shared" si="90"/>
        <v>6-12months</v>
      </c>
      <c r="O1984" t="str">
        <f t="shared" si="91"/>
        <v>Basic</v>
      </c>
      <c r="P1984" s="7">
        <v>45657</v>
      </c>
    </row>
    <row r="1985" spans="1:16" x14ac:dyDescent="0.3">
      <c r="A1985">
        <v>1984</v>
      </c>
      <c r="B1985" s="7">
        <v>45320</v>
      </c>
      <c r="C1985" t="s">
        <v>14</v>
      </c>
      <c r="D1985">
        <v>399</v>
      </c>
      <c r="E1985">
        <v>5.4</v>
      </c>
      <c r="F1985">
        <v>5</v>
      </c>
      <c r="G1985">
        <v>4</v>
      </c>
      <c r="H1985">
        <v>4</v>
      </c>
      <c r="I1985">
        <v>56</v>
      </c>
      <c r="J1985" t="s">
        <v>11</v>
      </c>
      <c r="K1985">
        <f>IF(J1985="Yes", 1, 0)</f>
        <v>1</v>
      </c>
      <c r="L1985" t="str">
        <f>IF(G1985=0,"0 Failures","1+ Failures")</f>
        <v>1+ Failures</v>
      </c>
      <c r="M1985" t="str">
        <f t="shared" si="92"/>
        <v>5-10 hrs</v>
      </c>
      <c r="N1985" t="str">
        <f t="shared" si="90"/>
        <v>3-6months</v>
      </c>
      <c r="O1985" t="str">
        <f t="shared" si="91"/>
        <v>Basic</v>
      </c>
      <c r="P1985" s="7">
        <v>45657</v>
      </c>
    </row>
    <row r="1986" spans="1:16" x14ac:dyDescent="0.3">
      <c r="A1986">
        <v>1985</v>
      </c>
      <c r="B1986" s="7">
        <v>45508</v>
      </c>
      <c r="C1986" t="s">
        <v>10</v>
      </c>
      <c r="D1986">
        <v>699</v>
      </c>
      <c r="E1986">
        <v>4.9000000000000004</v>
      </c>
      <c r="F1986">
        <v>7</v>
      </c>
      <c r="G1986">
        <v>0</v>
      </c>
      <c r="H1986">
        <v>28</v>
      </c>
      <c r="I1986">
        <v>44</v>
      </c>
      <c r="J1986" t="s">
        <v>11</v>
      </c>
      <c r="K1986">
        <f>IF(J1986="Yes", 1, 0)</f>
        <v>1</v>
      </c>
      <c r="L1986" t="str">
        <f>IF(G1986=0,"0 Failures","1+ Failures")</f>
        <v>0 Failures</v>
      </c>
      <c r="M1986" t="str">
        <f t="shared" si="92"/>
        <v>0-5 hrs</v>
      </c>
      <c r="N1986" t="str">
        <f t="shared" si="90"/>
        <v>12+ months</v>
      </c>
      <c r="O1986" t="str">
        <f t="shared" si="91"/>
        <v>Premium</v>
      </c>
      <c r="P1986" s="7">
        <v>45657</v>
      </c>
    </row>
    <row r="1987" spans="1:16" x14ac:dyDescent="0.3">
      <c r="A1987">
        <v>1986</v>
      </c>
      <c r="B1987" s="7">
        <v>45129</v>
      </c>
      <c r="C1987" t="s">
        <v>10</v>
      </c>
      <c r="D1987">
        <v>699</v>
      </c>
      <c r="E1987">
        <v>7.2</v>
      </c>
      <c r="F1987">
        <v>2</v>
      </c>
      <c r="G1987">
        <v>5</v>
      </c>
      <c r="H1987">
        <v>12</v>
      </c>
      <c r="I1987">
        <v>25</v>
      </c>
      <c r="J1987" t="s">
        <v>11</v>
      </c>
      <c r="K1987">
        <f>IF(J1987="Yes", 1, 0)</f>
        <v>1</v>
      </c>
      <c r="L1987" t="str">
        <f>IF(G1987=0,"0 Failures","1+ Failures")</f>
        <v>1+ Failures</v>
      </c>
      <c r="M1987" t="str">
        <f t="shared" si="92"/>
        <v>5-10 hrs</v>
      </c>
      <c r="N1987" t="str">
        <f t="shared" ref="N1987:N2050" si="93">IF(H1987&lt;=3, "0-3months", IF(H1987&lt;=6, "3-6months", IF(H1987&lt;=12, "6-12months", "12+ months")))</f>
        <v>6-12months</v>
      </c>
      <c r="O1987" t="str">
        <f t="shared" ref="O1987:O2050" si="94">IF(C1987="premium", "Premium", "Basic")</f>
        <v>Premium</v>
      </c>
      <c r="P1987" s="7">
        <v>45657</v>
      </c>
    </row>
    <row r="1988" spans="1:16" x14ac:dyDescent="0.3">
      <c r="A1988">
        <v>1987</v>
      </c>
      <c r="B1988" s="7">
        <v>45425</v>
      </c>
      <c r="C1988" t="s">
        <v>12</v>
      </c>
      <c r="D1988">
        <v>199</v>
      </c>
      <c r="E1988">
        <v>8.3000000000000007</v>
      </c>
      <c r="F1988">
        <v>3</v>
      </c>
      <c r="G1988">
        <v>5</v>
      </c>
      <c r="H1988">
        <v>27</v>
      </c>
      <c r="I1988">
        <v>8</v>
      </c>
      <c r="J1988" t="s">
        <v>13</v>
      </c>
      <c r="K1988">
        <f>IF(J1988="Yes", 1, 0)</f>
        <v>0</v>
      </c>
      <c r="L1988" t="str">
        <f>IF(G1988=0,"0 Failures","1+ Failures")</f>
        <v>1+ Failures</v>
      </c>
      <c r="M1988" t="str">
        <f t="shared" si="92"/>
        <v>5-10 hrs</v>
      </c>
      <c r="N1988" t="str">
        <f t="shared" si="93"/>
        <v>12+ months</v>
      </c>
      <c r="O1988" t="str">
        <f t="shared" si="94"/>
        <v>Basic</v>
      </c>
      <c r="P1988" s="7">
        <v>45657</v>
      </c>
    </row>
    <row r="1989" spans="1:16" x14ac:dyDescent="0.3">
      <c r="A1989">
        <v>1988</v>
      </c>
      <c r="B1989" s="7">
        <v>45014</v>
      </c>
      <c r="C1989" t="s">
        <v>14</v>
      </c>
      <c r="D1989">
        <v>399</v>
      </c>
      <c r="E1989">
        <v>18.5</v>
      </c>
      <c r="F1989">
        <v>0</v>
      </c>
      <c r="G1989">
        <v>5</v>
      </c>
      <c r="H1989">
        <v>34</v>
      </c>
      <c r="I1989">
        <v>6</v>
      </c>
      <c r="J1989" t="s">
        <v>13</v>
      </c>
      <c r="K1989">
        <f>IF(J1989="Yes", 1, 0)</f>
        <v>0</v>
      </c>
      <c r="L1989" t="str">
        <f>IF(G1989=0,"0 Failures","1+ Failures")</f>
        <v>1+ Failures</v>
      </c>
      <c r="M1989" t="str">
        <f t="shared" si="92"/>
        <v>10-20hrs</v>
      </c>
      <c r="N1989" t="str">
        <f t="shared" si="93"/>
        <v>12+ months</v>
      </c>
      <c r="O1989" t="str">
        <f t="shared" si="94"/>
        <v>Basic</v>
      </c>
      <c r="P1989" s="7">
        <v>45657</v>
      </c>
    </row>
    <row r="1990" spans="1:16" x14ac:dyDescent="0.3">
      <c r="A1990">
        <v>1989</v>
      </c>
      <c r="B1990" s="7">
        <v>45292</v>
      </c>
      <c r="C1990" t="s">
        <v>12</v>
      </c>
      <c r="D1990">
        <v>199</v>
      </c>
      <c r="E1990">
        <v>23</v>
      </c>
      <c r="F1990">
        <v>0</v>
      </c>
      <c r="G1990">
        <v>2</v>
      </c>
      <c r="H1990">
        <v>1</v>
      </c>
      <c r="I1990">
        <v>54</v>
      </c>
      <c r="J1990" t="s">
        <v>11</v>
      </c>
      <c r="K1990">
        <f>IF(J1990="Yes", 1, 0)</f>
        <v>1</v>
      </c>
      <c r="L1990" t="str">
        <f>IF(G1990=0,"0 Failures","1+ Failures")</f>
        <v>1+ Failures</v>
      </c>
      <c r="M1990" t="str">
        <f t="shared" si="92"/>
        <v>20+ hrs</v>
      </c>
      <c r="N1990" t="str">
        <f t="shared" si="93"/>
        <v>0-3months</v>
      </c>
      <c r="O1990" t="str">
        <f t="shared" si="94"/>
        <v>Basic</v>
      </c>
      <c r="P1990" s="7">
        <v>45657</v>
      </c>
    </row>
    <row r="1991" spans="1:16" x14ac:dyDescent="0.3">
      <c r="A1991">
        <v>1990</v>
      </c>
      <c r="B1991" s="7">
        <v>45250</v>
      </c>
      <c r="C1991" t="s">
        <v>12</v>
      </c>
      <c r="D1991">
        <v>199</v>
      </c>
      <c r="E1991">
        <v>24</v>
      </c>
      <c r="F1991">
        <v>4</v>
      </c>
      <c r="G1991">
        <v>0</v>
      </c>
      <c r="H1991">
        <v>10</v>
      </c>
      <c r="I1991">
        <v>23</v>
      </c>
      <c r="J1991" t="s">
        <v>13</v>
      </c>
      <c r="K1991">
        <f>IF(J1991="Yes", 1, 0)</f>
        <v>0</v>
      </c>
      <c r="L1991" t="str">
        <f>IF(G1991=0,"0 Failures","1+ Failures")</f>
        <v>0 Failures</v>
      </c>
      <c r="M1991" t="str">
        <f t="shared" si="92"/>
        <v>20+ hrs</v>
      </c>
      <c r="N1991" t="str">
        <f t="shared" si="93"/>
        <v>6-12months</v>
      </c>
      <c r="O1991" t="str">
        <f t="shared" si="94"/>
        <v>Basic</v>
      </c>
      <c r="P1991" s="7">
        <v>45657</v>
      </c>
    </row>
    <row r="1992" spans="1:16" x14ac:dyDescent="0.3">
      <c r="A1992">
        <v>1991</v>
      </c>
      <c r="B1992" s="7">
        <v>45502</v>
      </c>
      <c r="C1992" t="s">
        <v>10</v>
      </c>
      <c r="D1992">
        <v>699</v>
      </c>
      <c r="E1992">
        <v>12.1</v>
      </c>
      <c r="F1992">
        <v>2</v>
      </c>
      <c r="G1992">
        <v>2</v>
      </c>
      <c r="H1992">
        <v>29</v>
      </c>
      <c r="I1992">
        <v>19</v>
      </c>
      <c r="J1992" t="s">
        <v>11</v>
      </c>
      <c r="K1992">
        <f>IF(J1992="Yes", 1, 0)</f>
        <v>1</v>
      </c>
      <c r="L1992" t="str">
        <f>IF(G1992=0,"0 Failures","1+ Failures")</f>
        <v>1+ Failures</v>
      </c>
      <c r="M1992" t="str">
        <f t="shared" si="92"/>
        <v>10-20hrs</v>
      </c>
      <c r="N1992" t="str">
        <f t="shared" si="93"/>
        <v>12+ months</v>
      </c>
      <c r="O1992" t="str">
        <f t="shared" si="94"/>
        <v>Premium</v>
      </c>
      <c r="P1992" s="7">
        <v>45657</v>
      </c>
    </row>
    <row r="1993" spans="1:16" x14ac:dyDescent="0.3">
      <c r="A1993">
        <v>1992</v>
      </c>
      <c r="B1993" s="7">
        <v>45089</v>
      </c>
      <c r="C1993" t="s">
        <v>12</v>
      </c>
      <c r="D1993">
        <v>199</v>
      </c>
      <c r="E1993">
        <v>4.5</v>
      </c>
      <c r="F1993">
        <v>1</v>
      </c>
      <c r="G1993">
        <v>4</v>
      </c>
      <c r="H1993">
        <v>10</v>
      </c>
      <c r="I1993">
        <v>58</v>
      </c>
      <c r="J1993" t="s">
        <v>11</v>
      </c>
      <c r="K1993">
        <f>IF(J1993="Yes", 1, 0)</f>
        <v>1</v>
      </c>
      <c r="L1993" t="str">
        <f>IF(G1993=0,"0 Failures","1+ Failures")</f>
        <v>1+ Failures</v>
      </c>
      <c r="M1993" t="str">
        <f t="shared" si="92"/>
        <v>0-5 hrs</v>
      </c>
      <c r="N1993" t="str">
        <f t="shared" si="93"/>
        <v>6-12months</v>
      </c>
      <c r="O1993" t="str">
        <f t="shared" si="94"/>
        <v>Basic</v>
      </c>
      <c r="P1993" s="7">
        <v>45657</v>
      </c>
    </row>
    <row r="1994" spans="1:16" x14ac:dyDescent="0.3">
      <c r="A1994">
        <v>1993</v>
      </c>
      <c r="B1994" s="7">
        <v>45043</v>
      </c>
      <c r="C1994" t="s">
        <v>10</v>
      </c>
      <c r="D1994">
        <v>699</v>
      </c>
      <c r="E1994">
        <v>15.9</v>
      </c>
      <c r="F1994">
        <v>4</v>
      </c>
      <c r="G1994">
        <v>5</v>
      </c>
      <c r="H1994">
        <v>36</v>
      </c>
      <c r="I1994">
        <v>54</v>
      </c>
      <c r="J1994" t="s">
        <v>13</v>
      </c>
      <c r="K1994">
        <f>IF(J1994="Yes", 1, 0)</f>
        <v>0</v>
      </c>
      <c r="L1994" t="str">
        <f>IF(G1994=0,"0 Failures","1+ Failures")</f>
        <v>1+ Failures</v>
      </c>
      <c r="M1994" t="str">
        <f t="shared" si="92"/>
        <v>10-20hrs</v>
      </c>
      <c r="N1994" t="str">
        <f t="shared" si="93"/>
        <v>12+ months</v>
      </c>
      <c r="O1994" t="str">
        <f t="shared" si="94"/>
        <v>Premium</v>
      </c>
      <c r="P1994" s="7">
        <v>45657</v>
      </c>
    </row>
    <row r="1995" spans="1:16" x14ac:dyDescent="0.3">
      <c r="A1995">
        <v>1994</v>
      </c>
      <c r="B1995" s="7">
        <v>45411</v>
      </c>
      <c r="C1995" t="s">
        <v>10</v>
      </c>
      <c r="D1995">
        <v>699</v>
      </c>
      <c r="E1995">
        <v>22.8</v>
      </c>
      <c r="F1995">
        <v>1</v>
      </c>
      <c r="G1995">
        <v>0</v>
      </c>
      <c r="H1995">
        <v>10</v>
      </c>
      <c r="I1995">
        <v>8</v>
      </c>
      <c r="J1995" t="s">
        <v>13</v>
      </c>
      <c r="K1995">
        <f>IF(J1995="Yes", 1, 0)</f>
        <v>0</v>
      </c>
      <c r="L1995" t="str">
        <f>IF(G1995=0,"0 Failures","1+ Failures")</f>
        <v>0 Failures</v>
      </c>
      <c r="M1995" t="str">
        <f t="shared" ref="M1995:M2058" si="95">IF(E1995&lt;=5, "0-5 hrs",    IF(E1995&lt;=10, "5-10 hrs",    IF(E1995&lt;=20, "10-20hrs", "20+ hrs")))</f>
        <v>20+ hrs</v>
      </c>
      <c r="N1995" t="str">
        <f t="shared" si="93"/>
        <v>6-12months</v>
      </c>
      <c r="O1995" t="str">
        <f t="shared" si="94"/>
        <v>Premium</v>
      </c>
      <c r="P1995" s="7">
        <v>45657</v>
      </c>
    </row>
    <row r="1996" spans="1:16" x14ac:dyDescent="0.3">
      <c r="A1996">
        <v>1995</v>
      </c>
      <c r="B1996" s="7">
        <v>45298</v>
      </c>
      <c r="C1996" t="s">
        <v>14</v>
      </c>
      <c r="D1996">
        <v>399</v>
      </c>
      <c r="E1996">
        <v>4.7</v>
      </c>
      <c r="F1996">
        <v>0</v>
      </c>
      <c r="G1996">
        <v>4</v>
      </c>
      <c r="H1996">
        <v>31</v>
      </c>
      <c r="I1996">
        <v>44</v>
      </c>
      <c r="J1996" t="s">
        <v>13</v>
      </c>
      <c r="K1996">
        <f>IF(J1996="Yes", 1, 0)</f>
        <v>0</v>
      </c>
      <c r="L1996" t="str">
        <f>IF(G1996=0,"0 Failures","1+ Failures")</f>
        <v>1+ Failures</v>
      </c>
      <c r="M1996" t="str">
        <f t="shared" si="95"/>
        <v>0-5 hrs</v>
      </c>
      <c r="N1996" t="str">
        <f t="shared" si="93"/>
        <v>12+ months</v>
      </c>
      <c r="O1996" t="str">
        <f t="shared" si="94"/>
        <v>Basic</v>
      </c>
      <c r="P1996" s="7">
        <v>45657</v>
      </c>
    </row>
    <row r="1997" spans="1:16" x14ac:dyDescent="0.3">
      <c r="A1997">
        <v>1996</v>
      </c>
      <c r="B1997" s="7">
        <v>45279</v>
      </c>
      <c r="C1997" t="s">
        <v>14</v>
      </c>
      <c r="D1997">
        <v>399</v>
      </c>
      <c r="E1997">
        <v>11.5</v>
      </c>
      <c r="F1997">
        <v>0</v>
      </c>
      <c r="G1997">
        <v>3</v>
      </c>
      <c r="H1997">
        <v>12</v>
      </c>
      <c r="I1997">
        <v>60</v>
      </c>
      <c r="J1997" t="s">
        <v>13</v>
      </c>
      <c r="K1997">
        <f>IF(J1997="Yes", 1, 0)</f>
        <v>0</v>
      </c>
      <c r="L1997" t="str">
        <f>IF(G1997=0,"0 Failures","1+ Failures")</f>
        <v>1+ Failures</v>
      </c>
      <c r="M1997" t="str">
        <f t="shared" si="95"/>
        <v>10-20hrs</v>
      </c>
      <c r="N1997" t="str">
        <f t="shared" si="93"/>
        <v>6-12months</v>
      </c>
      <c r="O1997" t="str">
        <f t="shared" si="94"/>
        <v>Basic</v>
      </c>
      <c r="P1997" s="7">
        <v>45657</v>
      </c>
    </row>
    <row r="1998" spans="1:16" x14ac:dyDescent="0.3">
      <c r="A1998">
        <v>1997</v>
      </c>
      <c r="B1998" s="7">
        <v>45620</v>
      </c>
      <c r="C1998" t="s">
        <v>14</v>
      </c>
      <c r="D1998">
        <v>399</v>
      </c>
      <c r="E1998">
        <v>22.2</v>
      </c>
      <c r="F1998">
        <v>1</v>
      </c>
      <c r="G1998">
        <v>1</v>
      </c>
      <c r="H1998">
        <v>6</v>
      </c>
      <c r="I1998">
        <v>8</v>
      </c>
      <c r="J1998" t="s">
        <v>13</v>
      </c>
      <c r="K1998">
        <f>IF(J1998="Yes", 1, 0)</f>
        <v>0</v>
      </c>
      <c r="L1998" t="str">
        <f>IF(G1998=0,"0 Failures","1+ Failures")</f>
        <v>1+ Failures</v>
      </c>
      <c r="M1998" t="str">
        <f t="shared" si="95"/>
        <v>20+ hrs</v>
      </c>
      <c r="N1998" t="str">
        <f t="shared" si="93"/>
        <v>3-6months</v>
      </c>
      <c r="O1998" t="str">
        <f t="shared" si="94"/>
        <v>Basic</v>
      </c>
      <c r="P1998" s="7">
        <v>45657</v>
      </c>
    </row>
    <row r="1999" spans="1:16" x14ac:dyDescent="0.3">
      <c r="A1999">
        <v>1998</v>
      </c>
      <c r="B1999" s="7">
        <v>45012</v>
      </c>
      <c r="C1999" t="s">
        <v>14</v>
      </c>
      <c r="D1999">
        <v>399</v>
      </c>
      <c r="E1999">
        <v>3.2</v>
      </c>
      <c r="F1999">
        <v>3</v>
      </c>
      <c r="G1999">
        <v>5</v>
      </c>
      <c r="H1999">
        <v>10</v>
      </c>
      <c r="I1999">
        <v>20</v>
      </c>
      <c r="J1999" t="s">
        <v>11</v>
      </c>
      <c r="K1999">
        <f>IF(J1999="Yes", 1, 0)</f>
        <v>1</v>
      </c>
      <c r="L1999" t="str">
        <f>IF(G1999=0,"0 Failures","1+ Failures")</f>
        <v>1+ Failures</v>
      </c>
      <c r="M1999" t="str">
        <f t="shared" si="95"/>
        <v>0-5 hrs</v>
      </c>
      <c r="N1999" t="str">
        <f t="shared" si="93"/>
        <v>6-12months</v>
      </c>
      <c r="O1999" t="str">
        <f t="shared" si="94"/>
        <v>Basic</v>
      </c>
      <c r="P1999" s="7">
        <v>45657</v>
      </c>
    </row>
    <row r="2000" spans="1:16" x14ac:dyDescent="0.3">
      <c r="A2000">
        <v>1999</v>
      </c>
      <c r="B2000" s="7">
        <v>45123</v>
      </c>
      <c r="C2000" t="s">
        <v>14</v>
      </c>
      <c r="D2000">
        <v>399</v>
      </c>
      <c r="E2000">
        <v>0.9</v>
      </c>
      <c r="F2000">
        <v>6</v>
      </c>
      <c r="G2000">
        <v>1</v>
      </c>
      <c r="H2000">
        <v>32</v>
      </c>
      <c r="I2000">
        <v>23</v>
      </c>
      <c r="J2000" t="s">
        <v>13</v>
      </c>
      <c r="K2000">
        <f>IF(J2000="Yes", 1, 0)</f>
        <v>0</v>
      </c>
      <c r="L2000" t="str">
        <f>IF(G2000=0,"0 Failures","1+ Failures")</f>
        <v>1+ Failures</v>
      </c>
      <c r="M2000" t="str">
        <f t="shared" si="95"/>
        <v>0-5 hrs</v>
      </c>
      <c r="N2000" t="str">
        <f t="shared" si="93"/>
        <v>12+ months</v>
      </c>
      <c r="O2000" t="str">
        <f t="shared" si="94"/>
        <v>Basic</v>
      </c>
      <c r="P2000" s="7">
        <v>45657</v>
      </c>
    </row>
    <row r="2001" spans="1:16" x14ac:dyDescent="0.3">
      <c r="A2001">
        <v>2000</v>
      </c>
      <c r="B2001" s="7">
        <v>44980</v>
      </c>
      <c r="C2001" t="s">
        <v>10</v>
      </c>
      <c r="D2001">
        <v>699</v>
      </c>
      <c r="E2001">
        <v>24.6</v>
      </c>
      <c r="F2001">
        <v>0</v>
      </c>
      <c r="G2001">
        <v>3</v>
      </c>
      <c r="H2001">
        <v>18</v>
      </c>
      <c r="I2001">
        <v>20</v>
      </c>
      <c r="J2001" t="s">
        <v>13</v>
      </c>
      <c r="K2001">
        <f>IF(J2001="Yes", 1, 0)</f>
        <v>0</v>
      </c>
      <c r="L2001" t="str">
        <f>IF(G2001=0,"0 Failures","1+ Failures")</f>
        <v>1+ Failures</v>
      </c>
      <c r="M2001" t="str">
        <f t="shared" si="95"/>
        <v>20+ hrs</v>
      </c>
      <c r="N2001" t="str">
        <f t="shared" si="93"/>
        <v>12+ months</v>
      </c>
      <c r="O2001" t="str">
        <f t="shared" si="94"/>
        <v>Premium</v>
      </c>
      <c r="P2001" s="7">
        <v>45657</v>
      </c>
    </row>
    <row r="2002" spans="1:16" x14ac:dyDescent="0.3">
      <c r="A2002">
        <v>2001</v>
      </c>
      <c r="B2002" s="7">
        <v>45206</v>
      </c>
      <c r="C2002" t="s">
        <v>10</v>
      </c>
      <c r="D2002">
        <v>699</v>
      </c>
      <c r="E2002">
        <v>17.7</v>
      </c>
      <c r="F2002">
        <v>4</v>
      </c>
      <c r="G2002">
        <v>3</v>
      </c>
      <c r="H2002">
        <v>16</v>
      </c>
      <c r="I2002">
        <v>27</v>
      </c>
      <c r="J2002" t="s">
        <v>11</v>
      </c>
      <c r="K2002">
        <f>IF(J2002="Yes", 1, 0)</f>
        <v>1</v>
      </c>
      <c r="L2002" t="str">
        <f>IF(G2002=0,"0 Failures","1+ Failures")</f>
        <v>1+ Failures</v>
      </c>
      <c r="M2002" t="str">
        <f t="shared" si="95"/>
        <v>10-20hrs</v>
      </c>
      <c r="N2002" t="str">
        <f t="shared" si="93"/>
        <v>12+ months</v>
      </c>
      <c r="O2002" t="str">
        <f t="shared" si="94"/>
        <v>Premium</v>
      </c>
      <c r="P2002" s="7">
        <v>45657</v>
      </c>
    </row>
    <row r="2003" spans="1:16" x14ac:dyDescent="0.3">
      <c r="A2003">
        <v>2002</v>
      </c>
      <c r="B2003" s="7">
        <v>45566</v>
      </c>
      <c r="C2003" t="s">
        <v>10</v>
      </c>
      <c r="D2003">
        <v>699</v>
      </c>
      <c r="E2003">
        <v>16.7</v>
      </c>
      <c r="F2003">
        <v>5</v>
      </c>
      <c r="G2003">
        <v>4</v>
      </c>
      <c r="H2003">
        <v>30</v>
      </c>
      <c r="I2003">
        <v>2</v>
      </c>
      <c r="J2003" t="s">
        <v>11</v>
      </c>
      <c r="K2003">
        <f>IF(J2003="Yes", 1, 0)</f>
        <v>1</v>
      </c>
      <c r="L2003" t="str">
        <f>IF(G2003=0,"0 Failures","1+ Failures")</f>
        <v>1+ Failures</v>
      </c>
      <c r="M2003" t="str">
        <f t="shared" si="95"/>
        <v>10-20hrs</v>
      </c>
      <c r="N2003" t="str">
        <f t="shared" si="93"/>
        <v>12+ months</v>
      </c>
      <c r="O2003" t="str">
        <f t="shared" si="94"/>
        <v>Premium</v>
      </c>
      <c r="P2003" s="7">
        <v>45657</v>
      </c>
    </row>
    <row r="2004" spans="1:16" x14ac:dyDescent="0.3">
      <c r="A2004">
        <v>2003</v>
      </c>
      <c r="B2004" s="7">
        <v>45638</v>
      </c>
      <c r="C2004" t="s">
        <v>12</v>
      </c>
      <c r="D2004">
        <v>199</v>
      </c>
      <c r="E2004">
        <v>7.9</v>
      </c>
      <c r="F2004">
        <v>3</v>
      </c>
      <c r="G2004">
        <v>3</v>
      </c>
      <c r="H2004">
        <v>2</v>
      </c>
      <c r="I2004">
        <v>24</v>
      </c>
      <c r="J2004" t="s">
        <v>11</v>
      </c>
      <c r="K2004">
        <f>IF(J2004="Yes", 1, 0)</f>
        <v>1</v>
      </c>
      <c r="L2004" t="str">
        <f>IF(G2004=0,"0 Failures","1+ Failures")</f>
        <v>1+ Failures</v>
      </c>
      <c r="M2004" t="str">
        <f t="shared" si="95"/>
        <v>5-10 hrs</v>
      </c>
      <c r="N2004" t="str">
        <f t="shared" si="93"/>
        <v>0-3months</v>
      </c>
      <c r="O2004" t="str">
        <f t="shared" si="94"/>
        <v>Basic</v>
      </c>
      <c r="P2004" s="7">
        <v>45657</v>
      </c>
    </row>
    <row r="2005" spans="1:16" x14ac:dyDescent="0.3">
      <c r="A2005">
        <v>2004</v>
      </c>
      <c r="B2005" s="7">
        <v>45361</v>
      </c>
      <c r="C2005" t="s">
        <v>10</v>
      </c>
      <c r="D2005">
        <v>699</v>
      </c>
      <c r="E2005">
        <v>17.600000000000001</v>
      </c>
      <c r="F2005">
        <v>5</v>
      </c>
      <c r="G2005">
        <v>2</v>
      </c>
      <c r="H2005">
        <v>18</v>
      </c>
      <c r="I2005">
        <v>51</v>
      </c>
      <c r="J2005" t="s">
        <v>11</v>
      </c>
      <c r="K2005">
        <f>IF(J2005="Yes", 1, 0)</f>
        <v>1</v>
      </c>
      <c r="L2005" t="str">
        <f>IF(G2005=0,"0 Failures","1+ Failures")</f>
        <v>1+ Failures</v>
      </c>
      <c r="M2005" t="str">
        <f t="shared" si="95"/>
        <v>10-20hrs</v>
      </c>
      <c r="N2005" t="str">
        <f t="shared" si="93"/>
        <v>12+ months</v>
      </c>
      <c r="O2005" t="str">
        <f t="shared" si="94"/>
        <v>Premium</v>
      </c>
      <c r="P2005" s="7">
        <v>45657</v>
      </c>
    </row>
    <row r="2006" spans="1:16" x14ac:dyDescent="0.3">
      <c r="A2006">
        <v>2005</v>
      </c>
      <c r="B2006" s="7">
        <v>45427</v>
      </c>
      <c r="C2006" t="s">
        <v>14</v>
      </c>
      <c r="D2006">
        <v>399</v>
      </c>
      <c r="E2006">
        <v>3.7</v>
      </c>
      <c r="F2006">
        <v>5</v>
      </c>
      <c r="G2006">
        <v>5</v>
      </c>
      <c r="H2006">
        <v>22</v>
      </c>
      <c r="I2006">
        <v>16</v>
      </c>
      <c r="J2006" t="s">
        <v>11</v>
      </c>
      <c r="K2006">
        <f>IF(J2006="Yes", 1, 0)</f>
        <v>1</v>
      </c>
      <c r="L2006" t="str">
        <f>IF(G2006=0,"0 Failures","1+ Failures")</f>
        <v>1+ Failures</v>
      </c>
      <c r="M2006" t="str">
        <f t="shared" si="95"/>
        <v>0-5 hrs</v>
      </c>
      <c r="N2006" t="str">
        <f t="shared" si="93"/>
        <v>12+ months</v>
      </c>
      <c r="O2006" t="str">
        <f t="shared" si="94"/>
        <v>Basic</v>
      </c>
      <c r="P2006" s="7">
        <v>45657</v>
      </c>
    </row>
    <row r="2007" spans="1:16" x14ac:dyDescent="0.3">
      <c r="A2007">
        <v>2006</v>
      </c>
      <c r="B2007" s="7">
        <v>45253</v>
      </c>
      <c r="C2007" t="s">
        <v>14</v>
      </c>
      <c r="D2007">
        <v>399</v>
      </c>
      <c r="E2007">
        <v>2.5</v>
      </c>
      <c r="F2007">
        <v>7</v>
      </c>
      <c r="G2007">
        <v>5</v>
      </c>
      <c r="H2007">
        <v>18</v>
      </c>
      <c r="I2007">
        <v>5</v>
      </c>
      <c r="J2007" t="s">
        <v>13</v>
      </c>
      <c r="K2007">
        <f>IF(J2007="Yes", 1, 0)</f>
        <v>0</v>
      </c>
      <c r="L2007" t="str">
        <f>IF(G2007=0,"0 Failures","1+ Failures")</f>
        <v>1+ Failures</v>
      </c>
      <c r="M2007" t="str">
        <f t="shared" si="95"/>
        <v>0-5 hrs</v>
      </c>
      <c r="N2007" t="str">
        <f t="shared" si="93"/>
        <v>12+ months</v>
      </c>
      <c r="O2007" t="str">
        <f t="shared" si="94"/>
        <v>Basic</v>
      </c>
      <c r="P2007" s="7">
        <v>45657</v>
      </c>
    </row>
    <row r="2008" spans="1:16" x14ac:dyDescent="0.3">
      <c r="A2008">
        <v>2007</v>
      </c>
      <c r="B2008" s="7">
        <v>45309</v>
      </c>
      <c r="C2008" t="s">
        <v>10</v>
      </c>
      <c r="D2008">
        <v>699</v>
      </c>
      <c r="E2008">
        <v>1.1000000000000001</v>
      </c>
      <c r="F2008">
        <v>2</v>
      </c>
      <c r="G2008">
        <v>0</v>
      </c>
      <c r="H2008">
        <v>8</v>
      </c>
      <c r="I2008">
        <v>15</v>
      </c>
      <c r="J2008" t="s">
        <v>11</v>
      </c>
      <c r="K2008">
        <f>IF(J2008="Yes", 1, 0)</f>
        <v>1</v>
      </c>
      <c r="L2008" t="str">
        <f>IF(G2008=0,"0 Failures","1+ Failures")</f>
        <v>0 Failures</v>
      </c>
      <c r="M2008" t="str">
        <f t="shared" si="95"/>
        <v>0-5 hrs</v>
      </c>
      <c r="N2008" t="str">
        <f t="shared" si="93"/>
        <v>6-12months</v>
      </c>
      <c r="O2008" t="str">
        <f t="shared" si="94"/>
        <v>Premium</v>
      </c>
      <c r="P2008" s="7">
        <v>45657</v>
      </c>
    </row>
    <row r="2009" spans="1:16" x14ac:dyDescent="0.3">
      <c r="A2009">
        <v>2008</v>
      </c>
      <c r="B2009" s="7">
        <v>44940</v>
      </c>
      <c r="C2009" t="s">
        <v>12</v>
      </c>
      <c r="D2009">
        <v>199</v>
      </c>
      <c r="E2009">
        <v>14.5</v>
      </c>
      <c r="F2009">
        <v>3</v>
      </c>
      <c r="G2009">
        <v>0</v>
      </c>
      <c r="H2009">
        <v>10</v>
      </c>
      <c r="I2009">
        <v>55</v>
      </c>
      <c r="J2009" t="s">
        <v>11</v>
      </c>
      <c r="K2009">
        <f>IF(J2009="Yes", 1, 0)</f>
        <v>1</v>
      </c>
      <c r="L2009" t="str">
        <f>IF(G2009=0,"0 Failures","1+ Failures")</f>
        <v>0 Failures</v>
      </c>
      <c r="M2009" t="str">
        <f t="shared" si="95"/>
        <v>10-20hrs</v>
      </c>
      <c r="N2009" t="str">
        <f t="shared" si="93"/>
        <v>6-12months</v>
      </c>
      <c r="O2009" t="str">
        <f t="shared" si="94"/>
        <v>Basic</v>
      </c>
      <c r="P2009" s="7">
        <v>45657</v>
      </c>
    </row>
    <row r="2010" spans="1:16" x14ac:dyDescent="0.3">
      <c r="A2010">
        <v>2009</v>
      </c>
      <c r="B2010" s="7">
        <v>45398</v>
      </c>
      <c r="C2010" t="s">
        <v>10</v>
      </c>
      <c r="D2010">
        <v>699</v>
      </c>
      <c r="E2010">
        <v>21.8</v>
      </c>
      <c r="F2010">
        <v>1</v>
      </c>
      <c r="G2010">
        <v>1</v>
      </c>
      <c r="H2010">
        <v>22</v>
      </c>
      <c r="I2010">
        <v>37</v>
      </c>
      <c r="J2010" t="s">
        <v>13</v>
      </c>
      <c r="K2010">
        <f>IF(J2010="Yes", 1, 0)</f>
        <v>0</v>
      </c>
      <c r="L2010" t="str">
        <f>IF(G2010=0,"0 Failures","1+ Failures")</f>
        <v>1+ Failures</v>
      </c>
      <c r="M2010" t="str">
        <f t="shared" si="95"/>
        <v>20+ hrs</v>
      </c>
      <c r="N2010" t="str">
        <f t="shared" si="93"/>
        <v>12+ months</v>
      </c>
      <c r="O2010" t="str">
        <f t="shared" si="94"/>
        <v>Premium</v>
      </c>
      <c r="P2010" s="7">
        <v>45657</v>
      </c>
    </row>
    <row r="2011" spans="1:16" x14ac:dyDescent="0.3">
      <c r="A2011">
        <v>2010</v>
      </c>
      <c r="B2011" s="7">
        <v>45069</v>
      </c>
      <c r="C2011" t="s">
        <v>10</v>
      </c>
      <c r="D2011">
        <v>699</v>
      </c>
      <c r="E2011">
        <v>19.8</v>
      </c>
      <c r="F2011">
        <v>1</v>
      </c>
      <c r="G2011">
        <v>4</v>
      </c>
      <c r="H2011">
        <v>22</v>
      </c>
      <c r="I2011">
        <v>7</v>
      </c>
      <c r="J2011" t="s">
        <v>11</v>
      </c>
      <c r="K2011">
        <f>IF(J2011="Yes", 1, 0)</f>
        <v>1</v>
      </c>
      <c r="L2011" t="str">
        <f>IF(G2011=0,"0 Failures","1+ Failures")</f>
        <v>1+ Failures</v>
      </c>
      <c r="M2011" t="str">
        <f t="shared" si="95"/>
        <v>10-20hrs</v>
      </c>
      <c r="N2011" t="str">
        <f t="shared" si="93"/>
        <v>12+ months</v>
      </c>
      <c r="O2011" t="str">
        <f t="shared" si="94"/>
        <v>Premium</v>
      </c>
      <c r="P2011" s="7">
        <v>45657</v>
      </c>
    </row>
    <row r="2012" spans="1:16" x14ac:dyDescent="0.3">
      <c r="A2012">
        <v>2011</v>
      </c>
      <c r="B2012" s="7">
        <v>45165</v>
      </c>
      <c r="C2012" t="s">
        <v>12</v>
      </c>
      <c r="D2012">
        <v>199</v>
      </c>
      <c r="E2012">
        <v>5</v>
      </c>
      <c r="F2012">
        <v>1</v>
      </c>
      <c r="G2012">
        <v>0</v>
      </c>
      <c r="H2012">
        <v>6</v>
      </c>
      <c r="I2012">
        <v>27</v>
      </c>
      <c r="J2012" t="s">
        <v>13</v>
      </c>
      <c r="K2012">
        <f>IF(J2012="Yes", 1, 0)</f>
        <v>0</v>
      </c>
      <c r="L2012" t="str">
        <f>IF(G2012=0,"0 Failures","1+ Failures")</f>
        <v>0 Failures</v>
      </c>
      <c r="M2012" t="str">
        <f t="shared" si="95"/>
        <v>0-5 hrs</v>
      </c>
      <c r="N2012" t="str">
        <f t="shared" si="93"/>
        <v>3-6months</v>
      </c>
      <c r="O2012" t="str">
        <f t="shared" si="94"/>
        <v>Basic</v>
      </c>
      <c r="P2012" s="7">
        <v>45657</v>
      </c>
    </row>
    <row r="2013" spans="1:16" x14ac:dyDescent="0.3">
      <c r="A2013">
        <v>2012</v>
      </c>
      <c r="B2013" s="7">
        <v>45414</v>
      </c>
      <c r="C2013" t="s">
        <v>12</v>
      </c>
      <c r="D2013">
        <v>199</v>
      </c>
      <c r="E2013">
        <v>18.100000000000001</v>
      </c>
      <c r="F2013">
        <v>6</v>
      </c>
      <c r="G2013">
        <v>2</v>
      </c>
      <c r="H2013">
        <v>4</v>
      </c>
      <c r="I2013">
        <v>40</v>
      </c>
      <c r="J2013" t="s">
        <v>11</v>
      </c>
      <c r="K2013">
        <f>IF(J2013="Yes", 1, 0)</f>
        <v>1</v>
      </c>
      <c r="L2013" t="str">
        <f>IF(G2013=0,"0 Failures","1+ Failures")</f>
        <v>1+ Failures</v>
      </c>
      <c r="M2013" t="str">
        <f t="shared" si="95"/>
        <v>10-20hrs</v>
      </c>
      <c r="N2013" t="str">
        <f t="shared" si="93"/>
        <v>3-6months</v>
      </c>
      <c r="O2013" t="str">
        <f t="shared" si="94"/>
        <v>Basic</v>
      </c>
      <c r="P2013" s="7">
        <v>45657</v>
      </c>
    </row>
    <row r="2014" spans="1:16" x14ac:dyDescent="0.3">
      <c r="A2014">
        <v>2013</v>
      </c>
      <c r="B2014" s="7">
        <v>45533</v>
      </c>
      <c r="C2014" t="s">
        <v>12</v>
      </c>
      <c r="D2014">
        <v>199</v>
      </c>
      <c r="E2014">
        <v>15.3</v>
      </c>
      <c r="F2014">
        <v>2</v>
      </c>
      <c r="G2014">
        <v>3</v>
      </c>
      <c r="H2014">
        <v>32</v>
      </c>
      <c r="I2014">
        <v>18</v>
      </c>
      <c r="J2014" t="s">
        <v>13</v>
      </c>
      <c r="K2014">
        <f>IF(J2014="Yes", 1, 0)</f>
        <v>0</v>
      </c>
      <c r="L2014" t="str">
        <f>IF(G2014=0,"0 Failures","1+ Failures")</f>
        <v>1+ Failures</v>
      </c>
      <c r="M2014" t="str">
        <f t="shared" si="95"/>
        <v>10-20hrs</v>
      </c>
      <c r="N2014" t="str">
        <f t="shared" si="93"/>
        <v>12+ months</v>
      </c>
      <c r="O2014" t="str">
        <f t="shared" si="94"/>
        <v>Basic</v>
      </c>
      <c r="P2014" s="7">
        <v>45657</v>
      </c>
    </row>
    <row r="2015" spans="1:16" x14ac:dyDescent="0.3">
      <c r="A2015">
        <v>2014</v>
      </c>
      <c r="B2015" s="7">
        <v>45196</v>
      </c>
      <c r="C2015" t="s">
        <v>12</v>
      </c>
      <c r="D2015">
        <v>199</v>
      </c>
      <c r="E2015">
        <v>5</v>
      </c>
      <c r="F2015">
        <v>0</v>
      </c>
      <c r="G2015">
        <v>0</v>
      </c>
      <c r="H2015">
        <v>29</v>
      </c>
      <c r="I2015">
        <v>11</v>
      </c>
      <c r="J2015" t="s">
        <v>13</v>
      </c>
      <c r="K2015">
        <f>IF(J2015="Yes", 1, 0)</f>
        <v>0</v>
      </c>
      <c r="L2015" t="str">
        <f>IF(G2015=0,"0 Failures","1+ Failures")</f>
        <v>0 Failures</v>
      </c>
      <c r="M2015" t="str">
        <f t="shared" si="95"/>
        <v>0-5 hrs</v>
      </c>
      <c r="N2015" t="str">
        <f t="shared" si="93"/>
        <v>12+ months</v>
      </c>
      <c r="O2015" t="str">
        <f t="shared" si="94"/>
        <v>Basic</v>
      </c>
      <c r="P2015" s="7">
        <v>45657</v>
      </c>
    </row>
    <row r="2016" spans="1:16" x14ac:dyDescent="0.3">
      <c r="A2016">
        <v>2015</v>
      </c>
      <c r="B2016" s="7">
        <v>45004</v>
      </c>
      <c r="C2016" t="s">
        <v>12</v>
      </c>
      <c r="D2016">
        <v>199</v>
      </c>
      <c r="E2016">
        <v>14.6</v>
      </c>
      <c r="F2016">
        <v>3</v>
      </c>
      <c r="G2016">
        <v>5</v>
      </c>
      <c r="H2016">
        <v>35</v>
      </c>
      <c r="I2016">
        <v>7</v>
      </c>
      <c r="J2016" t="s">
        <v>13</v>
      </c>
      <c r="K2016">
        <f>IF(J2016="Yes", 1, 0)</f>
        <v>0</v>
      </c>
      <c r="L2016" t="str">
        <f>IF(G2016=0,"0 Failures","1+ Failures")</f>
        <v>1+ Failures</v>
      </c>
      <c r="M2016" t="str">
        <f t="shared" si="95"/>
        <v>10-20hrs</v>
      </c>
      <c r="N2016" t="str">
        <f t="shared" si="93"/>
        <v>12+ months</v>
      </c>
      <c r="O2016" t="str">
        <f t="shared" si="94"/>
        <v>Basic</v>
      </c>
      <c r="P2016" s="7">
        <v>45657</v>
      </c>
    </row>
    <row r="2017" spans="1:16" x14ac:dyDescent="0.3">
      <c r="A2017">
        <v>2016</v>
      </c>
      <c r="B2017" s="7">
        <v>45533</v>
      </c>
      <c r="C2017" t="s">
        <v>12</v>
      </c>
      <c r="D2017">
        <v>199</v>
      </c>
      <c r="E2017">
        <v>21.3</v>
      </c>
      <c r="F2017">
        <v>3</v>
      </c>
      <c r="G2017">
        <v>1</v>
      </c>
      <c r="H2017">
        <v>12</v>
      </c>
      <c r="I2017">
        <v>25</v>
      </c>
      <c r="J2017" t="s">
        <v>13</v>
      </c>
      <c r="K2017">
        <f>IF(J2017="Yes", 1, 0)</f>
        <v>0</v>
      </c>
      <c r="L2017" t="str">
        <f>IF(G2017=0,"0 Failures","1+ Failures")</f>
        <v>1+ Failures</v>
      </c>
      <c r="M2017" t="str">
        <f t="shared" si="95"/>
        <v>20+ hrs</v>
      </c>
      <c r="N2017" t="str">
        <f t="shared" si="93"/>
        <v>6-12months</v>
      </c>
      <c r="O2017" t="str">
        <f t="shared" si="94"/>
        <v>Basic</v>
      </c>
      <c r="P2017" s="7">
        <v>45657</v>
      </c>
    </row>
    <row r="2018" spans="1:16" x14ac:dyDescent="0.3">
      <c r="A2018">
        <v>2017</v>
      </c>
      <c r="B2018" s="7">
        <v>45280</v>
      </c>
      <c r="C2018" t="s">
        <v>14</v>
      </c>
      <c r="D2018">
        <v>399</v>
      </c>
      <c r="E2018">
        <v>12.9</v>
      </c>
      <c r="F2018">
        <v>4</v>
      </c>
      <c r="G2018">
        <v>1</v>
      </c>
      <c r="H2018">
        <v>27</v>
      </c>
      <c r="I2018">
        <v>27</v>
      </c>
      <c r="J2018" t="s">
        <v>11</v>
      </c>
      <c r="K2018">
        <f>IF(J2018="Yes", 1, 0)</f>
        <v>1</v>
      </c>
      <c r="L2018" t="str">
        <f>IF(G2018=0,"0 Failures","1+ Failures")</f>
        <v>1+ Failures</v>
      </c>
      <c r="M2018" t="str">
        <f t="shared" si="95"/>
        <v>10-20hrs</v>
      </c>
      <c r="N2018" t="str">
        <f t="shared" si="93"/>
        <v>12+ months</v>
      </c>
      <c r="O2018" t="str">
        <f t="shared" si="94"/>
        <v>Basic</v>
      </c>
      <c r="P2018" s="7">
        <v>45657</v>
      </c>
    </row>
    <row r="2019" spans="1:16" x14ac:dyDescent="0.3">
      <c r="A2019">
        <v>2018</v>
      </c>
      <c r="B2019" s="7">
        <v>44990</v>
      </c>
      <c r="C2019" t="s">
        <v>10</v>
      </c>
      <c r="D2019">
        <v>699</v>
      </c>
      <c r="E2019">
        <v>13.5</v>
      </c>
      <c r="F2019">
        <v>4</v>
      </c>
      <c r="G2019">
        <v>2</v>
      </c>
      <c r="H2019">
        <v>16</v>
      </c>
      <c r="I2019">
        <v>48</v>
      </c>
      <c r="J2019" t="s">
        <v>11</v>
      </c>
      <c r="K2019">
        <f>IF(J2019="Yes", 1, 0)</f>
        <v>1</v>
      </c>
      <c r="L2019" t="str">
        <f>IF(G2019=0,"0 Failures","1+ Failures")</f>
        <v>1+ Failures</v>
      </c>
      <c r="M2019" t="str">
        <f t="shared" si="95"/>
        <v>10-20hrs</v>
      </c>
      <c r="N2019" t="str">
        <f t="shared" si="93"/>
        <v>12+ months</v>
      </c>
      <c r="O2019" t="str">
        <f t="shared" si="94"/>
        <v>Premium</v>
      </c>
      <c r="P2019" s="7">
        <v>45657</v>
      </c>
    </row>
    <row r="2020" spans="1:16" x14ac:dyDescent="0.3">
      <c r="A2020">
        <v>2019</v>
      </c>
      <c r="B2020" s="7">
        <v>45008</v>
      </c>
      <c r="C2020" t="s">
        <v>12</v>
      </c>
      <c r="D2020">
        <v>199</v>
      </c>
      <c r="E2020">
        <v>8.9</v>
      </c>
      <c r="F2020">
        <v>0</v>
      </c>
      <c r="G2020">
        <v>4</v>
      </c>
      <c r="H2020">
        <v>32</v>
      </c>
      <c r="I2020">
        <v>48</v>
      </c>
      <c r="J2020" t="s">
        <v>13</v>
      </c>
      <c r="K2020">
        <f>IF(J2020="Yes", 1, 0)</f>
        <v>0</v>
      </c>
      <c r="L2020" t="str">
        <f>IF(G2020=0,"0 Failures","1+ Failures")</f>
        <v>1+ Failures</v>
      </c>
      <c r="M2020" t="str">
        <f t="shared" si="95"/>
        <v>5-10 hrs</v>
      </c>
      <c r="N2020" t="str">
        <f t="shared" si="93"/>
        <v>12+ months</v>
      </c>
      <c r="O2020" t="str">
        <f t="shared" si="94"/>
        <v>Basic</v>
      </c>
      <c r="P2020" s="7">
        <v>45657</v>
      </c>
    </row>
    <row r="2021" spans="1:16" x14ac:dyDescent="0.3">
      <c r="A2021">
        <v>2020</v>
      </c>
      <c r="B2021" s="7">
        <v>45297</v>
      </c>
      <c r="C2021" t="s">
        <v>10</v>
      </c>
      <c r="D2021">
        <v>699</v>
      </c>
      <c r="E2021">
        <v>0.8</v>
      </c>
      <c r="F2021">
        <v>1</v>
      </c>
      <c r="G2021">
        <v>2</v>
      </c>
      <c r="H2021">
        <v>29</v>
      </c>
      <c r="I2021">
        <v>37</v>
      </c>
      <c r="J2021" t="s">
        <v>11</v>
      </c>
      <c r="K2021">
        <f>IF(J2021="Yes", 1, 0)</f>
        <v>1</v>
      </c>
      <c r="L2021" t="str">
        <f>IF(G2021=0,"0 Failures","1+ Failures")</f>
        <v>1+ Failures</v>
      </c>
      <c r="M2021" t="str">
        <f t="shared" si="95"/>
        <v>0-5 hrs</v>
      </c>
      <c r="N2021" t="str">
        <f t="shared" si="93"/>
        <v>12+ months</v>
      </c>
      <c r="O2021" t="str">
        <f t="shared" si="94"/>
        <v>Premium</v>
      </c>
      <c r="P2021" s="7">
        <v>45657</v>
      </c>
    </row>
    <row r="2022" spans="1:16" x14ac:dyDescent="0.3">
      <c r="A2022">
        <v>2021</v>
      </c>
      <c r="B2022" s="7">
        <v>45418</v>
      </c>
      <c r="C2022" t="s">
        <v>10</v>
      </c>
      <c r="D2022">
        <v>699</v>
      </c>
      <c r="E2022">
        <v>14.4</v>
      </c>
      <c r="F2022">
        <v>5</v>
      </c>
      <c r="G2022">
        <v>3</v>
      </c>
      <c r="H2022">
        <v>5</v>
      </c>
      <c r="I2022">
        <v>22</v>
      </c>
      <c r="J2022" t="s">
        <v>11</v>
      </c>
      <c r="K2022">
        <f>IF(J2022="Yes", 1, 0)</f>
        <v>1</v>
      </c>
      <c r="L2022" t="str">
        <f>IF(G2022=0,"0 Failures","1+ Failures")</f>
        <v>1+ Failures</v>
      </c>
      <c r="M2022" t="str">
        <f t="shared" si="95"/>
        <v>10-20hrs</v>
      </c>
      <c r="N2022" t="str">
        <f t="shared" si="93"/>
        <v>3-6months</v>
      </c>
      <c r="O2022" t="str">
        <f t="shared" si="94"/>
        <v>Premium</v>
      </c>
      <c r="P2022" s="7">
        <v>45657</v>
      </c>
    </row>
    <row r="2023" spans="1:16" x14ac:dyDescent="0.3">
      <c r="A2023">
        <v>2022</v>
      </c>
      <c r="B2023" s="7">
        <v>45121</v>
      </c>
      <c r="C2023" t="s">
        <v>14</v>
      </c>
      <c r="D2023">
        <v>399</v>
      </c>
      <c r="E2023">
        <v>7.9</v>
      </c>
      <c r="F2023">
        <v>7</v>
      </c>
      <c r="G2023">
        <v>2</v>
      </c>
      <c r="H2023">
        <v>32</v>
      </c>
      <c r="I2023">
        <v>34</v>
      </c>
      <c r="J2023" t="s">
        <v>13</v>
      </c>
      <c r="K2023">
        <f>IF(J2023="Yes", 1, 0)</f>
        <v>0</v>
      </c>
      <c r="L2023" t="str">
        <f>IF(G2023=0,"0 Failures","1+ Failures")</f>
        <v>1+ Failures</v>
      </c>
      <c r="M2023" t="str">
        <f t="shared" si="95"/>
        <v>5-10 hrs</v>
      </c>
      <c r="N2023" t="str">
        <f t="shared" si="93"/>
        <v>12+ months</v>
      </c>
      <c r="O2023" t="str">
        <f t="shared" si="94"/>
        <v>Basic</v>
      </c>
      <c r="P2023" s="7">
        <v>45657</v>
      </c>
    </row>
    <row r="2024" spans="1:16" x14ac:dyDescent="0.3">
      <c r="A2024">
        <v>2023</v>
      </c>
      <c r="B2024" s="7">
        <v>45259</v>
      </c>
      <c r="C2024" t="s">
        <v>12</v>
      </c>
      <c r="D2024">
        <v>199</v>
      </c>
      <c r="E2024">
        <v>1.5</v>
      </c>
      <c r="F2024">
        <v>5</v>
      </c>
      <c r="G2024">
        <v>3</v>
      </c>
      <c r="H2024">
        <v>11</v>
      </c>
      <c r="I2024">
        <v>29</v>
      </c>
      <c r="J2024" t="s">
        <v>11</v>
      </c>
      <c r="K2024">
        <f>IF(J2024="Yes", 1, 0)</f>
        <v>1</v>
      </c>
      <c r="L2024" t="str">
        <f>IF(G2024=0,"0 Failures","1+ Failures")</f>
        <v>1+ Failures</v>
      </c>
      <c r="M2024" t="str">
        <f t="shared" si="95"/>
        <v>0-5 hrs</v>
      </c>
      <c r="N2024" t="str">
        <f t="shared" si="93"/>
        <v>6-12months</v>
      </c>
      <c r="O2024" t="str">
        <f t="shared" si="94"/>
        <v>Basic</v>
      </c>
      <c r="P2024" s="7">
        <v>45657</v>
      </c>
    </row>
    <row r="2025" spans="1:16" x14ac:dyDescent="0.3">
      <c r="A2025">
        <v>2024</v>
      </c>
      <c r="B2025" s="7">
        <v>45321</v>
      </c>
      <c r="C2025" t="s">
        <v>14</v>
      </c>
      <c r="D2025">
        <v>399</v>
      </c>
      <c r="E2025">
        <v>21.8</v>
      </c>
      <c r="F2025">
        <v>7</v>
      </c>
      <c r="G2025">
        <v>3</v>
      </c>
      <c r="H2025">
        <v>30</v>
      </c>
      <c r="I2025">
        <v>9</v>
      </c>
      <c r="J2025" t="s">
        <v>11</v>
      </c>
      <c r="K2025">
        <f>IF(J2025="Yes", 1, 0)</f>
        <v>1</v>
      </c>
      <c r="L2025" t="str">
        <f>IF(G2025=0,"0 Failures","1+ Failures")</f>
        <v>1+ Failures</v>
      </c>
      <c r="M2025" t="str">
        <f t="shared" si="95"/>
        <v>20+ hrs</v>
      </c>
      <c r="N2025" t="str">
        <f t="shared" si="93"/>
        <v>12+ months</v>
      </c>
      <c r="O2025" t="str">
        <f t="shared" si="94"/>
        <v>Basic</v>
      </c>
      <c r="P2025" s="7">
        <v>45657</v>
      </c>
    </row>
    <row r="2026" spans="1:16" x14ac:dyDescent="0.3">
      <c r="A2026">
        <v>2025</v>
      </c>
      <c r="B2026" s="7">
        <v>45336</v>
      </c>
      <c r="C2026" t="s">
        <v>14</v>
      </c>
      <c r="D2026">
        <v>399</v>
      </c>
      <c r="E2026">
        <v>21.9</v>
      </c>
      <c r="F2026">
        <v>5</v>
      </c>
      <c r="G2026">
        <v>3</v>
      </c>
      <c r="H2026">
        <v>2</v>
      </c>
      <c r="I2026">
        <v>55</v>
      </c>
      <c r="J2026" t="s">
        <v>11</v>
      </c>
      <c r="K2026">
        <f>IF(J2026="Yes", 1, 0)</f>
        <v>1</v>
      </c>
      <c r="L2026" t="str">
        <f>IF(G2026=0,"0 Failures","1+ Failures")</f>
        <v>1+ Failures</v>
      </c>
      <c r="M2026" t="str">
        <f t="shared" si="95"/>
        <v>20+ hrs</v>
      </c>
      <c r="N2026" t="str">
        <f t="shared" si="93"/>
        <v>0-3months</v>
      </c>
      <c r="O2026" t="str">
        <f t="shared" si="94"/>
        <v>Basic</v>
      </c>
      <c r="P2026" s="7">
        <v>45657</v>
      </c>
    </row>
    <row r="2027" spans="1:16" x14ac:dyDescent="0.3">
      <c r="A2027">
        <v>2026</v>
      </c>
      <c r="B2027" s="7">
        <v>45149</v>
      </c>
      <c r="C2027" t="s">
        <v>14</v>
      </c>
      <c r="D2027">
        <v>399</v>
      </c>
      <c r="E2027">
        <v>11.1</v>
      </c>
      <c r="F2027">
        <v>2</v>
      </c>
      <c r="G2027">
        <v>1</v>
      </c>
      <c r="H2027">
        <v>1</v>
      </c>
      <c r="I2027">
        <v>37</v>
      </c>
      <c r="J2027" t="s">
        <v>13</v>
      </c>
      <c r="K2027">
        <f>IF(J2027="Yes", 1, 0)</f>
        <v>0</v>
      </c>
      <c r="L2027" t="str">
        <f>IF(G2027=0,"0 Failures","1+ Failures")</f>
        <v>1+ Failures</v>
      </c>
      <c r="M2027" t="str">
        <f t="shared" si="95"/>
        <v>10-20hrs</v>
      </c>
      <c r="N2027" t="str">
        <f t="shared" si="93"/>
        <v>0-3months</v>
      </c>
      <c r="O2027" t="str">
        <f t="shared" si="94"/>
        <v>Basic</v>
      </c>
      <c r="P2027" s="7">
        <v>45657</v>
      </c>
    </row>
    <row r="2028" spans="1:16" x14ac:dyDescent="0.3">
      <c r="A2028">
        <v>2027</v>
      </c>
      <c r="B2028" s="7">
        <v>45436</v>
      </c>
      <c r="C2028" t="s">
        <v>12</v>
      </c>
      <c r="D2028">
        <v>199</v>
      </c>
      <c r="E2028">
        <v>10.1</v>
      </c>
      <c r="F2028">
        <v>2</v>
      </c>
      <c r="G2028">
        <v>2</v>
      </c>
      <c r="H2028">
        <v>2</v>
      </c>
      <c r="I2028">
        <v>21</v>
      </c>
      <c r="J2028" t="s">
        <v>11</v>
      </c>
      <c r="K2028">
        <f>IF(J2028="Yes", 1, 0)</f>
        <v>1</v>
      </c>
      <c r="L2028" t="str">
        <f>IF(G2028=0,"0 Failures","1+ Failures")</f>
        <v>1+ Failures</v>
      </c>
      <c r="M2028" t="str">
        <f t="shared" si="95"/>
        <v>10-20hrs</v>
      </c>
      <c r="N2028" t="str">
        <f t="shared" si="93"/>
        <v>0-3months</v>
      </c>
      <c r="O2028" t="str">
        <f t="shared" si="94"/>
        <v>Basic</v>
      </c>
      <c r="P2028" s="7">
        <v>45657</v>
      </c>
    </row>
    <row r="2029" spans="1:16" x14ac:dyDescent="0.3">
      <c r="A2029">
        <v>2028</v>
      </c>
      <c r="B2029" s="7">
        <v>45548</v>
      </c>
      <c r="C2029" t="s">
        <v>14</v>
      </c>
      <c r="D2029">
        <v>399</v>
      </c>
      <c r="E2029">
        <v>7.9</v>
      </c>
      <c r="F2029">
        <v>8</v>
      </c>
      <c r="G2029">
        <v>2</v>
      </c>
      <c r="H2029">
        <v>11</v>
      </c>
      <c r="I2029">
        <v>14</v>
      </c>
      <c r="J2029" t="s">
        <v>11</v>
      </c>
      <c r="K2029">
        <f>IF(J2029="Yes", 1, 0)</f>
        <v>1</v>
      </c>
      <c r="L2029" t="str">
        <f>IF(G2029=0,"0 Failures","1+ Failures")</f>
        <v>1+ Failures</v>
      </c>
      <c r="M2029" t="str">
        <f t="shared" si="95"/>
        <v>5-10 hrs</v>
      </c>
      <c r="N2029" t="str">
        <f t="shared" si="93"/>
        <v>6-12months</v>
      </c>
      <c r="O2029" t="str">
        <f t="shared" si="94"/>
        <v>Basic</v>
      </c>
      <c r="P2029" s="7">
        <v>45657</v>
      </c>
    </row>
    <row r="2030" spans="1:16" x14ac:dyDescent="0.3">
      <c r="A2030">
        <v>2029</v>
      </c>
      <c r="B2030" s="7">
        <v>45035</v>
      </c>
      <c r="C2030" t="s">
        <v>10</v>
      </c>
      <c r="D2030">
        <v>699</v>
      </c>
      <c r="E2030">
        <v>11.1</v>
      </c>
      <c r="F2030">
        <v>2</v>
      </c>
      <c r="G2030">
        <v>3</v>
      </c>
      <c r="H2030">
        <v>32</v>
      </c>
      <c r="I2030">
        <v>42</v>
      </c>
      <c r="J2030" t="s">
        <v>11</v>
      </c>
      <c r="K2030">
        <f>IF(J2030="Yes", 1, 0)</f>
        <v>1</v>
      </c>
      <c r="L2030" t="str">
        <f>IF(G2030=0,"0 Failures","1+ Failures")</f>
        <v>1+ Failures</v>
      </c>
      <c r="M2030" t="str">
        <f t="shared" si="95"/>
        <v>10-20hrs</v>
      </c>
      <c r="N2030" t="str">
        <f t="shared" si="93"/>
        <v>12+ months</v>
      </c>
      <c r="O2030" t="str">
        <f t="shared" si="94"/>
        <v>Premium</v>
      </c>
      <c r="P2030" s="7">
        <v>45657</v>
      </c>
    </row>
    <row r="2031" spans="1:16" x14ac:dyDescent="0.3">
      <c r="A2031">
        <v>2030</v>
      </c>
      <c r="B2031" s="7">
        <v>45433</v>
      </c>
      <c r="C2031" t="s">
        <v>12</v>
      </c>
      <c r="D2031">
        <v>199</v>
      </c>
      <c r="E2031">
        <v>17.8</v>
      </c>
      <c r="F2031">
        <v>4</v>
      </c>
      <c r="G2031">
        <v>1</v>
      </c>
      <c r="H2031">
        <v>21</v>
      </c>
      <c r="I2031">
        <v>15</v>
      </c>
      <c r="J2031" t="s">
        <v>13</v>
      </c>
      <c r="K2031">
        <f>IF(J2031="Yes", 1, 0)</f>
        <v>0</v>
      </c>
      <c r="L2031" t="str">
        <f>IF(G2031=0,"0 Failures","1+ Failures")</f>
        <v>1+ Failures</v>
      </c>
      <c r="M2031" t="str">
        <f t="shared" si="95"/>
        <v>10-20hrs</v>
      </c>
      <c r="N2031" t="str">
        <f t="shared" si="93"/>
        <v>12+ months</v>
      </c>
      <c r="O2031" t="str">
        <f t="shared" si="94"/>
        <v>Basic</v>
      </c>
      <c r="P2031" s="7">
        <v>45657</v>
      </c>
    </row>
    <row r="2032" spans="1:16" x14ac:dyDescent="0.3">
      <c r="A2032">
        <v>2031</v>
      </c>
      <c r="B2032" s="7">
        <v>45245</v>
      </c>
      <c r="C2032" t="s">
        <v>12</v>
      </c>
      <c r="D2032">
        <v>199</v>
      </c>
      <c r="E2032">
        <v>12.5</v>
      </c>
      <c r="F2032">
        <v>4</v>
      </c>
      <c r="G2032">
        <v>5</v>
      </c>
      <c r="H2032">
        <v>27</v>
      </c>
      <c r="I2032">
        <v>10</v>
      </c>
      <c r="J2032" t="s">
        <v>11</v>
      </c>
      <c r="K2032">
        <f>IF(J2032="Yes", 1, 0)</f>
        <v>1</v>
      </c>
      <c r="L2032" t="str">
        <f>IF(G2032=0,"0 Failures","1+ Failures")</f>
        <v>1+ Failures</v>
      </c>
      <c r="M2032" t="str">
        <f t="shared" si="95"/>
        <v>10-20hrs</v>
      </c>
      <c r="N2032" t="str">
        <f t="shared" si="93"/>
        <v>12+ months</v>
      </c>
      <c r="O2032" t="str">
        <f t="shared" si="94"/>
        <v>Basic</v>
      </c>
      <c r="P2032" s="7">
        <v>45657</v>
      </c>
    </row>
    <row r="2033" spans="1:16" x14ac:dyDescent="0.3">
      <c r="A2033">
        <v>2032</v>
      </c>
      <c r="B2033" s="7">
        <v>45309</v>
      </c>
      <c r="C2033" t="s">
        <v>10</v>
      </c>
      <c r="D2033">
        <v>699</v>
      </c>
      <c r="E2033">
        <v>15.5</v>
      </c>
      <c r="F2033">
        <v>2</v>
      </c>
      <c r="G2033">
        <v>4</v>
      </c>
      <c r="H2033">
        <v>28</v>
      </c>
      <c r="I2033">
        <v>18</v>
      </c>
      <c r="J2033" t="s">
        <v>11</v>
      </c>
      <c r="K2033">
        <f>IF(J2033="Yes", 1, 0)</f>
        <v>1</v>
      </c>
      <c r="L2033" t="str">
        <f>IF(G2033=0,"0 Failures","1+ Failures")</f>
        <v>1+ Failures</v>
      </c>
      <c r="M2033" t="str">
        <f t="shared" si="95"/>
        <v>10-20hrs</v>
      </c>
      <c r="N2033" t="str">
        <f t="shared" si="93"/>
        <v>12+ months</v>
      </c>
      <c r="O2033" t="str">
        <f t="shared" si="94"/>
        <v>Premium</v>
      </c>
      <c r="P2033" s="7">
        <v>45657</v>
      </c>
    </row>
    <row r="2034" spans="1:16" x14ac:dyDescent="0.3">
      <c r="A2034">
        <v>2033</v>
      </c>
      <c r="B2034" s="7">
        <v>45354</v>
      </c>
      <c r="C2034" t="s">
        <v>10</v>
      </c>
      <c r="D2034">
        <v>699</v>
      </c>
      <c r="E2034">
        <v>9.6</v>
      </c>
      <c r="F2034">
        <v>7</v>
      </c>
      <c r="G2034">
        <v>0</v>
      </c>
      <c r="H2034">
        <v>9</v>
      </c>
      <c r="I2034">
        <v>1</v>
      </c>
      <c r="J2034" t="s">
        <v>13</v>
      </c>
      <c r="K2034">
        <f>IF(J2034="Yes", 1, 0)</f>
        <v>0</v>
      </c>
      <c r="L2034" t="str">
        <f>IF(G2034=0,"0 Failures","1+ Failures")</f>
        <v>0 Failures</v>
      </c>
      <c r="M2034" t="str">
        <f t="shared" si="95"/>
        <v>5-10 hrs</v>
      </c>
      <c r="N2034" t="str">
        <f t="shared" si="93"/>
        <v>6-12months</v>
      </c>
      <c r="O2034" t="str">
        <f t="shared" si="94"/>
        <v>Premium</v>
      </c>
      <c r="P2034" s="7">
        <v>45657</v>
      </c>
    </row>
    <row r="2035" spans="1:16" x14ac:dyDescent="0.3">
      <c r="A2035">
        <v>2034</v>
      </c>
      <c r="B2035" s="7">
        <v>45414</v>
      </c>
      <c r="C2035" t="s">
        <v>12</v>
      </c>
      <c r="D2035">
        <v>199</v>
      </c>
      <c r="E2035">
        <v>23.6</v>
      </c>
      <c r="F2035">
        <v>3</v>
      </c>
      <c r="G2035">
        <v>2</v>
      </c>
      <c r="H2035">
        <v>14</v>
      </c>
      <c r="I2035">
        <v>40</v>
      </c>
      <c r="J2035" t="s">
        <v>13</v>
      </c>
      <c r="K2035">
        <f>IF(J2035="Yes", 1, 0)</f>
        <v>0</v>
      </c>
      <c r="L2035" t="str">
        <f>IF(G2035=0,"0 Failures","1+ Failures")</f>
        <v>1+ Failures</v>
      </c>
      <c r="M2035" t="str">
        <f t="shared" si="95"/>
        <v>20+ hrs</v>
      </c>
      <c r="N2035" t="str">
        <f t="shared" si="93"/>
        <v>12+ months</v>
      </c>
      <c r="O2035" t="str">
        <f t="shared" si="94"/>
        <v>Basic</v>
      </c>
      <c r="P2035" s="7">
        <v>45657</v>
      </c>
    </row>
    <row r="2036" spans="1:16" x14ac:dyDescent="0.3">
      <c r="A2036">
        <v>2035</v>
      </c>
      <c r="B2036" s="7">
        <v>45256</v>
      </c>
      <c r="C2036" t="s">
        <v>14</v>
      </c>
      <c r="D2036">
        <v>399</v>
      </c>
      <c r="E2036">
        <v>8.8000000000000007</v>
      </c>
      <c r="F2036">
        <v>5</v>
      </c>
      <c r="G2036">
        <v>5</v>
      </c>
      <c r="H2036">
        <v>36</v>
      </c>
      <c r="I2036">
        <v>12</v>
      </c>
      <c r="J2036" t="s">
        <v>13</v>
      </c>
      <c r="K2036">
        <f>IF(J2036="Yes", 1, 0)</f>
        <v>0</v>
      </c>
      <c r="L2036" t="str">
        <f>IF(G2036=0,"0 Failures","1+ Failures")</f>
        <v>1+ Failures</v>
      </c>
      <c r="M2036" t="str">
        <f t="shared" si="95"/>
        <v>5-10 hrs</v>
      </c>
      <c r="N2036" t="str">
        <f t="shared" si="93"/>
        <v>12+ months</v>
      </c>
      <c r="O2036" t="str">
        <f t="shared" si="94"/>
        <v>Basic</v>
      </c>
      <c r="P2036" s="7">
        <v>45657</v>
      </c>
    </row>
    <row r="2037" spans="1:16" x14ac:dyDescent="0.3">
      <c r="A2037">
        <v>2036</v>
      </c>
      <c r="B2037" s="7">
        <v>44946</v>
      </c>
      <c r="C2037" t="s">
        <v>10</v>
      </c>
      <c r="D2037">
        <v>699</v>
      </c>
      <c r="E2037">
        <v>17.8</v>
      </c>
      <c r="F2037">
        <v>3</v>
      </c>
      <c r="G2037">
        <v>1</v>
      </c>
      <c r="H2037">
        <v>15</v>
      </c>
      <c r="I2037">
        <v>31</v>
      </c>
      <c r="J2037" t="s">
        <v>13</v>
      </c>
      <c r="K2037">
        <f>IF(J2037="Yes", 1, 0)</f>
        <v>0</v>
      </c>
      <c r="L2037" t="str">
        <f>IF(G2037=0,"0 Failures","1+ Failures")</f>
        <v>1+ Failures</v>
      </c>
      <c r="M2037" t="str">
        <f t="shared" si="95"/>
        <v>10-20hrs</v>
      </c>
      <c r="N2037" t="str">
        <f t="shared" si="93"/>
        <v>12+ months</v>
      </c>
      <c r="O2037" t="str">
        <f t="shared" si="94"/>
        <v>Premium</v>
      </c>
      <c r="P2037" s="7">
        <v>45657</v>
      </c>
    </row>
    <row r="2038" spans="1:16" x14ac:dyDescent="0.3">
      <c r="A2038">
        <v>2037</v>
      </c>
      <c r="B2038" s="7">
        <v>45468</v>
      </c>
      <c r="C2038" t="s">
        <v>14</v>
      </c>
      <c r="D2038">
        <v>399</v>
      </c>
      <c r="E2038">
        <v>22.1</v>
      </c>
      <c r="F2038">
        <v>6</v>
      </c>
      <c r="G2038">
        <v>1</v>
      </c>
      <c r="H2038">
        <v>33</v>
      </c>
      <c r="I2038">
        <v>39</v>
      </c>
      <c r="J2038" t="s">
        <v>11</v>
      </c>
      <c r="K2038">
        <f>IF(J2038="Yes", 1, 0)</f>
        <v>1</v>
      </c>
      <c r="L2038" t="str">
        <f>IF(G2038=0,"0 Failures","1+ Failures")</f>
        <v>1+ Failures</v>
      </c>
      <c r="M2038" t="str">
        <f t="shared" si="95"/>
        <v>20+ hrs</v>
      </c>
      <c r="N2038" t="str">
        <f t="shared" si="93"/>
        <v>12+ months</v>
      </c>
      <c r="O2038" t="str">
        <f t="shared" si="94"/>
        <v>Basic</v>
      </c>
      <c r="P2038" s="7">
        <v>45657</v>
      </c>
    </row>
    <row r="2039" spans="1:16" x14ac:dyDescent="0.3">
      <c r="A2039">
        <v>2038</v>
      </c>
      <c r="B2039" s="7">
        <v>45124</v>
      </c>
      <c r="C2039" t="s">
        <v>14</v>
      </c>
      <c r="D2039">
        <v>399</v>
      </c>
      <c r="E2039">
        <v>15.3</v>
      </c>
      <c r="F2039">
        <v>4</v>
      </c>
      <c r="G2039">
        <v>0</v>
      </c>
      <c r="H2039">
        <v>30</v>
      </c>
      <c r="I2039">
        <v>28</v>
      </c>
      <c r="J2039" t="s">
        <v>11</v>
      </c>
      <c r="K2039">
        <f>IF(J2039="Yes", 1, 0)</f>
        <v>1</v>
      </c>
      <c r="L2039" t="str">
        <f>IF(G2039=0,"0 Failures","1+ Failures")</f>
        <v>0 Failures</v>
      </c>
      <c r="M2039" t="str">
        <f t="shared" si="95"/>
        <v>10-20hrs</v>
      </c>
      <c r="N2039" t="str">
        <f t="shared" si="93"/>
        <v>12+ months</v>
      </c>
      <c r="O2039" t="str">
        <f t="shared" si="94"/>
        <v>Basic</v>
      </c>
      <c r="P2039" s="7">
        <v>45657</v>
      </c>
    </row>
    <row r="2040" spans="1:16" x14ac:dyDescent="0.3">
      <c r="A2040">
        <v>2039</v>
      </c>
      <c r="B2040" s="7">
        <v>44930</v>
      </c>
      <c r="C2040" t="s">
        <v>14</v>
      </c>
      <c r="D2040">
        <v>399</v>
      </c>
      <c r="E2040">
        <v>9.4</v>
      </c>
      <c r="F2040">
        <v>0</v>
      </c>
      <c r="G2040">
        <v>3</v>
      </c>
      <c r="H2040">
        <v>10</v>
      </c>
      <c r="I2040">
        <v>15</v>
      </c>
      <c r="J2040" t="s">
        <v>11</v>
      </c>
      <c r="K2040">
        <f>IF(J2040="Yes", 1, 0)</f>
        <v>1</v>
      </c>
      <c r="L2040" t="str">
        <f>IF(G2040=0,"0 Failures","1+ Failures")</f>
        <v>1+ Failures</v>
      </c>
      <c r="M2040" t="str">
        <f t="shared" si="95"/>
        <v>5-10 hrs</v>
      </c>
      <c r="N2040" t="str">
        <f t="shared" si="93"/>
        <v>6-12months</v>
      </c>
      <c r="O2040" t="str">
        <f t="shared" si="94"/>
        <v>Basic</v>
      </c>
      <c r="P2040" s="7">
        <v>45657</v>
      </c>
    </row>
    <row r="2041" spans="1:16" x14ac:dyDescent="0.3">
      <c r="A2041">
        <v>2040</v>
      </c>
      <c r="B2041" s="7">
        <v>45254</v>
      </c>
      <c r="C2041" t="s">
        <v>14</v>
      </c>
      <c r="D2041">
        <v>399</v>
      </c>
      <c r="E2041">
        <v>20.7</v>
      </c>
      <c r="F2041">
        <v>7</v>
      </c>
      <c r="G2041">
        <v>4</v>
      </c>
      <c r="H2041">
        <v>23</v>
      </c>
      <c r="I2041">
        <v>9</v>
      </c>
      <c r="J2041" t="s">
        <v>13</v>
      </c>
      <c r="K2041">
        <f>IF(J2041="Yes", 1, 0)</f>
        <v>0</v>
      </c>
      <c r="L2041" t="str">
        <f>IF(G2041=0,"0 Failures","1+ Failures")</f>
        <v>1+ Failures</v>
      </c>
      <c r="M2041" t="str">
        <f t="shared" si="95"/>
        <v>20+ hrs</v>
      </c>
      <c r="N2041" t="str">
        <f t="shared" si="93"/>
        <v>12+ months</v>
      </c>
      <c r="O2041" t="str">
        <f t="shared" si="94"/>
        <v>Basic</v>
      </c>
      <c r="P2041" s="7">
        <v>45657</v>
      </c>
    </row>
    <row r="2042" spans="1:16" x14ac:dyDescent="0.3">
      <c r="A2042">
        <v>2041</v>
      </c>
      <c r="B2042" s="7">
        <v>45119</v>
      </c>
      <c r="C2042" t="s">
        <v>14</v>
      </c>
      <c r="D2042">
        <v>399</v>
      </c>
      <c r="E2042">
        <v>15.3</v>
      </c>
      <c r="F2042">
        <v>8</v>
      </c>
      <c r="G2042">
        <v>1</v>
      </c>
      <c r="H2042">
        <v>21</v>
      </c>
      <c r="I2042">
        <v>52</v>
      </c>
      <c r="J2042" t="s">
        <v>13</v>
      </c>
      <c r="K2042">
        <f>IF(J2042="Yes", 1, 0)</f>
        <v>0</v>
      </c>
      <c r="L2042" t="str">
        <f>IF(G2042=0,"0 Failures","1+ Failures")</f>
        <v>1+ Failures</v>
      </c>
      <c r="M2042" t="str">
        <f t="shared" si="95"/>
        <v>10-20hrs</v>
      </c>
      <c r="N2042" t="str">
        <f t="shared" si="93"/>
        <v>12+ months</v>
      </c>
      <c r="O2042" t="str">
        <f t="shared" si="94"/>
        <v>Basic</v>
      </c>
      <c r="P2042" s="7">
        <v>45657</v>
      </c>
    </row>
    <row r="2043" spans="1:16" x14ac:dyDescent="0.3">
      <c r="A2043">
        <v>2042</v>
      </c>
      <c r="B2043" s="7">
        <v>45443</v>
      </c>
      <c r="C2043" t="s">
        <v>10</v>
      </c>
      <c r="D2043">
        <v>699</v>
      </c>
      <c r="E2043">
        <v>7.7</v>
      </c>
      <c r="F2043">
        <v>0</v>
      </c>
      <c r="G2043">
        <v>5</v>
      </c>
      <c r="H2043">
        <v>8</v>
      </c>
      <c r="I2043">
        <v>56</v>
      </c>
      <c r="J2043" t="s">
        <v>11</v>
      </c>
      <c r="K2043">
        <f>IF(J2043="Yes", 1, 0)</f>
        <v>1</v>
      </c>
      <c r="L2043" t="str">
        <f>IF(G2043=0,"0 Failures","1+ Failures")</f>
        <v>1+ Failures</v>
      </c>
      <c r="M2043" t="str">
        <f t="shared" si="95"/>
        <v>5-10 hrs</v>
      </c>
      <c r="N2043" t="str">
        <f t="shared" si="93"/>
        <v>6-12months</v>
      </c>
      <c r="O2043" t="str">
        <f t="shared" si="94"/>
        <v>Premium</v>
      </c>
      <c r="P2043" s="7">
        <v>45657</v>
      </c>
    </row>
    <row r="2044" spans="1:16" x14ac:dyDescent="0.3">
      <c r="A2044">
        <v>2043</v>
      </c>
      <c r="B2044" s="7">
        <v>45232</v>
      </c>
      <c r="C2044" t="s">
        <v>14</v>
      </c>
      <c r="D2044">
        <v>399</v>
      </c>
      <c r="E2044">
        <v>19.899999999999999</v>
      </c>
      <c r="F2044">
        <v>6</v>
      </c>
      <c r="G2044">
        <v>5</v>
      </c>
      <c r="H2044">
        <v>16</v>
      </c>
      <c r="I2044">
        <v>52</v>
      </c>
      <c r="J2044" t="s">
        <v>13</v>
      </c>
      <c r="K2044">
        <f>IF(J2044="Yes", 1, 0)</f>
        <v>0</v>
      </c>
      <c r="L2044" t="str">
        <f>IF(G2044=0,"0 Failures","1+ Failures")</f>
        <v>1+ Failures</v>
      </c>
      <c r="M2044" t="str">
        <f t="shared" si="95"/>
        <v>10-20hrs</v>
      </c>
      <c r="N2044" t="str">
        <f t="shared" si="93"/>
        <v>12+ months</v>
      </c>
      <c r="O2044" t="str">
        <f t="shared" si="94"/>
        <v>Basic</v>
      </c>
      <c r="P2044" s="7">
        <v>45657</v>
      </c>
    </row>
    <row r="2045" spans="1:16" x14ac:dyDescent="0.3">
      <c r="A2045">
        <v>2044</v>
      </c>
      <c r="B2045" s="7">
        <v>45358</v>
      </c>
      <c r="C2045" t="s">
        <v>14</v>
      </c>
      <c r="D2045">
        <v>399</v>
      </c>
      <c r="E2045">
        <v>4</v>
      </c>
      <c r="F2045">
        <v>0</v>
      </c>
      <c r="G2045">
        <v>0</v>
      </c>
      <c r="H2045">
        <v>14</v>
      </c>
      <c r="I2045">
        <v>41</v>
      </c>
      <c r="J2045" t="s">
        <v>13</v>
      </c>
      <c r="K2045">
        <f>IF(J2045="Yes", 1, 0)</f>
        <v>0</v>
      </c>
      <c r="L2045" t="str">
        <f>IF(G2045=0,"0 Failures","1+ Failures")</f>
        <v>0 Failures</v>
      </c>
      <c r="M2045" t="str">
        <f t="shared" si="95"/>
        <v>0-5 hrs</v>
      </c>
      <c r="N2045" t="str">
        <f t="shared" si="93"/>
        <v>12+ months</v>
      </c>
      <c r="O2045" t="str">
        <f t="shared" si="94"/>
        <v>Basic</v>
      </c>
      <c r="P2045" s="7">
        <v>45657</v>
      </c>
    </row>
    <row r="2046" spans="1:16" x14ac:dyDescent="0.3">
      <c r="A2046">
        <v>2045</v>
      </c>
      <c r="B2046" s="7">
        <v>45087</v>
      </c>
      <c r="C2046" t="s">
        <v>12</v>
      </c>
      <c r="D2046">
        <v>199</v>
      </c>
      <c r="E2046">
        <v>11.9</v>
      </c>
      <c r="F2046">
        <v>2</v>
      </c>
      <c r="G2046">
        <v>3</v>
      </c>
      <c r="H2046">
        <v>24</v>
      </c>
      <c r="I2046">
        <v>40</v>
      </c>
      <c r="J2046" t="s">
        <v>11</v>
      </c>
      <c r="K2046">
        <f>IF(J2046="Yes", 1, 0)</f>
        <v>1</v>
      </c>
      <c r="L2046" t="str">
        <f>IF(G2046=0,"0 Failures","1+ Failures")</f>
        <v>1+ Failures</v>
      </c>
      <c r="M2046" t="str">
        <f t="shared" si="95"/>
        <v>10-20hrs</v>
      </c>
      <c r="N2046" t="str">
        <f t="shared" si="93"/>
        <v>12+ months</v>
      </c>
      <c r="O2046" t="str">
        <f t="shared" si="94"/>
        <v>Basic</v>
      </c>
      <c r="P2046" s="7">
        <v>45657</v>
      </c>
    </row>
    <row r="2047" spans="1:16" x14ac:dyDescent="0.3">
      <c r="A2047">
        <v>2046</v>
      </c>
      <c r="B2047" s="7">
        <v>45650</v>
      </c>
      <c r="C2047" t="s">
        <v>10</v>
      </c>
      <c r="D2047">
        <v>699</v>
      </c>
      <c r="E2047">
        <v>19.100000000000001</v>
      </c>
      <c r="F2047">
        <v>1</v>
      </c>
      <c r="G2047">
        <v>2</v>
      </c>
      <c r="H2047">
        <v>29</v>
      </c>
      <c r="I2047">
        <v>29</v>
      </c>
      <c r="J2047" t="s">
        <v>11</v>
      </c>
      <c r="K2047">
        <f>IF(J2047="Yes", 1, 0)</f>
        <v>1</v>
      </c>
      <c r="L2047" t="str">
        <f>IF(G2047=0,"0 Failures","1+ Failures")</f>
        <v>1+ Failures</v>
      </c>
      <c r="M2047" t="str">
        <f t="shared" si="95"/>
        <v>10-20hrs</v>
      </c>
      <c r="N2047" t="str">
        <f t="shared" si="93"/>
        <v>12+ months</v>
      </c>
      <c r="O2047" t="str">
        <f t="shared" si="94"/>
        <v>Premium</v>
      </c>
      <c r="P2047" s="7">
        <v>45657</v>
      </c>
    </row>
    <row r="2048" spans="1:16" x14ac:dyDescent="0.3">
      <c r="A2048">
        <v>2047</v>
      </c>
      <c r="B2048" s="7">
        <v>45261</v>
      </c>
      <c r="C2048" t="s">
        <v>10</v>
      </c>
      <c r="D2048">
        <v>699</v>
      </c>
      <c r="E2048">
        <v>7.5</v>
      </c>
      <c r="F2048">
        <v>2</v>
      </c>
      <c r="G2048">
        <v>2</v>
      </c>
      <c r="H2048">
        <v>30</v>
      </c>
      <c r="I2048">
        <v>1</v>
      </c>
      <c r="J2048" t="s">
        <v>11</v>
      </c>
      <c r="K2048">
        <f>IF(J2048="Yes", 1, 0)</f>
        <v>1</v>
      </c>
      <c r="L2048" t="str">
        <f>IF(G2048=0,"0 Failures","1+ Failures")</f>
        <v>1+ Failures</v>
      </c>
      <c r="M2048" t="str">
        <f t="shared" si="95"/>
        <v>5-10 hrs</v>
      </c>
      <c r="N2048" t="str">
        <f t="shared" si="93"/>
        <v>12+ months</v>
      </c>
      <c r="O2048" t="str">
        <f t="shared" si="94"/>
        <v>Premium</v>
      </c>
      <c r="P2048" s="7">
        <v>45657</v>
      </c>
    </row>
    <row r="2049" spans="1:16" x14ac:dyDescent="0.3">
      <c r="A2049">
        <v>2048</v>
      </c>
      <c r="B2049" s="7">
        <v>45570</v>
      </c>
      <c r="C2049" t="s">
        <v>10</v>
      </c>
      <c r="D2049">
        <v>699</v>
      </c>
      <c r="E2049">
        <v>9.5</v>
      </c>
      <c r="F2049">
        <v>5</v>
      </c>
      <c r="G2049">
        <v>5</v>
      </c>
      <c r="H2049">
        <v>31</v>
      </c>
      <c r="I2049">
        <v>24</v>
      </c>
      <c r="J2049" t="s">
        <v>11</v>
      </c>
      <c r="K2049">
        <f>IF(J2049="Yes", 1, 0)</f>
        <v>1</v>
      </c>
      <c r="L2049" t="str">
        <f>IF(G2049=0,"0 Failures","1+ Failures")</f>
        <v>1+ Failures</v>
      </c>
      <c r="M2049" t="str">
        <f t="shared" si="95"/>
        <v>5-10 hrs</v>
      </c>
      <c r="N2049" t="str">
        <f t="shared" si="93"/>
        <v>12+ months</v>
      </c>
      <c r="O2049" t="str">
        <f t="shared" si="94"/>
        <v>Premium</v>
      </c>
      <c r="P2049" s="7">
        <v>45657</v>
      </c>
    </row>
    <row r="2050" spans="1:16" x14ac:dyDescent="0.3">
      <c r="A2050">
        <v>2049</v>
      </c>
      <c r="B2050" s="7">
        <v>45586</v>
      </c>
      <c r="C2050" t="s">
        <v>14</v>
      </c>
      <c r="D2050">
        <v>399</v>
      </c>
      <c r="E2050">
        <v>10.199999999999999</v>
      </c>
      <c r="F2050">
        <v>5</v>
      </c>
      <c r="G2050">
        <v>4</v>
      </c>
      <c r="H2050">
        <v>21</v>
      </c>
      <c r="I2050">
        <v>53</v>
      </c>
      <c r="J2050" t="s">
        <v>13</v>
      </c>
      <c r="K2050">
        <f>IF(J2050="Yes", 1, 0)</f>
        <v>0</v>
      </c>
      <c r="L2050" t="str">
        <f>IF(G2050=0,"0 Failures","1+ Failures")</f>
        <v>1+ Failures</v>
      </c>
      <c r="M2050" t="str">
        <f t="shared" si="95"/>
        <v>10-20hrs</v>
      </c>
      <c r="N2050" t="str">
        <f t="shared" si="93"/>
        <v>12+ months</v>
      </c>
      <c r="O2050" t="str">
        <f t="shared" si="94"/>
        <v>Basic</v>
      </c>
      <c r="P2050" s="7">
        <v>45657</v>
      </c>
    </row>
    <row r="2051" spans="1:16" x14ac:dyDescent="0.3">
      <c r="A2051">
        <v>2050</v>
      </c>
      <c r="B2051" s="7">
        <v>45657</v>
      </c>
      <c r="C2051" t="s">
        <v>14</v>
      </c>
      <c r="D2051">
        <v>399</v>
      </c>
      <c r="E2051">
        <v>14.4</v>
      </c>
      <c r="F2051">
        <v>0</v>
      </c>
      <c r="G2051">
        <v>4</v>
      </c>
      <c r="H2051">
        <v>21</v>
      </c>
      <c r="I2051">
        <v>3</v>
      </c>
      <c r="J2051" t="s">
        <v>13</v>
      </c>
      <c r="K2051">
        <f>IF(J2051="Yes", 1, 0)</f>
        <v>0</v>
      </c>
      <c r="L2051" t="str">
        <f>IF(G2051=0,"0 Failures","1+ Failures")</f>
        <v>1+ Failures</v>
      </c>
      <c r="M2051" t="str">
        <f t="shared" si="95"/>
        <v>10-20hrs</v>
      </c>
      <c r="N2051" t="str">
        <f t="shared" ref="N2051:N2114" si="96">IF(H2051&lt;=3, "0-3months", IF(H2051&lt;=6, "3-6months", IF(H2051&lt;=12, "6-12months", "12+ months")))</f>
        <v>12+ months</v>
      </c>
      <c r="O2051" t="str">
        <f t="shared" ref="O2051:O2114" si="97">IF(C2051="premium", "Premium", "Basic")</f>
        <v>Basic</v>
      </c>
      <c r="P2051" s="7">
        <v>45657</v>
      </c>
    </row>
    <row r="2052" spans="1:16" x14ac:dyDescent="0.3">
      <c r="A2052">
        <v>2051</v>
      </c>
      <c r="B2052" s="7">
        <v>45094</v>
      </c>
      <c r="C2052" t="s">
        <v>12</v>
      </c>
      <c r="D2052">
        <v>199</v>
      </c>
      <c r="E2052">
        <v>2.1</v>
      </c>
      <c r="F2052">
        <v>1</v>
      </c>
      <c r="G2052">
        <v>1</v>
      </c>
      <c r="H2052">
        <v>32</v>
      </c>
      <c r="I2052">
        <v>9</v>
      </c>
      <c r="J2052" t="s">
        <v>11</v>
      </c>
      <c r="K2052">
        <f>IF(J2052="Yes", 1, 0)</f>
        <v>1</v>
      </c>
      <c r="L2052" t="str">
        <f>IF(G2052=0,"0 Failures","1+ Failures")</f>
        <v>1+ Failures</v>
      </c>
      <c r="M2052" t="str">
        <f t="shared" si="95"/>
        <v>0-5 hrs</v>
      </c>
      <c r="N2052" t="str">
        <f t="shared" si="96"/>
        <v>12+ months</v>
      </c>
      <c r="O2052" t="str">
        <f t="shared" si="97"/>
        <v>Basic</v>
      </c>
      <c r="P2052" s="7">
        <v>45657</v>
      </c>
    </row>
    <row r="2053" spans="1:16" x14ac:dyDescent="0.3">
      <c r="A2053">
        <v>2052</v>
      </c>
      <c r="B2053" s="7">
        <v>45278</v>
      </c>
      <c r="C2053" t="s">
        <v>10</v>
      </c>
      <c r="D2053">
        <v>699</v>
      </c>
      <c r="E2053">
        <v>2.8</v>
      </c>
      <c r="F2053">
        <v>5</v>
      </c>
      <c r="G2053">
        <v>2</v>
      </c>
      <c r="H2053">
        <v>16</v>
      </c>
      <c r="I2053">
        <v>21</v>
      </c>
      <c r="J2053" t="s">
        <v>11</v>
      </c>
      <c r="K2053">
        <f>IF(J2053="Yes", 1, 0)</f>
        <v>1</v>
      </c>
      <c r="L2053" t="str">
        <f>IF(G2053=0,"0 Failures","1+ Failures")</f>
        <v>1+ Failures</v>
      </c>
      <c r="M2053" t="str">
        <f t="shared" si="95"/>
        <v>0-5 hrs</v>
      </c>
      <c r="N2053" t="str">
        <f t="shared" si="96"/>
        <v>12+ months</v>
      </c>
      <c r="O2053" t="str">
        <f t="shared" si="97"/>
        <v>Premium</v>
      </c>
      <c r="P2053" s="7">
        <v>45657</v>
      </c>
    </row>
    <row r="2054" spans="1:16" x14ac:dyDescent="0.3">
      <c r="A2054">
        <v>2053</v>
      </c>
      <c r="B2054" s="7">
        <v>45332</v>
      </c>
      <c r="C2054" t="s">
        <v>12</v>
      </c>
      <c r="D2054">
        <v>199</v>
      </c>
      <c r="E2054">
        <v>10.3</v>
      </c>
      <c r="F2054">
        <v>0</v>
      </c>
      <c r="G2054">
        <v>4</v>
      </c>
      <c r="H2054">
        <v>32</v>
      </c>
      <c r="I2054">
        <v>26</v>
      </c>
      <c r="J2054" t="s">
        <v>13</v>
      </c>
      <c r="K2054">
        <f>IF(J2054="Yes", 1, 0)</f>
        <v>0</v>
      </c>
      <c r="L2054" t="str">
        <f>IF(G2054=0,"0 Failures","1+ Failures")</f>
        <v>1+ Failures</v>
      </c>
      <c r="M2054" t="str">
        <f t="shared" si="95"/>
        <v>10-20hrs</v>
      </c>
      <c r="N2054" t="str">
        <f t="shared" si="96"/>
        <v>12+ months</v>
      </c>
      <c r="O2054" t="str">
        <f t="shared" si="97"/>
        <v>Basic</v>
      </c>
      <c r="P2054" s="7">
        <v>45657</v>
      </c>
    </row>
    <row r="2055" spans="1:16" x14ac:dyDescent="0.3">
      <c r="A2055">
        <v>2054</v>
      </c>
      <c r="B2055" s="7">
        <v>45194</v>
      </c>
      <c r="C2055" t="s">
        <v>10</v>
      </c>
      <c r="D2055">
        <v>699</v>
      </c>
      <c r="E2055">
        <v>13.9</v>
      </c>
      <c r="F2055">
        <v>1</v>
      </c>
      <c r="G2055">
        <v>1</v>
      </c>
      <c r="H2055">
        <v>10</v>
      </c>
      <c r="I2055">
        <v>28</v>
      </c>
      <c r="J2055" t="s">
        <v>11</v>
      </c>
      <c r="K2055">
        <f>IF(J2055="Yes", 1, 0)</f>
        <v>1</v>
      </c>
      <c r="L2055" t="str">
        <f>IF(G2055=0,"0 Failures","1+ Failures")</f>
        <v>1+ Failures</v>
      </c>
      <c r="M2055" t="str">
        <f t="shared" si="95"/>
        <v>10-20hrs</v>
      </c>
      <c r="N2055" t="str">
        <f t="shared" si="96"/>
        <v>6-12months</v>
      </c>
      <c r="O2055" t="str">
        <f t="shared" si="97"/>
        <v>Premium</v>
      </c>
      <c r="P2055" s="7">
        <v>45657</v>
      </c>
    </row>
    <row r="2056" spans="1:16" x14ac:dyDescent="0.3">
      <c r="A2056">
        <v>2055</v>
      </c>
      <c r="B2056" s="7">
        <v>45641</v>
      </c>
      <c r="C2056" t="s">
        <v>12</v>
      </c>
      <c r="D2056">
        <v>199</v>
      </c>
      <c r="E2056">
        <v>1.9</v>
      </c>
      <c r="F2056">
        <v>8</v>
      </c>
      <c r="G2056">
        <v>0</v>
      </c>
      <c r="H2056">
        <v>16</v>
      </c>
      <c r="I2056">
        <v>3</v>
      </c>
      <c r="J2056" t="s">
        <v>13</v>
      </c>
      <c r="K2056">
        <f>IF(J2056="Yes", 1, 0)</f>
        <v>0</v>
      </c>
      <c r="L2056" t="str">
        <f>IF(G2056=0,"0 Failures","1+ Failures")</f>
        <v>0 Failures</v>
      </c>
      <c r="M2056" t="str">
        <f t="shared" si="95"/>
        <v>0-5 hrs</v>
      </c>
      <c r="N2056" t="str">
        <f t="shared" si="96"/>
        <v>12+ months</v>
      </c>
      <c r="O2056" t="str">
        <f t="shared" si="97"/>
        <v>Basic</v>
      </c>
      <c r="P2056" s="7">
        <v>45657</v>
      </c>
    </row>
    <row r="2057" spans="1:16" x14ac:dyDescent="0.3">
      <c r="A2057">
        <v>2056</v>
      </c>
      <c r="B2057" s="7">
        <v>45067</v>
      </c>
      <c r="C2057" t="s">
        <v>12</v>
      </c>
      <c r="D2057">
        <v>199</v>
      </c>
      <c r="E2057">
        <v>1.5</v>
      </c>
      <c r="F2057">
        <v>3</v>
      </c>
      <c r="G2057">
        <v>1</v>
      </c>
      <c r="H2057">
        <v>31</v>
      </c>
      <c r="I2057">
        <v>60</v>
      </c>
      <c r="J2057" t="s">
        <v>11</v>
      </c>
      <c r="K2057">
        <f>IF(J2057="Yes", 1, 0)</f>
        <v>1</v>
      </c>
      <c r="L2057" t="str">
        <f>IF(G2057=0,"0 Failures","1+ Failures")</f>
        <v>1+ Failures</v>
      </c>
      <c r="M2057" t="str">
        <f t="shared" si="95"/>
        <v>0-5 hrs</v>
      </c>
      <c r="N2057" t="str">
        <f t="shared" si="96"/>
        <v>12+ months</v>
      </c>
      <c r="O2057" t="str">
        <f t="shared" si="97"/>
        <v>Basic</v>
      </c>
      <c r="P2057" s="7">
        <v>45657</v>
      </c>
    </row>
    <row r="2058" spans="1:16" x14ac:dyDescent="0.3">
      <c r="A2058">
        <v>2057</v>
      </c>
      <c r="B2058" s="7">
        <v>45431</v>
      </c>
      <c r="C2058" t="s">
        <v>10</v>
      </c>
      <c r="D2058">
        <v>699</v>
      </c>
      <c r="E2058">
        <v>8.4</v>
      </c>
      <c r="F2058">
        <v>6</v>
      </c>
      <c r="G2058">
        <v>0</v>
      </c>
      <c r="H2058">
        <v>21</v>
      </c>
      <c r="I2058">
        <v>32</v>
      </c>
      <c r="J2058" t="s">
        <v>13</v>
      </c>
      <c r="K2058">
        <f>IF(J2058="Yes", 1, 0)</f>
        <v>0</v>
      </c>
      <c r="L2058" t="str">
        <f>IF(G2058=0,"0 Failures","1+ Failures")</f>
        <v>0 Failures</v>
      </c>
      <c r="M2058" t="str">
        <f t="shared" si="95"/>
        <v>5-10 hrs</v>
      </c>
      <c r="N2058" t="str">
        <f t="shared" si="96"/>
        <v>12+ months</v>
      </c>
      <c r="O2058" t="str">
        <f t="shared" si="97"/>
        <v>Premium</v>
      </c>
      <c r="P2058" s="7">
        <v>45657</v>
      </c>
    </row>
    <row r="2059" spans="1:16" x14ac:dyDescent="0.3">
      <c r="A2059">
        <v>2058</v>
      </c>
      <c r="B2059" s="7">
        <v>45162</v>
      </c>
      <c r="C2059" t="s">
        <v>12</v>
      </c>
      <c r="D2059">
        <v>199</v>
      </c>
      <c r="E2059">
        <v>14</v>
      </c>
      <c r="F2059">
        <v>0</v>
      </c>
      <c r="G2059">
        <v>1</v>
      </c>
      <c r="H2059">
        <v>27</v>
      </c>
      <c r="I2059">
        <v>37</v>
      </c>
      <c r="J2059" t="s">
        <v>11</v>
      </c>
      <c r="K2059">
        <f>IF(J2059="Yes", 1, 0)</f>
        <v>1</v>
      </c>
      <c r="L2059" t="str">
        <f>IF(G2059=0,"0 Failures","1+ Failures")</f>
        <v>1+ Failures</v>
      </c>
      <c r="M2059" t="str">
        <f t="shared" ref="M2059:M2122" si="98">IF(E2059&lt;=5, "0-5 hrs",    IF(E2059&lt;=10, "5-10 hrs",    IF(E2059&lt;=20, "10-20hrs", "20+ hrs")))</f>
        <v>10-20hrs</v>
      </c>
      <c r="N2059" t="str">
        <f t="shared" si="96"/>
        <v>12+ months</v>
      </c>
      <c r="O2059" t="str">
        <f t="shared" si="97"/>
        <v>Basic</v>
      </c>
      <c r="P2059" s="7">
        <v>45657</v>
      </c>
    </row>
    <row r="2060" spans="1:16" x14ac:dyDescent="0.3">
      <c r="A2060">
        <v>2059</v>
      </c>
      <c r="B2060" s="7">
        <v>45095</v>
      </c>
      <c r="C2060" t="s">
        <v>10</v>
      </c>
      <c r="D2060">
        <v>699</v>
      </c>
      <c r="E2060">
        <v>0.7</v>
      </c>
      <c r="F2060">
        <v>1</v>
      </c>
      <c r="G2060">
        <v>4</v>
      </c>
      <c r="H2060">
        <v>32</v>
      </c>
      <c r="I2060">
        <v>56</v>
      </c>
      <c r="J2060" t="s">
        <v>11</v>
      </c>
      <c r="K2060">
        <f>IF(J2060="Yes", 1, 0)</f>
        <v>1</v>
      </c>
      <c r="L2060" t="str">
        <f>IF(G2060=0,"0 Failures","1+ Failures")</f>
        <v>1+ Failures</v>
      </c>
      <c r="M2060" t="str">
        <f t="shared" si="98"/>
        <v>0-5 hrs</v>
      </c>
      <c r="N2060" t="str">
        <f t="shared" si="96"/>
        <v>12+ months</v>
      </c>
      <c r="O2060" t="str">
        <f t="shared" si="97"/>
        <v>Premium</v>
      </c>
      <c r="P2060" s="7">
        <v>45657</v>
      </c>
    </row>
    <row r="2061" spans="1:16" x14ac:dyDescent="0.3">
      <c r="A2061">
        <v>2060</v>
      </c>
      <c r="B2061" s="7">
        <v>45199</v>
      </c>
      <c r="C2061" t="s">
        <v>14</v>
      </c>
      <c r="D2061">
        <v>399</v>
      </c>
      <c r="E2061">
        <v>4.2</v>
      </c>
      <c r="F2061">
        <v>0</v>
      </c>
      <c r="G2061">
        <v>5</v>
      </c>
      <c r="H2061">
        <v>14</v>
      </c>
      <c r="I2061">
        <v>47</v>
      </c>
      <c r="J2061" t="s">
        <v>11</v>
      </c>
      <c r="K2061">
        <f>IF(J2061="Yes", 1, 0)</f>
        <v>1</v>
      </c>
      <c r="L2061" t="str">
        <f>IF(G2061=0,"0 Failures","1+ Failures")</f>
        <v>1+ Failures</v>
      </c>
      <c r="M2061" t="str">
        <f t="shared" si="98"/>
        <v>0-5 hrs</v>
      </c>
      <c r="N2061" t="str">
        <f t="shared" si="96"/>
        <v>12+ months</v>
      </c>
      <c r="O2061" t="str">
        <f t="shared" si="97"/>
        <v>Basic</v>
      </c>
      <c r="P2061" s="7">
        <v>45657</v>
      </c>
    </row>
    <row r="2062" spans="1:16" x14ac:dyDescent="0.3">
      <c r="A2062">
        <v>2061</v>
      </c>
      <c r="B2062" s="7">
        <v>45269</v>
      </c>
      <c r="C2062" t="s">
        <v>10</v>
      </c>
      <c r="D2062">
        <v>699</v>
      </c>
      <c r="E2062">
        <v>13</v>
      </c>
      <c r="F2062">
        <v>2</v>
      </c>
      <c r="G2062">
        <v>1</v>
      </c>
      <c r="H2062">
        <v>24</v>
      </c>
      <c r="I2062">
        <v>48</v>
      </c>
      <c r="J2062" t="s">
        <v>13</v>
      </c>
      <c r="K2062">
        <f>IF(J2062="Yes", 1, 0)</f>
        <v>0</v>
      </c>
      <c r="L2062" t="str">
        <f>IF(G2062=0,"0 Failures","1+ Failures")</f>
        <v>1+ Failures</v>
      </c>
      <c r="M2062" t="str">
        <f t="shared" si="98"/>
        <v>10-20hrs</v>
      </c>
      <c r="N2062" t="str">
        <f t="shared" si="96"/>
        <v>12+ months</v>
      </c>
      <c r="O2062" t="str">
        <f t="shared" si="97"/>
        <v>Premium</v>
      </c>
      <c r="P2062" s="7">
        <v>45657</v>
      </c>
    </row>
    <row r="2063" spans="1:16" x14ac:dyDescent="0.3">
      <c r="A2063">
        <v>2062</v>
      </c>
      <c r="B2063" s="7">
        <v>44956</v>
      </c>
      <c r="C2063" t="s">
        <v>12</v>
      </c>
      <c r="D2063">
        <v>199</v>
      </c>
      <c r="E2063">
        <v>22.5</v>
      </c>
      <c r="F2063">
        <v>6</v>
      </c>
      <c r="G2063">
        <v>0</v>
      </c>
      <c r="H2063">
        <v>21</v>
      </c>
      <c r="I2063">
        <v>41</v>
      </c>
      <c r="J2063" t="s">
        <v>11</v>
      </c>
      <c r="K2063">
        <f>IF(J2063="Yes", 1, 0)</f>
        <v>1</v>
      </c>
      <c r="L2063" t="str">
        <f>IF(G2063=0,"0 Failures","1+ Failures")</f>
        <v>0 Failures</v>
      </c>
      <c r="M2063" t="str">
        <f t="shared" si="98"/>
        <v>20+ hrs</v>
      </c>
      <c r="N2063" t="str">
        <f t="shared" si="96"/>
        <v>12+ months</v>
      </c>
      <c r="O2063" t="str">
        <f t="shared" si="97"/>
        <v>Basic</v>
      </c>
      <c r="P2063" s="7">
        <v>45657</v>
      </c>
    </row>
    <row r="2064" spans="1:16" x14ac:dyDescent="0.3">
      <c r="A2064">
        <v>2063</v>
      </c>
      <c r="B2064" s="7">
        <v>45036</v>
      </c>
      <c r="C2064" t="s">
        <v>14</v>
      </c>
      <c r="D2064">
        <v>399</v>
      </c>
      <c r="E2064">
        <v>19.399999999999999</v>
      </c>
      <c r="F2064">
        <v>3</v>
      </c>
      <c r="G2064">
        <v>1</v>
      </c>
      <c r="H2064">
        <v>33</v>
      </c>
      <c r="I2064">
        <v>7</v>
      </c>
      <c r="J2064" t="s">
        <v>11</v>
      </c>
      <c r="K2064">
        <f>IF(J2064="Yes", 1, 0)</f>
        <v>1</v>
      </c>
      <c r="L2064" t="str">
        <f>IF(G2064=0,"0 Failures","1+ Failures")</f>
        <v>1+ Failures</v>
      </c>
      <c r="M2064" t="str">
        <f t="shared" si="98"/>
        <v>10-20hrs</v>
      </c>
      <c r="N2064" t="str">
        <f t="shared" si="96"/>
        <v>12+ months</v>
      </c>
      <c r="O2064" t="str">
        <f t="shared" si="97"/>
        <v>Basic</v>
      </c>
      <c r="P2064" s="7">
        <v>45657</v>
      </c>
    </row>
    <row r="2065" spans="1:16" x14ac:dyDescent="0.3">
      <c r="A2065">
        <v>2064</v>
      </c>
      <c r="B2065" s="7">
        <v>45534</v>
      </c>
      <c r="C2065" t="s">
        <v>10</v>
      </c>
      <c r="D2065">
        <v>699</v>
      </c>
      <c r="E2065">
        <v>5.4</v>
      </c>
      <c r="F2065">
        <v>4</v>
      </c>
      <c r="G2065">
        <v>5</v>
      </c>
      <c r="H2065">
        <v>14</v>
      </c>
      <c r="I2065">
        <v>43</v>
      </c>
      <c r="J2065" t="s">
        <v>11</v>
      </c>
      <c r="K2065">
        <f>IF(J2065="Yes", 1, 0)</f>
        <v>1</v>
      </c>
      <c r="L2065" t="str">
        <f>IF(G2065=0,"0 Failures","1+ Failures")</f>
        <v>1+ Failures</v>
      </c>
      <c r="M2065" t="str">
        <f t="shared" si="98"/>
        <v>5-10 hrs</v>
      </c>
      <c r="N2065" t="str">
        <f t="shared" si="96"/>
        <v>12+ months</v>
      </c>
      <c r="O2065" t="str">
        <f t="shared" si="97"/>
        <v>Premium</v>
      </c>
      <c r="P2065" s="7">
        <v>45657</v>
      </c>
    </row>
    <row r="2066" spans="1:16" x14ac:dyDescent="0.3">
      <c r="A2066">
        <v>2065</v>
      </c>
      <c r="B2066" s="7">
        <v>45185</v>
      </c>
      <c r="C2066" t="s">
        <v>14</v>
      </c>
      <c r="D2066">
        <v>399</v>
      </c>
      <c r="E2066">
        <v>11.9</v>
      </c>
      <c r="F2066">
        <v>3</v>
      </c>
      <c r="G2066">
        <v>4</v>
      </c>
      <c r="H2066">
        <v>24</v>
      </c>
      <c r="I2066">
        <v>56</v>
      </c>
      <c r="J2066" t="s">
        <v>13</v>
      </c>
      <c r="K2066">
        <f>IF(J2066="Yes", 1, 0)</f>
        <v>0</v>
      </c>
      <c r="L2066" t="str">
        <f>IF(G2066=0,"0 Failures","1+ Failures")</f>
        <v>1+ Failures</v>
      </c>
      <c r="M2066" t="str">
        <f t="shared" si="98"/>
        <v>10-20hrs</v>
      </c>
      <c r="N2066" t="str">
        <f t="shared" si="96"/>
        <v>12+ months</v>
      </c>
      <c r="O2066" t="str">
        <f t="shared" si="97"/>
        <v>Basic</v>
      </c>
      <c r="P2066" s="7">
        <v>45657</v>
      </c>
    </row>
    <row r="2067" spans="1:16" x14ac:dyDescent="0.3">
      <c r="A2067">
        <v>2066</v>
      </c>
      <c r="B2067" s="7">
        <v>45268</v>
      </c>
      <c r="C2067" t="s">
        <v>12</v>
      </c>
      <c r="D2067">
        <v>199</v>
      </c>
      <c r="E2067">
        <v>1.1000000000000001</v>
      </c>
      <c r="F2067">
        <v>0</v>
      </c>
      <c r="G2067">
        <v>1</v>
      </c>
      <c r="H2067">
        <v>33</v>
      </c>
      <c r="I2067">
        <v>53</v>
      </c>
      <c r="J2067" t="s">
        <v>11</v>
      </c>
      <c r="K2067">
        <f>IF(J2067="Yes", 1, 0)</f>
        <v>1</v>
      </c>
      <c r="L2067" t="str">
        <f>IF(G2067=0,"0 Failures","1+ Failures")</f>
        <v>1+ Failures</v>
      </c>
      <c r="M2067" t="str">
        <f t="shared" si="98"/>
        <v>0-5 hrs</v>
      </c>
      <c r="N2067" t="str">
        <f t="shared" si="96"/>
        <v>12+ months</v>
      </c>
      <c r="O2067" t="str">
        <f t="shared" si="97"/>
        <v>Basic</v>
      </c>
      <c r="P2067" s="7">
        <v>45657</v>
      </c>
    </row>
    <row r="2068" spans="1:16" x14ac:dyDescent="0.3">
      <c r="A2068">
        <v>2067</v>
      </c>
      <c r="B2068" s="7">
        <v>45327</v>
      </c>
      <c r="C2068" t="s">
        <v>12</v>
      </c>
      <c r="D2068">
        <v>199</v>
      </c>
      <c r="E2068">
        <v>23.7</v>
      </c>
      <c r="F2068">
        <v>6</v>
      </c>
      <c r="G2068">
        <v>5</v>
      </c>
      <c r="H2068">
        <v>32</v>
      </c>
      <c r="I2068">
        <v>20</v>
      </c>
      <c r="J2068" t="s">
        <v>11</v>
      </c>
      <c r="K2068">
        <f>IF(J2068="Yes", 1, 0)</f>
        <v>1</v>
      </c>
      <c r="L2068" t="str">
        <f>IF(G2068=0,"0 Failures","1+ Failures")</f>
        <v>1+ Failures</v>
      </c>
      <c r="M2068" t="str">
        <f t="shared" si="98"/>
        <v>20+ hrs</v>
      </c>
      <c r="N2068" t="str">
        <f t="shared" si="96"/>
        <v>12+ months</v>
      </c>
      <c r="O2068" t="str">
        <f t="shared" si="97"/>
        <v>Basic</v>
      </c>
      <c r="P2068" s="7">
        <v>45657</v>
      </c>
    </row>
    <row r="2069" spans="1:16" x14ac:dyDescent="0.3">
      <c r="A2069">
        <v>2068</v>
      </c>
      <c r="B2069" s="7">
        <v>45610</v>
      </c>
      <c r="C2069" t="s">
        <v>10</v>
      </c>
      <c r="D2069">
        <v>699</v>
      </c>
      <c r="E2069">
        <v>23.1</v>
      </c>
      <c r="F2069">
        <v>7</v>
      </c>
      <c r="G2069">
        <v>4</v>
      </c>
      <c r="H2069">
        <v>11</v>
      </c>
      <c r="I2069">
        <v>38</v>
      </c>
      <c r="J2069" t="s">
        <v>11</v>
      </c>
      <c r="K2069">
        <f>IF(J2069="Yes", 1, 0)</f>
        <v>1</v>
      </c>
      <c r="L2069" t="str">
        <f>IF(G2069=0,"0 Failures","1+ Failures")</f>
        <v>1+ Failures</v>
      </c>
      <c r="M2069" t="str">
        <f t="shared" si="98"/>
        <v>20+ hrs</v>
      </c>
      <c r="N2069" t="str">
        <f t="shared" si="96"/>
        <v>6-12months</v>
      </c>
      <c r="O2069" t="str">
        <f t="shared" si="97"/>
        <v>Premium</v>
      </c>
      <c r="P2069" s="7">
        <v>45657</v>
      </c>
    </row>
    <row r="2070" spans="1:16" x14ac:dyDescent="0.3">
      <c r="A2070">
        <v>2069</v>
      </c>
      <c r="B2070" s="7">
        <v>44938</v>
      </c>
      <c r="C2070" t="s">
        <v>12</v>
      </c>
      <c r="D2070">
        <v>199</v>
      </c>
      <c r="E2070">
        <v>15.6</v>
      </c>
      <c r="F2070">
        <v>0</v>
      </c>
      <c r="G2070">
        <v>0</v>
      </c>
      <c r="H2070">
        <v>5</v>
      </c>
      <c r="I2070">
        <v>39</v>
      </c>
      <c r="J2070" t="s">
        <v>11</v>
      </c>
      <c r="K2070">
        <f>IF(J2070="Yes", 1, 0)</f>
        <v>1</v>
      </c>
      <c r="L2070" t="str">
        <f>IF(G2070=0,"0 Failures","1+ Failures")</f>
        <v>0 Failures</v>
      </c>
      <c r="M2070" t="str">
        <f t="shared" si="98"/>
        <v>10-20hrs</v>
      </c>
      <c r="N2070" t="str">
        <f t="shared" si="96"/>
        <v>3-6months</v>
      </c>
      <c r="O2070" t="str">
        <f t="shared" si="97"/>
        <v>Basic</v>
      </c>
      <c r="P2070" s="7">
        <v>45657</v>
      </c>
    </row>
    <row r="2071" spans="1:16" x14ac:dyDescent="0.3">
      <c r="A2071">
        <v>2070</v>
      </c>
      <c r="B2071" s="7">
        <v>45026</v>
      </c>
      <c r="C2071" t="s">
        <v>14</v>
      </c>
      <c r="D2071">
        <v>399</v>
      </c>
      <c r="E2071">
        <v>7.9</v>
      </c>
      <c r="F2071">
        <v>6</v>
      </c>
      <c r="G2071">
        <v>5</v>
      </c>
      <c r="H2071">
        <v>1</v>
      </c>
      <c r="I2071">
        <v>36</v>
      </c>
      <c r="J2071" t="s">
        <v>13</v>
      </c>
      <c r="K2071">
        <f>IF(J2071="Yes", 1, 0)</f>
        <v>0</v>
      </c>
      <c r="L2071" t="str">
        <f>IF(G2071=0,"0 Failures","1+ Failures")</f>
        <v>1+ Failures</v>
      </c>
      <c r="M2071" t="str">
        <f t="shared" si="98"/>
        <v>5-10 hrs</v>
      </c>
      <c r="N2071" t="str">
        <f t="shared" si="96"/>
        <v>0-3months</v>
      </c>
      <c r="O2071" t="str">
        <f t="shared" si="97"/>
        <v>Basic</v>
      </c>
      <c r="P2071" s="7">
        <v>45657</v>
      </c>
    </row>
    <row r="2072" spans="1:16" x14ac:dyDescent="0.3">
      <c r="A2072">
        <v>2071</v>
      </c>
      <c r="B2072" s="7">
        <v>45004</v>
      </c>
      <c r="C2072" t="s">
        <v>12</v>
      </c>
      <c r="D2072">
        <v>199</v>
      </c>
      <c r="E2072">
        <v>5.8</v>
      </c>
      <c r="F2072">
        <v>3</v>
      </c>
      <c r="G2072">
        <v>3</v>
      </c>
      <c r="H2072">
        <v>24</v>
      </c>
      <c r="I2072">
        <v>47</v>
      </c>
      <c r="J2072" t="s">
        <v>13</v>
      </c>
      <c r="K2072">
        <f>IF(J2072="Yes", 1, 0)</f>
        <v>0</v>
      </c>
      <c r="L2072" t="str">
        <f>IF(G2072=0,"0 Failures","1+ Failures")</f>
        <v>1+ Failures</v>
      </c>
      <c r="M2072" t="str">
        <f t="shared" si="98"/>
        <v>5-10 hrs</v>
      </c>
      <c r="N2072" t="str">
        <f t="shared" si="96"/>
        <v>12+ months</v>
      </c>
      <c r="O2072" t="str">
        <f t="shared" si="97"/>
        <v>Basic</v>
      </c>
      <c r="P2072" s="7">
        <v>45657</v>
      </c>
    </row>
    <row r="2073" spans="1:16" x14ac:dyDescent="0.3">
      <c r="A2073">
        <v>2072</v>
      </c>
      <c r="B2073" s="7">
        <v>45072</v>
      </c>
      <c r="C2073" t="s">
        <v>14</v>
      </c>
      <c r="D2073">
        <v>399</v>
      </c>
      <c r="E2073">
        <v>16.5</v>
      </c>
      <c r="F2073">
        <v>4</v>
      </c>
      <c r="G2073">
        <v>0</v>
      </c>
      <c r="H2073">
        <v>27</v>
      </c>
      <c r="I2073">
        <v>57</v>
      </c>
      <c r="J2073" t="s">
        <v>11</v>
      </c>
      <c r="K2073">
        <f>IF(J2073="Yes", 1, 0)</f>
        <v>1</v>
      </c>
      <c r="L2073" t="str">
        <f>IF(G2073=0,"0 Failures","1+ Failures")</f>
        <v>0 Failures</v>
      </c>
      <c r="M2073" t="str">
        <f t="shared" si="98"/>
        <v>10-20hrs</v>
      </c>
      <c r="N2073" t="str">
        <f t="shared" si="96"/>
        <v>12+ months</v>
      </c>
      <c r="O2073" t="str">
        <f t="shared" si="97"/>
        <v>Basic</v>
      </c>
      <c r="P2073" s="7">
        <v>45657</v>
      </c>
    </row>
    <row r="2074" spans="1:16" x14ac:dyDescent="0.3">
      <c r="A2074">
        <v>2073</v>
      </c>
      <c r="B2074" s="7">
        <v>45625</v>
      </c>
      <c r="C2074" t="s">
        <v>14</v>
      </c>
      <c r="D2074">
        <v>399</v>
      </c>
      <c r="E2074">
        <v>23.3</v>
      </c>
      <c r="F2074">
        <v>3</v>
      </c>
      <c r="G2074">
        <v>0</v>
      </c>
      <c r="H2074">
        <v>30</v>
      </c>
      <c r="I2074">
        <v>58</v>
      </c>
      <c r="J2074" t="s">
        <v>13</v>
      </c>
      <c r="K2074">
        <f>IF(J2074="Yes", 1, 0)</f>
        <v>0</v>
      </c>
      <c r="L2074" t="str">
        <f>IF(G2074=0,"0 Failures","1+ Failures")</f>
        <v>0 Failures</v>
      </c>
      <c r="M2074" t="str">
        <f t="shared" si="98"/>
        <v>20+ hrs</v>
      </c>
      <c r="N2074" t="str">
        <f t="shared" si="96"/>
        <v>12+ months</v>
      </c>
      <c r="O2074" t="str">
        <f t="shared" si="97"/>
        <v>Basic</v>
      </c>
      <c r="P2074" s="7">
        <v>45657</v>
      </c>
    </row>
    <row r="2075" spans="1:16" x14ac:dyDescent="0.3">
      <c r="A2075">
        <v>2074</v>
      </c>
      <c r="B2075" s="7">
        <v>45520</v>
      </c>
      <c r="C2075" t="s">
        <v>12</v>
      </c>
      <c r="D2075">
        <v>199</v>
      </c>
      <c r="E2075">
        <v>4.8</v>
      </c>
      <c r="F2075">
        <v>1</v>
      </c>
      <c r="G2075">
        <v>0</v>
      </c>
      <c r="H2075">
        <v>31</v>
      </c>
      <c r="I2075">
        <v>46</v>
      </c>
      <c r="J2075" t="s">
        <v>11</v>
      </c>
      <c r="K2075">
        <f>IF(J2075="Yes", 1, 0)</f>
        <v>1</v>
      </c>
      <c r="L2075" t="str">
        <f>IF(G2075=0,"0 Failures","1+ Failures")</f>
        <v>0 Failures</v>
      </c>
      <c r="M2075" t="str">
        <f t="shared" si="98"/>
        <v>0-5 hrs</v>
      </c>
      <c r="N2075" t="str">
        <f t="shared" si="96"/>
        <v>12+ months</v>
      </c>
      <c r="O2075" t="str">
        <f t="shared" si="97"/>
        <v>Basic</v>
      </c>
      <c r="P2075" s="7">
        <v>45657</v>
      </c>
    </row>
    <row r="2076" spans="1:16" x14ac:dyDescent="0.3">
      <c r="A2076">
        <v>2075</v>
      </c>
      <c r="B2076" s="7">
        <v>45635</v>
      </c>
      <c r="C2076" t="s">
        <v>10</v>
      </c>
      <c r="D2076">
        <v>699</v>
      </c>
      <c r="E2076">
        <v>7.2</v>
      </c>
      <c r="F2076">
        <v>0</v>
      </c>
      <c r="G2076">
        <v>5</v>
      </c>
      <c r="H2076">
        <v>36</v>
      </c>
      <c r="I2076">
        <v>36</v>
      </c>
      <c r="J2076" t="s">
        <v>11</v>
      </c>
      <c r="K2076">
        <f>IF(J2076="Yes", 1, 0)</f>
        <v>1</v>
      </c>
      <c r="L2076" t="str">
        <f>IF(G2076=0,"0 Failures","1+ Failures")</f>
        <v>1+ Failures</v>
      </c>
      <c r="M2076" t="str">
        <f t="shared" si="98"/>
        <v>5-10 hrs</v>
      </c>
      <c r="N2076" t="str">
        <f t="shared" si="96"/>
        <v>12+ months</v>
      </c>
      <c r="O2076" t="str">
        <f t="shared" si="97"/>
        <v>Premium</v>
      </c>
      <c r="P2076" s="7">
        <v>45657</v>
      </c>
    </row>
    <row r="2077" spans="1:16" x14ac:dyDescent="0.3">
      <c r="A2077">
        <v>2076</v>
      </c>
      <c r="B2077" s="7">
        <v>45403</v>
      </c>
      <c r="C2077" t="s">
        <v>12</v>
      </c>
      <c r="D2077">
        <v>199</v>
      </c>
      <c r="E2077">
        <v>2.1</v>
      </c>
      <c r="F2077">
        <v>6</v>
      </c>
      <c r="G2077">
        <v>0</v>
      </c>
      <c r="H2077">
        <v>14</v>
      </c>
      <c r="I2077">
        <v>2</v>
      </c>
      <c r="J2077" t="s">
        <v>11</v>
      </c>
      <c r="K2077">
        <f>IF(J2077="Yes", 1, 0)</f>
        <v>1</v>
      </c>
      <c r="L2077" t="str">
        <f>IF(G2077=0,"0 Failures","1+ Failures")</f>
        <v>0 Failures</v>
      </c>
      <c r="M2077" t="str">
        <f t="shared" si="98"/>
        <v>0-5 hrs</v>
      </c>
      <c r="N2077" t="str">
        <f t="shared" si="96"/>
        <v>12+ months</v>
      </c>
      <c r="O2077" t="str">
        <f t="shared" si="97"/>
        <v>Basic</v>
      </c>
      <c r="P2077" s="7">
        <v>45657</v>
      </c>
    </row>
    <row r="2078" spans="1:16" x14ac:dyDescent="0.3">
      <c r="A2078">
        <v>2077</v>
      </c>
      <c r="B2078" s="7">
        <v>45214</v>
      </c>
      <c r="C2078" t="s">
        <v>14</v>
      </c>
      <c r="D2078">
        <v>399</v>
      </c>
      <c r="E2078">
        <v>24.3</v>
      </c>
      <c r="F2078">
        <v>0</v>
      </c>
      <c r="G2078">
        <v>5</v>
      </c>
      <c r="H2078">
        <v>12</v>
      </c>
      <c r="I2078">
        <v>4</v>
      </c>
      <c r="J2078" t="s">
        <v>13</v>
      </c>
      <c r="K2078">
        <f>IF(J2078="Yes", 1, 0)</f>
        <v>0</v>
      </c>
      <c r="L2078" t="str">
        <f>IF(G2078=0,"0 Failures","1+ Failures")</f>
        <v>1+ Failures</v>
      </c>
      <c r="M2078" t="str">
        <f t="shared" si="98"/>
        <v>20+ hrs</v>
      </c>
      <c r="N2078" t="str">
        <f t="shared" si="96"/>
        <v>6-12months</v>
      </c>
      <c r="O2078" t="str">
        <f t="shared" si="97"/>
        <v>Basic</v>
      </c>
      <c r="P2078" s="7">
        <v>45657</v>
      </c>
    </row>
    <row r="2079" spans="1:16" x14ac:dyDescent="0.3">
      <c r="A2079">
        <v>2078</v>
      </c>
      <c r="B2079" s="7">
        <v>45119</v>
      </c>
      <c r="C2079" t="s">
        <v>10</v>
      </c>
      <c r="D2079">
        <v>699</v>
      </c>
      <c r="E2079">
        <v>18.100000000000001</v>
      </c>
      <c r="F2079">
        <v>3</v>
      </c>
      <c r="G2079">
        <v>2</v>
      </c>
      <c r="H2079">
        <v>19</v>
      </c>
      <c r="I2079">
        <v>1</v>
      </c>
      <c r="J2079" t="s">
        <v>13</v>
      </c>
      <c r="K2079">
        <f>IF(J2079="Yes", 1, 0)</f>
        <v>0</v>
      </c>
      <c r="L2079" t="str">
        <f>IF(G2079=0,"0 Failures","1+ Failures")</f>
        <v>1+ Failures</v>
      </c>
      <c r="M2079" t="str">
        <f t="shared" si="98"/>
        <v>10-20hrs</v>
      </c>
      <c r="N2079" t="str">
        <f t="shared" si="96"/>
        <v>12+ months</v>
      </c>
      <c r="O2079" t="str">
        <f t="shared" si="97"/>
        <v>Premium</v>
      </c>
      <c r="P2079" s="7">
        <v>45657</v>
      </c>
    </row>
    <row r="2080" spans="1:16" x14ac:dyDescent="0.3">
      <c r="A2080">
        <v>2079</v>
      </c>
      <c r="B2080" s="7">
        <v>45499</v>
      </c>
      <c r="C2080" t="s">
        <v>12</v>
      </c>
      <c r="D2080">
        <v>199</v>
      </c>
      <c r="E2080">
        <v>20.399999999999999</v>
      </c>
      <c r="F2080">
        <v>0</v>
      </c>
      <c r="G2080">
        <v>4</v>
      </c>
      <c r="H2080">
        <v>29</v>
      </c>
      <c r="I2080">
        <v>53</v>
      </c>
      <c r="J2080" t="s">
        <v>13</v>
      </c>
      <c r="K2080">
        <f>IF(J2080="Yes", 1, 0)</f>
        <v>0</v>
      </c>
      <c r="L2080" t="str">
        <f>IF(G2080=0,"0 Failures","1+ Failures")</f>
        <v>1+ Failures</v>
      </c>
      <c r="M2080" t="str">
        <f t="shared" si="98"/>
        <v>20+ hrs</v>
      </c>
      <c r="N2080" t="str">
        <f t="shared" si="96"/>
        <v>12+ months</v>
      </c>
      <c r="O2080" t="str">
        <f t="shared" si="97"/>
        <v>Basic</v>
      </c>
      <c r="P2080" s="7">
        <v>45657</v>
      </c>
    </row>
    <row r="2081" spans="1:16" x14ac:dyDescent="0.3">
      <c r="A2081">
        <v>2080</v>
      </c>
      <c r="B2081" s="7">
        <v>45303</v>
      </c>
      <c r="C2081" t="s">
        <v>10</v>
      </c>
      <c r="D2081">
        <v>699</v>
      </c>
      <c r="E2081">
        <v>19.899999999999999</v>
      </c>
      <c r="F2081">
        <v>0</v>
      </c>
      <c r="G2081">
        <v>2</v>
      </c>
      <c r="H2081">
        <v>32</v>
      </c>
      <c r="I2081">
        <v>23</v>
      </c>
      <c r="J2081" t="s">
        <v>11</v>
      </c>
      <c r="K2081">
        <f>IF(J2081="Yes", 1, 0)</f>
        <v>1</v>
      </c>
      <c r="L2081" t="str">
        <f>IF(G2081=0,"0 Failures","1+ Failures")</f>
        <v>1+ Failures</v>
      </c>
      <c r="M2081" t="str">
        <f t="shared" si="98"/>
        <v>10-20hrs</v>
      </c>
      <c r="N2081" t="str">
        <f t="shared" si="96"/>
        <v>12+ months</v>
      </c>
      <c r="O2081" t="str">
        <f t="shared" si="97"/>
        <v>Premium</v>
      </c>
      <c r="P2081" s="7">
        <v>45657</v>
      </c>
    </row>
    <row r="2082" spans="1:16" x14ac:dyDescent="0.3">
      <c r="A2082">
        <v>2081</v>
      </c>
      <c r="B2082" s="7">
        <v>45491</v>
      </c>
      <c r="C2082" t="s">
        <v>14</v>
      </c>
      <c r="D2082">
        <v>399</v>
      </c>
      <c r="E2082">
        <v>13.8</v>
      </c>
      <c r="F2082">
        <v>5</v>
      </c>
      <c r="G2082">
        <v>5</v>
      </c>
      <c r="H2082">
        <v>31</v>
      </c>
      <c r="I2082">
        <v>57</v>
      </c>
      <c r="J2082" t="s">
        <v>11</v>
      </c>
      <c r="K2082">
        <f>IF(J2082="Yes", 1, 0)</f>
        <v>1</v>
      </c>
      <c r="L2082" t="str">
        <f>IF(G2082=0,"0 Failures","1+ Failures")</f>
        <v>1+ Failures</v>
      </c>
      <c r="M2082" t="str">
        <f t="shared" si="98"/>
        <v>10-20hrs</v>
      </c>
      <c r="N2082" t="str">
        <f t="shared" si="96"/>
        <v>12+ months</v>
      </c>
      <c r="O2082" t="str">
        <f t="shared" si="97"/>
        <v>Basic</v>
      </c>
      <c r="P2082" s="7">
        <v>45657</v>
      </c>
    </row>
    <row r="2083" spans="1:16" x14ac:dyDescent="0.3">
      <c r="A2083">
        <v>2082</v>
      </c>
      <c r="B2083" s="7">
        <v>45308</v>
      </c>
      <c r="C2083" t="s">
        <v>10</v>
      </c>
      <c r="D2083">
        <v>699</v>
      </c>
      <c r="E2083">
        <v>8.4</v>
      </c>
      <c r="F2083">
        <v>5</v>
      </c>
      <c r="G2083">
        <v>3</v>
      </c>
      <c r="H2083">
        <v>10</v>
      </c>
      <c r="I2083">
        <v>11</v>
      </c>
      <c r="J2083" t="s">
        <v>13</v>
      </c>
      <c r="K2083">
        <f>IF(J2083="Yes", 1, 0)</f>
        <v>0</v>
      </c>
      <c r="L2083" t="str">
        <f>IF(G2083=0,"0 Failures","1+ Failures")</f>
        <v>1+ Failures</v>
      </c>
      <c r="M2083" t="str">
        <f t="shared" si="98"/>
        <v>5-10 hrs</v>
      </c>
      <c r="N2083" t="str">
        <f t="shared" si="96"/>
        <v>6-12months</v>
      </c>
      <c r="O2083" t="str">
        <f t="shared" si="97"/>
        <v>Premium</v>
      </c>
      <c r="P2083" s="7">
        <v>45657</v>
      </c>
    </row>
    <row r="2084" spans="1:16" x14ac:dyDescent="0.3">
      <c r="A2084">
        <v>2083</v>
      </c>
      <c r="B2084" s="7">
        <v>45618</v>
      </c>
      <c r="C2084" t="s">
        <v>14</v>
      </c>
      <c r="D2084">
        <v>399</v>
      </c>
      <c r="E2084">
        <v>19.3</v>
      </c>
      <c r="F2084">
        <v>2</v>
      </c>
      <c r="G2084">
        <v>5</v>
      </c>
      <c r="H2084">
        <v>23</v>
      </c>
      <c r="I2084">
        <v>48</v>
      </c>
      <c r="J2084" t="s">
        <v>13</v>
      </c>
      <c r="K2084">
        <f>IF(J2084="Yes", 1, 0)</f>
        <v>0</v>
      </c>
      <c r="L2084" t="str">
        <f>IF(G2084=0,"0 Failures","1+ Failures")</f>
        <v>1+ Failures</v>
      </c>
      <c r="M2084" t="str">
        <f t="shared" si="98"/>
        <v>10-20hrs</v>
      </c>
      <c r="N2084" t="str">
        <f t="shared" si="96"/>
        <v>12+ months</v>
      </c>
      <c r="O2084" t="str">
        <f t="shared" si="97"/>
        <v>Basic</v>
      </c>
      <c r="P2084" s="7">
        <v>45657</v>
      </c>
    </row>
    <row r="2085" spans="1:16" x14ac:dyDescent="0.3">
      <c r="A2085">
        <v>2084</v>
      </c>
      <c r="B2085" s="7">
        <v>45067</v>
      </c>
      <c r="C2085" t="s">
        <v>10</v>
      </c>
      <c r="D2085">
        <v>699</v>
      </c>
      <c r="E2085">
        <v>9.3000000000000007</v>
      </c>
      <c r="F2085">
        <v>6</v>
      </c>
      <c r="G2085">
        <v>0</v>
      </c>
      <c r="H2085">
        <v>27</v>
      </c>
      <c r="I2085">
        <v>38</v>
      </c>
      <c r="J2085" t="s">
        <v>11</v>
      </c>
      <c r="K2085">
        <f>IF(J2085="Yes", 1, 0)</f>
        <v>1</v>
      </c>
      <c r="L2085" t="str">
        <f>IF(G2085=0,"0 Failures","1+ Failures")</f>
        <v>0 Failures</v>
      </c>
      <c r="M2085" t="str">
        <f t="shared" si="98"/>
        <v>5-10 hrs</v>
      </c>
      <c r="N2085" t="str">
        <f t="shared" si="96"/>
        <v>12+ months</v>
      </c>
      <c r="O2085" t="str">
        <f t="shared" si="97"/>
        <v>Premium</v>
      </c>
      <c r="P2085" s="7">
        <v>45657</v>
      </c>
    </row>
    <row r="2086" spans="1:16" x14ac:dyDescent="0.3">
      <c r="A2086">
        <v>2085</v>
      </c>
      <c r="B2086" s="7">
        <v>44970</v>
      </c>
      <c r="C2086" t="s">
        <v>14</v>
      </c>
      <c r="D2086">
        <v>399</v>
      </c>
      <c r="E2086">
        <v>16.3</v>
      </c>
      <c r="F2086">
        <v>7</v>
      </c>
      <c r="G2086">
        <v>4</v>
      </c>
      <c r="H2086">
        <v>23</v>
      </c>
      <c r="I2086">
        <v>55</v>
      </c>
      <c r="J2086" t="s">
        <v>11</v>
      </c>
      <c r="K2086">
        <f>IF(J2086="Yes", 1, 0)</f>
        <v>1</v>
      </c>
      <c r="L2086" t="str">
        <f>IF(G2086=0,"0 Failures","1+ Failures")</f>
        <v>1+ Failures</v>
      </c>
      <c r="M2086" t="str">
        <f t="shared" si="98"/>
        <v>10-20hrs</v>
      </c>
      <c r="N2086" t="str">
        <f t="shared" si="96"/>
        <v>12+ months</v>
      </c>
      <c r="O2086" t="str">
        <f t="shared" si="97"/>
        <v>Basic</v>
      </c>
      <c r="P2086" s="7">
        <v>45657</v>
      </c>
    </row>
    <row r="2087" spans="1:16" x14ac:dyDescent="0.3">
      <c r="A2087">
        <v>2086</v>
      </c>
      <c r="B2087" s="7">
        <v>45090</v>
      </c>
      <c r="C2087" t="s">
        <v>14</v>
      </c>
      <c r="D2087">
        <v>399</v>
      </c>
      <c r="E2087">
        <v>23</v>
      </c>
      <c r="F2087">
        <v>2</v>
      </c>
      <c r="G2087">
        <v>4</v>
      </c>
      <c r="H2087">
        <v>33</v>
      </c>
      <c r="I2087">
        <v>21</v>
      </c>
      <c r="J2087" t="s">
        <v>11</v>
      </c>
      <c r="K2087">
        <f>IF(J2087="Yes", 1, 0)</f>
        <v>1</v>
      </c>
      <c r="L2087" t="str">
        <f>IF(G2087=0,"0 Failures","1+ Failures")</f>
        <v>1+ Failures</v>
      </c>
      <c r="M2087" t="str">
        <f t="shared" si="98"/>
        <v>20+ hrs</v>
      </c>
      <c r="N2087" t="str">
        <f t="shared" si="96"/>
        <v>12+ months</v>
      </c>
      <c r="O2087" t="str">
        <f t="shared" si="97"/>
        <v>Basic</v>
      </c>
      <c r="P2087" s="7">
        <v>45657</v>
      </c>
    </row>
    <row r="2088" spans="1:16" x14ac:dyDescent="0.3">
      <c r="A2088">
        <v>2087</v>
      </c>
      <c r="B2088" s="7">
        <v>45356</v>
      </c>
      <c r="C2088" t="s">
        <v>10</v>
      </c>
      <c r="D2088">
        <v>699</v>
      </c>
      <c r="E2088">
        <v>24.4</v>
      </c>
      <c r="F2088">
        <v>3</v>
      </c>
      <c r="G2088">
        <v>5</v>
      </c>
      <c r="H2088">
        <v>9</v>
      </c>
      <c r="I2088">
        <v>25</v>
      </c>
      <c r="J2088" t="s">
        <v>11</v>
      </c>
      <c r="K2088">
        <f>IF(J2088="Yes", 1, 0)</f>
        <v>1</v>
      </c>
      <c r="L2088" t="str">
        <f>IF(G2088=0,"0 Failures","1+ Failures")</f>
        <v>1+ Failures</v>
      </c>
      <c r="M2088" t="str">
        <f t="shared" si="98"/>
        <v>20+ hrs</v>
      </c>
      <c r="N2088" t="str">
        <f t="shared" si="96"/>
        <v>6-12months</v>
      </c>
      <c r="O2088" t="str">
        <f t="shared" si="97"/>
        <v>Premium</v>
      </c>
      <c r="P2088" s="7">
        <v>45657</v>
      </c>
    </row>
    <row r="2089" spans="1:16" x14ac:dyDescent="0.3">
      <c r="A2089">
        <v>2088</v>
      </c>
      <c r="B2089" s="7">
        <v>45490</v>
      </c>
      <c r="C2089" t="s">
        <v>12</v>
      </c>
      <c r="D2089">
        <v>199</v>
      </c>
      <c r="E2089">
        <v>13.8</v>
      </c>
      <c r="F2089">
        <v>8</v>
      </c>
      <c r="G2089">
        <v>0</v>
      </c>
      <c r="H2089">
        <v>33</v>
      </c>
      <c r="I2089">
        <v>36</v>
      </c>
      <c r="J2089" t="s">
        <v>11</v>
      </c>
      <c r="K2089">
        <f>IF(J2089="Yes", 1, 0)</f>
        <v>1</v>
      </c>
      <c r="L2089" t="str">
        <f>IF(G2089=0,"0 Failures","1+ Failures")</f>
        <v>0 Failures</v>
      </c>
      <c r="M2089" t="str">
        <f t="shared" si="98"/>
        <v>10-20hrs</v>
      </c>
      <c r="N2089" t="str">
        <f t="shared" si="96"/>
        <v>12+ months</v>
      </c>
      <c r="O2089" t="str">
        <f t="shared" si="97"/>
        <v>Basic</v>
      </c>
      <c r="P2089" s="7">
        <v>45657</v>
      </c>
    </row>
    <row r="2090" spans="1:16" x14ac:dyDescent="0.3">
      <c r="A2090">
        <v>2089</v>
      </c>
      <c r="B2090" s="7">
        <v>45309</v>
      </c>
      <c r="C2090" t="s">
        <v>10</v>
      </c>
      <c r="D2090">
        <v>699</v>
      </c>
      <c r="E2090">
        <v>18.600000000000001</v>
      </c>
      <c r="F2090">
        <v>5</v>
      </c>
      <c r="G2090">
        <v>3</v>
      </c>
      <c r="H2090">
        <v>11</v>
      </c>
      <c r="I2090">
        <v>7</v>
      </c>
      <c r="J2090" t="s">
        <v>11</v>
      </c>
      <c r="K2090">
        <f>IF(J2090="Yes", 1, 0)</f>
        <v>1</v>
      </c>
      <c r="L2090" t="str">
        <f>IF(G2090=0,"0 Failures","1+ Failures")</f>
        <v>1+ Failures</v>
      </c>
      <c r="M2090" t="str">
        <f t="shared" si="98"/>
        <v>10-20hrs</v>
      </c>
      <c r="N2090" t="str">
        <f t="shared" si="96"/>
        <v>6-12months</v>
      </c>
      <c r="O2090" t="str">
        <f t="shared" si="97"/>
        <v>Premium</v>
      </c>
      <c r="P2090" s="7">
        <v>45657</v>
      </c>
    </row>
    <row r="2091" spans="1:16" x14ac:dyDescent="0.3">
      <c r="A2091">
        <v>2090</v>
      </c>
      <c r="B2091" s="7">
        <v>45344</v>
      </c>
      <c r="C2091" t="s">
        <v>10</v>
      </c>
      <c r="D2091">
        <v>699</v>
      </c>
      <c r="E2091">
        <v>13.3</v>
      </c>
      <c r="F2091">
        <v>6</v>
      </c>
      <c r="G2091">
        <v>1</v>
      </c>
      <c r="H2091">
        <v>26</v>
      </c>
      <c r="I2091">
        <v>36</v>
      </c>
      <c r="J2091" t="s">
        <v>11</v>
      </c>
      <c r="K2091">
        <f>IF(J2091="Yes", 1, 0)</f>
        <v>1</v>
      </c>
      <c r="L2091" t="str">
        <f>IF(G2091=0,"0 Failures","1+ Failures")</f>
        <v>1+ Failures</v>
      </c>
      <c r="M2091" t="str">
        <f t="shared" si="98"/>
        <v>10-20hrs</v>
      </c>
      <c r="N2091" t="str">
        <f t="shared" si="96"/>
        <v>12+ months</v>
      </c>
      <c r="O2091" t="str">
        <f t="shared" si="97"/>
        <v>Premium</v>
      </c>
      <c r="P2091" s="7">
        <v>45657</v>
      </c>
    </row>
    <row r="2092" spans="1:16" x14ac:dyDescent="0.3">
      <c r="A2092">
        <v>2091</v>
      </c>
      <c r="B2092" s="7">
        <v>45119</v>
      </c>
      <c r="C2092" t="s">
        <v>10</v>
      </c>
      <c r="D2092">
        <v>699</v>
      </c>
      <c r="E2092">
        <v>6</v>
      </c>
      <c r="F2092">
        <v>7</v>
      </c>
      <c r="G2092">
        <v>1</v>
      </c>
      <c r="H2092">
        <v>7</v>
      </c>
      <c r="I2092">
        <v>53</v>
      </c>
      <c r="J2092" t="s">
        <v>13</v>
      </c>
      <c r="K2092">
        <f>IF(J2092="Yes", 1, 0)</f>
        <v>0</v>
      </c>
      <c r="L2092" t="str">
        <f>IF(G2092=0,"0 Failures","1+ Failures")</f>
        <v>1+ Failures</v>
      </c>
      <c r="M2092" t="str">
        <f t="shared" si="98"/>
        <v>5-10 hrs</v>
      </c>
      <c r="N2092" t="str">
        <f t="shared" si="96"/>
        <v>6-12months</v>
      </c>
      <c r="O2092" t="str">
        <f t="shared" si="97"/>
        <v>Premium</v>
      </c>
      <c r="P2092" s="7">
        <v>45657</v>
      </c>
    </row>
    <row r="2093" spans="1:16" x14ac:dyDescent="0.3">
      <c r="A2093">
        <v>2092</v>
      </c>
      <c r="B2093" s="7">
        <v>45000</v>
      </c>
      <c r="C2093" t="s">
        <v>10</v>
      </c>
      <c r="D2093">
        <v>699</v>
      </c>
      <c r="E2093">
        <v>22.4</v>
      </c>
      <c r="F2093">
        <v>8</v>
      </c>
      <c r="G2093">
        <v>0</v>
      </c>
      <c r="H2093">
        <v>1</v>
      </c>
      <c r="I2093">
        <v>31</v>
      </c>
      <c r="J2093" t="s">
        <v>11</v>
      </c>
      <c r="K2093">
        <f>IF(J2093="Yes", 1, 0)</f>
        <v>1</v>
      </c>
      <c r="L2093" t="str">
        <f>IF(G2093=0,"0 Failures","1+ Failures")</f>
        <v>0 Failures</v>
      </c>
      <c r="M2093" t="str">
        <f t="shared" si="98"/>
        <v>20+ hrs</v>
      </c>
      <c r="N2093" t="str">
        <f t="shared" si="96"/>
        <v>0-3months</v>
      </c>
      <c r="O2093" t="str">
        <f t="shared" si="97"/>
        <v>Premium</v>
      </c>
      <c r="P2093" s="7">
        <v>45657</v>
      </c>
    </row>
    <row r="2094" spans="1:16" x14ac:dyDescent="0.3">
      <c r="A2094">
        <v>2093</v>
      </c>
      <c r="B2094" s="7">
        <v>45580</v>
      </c>
      <c r="C2094" t="s">
        <v>10</v>
      </c>
      <c r="D2094">
        <v>699</v>
      </c>
      <c r="E2094">
        <v>6.4</v>
      </c>
      <c r="F2094">
        <v>6</v>
      </c>
      <c r="G2094">
        <v>2</v>
      </c>
      <c r="H2094">
        <v>20</v>
      </c>
      <c r="I2094">
        <v>52</v>
      </c>
      <c r="J2094" t="s">
        <v>11</v>
      </c>
      <c r="K2094">
        <f>IF(J2094="Yes", 1, 0)</f>
        <v>1</v>
      </c>
      <c r="L2094" t="str">
        <f>IF(G2094=0,"0 Failures","1+ Failures")</f>
        <v>1+ Failures</v>
      </c>
      <c r="M2094" t="str">
        <f t="shared" si="98"/>
        <v>5-10 hrs</v>
      </c>
      <c r="N2094" t="str">
        <f t="shared" si="96"/>
        <v>12+ months</v>
      </c>
      <c r="O2094" t="str">
        <f t="shared" si="97"/>
        <v>Premium</v>
      </c>
      <c r="P2094" s="7">
        <v>45657</v>
      </c>
    </row>
    <row r="2095" spans="1:16" x14ac:dyDescent="0.3">
      <c r="A2095">
        <v>2094</v>
      </c>
      <c r="B2095" s="7">
        <v>45623</v>
      </c>
      <c r="C2095" t="s">
        <v>12</v>
      </c>
      <c r="D2095">
        <v>199</v>
      </c>
      <c r="E2095">
        <v>1.1000000000000001</v>
      </c>
      <c r="F2095">
        <v>0</v>
      </c>
      <c r="G2095">
        <v>2</v>
      </c>
      <c r="H2095">
        <v>13</v>
      </c>
      <c r="I2095">
        <v>7</v>
      </c>
      <c r="J2095" t="s">
        <v>11</v>
      </c>
      <c r="K2095">
        <f>IF(J2095="Yes", 1, 0)</f>
        <v>1</v>
      </c>
      <c r="L2095" t="str">
        <f>IF(G2095=0,"0 Failures","1+ Failures")</f>
        <v>1+ Failures</v>
      </c>
      <c r="M2095" t="str">
        <f t="shared" si="98"/>
        <v>0-5 hrs</v>
      </c>
      <c r="N2095" t="str">
        <f t="shared" si="96"/>
        <v>12+ months</v>
      </c>
      <c r="O2095" t="str">
        <f t="shared" si="97"/>
        <v>Basic</v>
      </c>
      <c r="P2095" s="7">
        <v>45657</v>
      </c>
    </row>
    <row r="2096" spans="1:16" x14ac:dyDescent="0.3">
      <c r="A2096">
        <v>2095</v>
      </c>
      <c r="B2096" s="7">
        <v>45339</v>
      </c>
      <c r="C2096" t="s">
        <v>12</v>
      </c>
      <c r="D2096">
        <v>199</v>
      </c>
      <c r="E2096">
        <v>6.7</v>
      </c>
      <c r="F2096">
        <v>1</v>
      </c>
      <c r="G2096">
        <v>3</v>
      </c>
      <c r="H2096">
        <v>5</v>
      </c>
      <c r="I2096">
        <v>60</v>
      </c>
      <c r="J2096" t="s">
        <v>11</v>
      </c>
      <c r="K2096">
        <f>IF(J2096="Yes", 1, 0)</f>
        <v>1</v>
      </c>
      <c r="L2096" t="str">
        <f>IF(G2096=0,"0 Failures","1+ Failures")</f>
        <v>1+ Failures</v>
      </c>
      <c r="M2096" t="str">
        <f t="shared" si="98"/>
        <v>5-10 hrs</v>
      </c>
      <c r="N2096" t="str">
        <f t="shared" si="96"/>
        <v>3-6months</v>
      </c>
      <c r="O2096" t="str">
        <f t="shared" si="97"/>
        <v>Basic</v>
      </c>
      <c r="P2096" s="7">
        <v>45657</v>
      </c>
    </row>
    <row r="2097" spans="1:16" x14ac:dyDescent="0.3">
      <c r="A2097">
        <v>2096</v>
      </c>
      <c r="B2097" s="7">
        <v>45530</v>
      </c>
      <c r="C2097" t="s">
        <v>12</v>
      </c>
      <c r="D2097">
        <v>199</v>
      </c>
      <c r="E2097">
        <v>8.9</v>
      </c>
      <c r="F2097">
        <v>5</v>
      </c>
      <c r="G2097">
        <v>1</v>
      </c>
      <c r="H2097">
        <v>20</v>
      </c>
      <c r="I2097">
        <v>19</v>
      </c>
      <c r="J2097" t="s">
        <v>13</v>
      </c>
      <c r="K2097">
        <f>IF(J2097="Yes", 1, 0)</f>
        <v>0</v>
      </c>
      <c r="L2097" t="str">
        <f>IF(G2097=0,"0 Failures","1+ Failures")</f>
        <v>1+ Failures</v>
      </c>
      <c r="M2097" t="str">
        <f t="shared" si="98"/>
        <v>5-10 hrs</v>
      </c>
      <c r="N2097" t="str">
        <f t="shared" si="96"/>
        <v>12+ months</v>
      </c>
      <c r="O2097" t="str">
        <f t="shared" si="97"/>
        <v>Basic</v>
      </c>
      <c r="P2097" s="7">
        <v>45657</v>
      </c>
    </row>
    <row r="2098" spans="1:16" x14ac:dyDescent="0.3">
      <c r="A2098">
        <v>2097</v>
      </c>
      <c r="B2098" s="7">
        <v>45188</v>
      </c>
      <c r="C2098" t="s">
        <v>14</v>
      </c>
      <c r="D2098">
        <v>399</v>
      </c>
      <c r="E2098">
        <v>17.100000000000001</v>
      </c>
      <c r="F2098">
        <v>0</v>
      </c>
      <c r="G2098">
        <v>3</v>
      </c>
      <c r="H2098">
        <v>3</v>
      </c>
      <c r="I2098">
        <v>20</v>
      </c>
      <c r="J2098" t="s">
        <v>13</v>
      </c>
      <c r="K2098">
        <f>IF(J2098="Yes", 1, 0)</f>
        <v>0</v>
      </c>
      <c r="L2098" t="str">
        <f>IF(G2098=0,"0 Failures","1+ Failures")</f>
        <v>1+ Failures</v>
      </c>
      <c r="M2098" t="str">
        <f t="shared" si="98"/>
        <v>10-20hrs</v>
      </c>
      <c r="N2098" t="str">
        <f t="shared" si="96"/>
        <v>0-3months</v>
      </c>
      <c r="O2098" t="str">
        <f t="shared" si="97"/>
        <v>Basic</v>
      </c>
      <c r="P2098" s="7">
        <v>45657</v>
      </c>
    </row>
    <row r="2099" spans="1:16" x14ac:dyDescent="0.3">
      <c r="A2099">
        <v>2098</v>
      </c>
      <c r="B2099" s="7">
        <v>45632</v>
      </c>
      <c r="C2099" t="s">
        <v>10</v>
      </c>
      <c r="D2099">
        <v>699</v>
      </c>
      <c r="E2099">
        <v>21.6</v>
      </c>
      <c r="F2099">
        <v>6</v>
      </c>
      <c r="G2099">
        <v>4</v>
      </c>
      <c r="H2099">
        <v>31</v>
      </c>
      <c r="I2099">
        <v>49</v>
      </c>
      <c r="J2099" t="s">
        <v>11</v>
      </c>
      <c r="K2099">
        <f>IF(J2099="Yes", 1, 0)</f>
        <v>1</v>
      </c>
      <c r="L2099" t="str">
        <f>IF(G2099=0,"0 Failures","1+ Failures")</f>
        <v>1+ Failures</v>
      </c>
      <c r="M2099" t="str">
        <f t="shared" si="98"/>
        <v>20+ hrs</v>
      </c>
      <c r="N2099" t="str">
        <f t="shared" si="96"/>
        <v>12+ months</v>
      </c>
      <c r="O2099" t="str">
        <f t="shared" si="97"/>
        <v>Premium</v>
      </c>
      <c r="P2099" s="7">
        <v>45657</v>
      </c>
    </row>
    <row r="2100" spans="1:16" x14ac:dyDescent="0.3">
      <c r="A2100">
        <v>2099</v>
      </c>
      <c r="B2100" s="7">
        <v>45426</v>
      </c>
      <c r="C2100" t="s">
        <v>10</v>
      </c>
      <c r="D2100">
        <v>699</v>
      </c>
      <c r="E2100">
        <v>23.8</v>
      </c>
      <c r="F2100">
        <v>7</v>
      </c>
      <c r="G2100">
        <v>0</v>
      </c>
      <c r="H2100">
        <v>23</v>
      </c>
      <c r="I2100">
        <v>24</v>
      </c>
      <c r="J2100" t="s">
        <v>11</v>
      </c>
      <c r="K2100">
        <f>IF(J2100="Yes", 1, 0)</f>
        <v>1</v>
      </c>
      <c r="L2100" t="str">
        <f>IF(G2100=0,"0 Failures","1+ Failures")</f>
        <v>0 Failures</v>
      </c>
      <c r="M2100" t="str">
        <f t="shared" si="98"/>
        <v>20+ hrs</v>
      </c>
      <c r="N2100" t="str">
        <f t="shared" si="96"/>
        <v>12+ months</v>
      </c>
      <c r="O2100" t="str">
        <f t="shared" si="97"/>
        <v>Premium</v>
      </c>
      <c r="P2100" s="7">
        <v>45657</v>
      </c>
    </row>
    <row r="2101" spans="1:16" x14ac:dyDescent="0.3">
      <c r="A2101">
        <v>2100</v>
      </c>
      <c r="B2101" s="7">
        <v>45573</v>
      </c>
      <c r="C2101" t="s">
        <v>12</v>
      </c>
      <c r="D2101">
        <v>199</v>
      </c>
      <c r="E2101">
        <v>6.7</v>
      </c>
      <c r="F2101">
        <v>1</v>
      </c>
      <c r="G2101">
        <v>0</v>
      </c>
      <c r="H2101">
        <v>31</v>
      </c>
      <c r="I2101">
        <v>15</v>
      </c>
      <c r="J2101" t="s">
        <v>13</v>
      </c>
      <c r="K2101">
        <f>IF(J2101="Yes", 1, 0)</f>
        <v>0</v>
      </c>
      <c r="L2101" t="str">
        <f>IF(G2101=0,"0 Failures","1+ Failures")</f>
        <v>0 Failures</v>
      </c>
      <c r="M2101" t="str">
        <f t="shared" si="98"/>
        <v>5-10 hrs</v>
      </c>
      <c r="N2101" t="str">
        <f t="shared" si="96"/>
        <v>12+ months</v>
      </c>
      <c r="O2101" t="str">
        <f t="shared" si="97"/>
        <v>Basic</v>
      </c>
      <c r="P2101" s="7">
        <v>45657</v>
      </c>
    </row>
    <row r="2102" spans="1:16" x14ac:dyDescent="0.3">
      <c r="A2102">
        <v>2101</v>
      </c>
      <c r="B2102" s="7">
        <v>44962</v>
      </c>
      <c r="C2102" t="s">
        <v>12</v>
      </c>
      <c r="D2102">
        <v>199</v>
      </c>
      <c r="E2102">
        <v>9.8000000000000007</v>
      </c>
      <c r="F2102">
        <v>5</v>
      </c>
      <c r="G2102">
        <v>1</v>
      </c>
      <c r="H2102">
        <v>30</v>
      </c>
      <c r="I2102">
        <v>38</v>
      </c>
      <c r="J2102" t="s">
        <v>13</v>
      </c>
      <c r="K2102">
        <f>IF(J2102="Yes", 1, 0)</f>
        <v>0</v>
      </c>
      <c r="L2102" t="str">
        <f>IF(G2102=0,"0 Failures","1+ Failures")</f>
        <v>1+ Failures</v>
      </c>
      <c r="M2102" t="str">
        <f t="shared" si="98"/>
        <v>5-10 hrs</v>
      </c>
      <c r="N2102" t="str">
        <f t="shared" si="96"/>
        <v>12+ months</v>
      </c>
      <c r="O2102" t="str">
        <f t="shared" si="97"/>
        <v>Basic</v>
      </c>
      <c r="P2102" s="7">
        <v>45657</v>
      </c>
    </row>
    <row r="2103" spans="1:16" x14ac:dyDescent="0.3">
      <c r="A2103">
        <v>2102</v>
      </c>
      <c r="B2103" s="7">
        <v>44937</v>
      </c>
      <c r="C2103" t="s">
        <v>14</v>
      </c>
      <c r="D2103">
        <v>399</v>
      </c>
      <c r="E2103">
        <v>14</v>
      </c>
      <c r="F2103">
        <v>7</v>
      </c>
      <c r="G2103">
        <v>1</v>
      </c>
      <c r="H2103">
        <v>20</v>
      </c>
      <c r="I2103">
        <v>39</v>
      </c>
      <c r="J2103" t="s">
        <v>11</v>
      </c>
      <c r="K2103">
        <f>IF(J2103="Yes", 1, 0)</f>
        <v>1</v>
      </c>
      <c r="L2103" t="str">
        <f>IF(G2103=0,"0 Failures","1+ Failures")</f>
        <v>1+ Failures</v>
      </c>
      <c r="M2103" t="str">
        <f t="shared" si="98"/>
        <v>10-20hrs</v>
      </c>
      <c r="N2103" t="str">
        <f t="shared" si="96"/>
        <v>12+ months</v>
      </c>
      <c r="O2103" t="str">
        <f t="shared" si="97"/>
        <v>Basic</v>
      </c>
      <c r="P2103" s="7">
        <v>45657</v>
      </c>
    </row>
    <row r="2104" spans="1:16" x14ac:dyDescent="0.3">
      <c r="A2104">
        <v>2103</v>
      </c>
      <c r="B2104" s="7">
        <v>45112</v>
      </c>
      <c r="C2104" t="s">
        <v>10</v>
      </c>
      <c r="D2104">
        <v>699</v>
      </c>
      <c r="E2104">
        <v>15</v>
      </c>
      <c r="F2104">
        <v>0</v>
      </c>
      <c r="G2104">
        <v>4</v>
      </c>
      <c r="H2104">
        <v>9</v>
      </c>
      <c r="I2104">
        <v>28</v>
      </c>
      <c r="J2104" t="s">
        <v>11</v>
      </c>
      <c r="K2104">
        <f>IF(J2104="Yes", 1, 0)</f>
        <v>1</v>
      </c>
      <c r="L2104" t="str">
        <f>IF(G2104=0,"0 Failures","1+ Failures")</f>
        <v>1+ Failures</v>
      </c>
      <c r="M2104" t="str">
        <f t="shared" si="98"/>
        <v>10-20hrs</v>
      </c>
      <c r="N2104" t="str">
        <f t="shared" si="96"/>
        <v>6-12months</v>
      </c>
      <c r="O2104" t="str">
        <f t="shared" si="97"/>
        <v>Premium</v>
      </c>
      <c r="P2104" s="7">
        <v>45657</v>
      </c>
    </row>
    <row r="2105" spans="1:16" x14ac:dyDescent="0.3">
      <c r="A2105">
        <v>2104</v>
      </c>
      <c r="B2105" s="7">
        <v>45186</v>
      </c>
      <c r="C2105" t="s">
        <v>14</v>
      </c>
      <c r="D2105">
        <v>399</v>
      </c>
      <c r="E2105">
        <v>17.600000000000001</v>
      </c>
      <c r="F2105">
        <v>6</v>
      </c>
      <c r="G2105">
        <v>4</v>
      </c>
      <c r="H2105">
        <v>18</v>
      </c>
      <c r="I2105">
        <v>41</v>
      </c>
      <c r="J2105" t="s">
        <v>11</v>
      </c>
      <c r="K2105">
        <f>IF(J2105="Yes", 1, 0)</f>
        <v>1</v>
      </c>
      <c r="L2105" t="str">
        <f>IF(G2105=0,"0 Failures","1+ Failures")</f>
        <v>1+ Failures</v>
      </c>
      <c r="M2105" t="str">
        <f t="shared" si="98"/>
        <v>10-20hrs</v>
      </c>
      <c r="N2105" t="str">
        <f t="shared" si="96"/>
        <v>12+ months</v>
      </c>
      <c r="O2105" t="str">
        <f t="shared" si="97"/>
        <v>Basic</v>
      </c>
      <c r="P2105" s="7">
        <v>45657</v>
      </c>
    </row>
    <row r="2106" spans="1:16" x14ac:dyDescent="0.3">
      <c r="A2106">
        <v>2105</v>
      </c>
      <c r="B2106" s="7">
        <v>45093</v>
      </c>
      <c r="C2106" t="s">
        <v>10</v>
      </c>
      <c r="D2106">
        <v>699</v>
      </c>
      <c r="E2106">
        <v>17.600000000000001</v>
      </c>
      <c r="F2106">
        <v>7</v>
      </c>
      <c r="G2106">
        <v>1</v>
      </c>
      <c r="H2106">
        <v>8</v>
      </c>
      <c r="I2106">
        <v>57</v>
      </c>
      <c r="J2106" t="s">
        <v>11</v>
      </c>
      <c r="K2106">
        <f>IF(J2106="Yes", 1, 0)</f>
        <v>1</v>
      </c>
      <c r="L2106" t="str">
        <f>IF(G2106=0,"0 Failures","1+ Failures")</f>
        <v>1+ Failures</v>
      </c>
      <c r="M2106" t="str">
        <f t="shared" si="98"/>
        <v>10-20hrs</v>
      </c>
      <c r="N2106" t="str">
        <f t="shared" si="96"/>
        <v>6-12months</v>
      </c>
      <c r="O2106" t="str">
        <f t="shared" si="97"/>
        <v>Premium</v>
      </c>
      <c r="P2106" s="7">
        <v>45657</v>
      </c>
    </row>
    <row r="2107" spans="1:16" x14ac:dyDescent="0.3">
      <c r="A2107">
        <v>2106</v>
      </c>
      <c r="B2107" s="7">
        <v>45005</v>
      </c>
      <c r="C2107" t="s">
        <v>12</v>
      </c>
      <c r="D2107">
        <v>199</v>
      </c>
      <c r="E2107">
        <v>15.2</v>
      </c>
      <c r="F2107">
        <v>6</v>
      </c>
      <c r="G2107">
        <v>0</v>
      </c>
      <c r="H2107">
        <v>19</v>
      </c>
      <c r="I2107">
        <v>43</v>
      </c>
      <c r="J2107" t="s">
        <v>11</v>
      </c>
      <c r="K2107">
        <f>IF(J2107="Yes", 1, 0)</f>
        <v>1</v>
      </c>
      <c r="L2107" t="str">
        <f>IF(G2107=0,"0 Failures","1+ Failures")</f>
        <v>0 Failures</v>
      </c>
      <c r="M2107" t="str">
        <f t="shared" si="98"/>
        <v>10-20hrs</v>
      </c>
      <c r="N2107" t="str">
        <f t="shared" si="96"/>
        <v>12+ months</v>
      </c>
      <c r="O2107" t="str">
        <f t="shared" si="97"/>
        <v>Basic</v>
      </c>
      <c r="P2107" s="7">
        <v>45657</v>
      </c>
    </row>
    <row r="2108" spans="1:16" x14ac:dyDescent="0.3">
      <c r="A2108">
        <v>2107</v>
      </c>
      <c r="B2108" s="7">
        <v>45596</v>
      </c>
      <c r="C2108" t="s">
        <v>12</v>
      </c>
      <c r="D2108">
        <v>199</v>
      </c>
      <c r="E2108">
        <v>12.4</v>
      </c>
      <c r="F2108">
        <v>0</v>
      </c>
      <c r="G2108">
        <v>3</v>
      </c>
      <c r="H2108">
        <v>31</v>
      </c>
      <c r="I2108">
        <v>49</v>
      </c>
      <c r="J2108" t="s">
        <v>13</v>
      </c>
      <c r="K2108">
        <f>IF(J2108="Yes", 1, 0)</f>
        <v>0</v>
      </c>
      <c r="L2108" t="str">
        <f>IF(G2108=0,"0 Failures","1+ Failures")</f>
        <v>1+ Failures</v>
      </c>
      <c r="M2108" t="str">
        <f t="shared" si="98"/>
        <v>10-20hrs</v>
      </c>
      <c r="N2108" t="str">
        <f t="shared" si="96"/>
        <v>12+ months</v>
      </c>
      <c r="O2108" t="str">
        <f t="shared" si="97"/>
        <v>Basic</v>
      </c>
      <c r="P2108" s="7">
        <v>45657</v>
      </c>
    </row>
    <row r="2109" spans="1:16" x14ac:dyDescent="0.3">
      <c r="A2109">
        <v>2108</v>
      </c>
      <c r="B2109" s="7">
        <v>45524</v>
      </c>
      <c r="C2109" t="s">
        <v>12</v>
      </c>
      <c r="D2109">
        <v>199</v>
      </c>
      <c r="E2109">
        <v>1.6</v>
      </c>
      <c r="F2109">
        <v>2</v>
      </c>
      <c r="G2109">
        <v>1</v>
      </c>
      <c r="H2109">
        <v>25</v>
      </c>
      <c r="I2109">
        <v>21</v>
      </c>
      <c r="J2109" t="s">
        <v>13</v>
      </c>
      <c r="K2109">
        <f>IF(J2109="Yes", 1, 0)</f>
        <v>0</v>
      </c>
      <c r="L2109" t="str">
        <f>IF(G2109=0,"0 Failures","1+ Failures")</f>
        <v>1+ Failures</v>
      </c>
      <c r="M2109" t="str">
        <f t="shared" si="98"/>
        <v>0-5 hrs</v>
      </c>
      <c r="N2109" t="str">
        <f t="shared" si="96"/>
        <v>12+ months</v>
      </c>
      <c r="O2109" t="str">
        <f t="shared" si="97"/>
        <v>Basic</v>
      </c>
      <c r="P2109" s="7">
        <v>45657</v>
      </c>
    </row>
    <row r="2110" spans="1:16" x14ac:dyDescent="0.3">
      <c r="A2110">
        <v>2109</v>
      </c>
      <c r="B2110" s="7">
        <v>45546</v>
      </c>
      <c r="C2110" t="s">
        <v>14</v>
      </c>
      <c r="D2110">
        <v>399</v>
      </c>
      <c r="E2110">
        <v>18</v>
      </c>
      <c r="F2110">
        <v>1</v>
      </c>
      <c r="G2110">
        <v>0</v>
      </c>
      <c r="H2110">
        <v>15</v>
      </c>
      <c r="I2110">
        <v>10</v>
      </c>
      <c r="J2110" t="s">
        <v>13</v>
      </c>
      <c r="K2110">
        <f>IF(J2110="Yes", 1, 0)</f>
        <v>0</v>
      </c>
      <c r="L2110" t="str">
        <f>IF(G2110=0,"0 Failures","1+ Failures")</f>
        <v>0 Failures</v>
      </c>
      <c r="M2110" t="str">
        <f t="shared" si="98"/>
        <v>10-20hrs</v>
      </c>
      <c r="N2110" t="str">
        <f t="shared" si="96"/>
        <v>12+ months</v>
      </c>
      <c r="O2110" t="str">
        <f t="shared" si="97"/>
        <v>Basic</v>
      </c>
      <c r="P2110" s="7">
        <v>45657</v>
      </c>
    </row>
    <row r="2111" spans="1:16" x14ac:dyDescent="0.3">
      <c r="A2111">
        <v>2110</v>
      </c>
      <c r="B2111" s="7">
        <v>45464</v>
      </c>
      <c r="C2111" t="s">
        <v>10</v>
      </c>
      <c r="D2111">
        <v>699</v>
      </c>
      <c r="E2111">
        <v>11.2</v>
      </c>
      <c r="F2111">
        <v>5</v>
      </c>
      <c r="G2111">
        <v>5</v>
      </c>
      <c r="H2111">
        <v>2</v>
      </c>
      <c r="I2111">
        <v>27</v>
      </c>
      <c r="J2111" t="s">
        <v>11</v>
      </c>
      <c r="K2111">
        <f>IF(J2111="Yes", 1, 0)</f>
        <v>1</v>
      </c>
      <c r="L2111" t="str">
        <f>IF(G2111=0,"0 Failures","1+ Failures")</f>
        <v>1+ Failures</v>
      </c>
      <c r="M2111" t="str">
        <f t="shared" si="98"/>
        <v>10-20hrs</v>
      </c>
      <c r="N2111" t="str">
        <f t="shared" si="96"/>
        <v>0-3months</v>
      </c>
      <c r="O2111" t="str">
        <f t="shared" si="97"/>
        <v>Premium</v>
      </c>
      <c r="P2111" s="7">
        <v>45657</v>
      </c>
    </row>
    <row r="2112" spans="1:16" x14ac:dyDescent="0.3">
      <c r="A2112">
        <v>2111</v>
      </c>
      <c r="B2112" s="7">
        <v>45373</v>
      </c>
      <c r="C2112" t="s">
        <v>10</v>
      </c>
      <c r="D2112">
        <v>699</v>
      </c>
      <c r="E2112">
        <v>16.100000000000001</v>
      </c>
      <c r="F2112">
        <v>1</v>
      </c>
      <c r="G2112">
        <v>3</v>
      </c>
      <c r="H2112">
        <v>24</v>
      </c>
      <c r="I2112">
        <v>30</v>
      </c>
      <c r="J2112" t="s">
        <v>11</v>
      </c>
      <c r="K2112">
        <f>IF(J2112="Yes", 1, 0)</f>
        <v>1</v>
      </c>
      <c r="L2112" t="str">
        <f>IF(G2112=0,"0 Failures","1+ Failures")</f>
        <v>1+ Failures</v>
      </c>
      <c r="M2112" t="str">
        <f t="shared" si="98"/>
        <v>10-20hrs</v>
      </c>
      <c r="N2112" t="str">
        <f t="shared" si="96"/>
        <v>12+ months</v>
      </c>
      <c r="O2112" t="str">
        <f t="shared" si="97"/>
        <v>Premium</v>
      </c>
      <c r="P2112" s="7">
        <v>45657</v>
      </c>
    </row>
    <row r="2113" spans="1:16" x14ac:dyDescent="0.3">
      <c r="A2113">
        <v>2112</v>
      </c>
      <c r="B2113" s="7">
        <v>45293</v>
      </c>
      <c r="C2113" t="s">
        <v>10</v>
      </c>
      <c r="D2113">
        <v>699</v>
      </c>
      <c r="E2113">
        <v>2.1</v>
      </c>
      <c r="F2113">
        <v>1</v>
      </c>
      <c r="G2113">
        <v>2</v>
      </c>
      <c r="H2113">
        <v>28</v>
      </c>
      <c r="I2113">
        <v>56</v>
      </c>
      <c r="J2113" t="s">
        <v>13</v>
      </c>
      <c r="K2113">
        <f>IF(J2113="Yes", 1, 0)</f>
        <v>0</v>
      </c>
      <c r="L2113" t="str">
        <f>IF(G2113=0,"0 Failures","1+ Failures")</f>
        <v>1+ Failures</v>
      </c>
      <c r="M2113" t="str">
        <f t="shared" si="98"/>
        <v>0-5 hrs</v>
      </c>
      <c r="N2113" t="str">
        <f t="shared" si="96"/>
        <v>12+ months</v>
      </c>
      <c r="O2113" t="str">
        <f t="shared" si="97"/>
        <v>Premium</v>
      </c>
      <c r="P2113" s="7">
        <v>45657</v>
      </c>
    </row>
    <row r="2114" spans="1:16" x14ac:dyDescent="0.3">
      <c r="A2114">
        <v>2113</v>
      </c>
      <c r="B2114" s="7">
        <v>45015</v>
      </c>
      <c r="C2114" t="s">
        <v>14</v>
      </c>
      <c r="D2114">
        <v>399</v>
      </c>
      <c r="E2114">
        <v>12.9</v>
      </c>
      <c r="F2114">
        <v>3</v>
      </c>
      <c r="G2114">
        <v>1</v>
      </c>
      <c r="H2114">
        <v>26</v>
      </c>
      <c r="I2114">
        <v>7</v>
      </c>
      <c r="J2114" t="s">
        <v>11</v>
      </c>
      <c r="K2114">
        <f>IF(J2114="Yes", 1, 0)</f>
        <v>1</v>
      </c>
      <c r="L2114" t="str">
        <f>IF(G2114=0,"0 Failures","1+ Failures")</f>
        <v>1+ Failures</v>
      </c>
      <c r="M2114" t="str">
        <f t="shared" si="98"/>
        <v>10-20hrs</v>
      </c>
      <c r="N2114" t="str">
        <f t="shared" si="96"/>
        <v>12+ months</v>
      </c>
      <c r="O2114" t="str">
        <f t="shared" si="97"/>
        <v>Basic</v>
      </c>
      <c r="P2114" s="7">
        <v>45657</v>
      </c>
    </row>
    <row r="2115" spans="1:16" x14ac:dyDescent="0.3">
      <c r="A2115">
        <v>2114</v>
      </c>
      <c r="B2115" s="7">
        <v>45196</v>
      </c>
      <c r="C2115" t="s">
        <v>10</v>
      </c>
      <c r="D2115">
        <v>699</v>
      </c>
      <c r="E2115">
        <v>16.8</v>
      </c>
      <c r="F2115">
        <v>7</v>
      </c>
      <c r="G2115">
        <v>5</v>
      </c>
      <c r="H2115">
        <v>12</v>
      </c>
      <c r="I2115">
        <v>34</v>
      </c>
      <c r="J2115" t="s">
        <v>11</v>
      </c>
      <c r="K2115">
        <f>IF(J2115="Yes", 1, 0)</f>
        <v>1</v>
      </c>
      <c r="L2115" t="str">
        <f>IF(G2115=0,"0 Failures","1+ Failures")</f>
        <v>1+ Failures</v>
      </c>
      <c r="M2115" t="str">
        <f t="shared" si="98"/>
        <v>10-20hrs</v>
      </c>
      <c r="N2115" t="str">
        <f t="shared" ref="N2115:N2178" si="99">IF(H2115&lt;=3, "0-3months", IF(H2115&lt;=6, "3-6months", IF(H2115&lt;=12, "6-12months", "12+ months")))</f>
        <v>6-12months</v>
      </c>
      <c r="O2115" t="str">
        <f t="shared" ref="O2115:O2178" si="100">IF(C2115="premium", "Premium", "Basic")</f>
        <v>Premium</v>
      </c>
      <c r="P2115" s="7">
        <v>45657</v>
      </c>
    </row>
    <row r="2116" spans="1:16" x14ac:dyDescent="0.3">
      <c r="A2116">
        <v>2115</v>
      </c>
      <c r="B2116" s="7">
        <v>44967</v>
      </c>
      <c r="C2116" t="s">
        <v>14</v>
      </c>
      <c r="D2116">
        <v>399</v>
      </c>
      <c r="E2116">
        <v>24.3</v>
      </c>
      <c r="F2116">
        <v>2</v>
      </c>
      <c r="G2116">
        <v>4</v>
      </c>
      <c r="H2116">
        <v>5</v>
      </c>
      <c r="I2116">
        <v>26</v>
      </c>
      <c r="J2116" t="s">
        <v>11</v>
      </c>
      <c r="K2116">
        <f>IF(J2116="Yes", 1, 0)</f>
        <v>1</v>
      </c>
      <c r="L2116" t="str">
        <f>IF(G2116=0,"0 Failures","1+ Failures")</f>
        <v>1+ Failures</v>
      </c>
      <c r="M2116" t="str">
        <f t="shared" si="98"/>
        <v>20+ hrs</v>
      </c>
      <c r="N2116" t="str">
        <f t="shared" si="99"/>
        <v>3-6months</v>
      </c>
      <c r="O2116" t="str">
        <f t="shared" si="100"/>
        <v>Basic</v>
      </c>
      <c r="P2116" s="7">
        <v>45657</v>
      </c>
    </row>
    <row r="2117" spans="1:16" x14ac:dyDescent="0.3">
      <c r="A2117">
        <v>2116</v>
      </c>
      <c r="B2117" s="7">
        <v>45307</v>
      </c>
      <c r="C2117" t="s">
        <v>12</v>
      </c>
      <c r="D2117">
        <v>199</v>
      </c>
      <c r="E2117">
        <v>4.0999999999999996</v>
      </c>
      <c r="F2117">
        <v>2</v>
      </c>
      <c r="G2117">
        <v>5</v>
      </c>
      <c r="H2117">
        <v>13</v>
      </c>
      <c r="I2117">
        <v>44</v>
      </c>
      <c r="J2117" t="s">
        <v>11</v>
      </c>
      <c r="K2117">
        <f>IF(J2117="Yes", 1, 0)</f>
        <v>1</v>
      </c>
      <c r="L2117" t="str">
        <f>IF(G2117=0,"0 Failures","1+ Failures")</f>
        <v>1+ Failures</v>
      </c>
      <c r="M2117" t="str">
        <f t="shared" si="98"/>
        <v>0-5 hrs</v>
      </c>
      <c r="N2117" t="str">
        <f t="shared" si="99"/>
        <v>12+ months</v>
      </c>
      <c r="O2117" t="str">
        <f t="shared" si="100"/>
        <v>Basic</v>
      </c>
      <c r="P2117" s="7">
        <v>45657</v>
      </c>
    </row>
    <row r="2118" spans="1:16" x14ac:dyDescent="0.3">
      <c r="A2118">
        <v>2117</v>
      </c>
      <c r="B2118" s="7">
        <v>45470</v>
      </c>
      <c r="C2118" t="s">
        <v>12</v>
      </c>
      <c r="D2118">
        <v>199</v>
      </c>
      <c r="E2118">
        <v>19.8</v>
      </c>
      <c r="F2118">
        <v>1</v>
      </c>
      <c r="G2118">
        <v>4</v>
      </c>
      <c r="H2118">
        <v>33</v>
      </c>
      <c r="I2118">
        <v>42</v>
      </c>
      <c r="J2118" t="s">
        <v>11</v>
      </c>
      <c r="K2118">
        <f>IF(J2118="Yes", 1, 0)</f>
        <v>1</v>
      </c>
      <c r="L2118" t="str">
        <f>IF(G2118=0,"0 Failures","1+ Failures")</f>
        <v>1+ Failures</v>
      </c>
      <c r="M2118" t="str">
        <f t="shared" si="98"/>
        <v>10-20hrs</v>
      </c>
      <c r="N2118" t="str">
        <f t="shared" si="99"/>
        <v>12+ months</v>
      </c>
      <c r="O2118" t="str">
        <f t="shared" si="100"/>
        <v>Basic</v>
      </c>
      <c r="P2118" s="7">
        <v>45657</v>
      </c>
    </row>
    <row r="2119" spans="1:16" x14ac:dyDescent="0.3">
      <c r="A2119">
        <v>2118</v>
      </c>
      <c r="B2119" s="7">
        <v>45418</v>
      </c>
      <c r="C2119" t="s">
        <v>12</v>
      </c>
      <c r="D2119">
        <v>199</v>
      </c>
      <c r="E2119">
        <v>22.1</v>
      </c>
      <c r="F2119">
        <v>2</v>
      </c>
      <c r="G2119">
        <v>2</v>
      </c>
      <c r="H2119">
        <v>20</v>
      </c>
      <c r="I2119">
        <v>58</v>
      </c>
      <c r="J2119" t="s">
        <v>11</v>
      </c>
      <c r="K2119">
        <f>IF(J2119="Yes", 1, 0)</f>
        <v>1</v>
      </c>
      <c r="L2119" t="str">
        <f>IF(G2119=0,"0 Failures","1+ Failures")</f>
        <v>1+ Failures</v>
      </c>
      <c r="M2119" t="str">
        <f t="shared" si="98"/>
        <v>20+ hrs</v>
      </c>
      <c r="N2119" t="str">
        <f t="shared" si="99"/>
        <v>12+ months</v>
      </c>
      <c r="O2119" t="str">
        <f t="shared" si="100"/>
        <v>Basic</v>
      </c>
      <c r="P2119" s="7">
        <v>45657</v>
      </c>
    </row>
    <row r="2120" spans="1:16" x14ac:dyDescent="0.3">
      <c r="A2120">
        <v>2119</v>
      </c>
      <c r="B2120" s="7">
        <v>45324</v>
      </c>
      <c r="C2120" t="s">
        <v>12</v>
      </c>
      <c r="D2120">
        <v>199</v>
      </c>
      <c r="E2120">
        <v>16.8</v>
      </c>
      <c r="F2120">
        <v>7</v>
      </c>
      <c r="G2120">
        <v>3</v>
      </c>
      <c r="H2120">
        <v>13</v>
      </c>
      <c r="I2120">
        <v>13</v>
      </c>
      <c r="J2120" t="s">
        <v>11</v>
      </c>
      <c r="K2120">
        <f>IF(J2120="Yes", 1, 0)</f>
        <v>1</v>
      </c>
      <c r="L2120" t="str">
        <f>IF(G2120=0,"0 Failures","1+ Failures")</f>
        <v>1+ Failures</v>
      </c>
      <c r="M2120" t="str">
        <f t="shared" si="98"/>
        <v>10-20hrs</v>
      </c>
      <c r="N2120" t="str">
        <f t="shared" si="99"/>
        <v>12+ months</v>
      </c>
      <c r="O2120" t="str">
        <f t="shared" si="100"/>
        <v>Basic</v>
      </c>
      <c r="P2120" s="7">
        <v>45657</v>
      </c>
    </row>
    <row r="2121" spans="1:16" x14ac:dyDescent="0.3">
      <c r="A2121">
        <v>2120</v>
      </c>
      <c r="B2121" s="7">
        <v>45449</v>
      </c>
      <c r="C2121" t="s">
        <v>10</v>
      </c>
      <c r="D2121">
        <v>699</v>
      </c>
      <c r="E2121">
        <v>21.5</v>
      </c>
      <c r="F2121">
        <v>1</v>
      </c>
      <c r="G2121">
        <v>1</v>
      </c>
      <c r="H2121">
        <v>35</v>
      </c>
      <c r="I2121">
        <v>42</v>
      </c>
      <c r="J2121" t="s">
        <v>11</v>
      </c>
      <c r="K2121">
        <f>IF(J2121="Yes", 1, 0)</f>
        <v>1</v>
      </c>
      <c r="L2121" t="str">
        <f>IF(G2121=0,"0 Failures","1+ Failures")</f>
        <v>1+ Failures</v>
      </c>
      <c r="M2121" t="str">
        <f t="shared" si="98"/>
        <v>20+ hrs</v>
      </c>
      <c r="N2121" t="str">
        <f t="shared" si="99"/>
        <v>12+ months</v>
      </c>
      <c r="O2121" t="str">
        <f t="shared" si="100"/>
        <v>Premium</v>
      </c>
      <c r="P2121" s="7">
        <v>45657</v>
      </c>
    </row>
    <row r="2122" spans="1:16" x14ac:dyDescent="0.3">
      <c r="A2122">
        <v>2121</v>
      </c>
      <c r="B2122" s="7">
        <v>45350</v>
      </c>
      <c r="C2122" t="s">
        <v>12</v>
      </c>
      <c r="D2122">
        <v>199</v>
      </c>
      <c r="E2122">
        <v>12.2</v>
      </c>
      <c r="F2122">
        <v>1</v>
      </c>
      <c r="G2122">
        <v>4</v>
      </c>
      <c r="H2122">
        <v>5</v>
      </c>
      <c r="I2122">
        <v>10</v>
      </c>
      <c r="J2122" t="s">
        <v>11</v>
      </c>
      <c r="K2122">
        <f>IF(J2122="Yes", 1, 0)</f>
        <v>1</v>
      </c>
      <c r="L2122" t="str">
        <f>IF(G2122=0,"0 Failures","1+ Failures")</f>
        <v>1+ Failures</v>
      </c>
      <c r="M2122" t="str">
        <f t="shared" si="98"/>
        <v>10-20hrs</v>
      </c>
      <c r="N2122" t="str">
        <f t="shared" si="99"/>
        <v>3-6months</v>
      </c>
      <c r="O2122" t="str">
        <f t="shared" si="100"/>
        <v>Basic</v>
      </c>
      <c r="P2122" s="7">
        <v>45657</v>
      </c>
    </row>
    <row r="2123" spans="1:16" x14ac:dyDescent="0.3">
      <c r="A2123">
        <v>2122</v>
      </c>
      <c r="B2123" s="7">
        <v>44970</v>
      </c>
      <c r="C2123" t="s">
        <v>10</v>
      </c>
      <c r="D2123">
        <v>699</v>
      </c>
      <c r="E2123">
        <v>23.5</v>
      </c>
      <c r="F2123">
        <v>4</v>
      </c>
      <c r="G2123">
        <v>3</v>
      </c>
      <c r="H2123">
        <v>24</v>
      </c>
      <c r="I2123">
        <v>3</v>
      </c>
      <c r="J2123" t="s">
        <v>13</v>
      </c>
      <c r="K2123">
        <f>IF(J2123="Yes", 1, 0)</f>
        <v>0</v>
      </c>
      <c r="L2123" t="str">
        <f>IF(G2123=0,"0 Failures","1+ Failures")</f>
        <v>1+ Failures</v>
      </c>
      <c r="M2123" t="str">
        <f t="shared" ref="M2123:M2186" si="101">IF(E2123&lt;=5, "0-5 hrs",    IF(E2123&lt;=10, "5-10 hrs",    IF(E2123&lt;=20, "10-20hrs", "20+ hrs")))</f>
        <v>20+ hrs</v>
      </c>
      <c r="N2123" t="str">
        <f t="shared" si="99"/>
        <v>12+ months</v>
      </c>
      <c r="O2123" t="str">
        <f t="shared" si="100"/>
        <v>Premium</v>
      </c>
      <c r="P2123" s="7">
        <v>45657</v>
      </c>
    </row>
    <row r="2124" spans="1:16" x14ac:dyDescent="0.3">
      <c r="A2124">
        <v>2123</v>
      </c>
      <c r="B2124" s="7">
        <v>45157</v>
      </c>
      <c r="C2124" t="s">
        <v>14</v>
      </c>
      <c r="D2124">
        <v>399</v>
      </c>
      <c r="E2124">
        <v>1.2</v>
      </c>
      <c r="F2124">
        <v>5</v>
      </c>
      <c r="G2124">
        <v>3</v>
      </c>
      <c r="H2124">
        <v>26</v>
      </c>
      <c r="I2124">
        <v>28</v>
      </c>
      <c r="J2124" t="s">
        <v>11</v>
      </c>
      <c r="K2124">
        <f>IF(J2124="Yes", 1, 0)</f>
        <v>1</v>
      </c>
      <c r="L2124" t="str">
        <f>IF(G2124=0,"0 Failures","1+ Failures")</f>
        <v>1+ Failures</v>
      </c>
      <c r="M2124" t="str">
        <f t="shared" si="101"/>
        <v>0-5 hrs</v>
      </c>
      <c r="N2124" t="str">
        <f t="shared" si="99"/>
        <v>12+ months</v>
      </c>
      <c r="O2124" t="str">
        <f t="shared" si="100"/>
        <v>Basic</v>
      </c>
      <c r="P2124" s="7">
        <v>45657</v>
      </c>
    </row>
    <row r="2125" spans="1:16" x14ac:dyDescent="0.3">
      <c r="A2125">
        <v>2124</v>
      </c>
      <c r="B2125" s="7">
        <v>45577</v>
      </c>
      <c r="C2125" t="s">
        <v>10</v>
      </c>
      <c r="D2125">
        <v>699</v>
      </c>
      <c r="E2125">
        <v>12.2</v>
      </c>
      <c r="F2125">
        <v>8</v>
      </c>
      <c r="G2125">
        <v>3</v>
      </c>
      <c r="H2125">
        <v>9</v>
      </c>
      <c r="I2125">
        <v>41</v>
      </c>
      <c r="J2125" t="s">
        <v>13</v>
      </c>
      <c r="K2125">
        <f>IF(J2125="Yes", 1, 0)</f>
        <v>0</v>
      </c>
      <c r="L2125" t="str">
        <f>IF(G2125=0,"0 Failures","1+ Failures")</f>
        <v>1+ Failures</v>
      </c>
      <c r="M2125" t="str">
        <f t="shared" si="101"/>
        <v>10-20hrs</v>
      </c>
      <c r="N2125" t="str">
        <f t="shared" si="99"/>
        <v>6-12months</v>
      </c>
      <c r="O2125" t="str">
        <f t="shared" si="100"/>
        <v>Premium</v>
      </c>
      <c r="P2125" s="7">
        <v>45657</v>
      </c>
    </row>
    <row r="2126" spans="1:16" x14ac:dyDescent="0.3">
      <c r="A2126">
        <v>2125</v>
      </c>
      <c r="B2126" s="7">
        <v>45541</v>
      </c>
      <c r="C2126" t="s">
        <v>12</v>
      </c>
      <c r="D2126">
        <v>199</v>
      </c>
      <c r="E2126">
        <v>15.2</v>
      </c>
      <c r="F2126">
        <v>4</v>
      </c>
      <c r="G2126">
        <v>3</v>
      </c>
      <c r="H2126">
        <v>16</v>
      </c>
      <c r="I2126">
        <v>49</v>
      </c>
      <c r="J2126" t="s">
        <v>11</v>
      </c>
      <c r="K2126">
        <f>IF(J2126="Yes", 1, 0)</f>
        <v>1</v>
      </c>
      <c r="L2126" t="str">
        <f>IF(G2126=0,"0 Failures","1+ Failures")</f>
        <v>1+ Failures</v>
      </c>
      <c r="M2126" t="str">
        <f t="shared" si="101"/>
        <v>10-20hrs</v>
      </c>
      <c r="N2126" t="str">
        <f t="shared" si="99"/>
        <v>12+ months</v>
      </c>
      <c r="O2126" t="str">
        <f t="shared" si="100"/>
        <v>Basic</v>
      </c>
      <c r="P2126" s="7">
        <v>45657</v>
      </c>
    </row>
    <row r="2127" spans="1:16" x14ac:dyDescent="0.3">
      <c r="A2127">
        <v>2126</v>
      </c>
      <c r="B2127" s="7">
        <v>45583</v>
      </c>
      <c r="C2127" t="s">
        <v>12</v>
      </c>
      <c r="D2127">
        <v>199</v>
      </c>
      <c r="E2127">
        <v>2.1</v>
      </c>
      <c r="F2127">
        <v>1</v>
      </c>
      <c r="G2127">
        <v>5</v>
      </c>
      <c r="H2127">
        <v>27</v>
      </c>
      <c r="I2127">
        <v>57</v>
      </c>
      <c r="J2127" t="s">
        <v>11</v>
      </c>
      <c r="K2127">
        <f>IF(J2127="Yes", 1, 0)</f>
        <v>1</v>
      </c>
      <c r="L2127" t="str">
        <f>IF(G2127=0,"0 Failures","1+ Failures")</f>
        <v>1+ Failures</v>
      </c>
      <c r="M2127" t="str">
        <f t="shared" si="101"/>
        <v>0-5 hrs</v>
      </c>
      <c r="N2127" t="str">
        <f t="shared" si="99"/>
        <v>12+ months</v>
      </c>
      <c r="O2127" t="str">
        <f t="shared" si="100"/>
        <v>Basic</v>
      </c>
      <c r="P2127" s="7">
        <v>45657</v>
      </c>
    </row>
    <row r="2128" spans="1:16" x14ac:dyDescent="0.3">
      <c r="A2128">
        <v>2127</v>
      </c>
      <c r="B2128" s="7">
        <v>45276</v>
      </c>
      <c r="C2128" t="s">
        <v>12</v>
      </c>
      <c r="D2128">
        <v>199</v>
      </c>
      <c r="E2128">
        <v>7.3</v>
      </c>
      <c r="F2128">
        <v>4</v>
      </c>
      <c r="G2128">
        <v>3</v>
      </c>
      <c r="H2128">
        <v>24</v>
      </c>
      <c r="I2128">
        <v>41</v>
      </c>
      <c r="J2128" t="s">
        <v>13</v>
      </c>
      <c r="K2128">
        <f>IF(J2128="Yes", 1, 0)</f>
        <v>0</v>
      </c>
      <c r="L2128" t="str">
        <f>IF(G2128=0,"0 Failures","1+ Failures")</f>
        <v>1+ Failures</v>
      </c>
      <c r="M2128" t="str">
        <f t="shared" si="101"/>
        <v>5-10 hrs</v>
      </c>
      <c r="N2128" t="str">
        <f t="shared" si="99"/>
        <v>12+ months</v>
      </c>
      <c r="O2128" t="str">
        <f t="shared" si="100"/>
        <v>Basic</v>
      </c>
      <c r="P2128" s="7">
        <v>45657</v>
      </c>
    </row>
    <row r="2129" spans="1:16" x14ac:dyDescent="0.3">
      <c r="A2129">
        <v>2128</v>
      </c>
      <c r="B2129" s="7">
        <v>45631</v>
      </c>
      <c r="C2129" t="s">
        <v>14</v>
      </c>
      <c r="D2129">
        <v>399</v>
      </c>
      <c r="E2129">
        <v>15.3</v>
      </c>
      <c r="F2129">
        <v>4</v>
      </c>
      <c r="G2129">
        <v>3</v>
      </c>
      <c r="H2129">
        <v>35</v>
      </c>
      <c r="I2129">
        <v>32</v>
      </c>
      <c r="J2129" t="s">
        <v>11</v>
      </c>
      <c r="K2129">
        <f>IF(J2129="Yes", 1, 0)</f>
        <v>1</v>
      </c>
      <c r="L2129" t="str">
        <f>IF(G2129=0,"0 Failures","1+ Failures")</f>
        <v>1+ Failures</v>
      </c>
      <c r="M2129" t="str">
        <f t="shared" si="101"/>
        <v>10-20hrs</v>
      </c>
      <c r="N2129" t="str">
        <f t="shared" si="99"/>
        <v>12+ months</v>
      </c>
      <c r="O2129" t="str">
        <f t="shared" si="100"/>
        <v>Basic</v>
      </c>
      <c r="P2129" s="7">
        <v>45657</v>
      </c>
    </row>
    <row r="2130" spans="1:16" x14ac:dyDescent="0.3">
      <c r="A2130">
        <v>2129</v>
      </c>
      <c r="B2130" s="7">
        <v>45428</v>
      </c>
      <c r="C2130" t="s">
        <v>10</v>
      </c>
      <c r="D2130">
        <v>699</v>
      </c>
      <c r="E2130">
        <v>23.1</v>
      </c>
      <c r="F2130">
        <v>2</v>
      </c>
      <c r="G2130">
        <v>3</v>
      </c>
      <c r="H2130">
        <v>36</v>
      </c>
      <c r="I2130">
        <v>21</v>
      </c>
      <c r="J2130" t="s">
        <v>11</v>
      </c>
      <c r="K2130">
        <f>IF(J2130="Yes", 1, 0)</f>
        <v>1</v>
      </c>
      <c r="L2130" t="str">
        <f>IF(G2130=0,"0 Failures","1+ Failures")</f>
        <v>1+ Failures</v>
      </c>
      <c r="M2130" t="str">
        <f t="shared" si="101"/>
        <v>20+ hrs</v>
      </c>
      <c r="N2130" t="str">
        <f t="shared" si="99"/>
        <v>12+ months</v>
      </c>
      <c r="O2130" t="str">
        <f t="shared" si="100"/>
        <v>Premium</v>
      </c>
      <c r="P2130" s="7">
        <v>45657</v>
      </c>
    </row>
    <row r="2131" spans="1:16" x14ac:dyDescent="0.3">
      <c r="A2131">
        <v>2130</v>
      </c>
      <c r="B2131" s="7">
        <v>45204</v>
      </c>
      <c r="C2131" t="s">
        <v>14</v>
      </c>
      <c r="D2131">
        <v>399</v>
      </c>
      <c r="E2131">
        <v>13.2</v>
      </c>
      <c r="F2131">
        <v>1</v>
      </c>
      <c r="G2131">
        <v>2</v>
      </c>
      <c r="H2131">
        <v>35</v>
      </c>
      <c r="I2131">
        <v>40</v>
      </c>
      <c r="J2131" t="s">
        <v>11</v>
      </c>
      <c r="K2131">
        <f>IF(J2131="Yes", 1, 0)</f>
        <v>1</v>
      </c>
      <c r="L2131" t="str">
        <f>IF(G2131=0,"0 Failures","1+ Failures")</f>
        <v>1+ Failures</v>
      </c>
      <c r="M2131" t="str">
        <f t="shared" si="101"/>
        <v>10-20hrs</v>
      </c>
      <c r="N2131" t="str">
        <f t="shared" si="99"/>
        <v>12+ months</v>
      </c>
      <c r="O2131" t="str">
        <f t="shared" si="100"/>
        <v>Basic</v>
      </c>
      <c r="P2131" s="7">
        <v>45657</v>
      </c>
    </row>
    <row r="2132" spans="1:16" x14ac:dyDescent="0.3">
      <c r="A2132">
        <v>2131</v>
      </c>
      <c r="B2132" s="7">
        <v>45240</v>
      </c>
      <c r="C2132" t="s">
        <v>14</v>
      </c>
      <c r="D2132">
        <v>399</v>
      </c>
      <c r="E2132">
        <v>6.1</v>
      </c>
      <c r="F2132">
        <v>5</v>
      </c>
      <c r="G2132">
        <v>1</v>
      </c>
      <c r="H2132">
        <v>33</v>
      </c>
      <c r="I2132">
        <v>36</v>
      </c>
      <c r="J2132" t="s">
        <v>11</v>
      </c>
      <c r="K2132">
        <f>IF(J2132="Yes", 1, 0)</f>
        <v>1</v>
      </c>
      <c r="L2132" t="str">
        <f>IF(G2132=0,"0 Failures","1+ Failures")</f>
        <v>1+ Failures</v>
      </c>
      <c r="M2132" t="str">
        <f t="shared" si="101"/>
        <v>5-10 hrs</v>
      </c>
      <c r="N2132" t="str">
        <f t="shared" si="99"/>
        <v>12+ months</v>
      </c>
      <c r="O2132" t="str">
        <f t="shared" si="100"/>
        <v>Basic</v>
      </c>
      <c r="P2132" s="7">
        <v>45657</v>
      </c>
    </row>
    <row r="2133" spans="1:16" x14ac:dyDescent="0.3">
      <c r="A2133">
        <v>2132</v>
      </c>
      <c r="B2133" s="7">
        <v>45612</v>
      </c>
      <c r="C2133" t="s">
        <v>12</v>
      </c>
      <c r="D2133">
        <v>199</v>
      </c>
      <c r="E2133">
        <v>13.2</v>
      </c>
      <c r="F2133">
        <v>6</v>
      </c>
      <c r="G2133">
        <v>2</v>
      </c>
      <c r="H2133">
        <v>22</v>
      </c>
      <c r="I2133">
        <v>16</v>
      </c>
      <c r="J2133" t="s">
        <v>13</v>
      </c>
      <c r="K2133">
        <f>IF(J2133="Yes", 1, 0)</f>
        <v>0</v>
      </c>
      <c r="L2133" t="str">
        <f>IF(G2133=0,"0 Failures","1+ Failures")</f>
        <v>1+ Failures</v>
      </c>
      <c r="M2133" t="str">
        <f t="shared" si="101"/>
        <v>10-20hrs</v>
      </c>
      <c r="N2133" t="str">
        <f t="shared" si="99"/>
        <v>12+ months</v>
      </c>
      <c r="O2133" t="str">
        <f t="shared" si="100"/>
        <v>Basic</v>
      </c>
      <c r="P2133" s="7">
        <v>45657</v>
      </c>
    </row>
    <row r="2134" spans="1:16" x14ac:dyDescent="0.3">
      <c r="A2134">
        <v>2133</v>
      </c>
      <c r="B2134" s="7">
        <v>45629</v>
      </c>
      <c r="C2134" t="s">
        <v>10</v>
      </c>
      <c r="D2134">
        <v>699</v>
      </c>
      <c r="E2134">
        <v>19.3</v>
      </c>
      <c r="F2134">
        <v>2</v>
      </c>
      <c r="G2134">
        <v>5</v>
      </c>
      <c r="H2134">
        <v>13</v>
      </c>
      <c r="I2134">
        <v>18</v>
      </c>
      <c r="J2134" t="s">
        <v>11</v>
      </c>
      <c r="K2134">
        <f>IF(J2134="Yes", 1, 0)</f>
        <v>1</v>
      </c>
      <c r="L2134" t="str">
        <f>IF(G2134=0,"0 Failures","1+ Failures")</f>
        <v>1+ Failures</v>
      </c>
      <c r="M2134" t="str">
        <f t="shared" si="101"/>
        <v>10-20hrs</v>
      </c>
      <c r="N2134" t="str">
        <f t="shared" si="99"/>
        <v>12+ months</v>
      </c>
      <c r="O2134" t="str">
        <f t="shared" si="100"/>
        <v>Premium</v>
      </c>
      <c r="P2134" s="7">
        <v>45657</v>
      </c>
    </row>
    <row r="2135" spans="1:16" x14ac:dyDescent="0.3">
      <c r="A2135">
        <v>2134</v>
      </c>
      <c r="B2135" s="7">
        <v>45047</v>
      </c>
      <c r="C2135" t="s">
        <v>14</v>
      </c>
      <c r="D2135">
        <v>399</v>
      </c>
      <c r="E2135">
        <v>14</v>
      </c>
      <c r="F2135">
        <v>3</v>
      </c>
      <c r="G2135">
        <v>3</v>
      </c>
      <c r="H2135">
        <v>35</v>
      </c>
      <c r="I2135">
        <v>37</v>
      </c>
      <c r="J2135" t="s">
        <v>11</v>
      </c>
      <c r="K2135">
        <f>IF(J2135="Yes", 1, 0)</f>
        <v>1</v>
      </c>
      <c r="L2135" t="str">
        <f>IF(G2135=0,"0 Failures","1+ Failures")</f>
        <v>1+ Failures</v>
      </c>
      <c r="M2135" t="str">
        <f t="shared" si="101"/>
        <v>10-20hrs</v>
      </c>
      <c r="N2135" t="str">
        <f t="shared" si="99"/>
        <v>12+ months</v>
      </c>
      <c r="O2135" t="str">
        <f t="shared" si="100"/>
        <v>Basic</v>
      </c>
      <c r="P2135" s="7">
        <v>45657</v>
      </c>
    </row>
    <row r="2136" spans="1:16" x14ac:dyDescent="0.3">
      <c r="A2136">
        <v>2135</v>
      </c>
      <c r="B2136" s="7">
        <v>45272</v>
      </c>
      <c r="C2136" t="s">
        <v>10</v>
      </c>
      <c r="D2136">
        <v>699</v>
      </c>
      <c r="E2136">
        <v>16.100000000000001</v>
      </c>
      <c r="F2136">
        <v>3</v>
      </c>
      <c r="G2136">
        <v>4</v>
      </c>
      <c r="H2136">
        <v>19</v>
      </c>
      <c r="I2136">
        <v>50</v>
      </c>
      <c r="J2136" t="s">
        <v>13</v>
      </c>
      <c r="K2136">
        <f>IF(J2136="Yes", 1, 0)</f>
        <v>0</v>
      </c>
      <c r="L2136" t="str">
        <f>IF(G2136=0,"0 Failures","1+ Failures")</f>
        <v>1+ Failures</v>
      </c>
      <c r="M2136" t="str">
        <f t="shared" si="101"/>
        <v>10-20hrs</v>
      </c>
      <c r="N2136" t="str">
        <f t="shared" si="99"/>
        <v>12+ months</v>
      </c>
      <c r="O2136" t="str">
        <f t="shared" si="100"/>
        <v>Premium</v>
      </c>
      <c r="P2136" s="7">
        <v>45657</v>
      </c>
    </row>
    <row r="2137" spans="1:16" x14ac:dyDescent="0.3">
      <c r="A2137">
        <v>2136</v>
      </c>
      <c r="B2137" s="7">
        <v>45508</v>
      </c>
      <c r="C2137" t="s">
        <v>12</v>
      </c>
      <c r="D2137">
        <v>199</v>
      </c>
      <c r="E2137">
        <v>9.6999999999999993</v>
      </c>
      <c r="F2137">
        <v>6</v>
      </c>
      <c r="G2137">
        <v>3</v>
      </c>
      <c r="H2137">
        <v>32</v>
      </c>
      <c r="I2137">
        <v>45</v>
      </c>
      <c r="J2137" t="s">
        <v>11</v>
      </c>
      <c r="K2137">
        <f>IF(J2137="Yes", 1, 0)</f>
        <v>1</v>
      </c>
      <c r="L2137" t="str">
        <f>IF(G2137=0,"0 Failures","1+ Failures")</f>
        <v>1+ Failures</v>
      </c>
      <c r="M2137" t="str">
        <f t="shared" si="101"/>
        <v>5-10 hrs</v>
      </c>
      <c r="N2137" t="str">
        <f t="shared" si="99"/>
        <v>12+ months</v>
      </c>
      <c r="O2137" t="str">
        <f t="shared" si="100"/>
        <v>Basic</v>
      </c>
      <c r="P2137" s="7">
        <v>45657</v>
      </c>
    </row>
    <row r="2138" spans="1:16" x14ac:dyDescent="0.3">
      <c r="A2138">
        <v>2137</v>
      </c>
      <c r="B2138" s="7">
        <v>45312</v>
      </c>
      <c r="C2138" t="s">
        <v>14</v>
      </c>
      <c r="D2138">
        <v>399</v>
      </c>
      <c r="E2138">
        <v>8.9</v>
      </c>
      <c r="F2138">
        <v>4</v>
      </c>
      <c r="G2138">
        <v>4</v>
      </c>
      <c r="H2138">
        <v>35</v>
      </c>
      <c r="I2138">
        <v>4</v>
      </c>
      <c r="J2138" t="s">
        <v>11</v>
      </c>
      <c r="K2138">
        <f>IF(J2138="Yes", 1, 0)</f>
        <v>1</v>
      </c>
      <c r="L2138" t="str">
        <f>IF(G2138=0,"0 Failures","1+ Failures")</f>
        <v>1+ Failures</v>
      </c>
      <c r="M2138" t="str">
        <f t="shared" si="101"/>
        <v>5-10 hrs</v>
      </c>
      <c r="N2138" t="str">
        <f t="shared" si="99"/>
        <v>12+ months</v>
      </c>
      <c r="O2138" t="str">
        <f t="shared" si="100"/>
        <v>Basic</v>
      </c>
      <c r="P2138" s="7">
        <v>45657</v>
      </c>
    </row>
    <row r="2139" spans="1:16" x14ac:dyDescent="0.3">
      <c r="A2139">
        <v>2138</v>
      </c>
      <c r="B2139" s="7">
        <v>45490</v>
      </c>
      <c r="C2139" t="s">
        <v>10</v>
      </c>
      <c r="D2139">
        <v>699</v>
      </c>
      <c r="E2139">
        <v>0.6</v>
      </c>
      <c r="F2139">
        <v>3</v>
      </c>
      <c r="G2139">
        <v>2</v>
      </c>
      <c r="H2139">
        <v>26</v>
      </c>
      <c r="I2139">
        <v>59</v>
      </c>
      <c r="J2139" t="s">
        <v>11</v>
      </c>
      <c r="K2139">
        <f>IF(J2139="Yes", 1, 0)</f>
        <v>1</v>
      </c>
      <c r="L2139" t="str">
        <f>IF(G2139=0,"0 Failures","1+ Failures")</f>
        <v>1+ Failures</v>
      </c>
      <c r="M2139" t="str">
        <f t="shared" si="101"/>
        <v>0-5 hrs</v>
      </c>
      <c r="N2139" t="str">
        <f t="shared" si="99"/>
        <v>12+ months</v>
      </c>
      <c r="O2139" t="str">
        <f t="shared" si="100"/>
        <v>Premium</v>
      </c>
      <c r="P2139" s="7">
        <v>45657</v>
      </c>
    </row>
    <row r="2140" spans="1:16" x14ac:dyDescent="0.3">
      <c r="A2140">
        <v>2139</v>
      </c>
      <c r="B2140" s="7">
        <v>45364</v>
      </c>
      <c r="C2140" t="s">
        <v>10</v>
      </c>
      <c r="D2140">
        <v>699</v>
      </c>
      <c r="E2140">
        <v>13</v>
      </c>
      <c r="F2140">
        <v>6</v>
      </c>
      <c r="G2140">
        <v>1</v>
      </c>
      <c r="H2140">
        <v>18</v>
      </c>
      <c r="I2140">
        <v>17</v>
      </c>
      <c r="J2140" t="s">
        <v>11</v>
      </c>
      <c r="K2140">
        <f>IF(J2140="Yes", 1, 0)</f>
        <v>1</v>
      </c>
      <c r="L2140" t="str">
        <f>IF(G2140=0,"0 Failures","1+ Failures")</f>
        <v>1+ Failures</v>
      </c>
      <c r="M2140" t="str">
        <f t="shared" si="101"/>
        <v>10-20hrs</v>
      </c>
      <c r="N2140" t="str">
        <f t="shared" si="99"/>
        <v>12+ months</v>
      </c>
      <c r="O2140" t="str">
        <f t="shared" si="100"/>
        <v>Premium</v>
      </c>
      <c r="P2140" s="7">
        <v>45657</v>
      </c>
    </row>
    <row r="2141" spans="1:16" x14ac:dyDescent="0.3">
      <c r="A2141">
        <v>2140</v>
      </c>
      <c r="B2141" s="7">
        <v>45070</v>
      </c>
      <c r="C2141" t="s">
        <v>10</v>
      </c>
      <c r="D2141">
        <v>699</v>
      </c>
      <c r="E2141">
        <v>15.1</v>
      </c>
      <c r="F2141">
        <v>7</v>
      </c>
      <c r="G2141">
        <v>3</v>
      </c>
      <c r="H2141">
        <v>32</v>
      </c>
      <c r="I2141">
        <v>24</v>
      </c>
      <c r="J2141" t="s">
        <v>11</v>
      </c>
      <c r="K2141">
        <f>IF(J2141="Yes", 1, 0)</f>
        <v>1</v>
      </c>
      <c r="L2141" t="str">
        <f>IF(G2141=0,"0 Failures","1+ Failures")</f>
        <v>1+ Failures</v>
      </c>
      <c r="M2141" t="str">
        <f t="shared" si="101"/>
        <v>10-20hrs</v>
      </c>
      <c r="N2141" t="str">
        <f t="shared" si="99"/>
        <v>12+ months</v>
      </c>
      <c r="O2141" t="str">
        <f t="shared" si="100"/>
        <v>Premium</v>
      </c>
      <c r="P2141" s="7">
        <v>45657</v>
      </c>
    </row>
    <row r="2142" spans="1:16" x14ac:dyDescent="0.3">
      <c r="A2142">
        <v>2141</v>
      </c>
      <c r="B2142" s="7">
        <v>45037</v>
      </c>
      <c r="C2142" t="s">
        <v>12</v>
      </c>
      <c r="D2142">
        <v>199</v>
      </c>
      <c r="E2142">
        <v>9.4</v>
      </c>
      <c r="F2142">
        <v>0</v>
      </c>
      <c r="G2142">
        <v>0</v>
      </c>
      <c r="H2142">
        <v>8</v>
      </c>
      <c r="I2142">
        <v>54</v>
      </c>
      <c r="J2142" t="s">
        <v>11</v>
      </c>
      <c r="K2142">
        <f>IF(J2142="Yes", 1, 0)</f>
        <v>1</v>
      </c>
      <c r="L2142" t="str">
        <f>IF(G2142=0,"0 Failures","1+ Failures")</f>
        <v>0 Failures</v>
      </c>
      <c r="M2142" t="str">
        <f t="shared" si="101"/>
        <v>5-10 hrs</v>
      </c>
      <c r="N2142" t="str">
        <f t="shared" si="99"/>
        <v>6-12months</v>
      </c>
      <c r="O2142" t="str">
        <f t="shared" si="100"/>
        <v>Basic</v>
      </c>
      <c r="P2142" s="7">
        <v>45657</v>
      </c>
    </row>
    <row r="2143" spans="1:16" x14ac:dyDescent="0.3">
      <c r="A2143">
        <v>2142</v>
      </c>
      <c r="B2143" s="7">
        <v>44967</v>
      </c>
      <c r="C2143" t="s">
        <v>10</v>
      </c>
      <c r="D2143">
        <v>699</v>
      </c>
      <c r="E2143">
        <v>7.1</v>
      </c>
      <c r="F2143">
        <v>1</v>
      </c>
      <c r="G2143">
        <v>5</v>
      </c>
      <c r="H2143">
        <v>35</v>
      </c>
      <c r="I2143">
        <v>43</v>
      </c>
      <c r="J2143" t="s">
        <v>11</v>
      </c>
      <c r="K2143">
        <f>IF(J2143="Yes", 1, 0)</f>
        <v>1</v>
      </c>
      <c r="L2143" t="str">
        <f>IF(G2143=0,"0 Failures","1+ Failures")</f>
        <v>1+ Failures</v>
      </c>
      <c r="M2143" t="str">
        <f t="shared" si="101"/>
        <v>5-10 hrs</v>
      </c>
      <c r="N2143" t="str">
        <f t="shared" si="99"/>
        <v>12+ months</v>
      </c>
      <c r="O2143" t="str">
        <f t="shared" si="100"/>
        <v>Premium</v>
      </c>
      <c r="P2143" s="7">
        <v>45657</v>
      </c>
    </row>
    <row r="2144" spans="1:16" x14ac:dyDescent="0.3">
      <c r="A2144">
        <v>2143</v>
      </c>
      <c r="B2144" s="7">
        <v>45367</v>
      </c>
      <c r="C2144" t="s">
        <v>10</v>
      </c>
      <c r="D2144">
        <v>699</v>
      </c>
      <c r="E2144">
        <v>0.7</v>
      </c>
      <c r="F2144">
        <v>5</v>
      </c>
      <c r="G2144">
        <v>4</v>
      </c>
      <c r="H2144">
        <v>4</v>
      </c>
      <c r="I2144">
        <v>46</v>
      </c>
      <c r="J2144" t="s">
        <v>11</v>
      </c>
      <c r="K2144">
        <f>IF(J2144="Yes", 1, 0)</f>
        <v>1</v>
      </c>
      <c r="L2144" t="str">
        <f>IF(G2144=0,"0 Failures","1+ Failures")</f>
        <v>1+ Failures</v>
      </c>
      <c r="M2144" t="str">
        <f t="shared" si="101"/>
        <v>0-5 hrs</v>
      </c>
      <c r="N2144" t="str">
        <f t="shared" si="99"/>
        <v>3-6months</v>
      </c>
      <c r="O2144" t="str">
        <f t="shared" si="100"/>
        <v>Premium</v>
      </c>
      <c r="P2144" s="7">
        <v>45657</v>
      </c>
    </row>
    <row r="2145" spans="1:16" x14ac:dyDescent="0.3">
      <c r="A2145">
        <v>2144</v>
      </c>
      <c r="B2145" s="7">
        <v>45082</v>
      </c>
      <c r="C2145" t="s">
        <v>12</v>
      </c>
      <c r="D2145">
        <v>199</v>
      </c>
      <c r="E2145">
        <v>5.9</v>
      </c>
      <c r="F2145">
        <v>4</v>
      </c>
      <c r="G2145">
        <v>4</v>
      </c>
      <c r="H2145">
        <v>15</v>
      </c>
      <c r="I2145">
        <v>22</v>
      </c>
      <c r="J2145" t="s">
        <v>13</v>
      </c>
      <c r="K2145">
        <f>IF(J2145="Yes", 1, 0)</f>
        <v>0</v>
      </c>
      <c r="L2145" t="str">
        <f>IF(G2145=0,"0 Failures","1+ Failures")</f>
        <v>1+ Failures</v>
      </c>
      <c r="M2145" t="str">
        <f t="shared" si="101"/>
        <v>5-10 hrs</v>
      </c>
      <c r="N2145" t="str">
        <f t="shared" si="99"/>
        <v>12+ months</v>
      </c>
      <c r="O2145" t="str">
        <f t="shared" si="100"/>
        <v>Basic</v>
      </c>
      <c r="P2145" s="7">
        <v>45657</v>
      </c>
    </row>
    <row r="2146" spans="1:16" x14ac:dyDescent="0.3">
      <c r="A2146">
        <v>2145</v>
      </c>
      <c r="B2146" s="7">
        <v>45319</v>
      </c>
      <c r="C2146" t="s">
        <v>12</v>
      </c>
      <c r="D2146">
        <v>199</v>
      </c>
      <c r="E2146">
        <v>14.8</v>
      </c>
      <c r="F2146">
        <v>3</v>
      </c>
      <c r="G2146">
        <v>1</v>
      </c>
      <c r="H2146">
        <v>36</v>
      </c>
      <c r="I2146">
        <v>51</v>
      </c>
      <c r="J2146" t="s">
        <v>13</v>
      </c>
      <c r="K2146">
        <f>IF(J2146="Yes", 1, 0)</f>
        <v>0</v>
      </c>
      <c r="L2146" t="str">
        <f>IF(G2146=0,"0 Failures","1+ Failures")</f>
        <v>1+ Failures</v>
      </c>
      <c r="M2146" t="str">
        <f t="shared" si="101"/>
        <v>10-20hrs</v>
      </c>
      <c r="N2146" t="str">
        <f t="shared" si="99"/>
        <v>12+ months</v>
      </c>
      <c r="O2146" t="str">
        <f t="shared" si="100"/>
        <v>Basic</v>
      </c>
      <c r="P2146" s="7">
        <v>45657</v>
      </c>
    </row>
    <row r="2147" spans="1:16" x14ac:dyDescent="0.3">
      <c r="A2147">
        <v>2146</v>
      </c>
      <c r="B2147" s="7">
        <v>45203</v>
      </c>
      <c r="C2147" t="s">
        <v>12</v>
      </c>
      <c r="D2147">
        <v>199</v>
      </c>
      <c r="E2147">
        <v>15.6</v>
      </c>
      <c r="F2147">
        <v>2</v>
      </c>
      <c r="G2147">
        <v>0</v>
      </c>
      <c r="H2147">
        <v>35</v>
      </c>
      <c r="I2147">
        <v>36</v>
      </c>
      <c r="J2147" t="s">
        <v>13</v>
      </c>
      <c r="K2147">
        <f>IF(J2147="Yes", 1, 0)</f>
        <v>0</v>
      </c>
      <c r="L2147" t="str">
        <f>IF(G2147=0,"0 Failures","1+ Failures")</f>
        <v>0 Failures</v>
      </c>
      <c r="M2147" t="str">
        <f t="shared" si="101"/>
        <v>10-20hrs</v>
      </c>
      <c r="N2147" t="str">
        <f t="shared" si="99"/>
        <v>12+ months</v>
      </c>
      <c r="O2147" t="str">
        <f t="shared" si="100"/>
        <v>Basic</v>
      </c>
      <c r="P2147" s="7">
        <v>45657</v>
      </c>
    </row>
    <row r="2148" spans="1:16" x14ac:dyDescent="0.3">
      <c r="A2148">
        <v>2147</v>
      </c>
      <c r="B2148" s="7">
        <v>45096</v>
      </c>
      <c r="C2148" t="s">
        <v>14</v>
      </c>
      <c r="D2148">
        <v>399</v>
      </c>
      <c r="E2148">
        <v>2.8</v>
      </c>
      <c r="F2148">
        <v>6</v>
      </c>
      <c r="G2148">
        <v>1</v>
      </c>
      <c r="H2148">
        <v>8</v>
      </c>
      <c r="I2148">
        <v>15</v>
      </c>
      <c r="J2148" t="s">
        <v>11</v>
      </c>
      <c r="K2148">
        <f>IF(J2148="Yes", 1, 0)</f>
        <v>1</v>
      </c>
      <c r="L2148" t="str">
        <f>IF(G2148=0,"0 Failures","1+ Failures")</f>
        <v>1+ Failures</v>
      </c>
      <c r="M2148" t="str">
        <f t="shared" si="101"/>
        <v>0-5 hrs</v>
      </c>
      <c r="N2148" t="str">
        <f t="shared" si="99"/>
        <v>6-12months</v>
      </c>
      <c r="O2148" t="str">
        <f t="shared" si="100"/>
        <v>Basic</v>
      </c>
      <c r="P2148" s="7">
        <v>45657</v>
      </c>
    </row>
    <row r="2149" spans="1:16" x14ac:dyDescent="0.3">
      <c r="A2149">
        <v>2148</v>
      </c>
      <c r="B2149" s="7">
        <v>45520</v>
      </c>
      <c r="C2149" t="s">
        <v>12</v>
      </c>
      <c r="D2149">
        <v>199</v>
      </c>
      <c r="E2149">
        <v>7.3</v>
      </c>
      <c r="F2149">
        <v>0</v>
      </c>
      <c r="G2149">
        <v>1</v>
      </c>
      <c r="H2149">
        <v>15</v>
      </c>
      <c r="I2149">
        <v>42</v>
      </c>
      <c r="J2149" t="s">
        <v>11</v>
      </c>
      <c r="K2149">
        <f>IF(J2149="Yes", 1, 0)</f>
        <v>1</v>
      </c>
      <c r="L2149" t="str">
        <f>IF(G2149=0,"0 Failures","1+ Failures")</f>
        <v>1+ Failures</v>
      </c>
      <c r="M2149" t="str">
        <f t="shared" si="101"/>
        <v>5-10 hrs</v>
      </c>
      <c r="N2149" t="str">
        <f t="shared" si="99"/>
        <v>12+ months</v>
      </c>
      <c r="O2149" t="str">
        <f t="shared" si="100"/>
        <v>Basic</v>
      </c>
      <c r="P2149" s="7">
        <v>45657</v>
      </c>
    </row>
    <row r="2150" spans="1:16" x14ac:dyDescent="0.3">
      <c r="A2150">
        <v>2149</v>
      </c>
      <c r="B2150" s="7">
        <v>45656</v>
      </c>
      <c r="C2150" t="s">
        <v>10</v>
      </c>
      <c r="D2150">
        <v>699</v>
      </c>
      <c r="E2150">
        <v>11.4</v>
      </c>
      <c r="F2150">
        <v>3</v>
      </c>
      <c r="G2150">
        <v>0</v>
      </c>
      <c r="H2150">
        <v>25</v>
      </c>
      <c r="I2150">
        <v>54</v>
      </c>
      <c r="J2150" t="s">
        <v>11</v>
      </c>
      <c r="K2150">
        <f>IF(J2150="Yes", 1, 0)</f>
        <v>1</v>
      </c>
      <c r="L2150" t="str">
        <f>IF(G2150=0,"0 Failures","1+ Failures")</f>
        <v>0 Failures</v>
      </c>
      <c r="M2150" t="str">
        <f t="shared" si="101"/>
        <v>10-20hrs</v>
      </c>
      <c r="N2150" t="str">
        <f t="shared" si="99"/>
        <v>12+ months</v>
      </c>
      <c r="O2150" t="str">
        <f t="shared" si="100"/>
        <v>Premium</v>
      </c>
      <c r="P2150" s="7">
        <v>45657</v>
      </c>
    </row>
    <row r="2151" spans="1:16" x14ac:dyDescent="0.3">
      <c r="A2151">
        <v>2150</v>
      </c>
      <c r="B2151" s="7">
        <v>45481</v>
      </c>
      <c r="C2151" t="s">
        <v>14</v>
      </c>
      <c r="D2151">
        <v>399</v>
      </c>
      <c r="E2151">
        <v>4.2</v>
      </c>
      <c r="F2151">
        <v>6</v>
      </c>
      <c r="G2151">
        <v>4</v>
      </c>
      <c r="H2151">
        <v>29</v>
      </c>
      <c r="I2151">
        <v>48</v>
      </c>
      <c r="J2151" t="s">
        <v>11</v>
      </c>
      <c r="K2151">
        <f>IF(J2151="Yes", 1, 0)</f>
        <v>1</v>
      </c>
      <c r="L2151" t="str">
        <f>IF(G2151=0,"0 Failures","1+ Failures")</f>
        <v>1+ Failures</v>
      </c>
      <c r="M2151" t="str">
        <f t="shared" si="101"/>
        <v>0-5 hrs</v>
      </c>
      <c r="N2151" t="str">
        <f t="shared" si="99"/>
        <v>12+ months</v>
      </c>
      <c r="O2151" t="str">
        <f t="shared" si="100"/>
        <v>Basic</v>
      </c>
      <c r="P2151" s="7">
        <v>45657</v>
      </c>
    </row>
    <row r="2152" spans="1:16" x14ac:dyDescent="0.3">
      <c r="A2152">
        <v>2151</v>
      </c>
      <c r="B2152" s="7">
        <v>45277</v>
      </c>
      <c r="C2152" t="s">
        <v>14</v>
      </c>
      <c r="D2152">
        <v>399</v>
      </c>
      <c r="E2152">
        <v>22.1</v>
      </c>
      <c r="F2152">
        <v>7</v>
      </c>
      <c r="G2152">
        <v>3</v>
      </c>
      <c r="H2152">
        <v>14</v>
      </c>
      <c r="I2152">
        <v>50</v>
      </c>
      <c r="J2152" t="s">
        <v>13</v>
      </c>
      <c r="K2152">
        <f>IF(J2152="Yes", 1, 0)</f>
        <v>0</v>
      </c>
      <c r="L2152" t="str">
        <f>IF(G2152=0,"0 Failures","1+ Failures")</f>
        <v>1+ Failures</v>
      </c>
      <c r="M2152" t="str">
        <f t="shared" si="101"/>
        <v>20+ hrs</v>
      </c>
      <c r="N2152" t="str">
        <f t="shared" si="99"/>
        <v>12+ months</v>
      </c>
      <c r="O2152" t="str">
        <f t="shared" si="100"/>
        <v>Basic</v>
      </c>
      <c r="P2152" s="7">
        <v>45657</v>
      </c>
    </row>
    <row r="2153" spans="1:16" x14ac:dyDescent="0.3">
      <c r="A2153">
        <v>2152</v>
      </c>
      <c r="B2153" s="7">
        <v>45074</v>
      </c>
      <c r="C2153" t="s">
        <v>14</v>
      </c>
      <c r="D2153">
        <v>399</v>
      </c>
      <c r="E2153">
        <v>12.7</v>
      </c>
      <c r="F2153">
        <v>6</v>
      </c>
      <c r="G2153">
        <v>3</v>
      </c>
      <c r="H2153">
        <v>2</v>
      </c>
      <c r="I2153">
        <v>38</v>
      </c>
      <c r="J2153" t="s">
        <v>11</v>
      </c>
      <c r="K2153">
        <f>IF(J2153="Yes", 1, 0)</f>
        <v>1</v>
      </c>
      <c r="L2153" t="str">
        <f>IF(G2153=0,"0 Failures","1+ Failures")</f>
        <v>1+ Failures</v>
      </c>
      <c r="M2153" t="str">
        <f t="shared" si="101"/>
        <v>10-20hrs</v>
      </c>
      <c r="N2153" t="str">
        <f t="shared" si="99"/>
        <v>0-3months</v>
      </c>
      <c r="O2153" t="str">
        <f t="shared" si="100"/>
        <v>Basic</v>
      </c>
      <c r="P2153" s="7">
        <v>45657</v>
      </c>
    </row>
    <row r="2154" spans="1:16" x14ac:dyDescent="0.3">
      <c r="A2154">
        <v>2153</v>
      </c>
      <c r="B2154" s="7">
        <v>45150</v>
      </c>
      <c r="C2154" t="s">
        <v>10</v>
      </c>
      <c r="D2154">
        <v>699</v>
      </c>
      <c r="E2154">
        <v>15.2</v>
      </c>
      <c r="F2154">
        <v>6</v>
      </c>
      <c r="G2154">
        <v>1</v>
      </c>
      <c r="H2154">
        <v>5</v>
      </c>
      <c r="I2154">
        <v>50</v>
      </c>
      <c r="J2154" t="s">
        <v>11</v>
      </c>
      <c r="K2154">
        <f>IF(J2154="Yes", 1, 0)</f>
        <v>1</v>
      </c>
      <c r="L2154" t="str">
        <f>IF(G2154=0,"0 Failures","1+ Failures")</f>
        <v>1+ Failures</v>
      </c>
      <c r="M2154" t="str">
        <f t="shared" si="101"/>
        <v>10-20hrs</v>
      </c>
      <c r="N2154" t="str">
        <f t="shared" si="99"/>
        <v>3-6months</v>
      </c>
      <c r="O2154" t="str">
        <f t="shared" si="100"/>
        <v>Premium</v>
      </c>
      <c r="P2154" s="7">
        <v>45657</v>
      </c>
    </row>
    <row r="2155" spans="1:16" x14ac:dyDescent="0.3">
      <c r="A2155">
        <v>2154</v>
      </c>
      <c r="B2155" s="7">
        <v>45315</v>
      </c>
      <c r="C2155" t="s">
        <v>14</v>
      </c>
      <c r="D2155">
        <v>399</v>
      </c>
      <c r="E2155">
        <v>10.4</v>
      </c>
      <c r="F2155">
        <v>3</v>
      </c>
      <c r="G2155">
        <v>5</v>
      </c>
      <c r="H2155">
        <v>23</v>
      </c>
      <c r="I2155">
        <v>18</v>
      </c>
      <c r="J2155" t="s">
        <v>13</v>
      </c>
      <c r="K2155">
        <f>IF(J2155="Yes", 1, 0)</f>
        <v>0</v>
      </c>
      <c r="L2155" t="str">
        <f>IF(G2155=0,"0 Failures","1+ Failures")</f>
        <v>1+ Failures</v>
      </c>
      <c r="M2155" t="str">
        <f t="shared" si="101"/>
        <v>10-20hrs</v>
      </c>
      <c r="N2155" t="str">
        <f t="shared" si="99"/>
        <v>12+ months</v>
      </c>
      <c r="O2155" t="str">
        <f t="shared" si="100"/>
        <v>Basic</v>
      </c>
      <c r="P2155" s="7">
        <v>45657</v>
      </c>
    </row>
    <row r="2156" spans="1:16" x14ac:dyDescent="0.3">
      <c r="A2156">
        <v>2155</v>
      </c>
      <c r="B2156" s="7">
        <v>45657</v>
      </c>
      <c r="C2156" t="s">
        <v>10</v>
      </c>
      <c r="D2156">
        <v>699</v>
      </c>
      <c r="E2156">
        <v>24</v>
      </c>
      <c r="F2156">
        <v>3</v>
      </c>
      <c r="G2156">
        <v>5</v>
      </c>
      <c r="H2156">
        <v>31</v>
      </c>
      <c r="I2156">
        <v>44</v>
      </c>
      <c r="J2156" t="s">
        <v>11</v>
      </c>
      <c r="K2156">
        <f>IF(J2156="Yes", 1, 0)</f>
        <v>1</v>
      </c>
      <c r="L2156" t="str">
        <f>IF(G2156=0,"0 Failures","1+ Failures")</f>
        <v>1+ Failures</v>
      </c>
      <c r="M2156" t="str">
        <f t="shared" si="101"/>
        <v>20+ hrs</v>
      </c>
      <c r="N2156" t="str">
        <f t="shared" si="99"/>
        <v>12+ months</v>
      </c>
      <c r="O2156" t="str">
        <f t="shared" si="100"/>
        <v>Premium</v>
      </c>
      <c r="P2156" s="7">
        <v>45657</v>
      </c>
    </row>
    <row r="2157" spans="1:16" x14ac:dyDescent="0.3">
      <c r="A2157">
        <v>2156</v>
      </c>
      <c r="B2157" s="7">
        <v>45383</v>
      </c>
      <c r="C2157" t="s">
        <v>12</v>
      </c>
      <c r="D2157">
        <v>199</v>
      </c>
      <c r="E2157">
        <v>14.5</v>
      </c>
      <c r="F2157">
        <v>5</v>
      </c>
      <c r="G2157">
        <v>3</v>
      </c>
      <c r="H2157">
        <v>25</v>
      </c>
      <c r="I2157">
        <v>1</v>
      </c>
      <c r="J2157" t="s">
        <v>11</v>
      </c>
      <c r="K2157">
        <f>IF(J2157="Yes", 1, 0)</f>
        <v>1</v>
      </c>
      <c r="L2157" t="str">
        <f>IF(G2157=0,"0 Failures","1+ Failures")</f>
        <v>1+ Failures</v>
      </c>
      <c r="M2157" t="str">
        <f t="shared" si="101"/>
        <v>10-20hrs</v>
      </c>
      <c r="N2157" t="str">
        <f t="shared" si="99"/>
        <v>12+ months</v>
      </c>
      <c r="O2157" t="str">
        <f t="shared" si="100"/>
        <v>Basic</v>
      </c>
      <c r="P2157" s="7">
        <v>45657</v>
      </c>
    </row>
    <row r="2158" spans="1:16" x14ac:dyDescent="0.3">
      <c r="A2158">
        <v>2157</v>
      </c>
      <c r="B2158" s="7">
        <v>45193</v>
      </c>
      <c r="C2158" t="s">
        <v>14</v>
      </c>
      <c r="D2158">
        <v>399</v>
      </c>
      <c r="E2158">
        <v>11.2</v>
      </c>
      <c r="F2158">
        <v>5</v>
      </c>
      <c r="G2158">
        <v>1</v>
      </c>
      <c r="H2158">
        <v>6</v>
      </c>
      <c r="I2158">
        <v>17</v>
      </c>
      <c r="J2158" t="s">
        <v>13</v>
      </c>
      <c r="K2158">
        <f>IF(J2158="Yes", 1, 0)</f>
        <v>0</v>
      </c>
      <c r="L2158" t="str">
        <f>IF(G2158=0,"0 Failures","1+ Failures")</f>
        <v>1+ Failures</v>
      </c>
      <c r="M2158" t="str">
        <f t="shared" si="101"/>
        <v>10-20hrs</v>
      </c>
      <c r="N2158" t="str">
        <f t="shared" si="99"/>
        <v>3-6months</v>
      </c>
      <c r="O2158" t="str">
        <f t="shared" si="100"/>
        <v>Basic</v>
      </c>
      <c r="P2158" s="7">
        <v>45657</v>
      </c>
    </row>
    <row r="2159" spans="1:16" x14ac:dyDescent="0.3">
      <c r="A2159">
        <v>2158</v>
      </c>
      <c r="B2159" s="7">
        <v>44964</v>
      </c>
      <c r="C2159" t="s">
        <v>14</v>
      </c>
      <c r="D2159">
        <v>399</v>
      </c>
      <c r="E2159">
        <v>4.5999999999999996</v>
      </c>
      <c r="F2159">
        <v>8</v>
      </c>
      <c r="G2159">
        <v>4</v>
      </c>
      <c r="H2159">
        <v>11</v>
      </c>
      <c r="I2159">
        <v>33</v>
      </c>
      <c r="J2159" t="s">
        <v>11</v>
      </c>
      <c r="K2159">
        <f>IF(J2159="Yes", 1, 0)</f>
        <v>1</v>
      </c>
      <c r="L2159" t="str">
        <f>IF(G2159=0,"0 Failures","1+ Failures")</f>
        <v>1+ Failures</v>
      </c>
      <c r="M2159" t="str">
        <f t="shared" si="101"/>
        <v>0-5 hrs</v>
      </c>
      <c r="N2159" t="str">
        <f t="shared" si="99"/>
        <v>6-12months</v>
      </c>
      <c r="O2159" t="str">
        <f t="shared" si="100"/>
        <v>Basic</v>
      </c>
      <c r="P2159" s="7">
        <v>45657</v>
      </c>
    </row>
    <row r="2160" spans="1:16" x14ac:dyDescent="0.3">
      <c r="A2160">
        <v>2159</v>
      </c>
      <c r="B2160" s="7">
        <v>45021</v>
      </c>
      <c r="C2160" t="s">
        <v>14</v>
      </c>
      <c r="D2160">
        <v>399</v>
      </c>
      <c r="E2160">
        <v>1.7</v>
      </c>
      <c r="F2160">
        <v>3</v>
      </c>
      <c r="G2160">
        <v>0</v>
      </c>
      <c r="H2160">
        <v>24</v>
      </c>
      <c r="I2160">
        <v>45</v>
      </c>
      <c r="J2160" t="s">
        <v>13</v>
      </c>
      <c r="K2160">
        <f>IF(J2160="Yes", 1, 0)</f>
        <v>0</v>
      </c>
      <c r="L2160" t="str">
        <f>IF(G2160=0,"0 Failures","1+ Failures")</f>
        <v>0 Failures</v>
      </c>
      <c r="M2160" t="str">
        <f t="shared" si="101"/>
        <v>0-5 hrs</v>
      </c>
      <c r="N2160" t="str">
        <f t="shared" si="99"/>
        <v>12+ months</v>
      </c>
      <c r="O2160" t="str">
        <f t="shared" si="100"/>
        <v>Basic</v>
      </c>
      <c r="P2160" s="7">
        <v>45657</v>
      </c>
    </row>
    <row r="2161" spans="1:16" x14ac:dyDescent="0.3">
      <c r="A2161">
        <v>2160</v>
      </c>
      <c r="B2161" s="7">
        <v>45079</v>
      </c>
      <c r="C2161" t="s">
        <v>10</v>
      </c>
      <c r="D2161">
        <v>699</v>
      </c>
      <c r="E2161">
        <v>1.7</v>
      </c>
      <c r="F2161">
        <v>1</v>
      </c>
      <c r="G2161">
        <v>4</v>
      </c>
      <c r="H2161">
        <v>36</v>
      </c>
      <c r="I2161">
        <v>59</v>
      </c>
      <c r="J2161" t="s">
        <v>11</v>
      </c>
      <c r="K2161">
        <f>IF(J2161="Yes", 1, 0)</f>
        <v>1</v>
      </c>
      <c r="L2161" t="str">
        <f>IF(G2161=0,"0 Failures","1+ Failures")</f>
        <v>1+ Failures</v>
      </c>
      <c r="M2161" t="str">
        <f t="shared" si="101"/>
        <v>0-5 hrs</v>
      </c>
      <c r="N2161" t="str">
        <f t="shared" si="99"/>
        <v>12+ months</v>
      </c>
      <c r="O2161" t="str">
        <f t="shared" si="100"/>
        <v>Premium</v>
      </c>
      <c r="P2161" s="7">
        <v>45657</v>
      </c>
    </row>
    <row r="2162" spans="1:16" x14ac:dyDescent="0.3">
      <c r="A2162">
        <v>2161</v>
      </c>
      <c r="B2162" s="7">
        <v>45097</v>
      </c>
      <c r="C2162" t="s">
        <v>14</v>
      </c>
      <c r="D2162">
        <v>399</v>
      </c>
      <c r="E2162">
        <v>21.5</v>
      </c>
      <c r="F2162">
        <v>4</v>
      </c>
      <c r="G2162">
        <v>1</v>
      </c>
      <c r="H2162">
        <v>10</v>
      </c>
      <c r="I2162">
        <v>14</v>
      </c>
      <c r="J2162" t="s">
        <v>13</v>
      </c>
      <c r="K2162">
        <f>IF(J2162="Yes", 1, 0)</f>
        <v>0</v>
      </c>
      <c r="L2162" t="str">
        <f>IF(G2162=0,"0 Failures","1+ Failures")</f>
        <v>1+ Failures</v>
      </c>
      <c r="M2162" t="str">
        <f t="shared" si="101"/>
        <v>20+ hrs</v>
      </c>
      <c r="N2162" t="str">
        <f t="shared" si="99"/>
        <v>6-12months</v>
      </c>
      <c r="O2162" t="str">
        <f t="shared" si="100"/>
        <v>Basic</v>
      </c>
      <c r="P2162" s="7">
        <v>45657</v>
      </c>
    </row>
    <row r="2163" spans="1:16" x14ac:dyDescent="0.3">
      <c r="A2163">
        <v>2162</v>
      </c>
      <c r="B2163" s="7">
        <v>45107</v>
      </c>
      <c r="C2163" t="s">
        <v>10</v>
      </c>
      <c r="D2163">
        <v>699</v>
      </c>
      <c r="E2163">
        <v>6.2</v>
      </c>
      <c r="F2163">
        <v>1</v>
      </c>
      <c r="G2163">
        <v>4</v>
      </c>
      <c r="H2163">
        <v>5</v>
      </c>
      <c r="I2163">
        <v>3</v>
      </c>
      <c r="J2163" t="s">
        <v>13</v>
      </c>
      <c r="K2163">
        <f>IF(J2163="Yes", 1, 0)</f>
        <v>0</v>
      </c>
      <c r="L2163" t="str">
        <f>IF(G2163=0,"0 Failures","1+ Failures")</f>
        <v>1+ Failures</v>
      </c>
      <c r="M2163" t="str">
        <f t="shared" si="101"/>
        <v>5-10 hrs</v>
      </c>
      <c r="N2163" t="str">
        <f t="shared" si="99"/>
        <v>3-6months</v>
      </c>
      <c r="O2163" t="str">
        <f t="shared" si="100"/>
        <v>Premium</v>
      </c>
      <c r="P2163" s="7">
        <v>45657</v>
      </c>
    </row>
    <row r="2164" spans="1:16" x14ac:dyDescent="0.3">
      <c r="A2164">
        <v>2163</v>
      </c>
      <c r="B2164" s="7">
        <v>45127</v>
      </c>
      <c r="C2164" t="s">
        <v>14</v>
      </c>
      <c r="D2164">
        <v>399</v>
      </c>
      <c r="E2164">
        <v>12</v>
      </c>
      <c r="F2164">
        <v>6</v>
      </c>
      <c r="G2164">
        <v>1</v>
      </c>
      <c r="H2164">
        <v>36</v>
      </c>
      <c r="I2164">
        <v>15</v>
      </c>
      <c r="J2164" t="s">
        <v>11</v>
      </c>
      <c r="K2164">
        <f>IF(J2164="Yes", 1, 0)</f>
        <v>1</v>
      </c>
      <c r="L2164" t="str">
        <f>IF(G2164=0,"0 Failures","1+ Failures")</f>
        <v>1+ Failures</v>
      </c>
      <c r="M2164" t="str">
        <f t="shared" si="101"/>
        <v>10-20hrs</v>
      </c>
      <c r="N2164" t="str">
        <f t="shared" si="99"/>
        <v>12+ months</v>
      </c>
      <c r="O2164" t="str">
        <f t="shared" si="100"/>
        <v>Basic</v>
      </c>
      <c r="P2164" s="7">
        <v>45657</v>
      </c>
    </row>
    <row r="2165" spans="1:16" x14ac:dyDescent="0.3">
      <c r="A2165">
        <v>2164</v>
      </c>
      <c r="B2165" s="7">
        <v>45473</v>
      </c>
      <c r="C2165" t="s">
        <v>10</v>
      </c>
      <c r="D2165">
        <v>699</v>
      </c>
      <c r="E2165">
        <v>2.2000000000000002</v>
      </c>
      <c r="F2165">
        <v>1</v>
      </c>
      <c r="G2165">
        <v>2</v>
      </c>
      <c r="H2165">
        <v>5</v>
      </c>
      <c r="I2165">
        <v>52</v>
      </c>
      <c r="J2165" t="s">
        <v>11</v>
      </c>
      <c r="K2165">
        <f>IF(J2165="Yes", 1, 0)</f>
        <v>1</v>
      </c>
      <c r="L2165" t="str">
        <f>IF(G2165=0,"0 Failures","1+ Failures")</f>
        <v>1+ Failures</v>
      </c>
      <c r="M2165" t="str">
        <f t="shared" si="101"/>
        <v>0-5 hrs</v>
      </c>
      <c r="N2165" t="str">
        <f t="shared" si="99"/>
        <v>3-6months</v>
      </c>
      <c r="O2165" t="str">
        <f t="shared" si="100"/>
        <v>Premium</v>
      </c>
      <c r="P2165" s="7">
        <v>45657</v>
      </c>
    </row>
    <row r="2166" spans="1:16" x14ac:dyDescent="0.3">
      <c r="A2166">
        <v>2165</v>
      </c>
      <c r="B2166" s="7">
        <v>45118</v>
      </c>
      <c r="C2166" t="s">
        <v>12</v>
      </c>
      <c r="D2166">
        <v>199</v>
      </c>
      <c r="E2166">
        <v>14.1</v>
      </c>
      <c r="F2166">
        <v>5</v>
      </c>
      <c r="G2166">
        <v>5</v>
      </c>
      <c r="H2166">
        <v>30</v>
      </c>
      <c r="I2166">
        <v>11</v>
      </c>
      <c r="J2166" t="s">
        <v>11</v>
      </c>
      <c r="K2166">
        <f>IF(J2166="Yes", 1, 0)</f>
        <v>1</v>
      </c>
      <c r="L2166" t="str">
        <f>IF(G2166=0,"0 Failures","1+ Failures")</f>
        <v>1+ Failures</v>
      </c>
      <c r="M2166" t="str">
        <f t="shared" si="101"/>
        <v>10-20hrs</v>
      </c>
      <c r="N2166" t="str">
        <f t="shared" si="99"/>
        <v>12+ months</v>
      </c>
      <c r="O2166" t="str">
        <f t="shared" si="100"/>
        <v>Basic</v>
      </c>
      <c r="P2166" s="7">
        <v>45657</v>
      </c>
    </row>
    <row r="2167" spans="1:16" x14ac:dyDescent="0.3">
      <c r="A2167">
        <v>2166</v>
      </c>
      <c r="B2167" s="7">
        <v>45439</v>
      </c>
      <c r="C2167" t="s">
        <v>12</v>
      </c>
      <c r="D2167">
        <v>199</v>
      </c>
      <c r="E2167">
        <v>8.5</v>
      </c>
      <c r="F2167">
        <v>2</v>
      </c>
      <c r="G2167">
        <v>2</v>
      </c>
      <c r="H2167">
        <v>1</v>
      </c>
      <c r="I2167">
        <v>32</v>
      </c>
      <c r="J2167" t="s">
        <v>13</v>
      </c>
      <c r="K2167">
        <f>IF(J2167="Yes", 1, 0)</f>
        <v>0</v>
      </c>
      <c r="L2167" t="str">
        <f>IF(G2167=0,"0 Failures","1+ Failures")</f>
        <v>1+ Failures</v>
      </c>
      <c r="M2167" t="str">
        <f t="shared" si="101"/>
        <v>5-10 hrs</v>
      </c>
      <c r="N2167" t="str">
        <f t="shared" si="99"/>
        <v>0-3months</v>
      </c>
      <c r="O2167" t="str">
        <f t="shared" si="100"/>
        <v>Basic</v>
      </c>
      <c r="P2167" s="7">
        <v>45657</v>
      </c>
    </row>
    <row r="2168" spans="1:16" x14ac:dyDescent="0.3">
      <c r="A2168">
        <v>2167</v>
      </c>
      <c r="B2168" s="7">
        <v>45062</v>
      </c>
      <c r="C2168" t="s">
        <v>10</v>
      </c>
      <c r="D2168">
        <v>699</v>
      </c>
      <c r="E2168">
        <v>10.1</v>
      </c>
      <c r="F2168">
        <v>2</v>
      </c>
      <c r="G2168">
        <v>0</v>
      </c>
      <c r="H2168">
        <v>4</v>
      </c>
      <c r="I2168">
        <v>30</v>
      </c>
      <c r="J2168" t="s">
        <v>11</v>
      </c>
      <c r="K2168">
        <f>IF(J2168="Yes", 1, 0)</f>
        <v>1</v>
      </c>
      <c r="L2168" t="str">
        <f>IF(G2168=0,"0 Failures","1+ Failures")</f>
        <v>0 Failures</v>
      </c>
      <c r="M2168" t="str">
        <f t="shared" si="101"/>
        <v>10-20hrs</v>
      </c>
      <c r="N2168" t="str">
        <f t="shared" si="99"/>
        <v>3-6months</v>
      </c>
      <c r="O2168" t="str">
        <f t="shared" si="100"/>
        <v>Premium</v>
      </c>
      <c r="P2168" s="7">
        <v>45657</v>
      </c>
    </row>
    <row r="2169" spans="1:16" x14ac:dyDescent="0.3">
      <c r="A2169">
        <v>2168</v>
      </c>
      <c r="B2169" s="7">
        <v>45654</v>
      </c>
      <c r="C2169" t="s">
        <v>12</v>
      </c>
      <c r="D2169">
        <v>199</v>
      </c>
      <c r="E2169">
        <v>14.6</v>
      </c>
      <c r="F2169">
        <v>4</v>
      </c>
      <c r="G2169">
        <v>3</v>
      </c>
      <c r="H2169">
        <v>24</v>
      </c>
      <c r="I2169">
        <v>15</v>
      </c>
      <c r="J2169" t="s">
        <v>11</v>
      </c>
      <c r="K2169">
        <f>IF(J2169="Yes", 1, 0)</f>
        <v>1</v>
      </c>
      <c r="L2169" t="str">
        <f>IF(G2169=0,"0 Failures","1+ Failures")</f>
        <v>1+ Failures</v>
      </c>
      <c r="M2169" t="str">
        <f t="shared" si="101"/>
        <v>10-20hrs</v>
      </c>
      <c r="N2169" t="str">
        <f t="shared" si="99"/>
        <v>12+ months</v>
      </c>
      <c r="O2169" t="str">
        <f t="shared" si="100"/>
        <v>Basic</v>
      </c>
      <c r="P2169" s="7">
        <v>45657</v>
      </c>
    </row>
    <row r="2170" spans="1:16" x14ac:dyDescent="0.3">
      <c r="A2170">
        <v>2169</v>
      </c>
      <c r="B2170" s="7">
        <v>45221</v>
      </c>
      <c r="C2170" t="s">
        <v>12</v>
      </c>
      <c r="D2170">
        <v>199</v>
      </c>
      <c r="E2170">
        <v>4.5</v>
      </c>
      <c r="F2170">
        <v>0</v>
      </c>
      <c r="G2170">
        <v>0</v>
      </c>
      <c r="H2170">
        <v>16</v>
      </c>
      <c r="I2170">
        <v>24</v>
      </c>
      <c r="J2170" t="s">
        <v>11</v>
      </c>
      <c r="K2170">
        <f>IF(J2170="Yes", 1, 0)</f>
        <v>1</v>
      </c>
      <c r="L2170" t="str">
        <f>IF(G2170=0,"0 Failures","1+ Failures")</f>
        <v>0 Failures</v>
      </c>
      <c r="M2170" t="str">
        <f t="shared" si="101"/>
        <v>0-5 hrs</v>
      </c>
      <c r="N2170" t="str">
        <f t="shared" si="99"/>
        <v>12+ months</v>
      </c>
      <c r="O2170" t="str">
        <f t="shared" si="100"/>
        <v>Basic</v>
      </c>
      <c r="P2170" s="7">
        <v>45657</v>
      </c>
    </row>
    <row r="2171" spans="1:16" x14ac:dyDescent="0.3">
      <c r="A2171">
        <v>2170</v>
      </c>
      <c r="B2171" s="7">
        <v>45464</v>
      </c>
      <c r="C2171" t="s">
        <v>14</v>
      </c>
      <c r="D2171">
        <v>399</v>
      </c>
      <c r="E2171">
        <v>20.100000000000001</v>
      </c>
      <c r="F2171">
        <v>6</v>
      </c>
      <c r="G2171">
        <v>4</v>
      </c>
      <c r="H2171">
        <v>34</v>
      </c>
      <c r="I2171">
        <v>34</v>
      </c>
      <c r="J2171" t="s">
        <v>11</v>
      </c>
      <c r="K2171">
        <f>IF(J2171="Yes", 1, 0)</f>
        <v>1</v>
      </c>
      <c r="L2171" t="str">
        <f>IF(G2171=0,"0 Failures","1+ Failures")</f>
        <v>1+ Failures</v>
      </c>
      <c r="M2171" t="str">
        <f t="shared" si="101"/>
        <v>20+ hrs</v>
      </c>
      <c r="N2171" t="str">
        <f t="shared" si="99"/>
        <v>12+ months</v>
      </c>
      <c r="O2171" t="str">
        <f t="shared" si="100"/>
        <v>Basic</v>
      </c>
      <c r="P2171" s="7">
        <v>45657</v>
      </c>
    </row>
    <row r="2172" spans="1:16" x14ac:dyDescent="0.3">
      <c r="A2172">
        <v>2171</v>
      </c>
      <c r="B2172" s="7">
        <v>45097</v>
      </c>
      <c r="C2172" t="s">
        <v>14</v>
      </c>
      <c r="D2172">
        <v>399</v>
      </c>
      <c r="E2172">
        <v>9.1999999999999993</v>
      </c>
      <c r="F2172">
        <v>6</v>
      </c>
      <c r="G2172">
        <v>2</v>
      </c>
      <c r="H2172">
        <v>34</v>
      </c>
      <c r="I2172">
        <v>33</v>
      </c>
      <c r="J2172" t="s">
        <v>13</v>
      </c>
      <c r="K2172">
        <f>IF(J2172="Yes", 1, 0)</f>
        <v>0</v>
      </c>
      <c r="L2172" t="str">
        <f>IF(G2172=0,"0 Failures","1+ Failures")</f>
        <v>1+ Failures</v>
      </c>
      <c r="M2172" t="str">
        <f t="shared" si="101"/>
        <v>5-10 hrs</v>
      </c>
      <c r="N2172" t="str">
        <f t="shared" si="99"/>
        <v>12+ months</v>
      </c>
      <c r="O2172" t="str">
        <f t="shared" si="100"/>
        <v>Basic</v>
      </c>
      <c r="P2172" s="7">
        <v>45657</v>
      </c>
    </row>
    <row r="2173" spans="1:16" x14ac:dyDescent="0.3">
      <c r="A2173">
        <v>2172</v>
      </c>
      <c r="B2173" s="7">
        <v>45303</v>
      </c>
      <c r="C2173" t="s">
        <v>10</v>
      </c>
      <c r="D2173">
        <v>699</v>
      </c>
      <c r="E2173">
        <v>3.6</v>
      </c>
      <c r="F2173">
        <v>0</v>
      </c>
      <c r="G2173">
        <v>1</v>
      </c>
      <c r="H2173">
        <v>32</v>
      </c>
      <c r="I2173">
        <v>4</v>
      </c>
      <c r="J2173" t="s">
        <v>13</v>
      </c>
      <c r="K2173">
        <f>IF(J2173="Yes", 1, 0)</f>
        <v>0</v>
      </c>
      <c r="L2173" t="str">
        <f>IF(G2173=0,"0 Failures","1+ Failures")</f>
        <v>1+ Failures</v>
      </c>
      <c r="M2173" t="str">
        <f t="shared" si="101"/>
        <v>0-5 hrs</v>
      </c>
      <c r="N2173" t="str">
        <f t="shared" si="99"/>
        <v>12+ months</v>
      </c>
      <c r="O2173" t="str">
        <f t="shared" si="100"/>
        <v>Premium</v>
      </c>
      <c r="P2173" s="7">
        <v>45657</v>
      </c>
    </row>
    <row r="2174" spans="1:16" x14ac:dyDescent="0.3">
      <c r="A2174">
        <v>2173</v>
      </c>
      <c r="B2174" s="7">
        <v>44951</v>
      </c>
      <c r="C2174" t="s">
        <v>14</v>
      </c>
      <c r="D2174">
        <v>399</v>
      </c>
      <c r="E2174">
        <v>15.3</v>
      </c>
      <c r="F2174">
        <v>6</v>
      </c>
      <c r="G2174">
        <v>3</v>
      </c>
      <c r="H2174">
        <v>8</v>
      </c>
      <c r="I2174">
        <v>24</v>
      </c>
      <c r="J2174" t="s">
        <v>11</v>
      </c>
      <c r="K2174">
        <f>IF(J2174="Yes", 1, 0)</f>
        <v>1</v>
      </c>
      <c r="L2174" t="str">
        <f>IF(G2174=0,"0 Failures","1+ Failures")</f>
        <v>1+ Failures</v>
      </c>
      <c r="M2174" t="str">
        <f t="shared" si="101"/>
        <v>10-20hrs</v>
      </c>
      <c r="N2174" t="str">
        <f t="shared" si="99"/>
        <v>6-12months</v>
      </c>
      <c r="O2174" t="str">
        <f t="shared" si="100"/>
        <v>Basic</v>
      </c>
      <c r="P2174" s="7">
        <v>45657</v>
      </c>
    </row>
    <row r="2175" spans="1:16" x14ac:dyDescent="0.3">
      <c r="A2175">
        <v>2174</v>
      </c>
      <c r="B2175" s="7">
        <v>45077</v>
      </c>
      <c r="C2175" t="s">
        <v>14</v>
      </c>
      <c r="D2175">
        <v>399</v>
      </c>
      <c r="E2175">
        <v>5.4</v>
      </c>
      <c r="F2175">
        <v>0</v>
      </c>
      <c r="G2175">
        <v>1</v>
      </c>
      <c r="H2175">
        <v>32</v>
      </c>
      <c r="I2175">
        <v>27</v>
      </c>
      <c r="J2175" t="s">
        <v>13</v>
      </c>
      <c r="K2175">
        <f>IF(J2175="Yes", 1, 0)</f>
        <v>0</v>
      </c>
      <c r="L2175" t="str">
        <f>IF(G2175=0,"0 Failures","1+ Failures")</f>
        <v>1+ Failures</v>
      </c>
      <c r="M2175" t="str">
        <f t="shared" si="101"/>
        <v>5-10 hrs</v>
      </c>
      <c r="N2175" t="str">
        <f t="shared" si="99"/>
        <v>12+ months</v>
      </c>
      <c r="O2175" t="str">
        <f t="shared" si="100"/>
        <v>Basic</v>
      </c>
      <c r="P2175" s="7">
        <v>45657</v>
      </c>
    </row>
    <row r="2176" spans="1:16" x14ac:dyDescent="0.3">
      <c r="A2176">
        <v>2175</v>
      </c>
      <c r="B2176" s="7">
        <v>45159</v>
      </c>
      <c r="C2176" t="s">
        <v>14</v>
      </c>
      <c r="D2176">
        <v>399</v>
      </c>
      <c r="E2176">
        <v>16.399999999999999</v>
      </c>
      <c r="F2176">
        <v>4</v>
      </c>
      <c r="G2176">
        <v>3</v>
      </c>
      <c r="H2176">
        <v>9</v>
      </c>
      <c r="I2176">
        <v>15</v>
      </c>
      <c r="J2176" t="s">
        <v>11</v>
      </c>
      <c r="K2176">
        <f>IF(J2176="Yes", 1, 0)</f>
        <v>1</v>
      </c>
      <c r="L2176" t="str">
        <f>IF(G2176=0,"0 Failures","1+ Failures")</f>
        <v>1+ Failures</v>
      </c>
      <c r="M2176" t="str">
        <f t="shared" si="101"/>
        <v>10-20hrs</v>
      </c>
      <c r="N2176" t="str">
        <f t="shared" si="99"/>
        <v>6-12months</v>
      </c>
      <c r="O2176" t="str">
        <f t="shared" si="100"/>
        <v>Basic</v>
      </c>
      <c r="P2176" s="7">
        <v>45657</v>
      </c>
    </row>
    <row r="2177" spans="1:16" x14ac:dyDescent="0.3">
      <c r="A2177">
        <v>2176</v>
      </c>
      <c r="B2177" s="7">
        <v>45136</v>
      </c>
      <c r="C2177" t="s">
        <v>14</v>
      </c>
      <c r="D2177">
        <v>399</v>
      </c>
      <c r="E2177">
        <v>12.4</v>
      </c>
      <c r="F2177">
        <v>7</v>
      </c>
      <c r="G2177">
        <v>5</v>
      </c>
      <c r="H2177">
        <v>17</v>
      </c>
      <c r="I2177">
        <v>29</v>
      </c>
      <c r="J2177" t="s">
        <v>11</v>
      </c>
      <c r="K2177">
        <f>IF(J2177="Yes", 1, 0)</f>
        <v>1</v>
      </c>
      <c r="L2177" t="str">
        <f>IF(G2177=0,"0 Failures","1+ Failures")</f>
        <v>1+ Failures</v>
      </c>
      <c r="M2177" t="str">
        <f t="shared" si="101"/>
        <v>10-20hrs</v>
      </c>
      <c r="N2177" t="str">
        <f t="shared" si="99"/>
        <v>12+ months</v>
      </c>
      <c r="O2177" t="str">
        <f t="shared" si="100"/>
        <v>Basic</v>
      </c>
      <c r="P2177" s="7">
        <v>45657</v>
      </c>
    </row>
    <row r="2178" spans="1:16" x14ac:dyDescent="0.3">
      <c r="A2178">
        <v>2177</v>
      </c>
      <c r="B2178" s="7">
        <v>45582</v>
      </c>
      <c r="C2178" t="s">
        <v>14</v>
      </c>
      <c r="D2178">
        <v>399</v>
      </c>
      <c r="E2178">
        <v>10.7</v>
      </c>
      <c r="F2178">
        <v>0</v>
      </c>
      <c r="G2178">
        <v>1</v>
      </c>
      <c r="H2178">
        <v>9</v>
      </c>
      <c r="I2178">
        <v>60</v>
      </c>
      <c r="J2178" t="s">
        <v>11</v>
      </c>
      <c r="K2178">
        <f>IF(J2178="Yes", 1, 0)</f>
        <v>1</v>
      </c>
      <c r="L2178" t="str">
        <f>IF(G2178=0,"0 Failures","1+ Failures")</f>
        <v>1+ Failures</v>
      </c>
      <c r="M2178" t="str">
        <f t="shared" si="101"/>
        <v>10-20hrs</v>
      </c>
      <c r="N2178" t="str">
        <f t="shared" si="99"/>
        <v>6-12months</v>
      </c>
      <c r="O2178" t="str">
        <f t="shared" si="100"/>
        <v>Basic</v>
      </c>
      <c r="P2178" s="7">
        <v>45657</v>
      </c>
    </row>
    <row r="2179" spans="1:16" x14ac:dyDescent="0.3">
      <c r="A2179">
        <v>2178</v>
      </c>
      <c r="B2179" s="7">
        <v>45596</v>
      </c>
      <c r="C2179" t="s">
        <v>12</v>
      </c>
      <c r="D2179">
        <v>199</v>
      </c>
      <c r="E2179">
        <v>9.6999999999999993</v>
      </c>
      <c r="F2179">
        <v>5</v>
      </c>
      <c r="G2179">
        <v>3</v>
      </c>
      <c r="H2179">
        <v>19</v>
      </c>
      <c r="I2179">
        <v>58</v>
      </c>
      <c r="J2179" t="s">
        <v>11</v>
      </c>
      <c r="K2179">
        <f>IF(J2179="Yes", 1, 0)</f>
        <v>1</v>
      </c>
      <c r="L2179" t="str">
        <f>IF(G2179=0,"0 Failures","1+ Failures")</f>
        <v>1+ Failures</v>
      </c>
      <c r="M2179" t="str">
        <f t="shared" si="101"/>
        <v>5-10 hrs</v>
      </c>
      <c r="N2179" t="str">
        <f t="shared" ref="N2179:N2242" si="102">IF(H2179&lt;=3, "0-3months", IF(H2179&lt;=6, "3-6months", IF(H2179&lt;=12, "6-12months", "12+ months")))</f>
        <v>12+ months</v>
      </c>
      <c r="O2179" t="str">
        <f t="shared" ref="O2179:O2242" si="103">IF(C2179="premium", "Premium", "Basic")</f>
        <v>Basic</v>
      </c>
      <c r="P2179" s="7">
        <v>45657</v>
      </c>
    </row>
    <row r="2180" spans="1:16" x14ac:dyDescent="0.3">
      <c r="A2180">
        <v>2179</v>
      </c>
      <c r="B2180" s="7">
        <v>45417</v>
      </c>
      <c r="C2180" t="s">
        <v>14</v>
      </c>
      <c r="D2180">
        <v>399</v>
      </c>
      <c r="E2180">
        <v>15.2</v>
      </c>
      <c r="F2180">
        <v>5</v>
      </c>
      <c r="G2180">
        <v>4</v>
      </c>
      <c r="H2180">
        <v>5</v>
      </c>
      <c r="I2180">
        <v>35</v>
      </c>
      <c r="J2180" t="s">
        <v>11</v>
      </c>
      <c r="K2180">
        <f>IF(J2180="Yes", 1, 0)</f>
        <v>1</v>
      </c>
      <c r="L2180" t="str">
        <f>IF(G2180=0,"0 Failures","1+ Failures")</f>
        <v>1+ Failures</v>
      </c>
      <c r="M2180" t="str">
        <f t="shared" si="101"/>
        <v>10-20hrs</v>
      </c>
      <c r="N2180" t="str">
        <f t="shared" si="102"/>
        <v>3-6months</v>
      </c>
      <c r="O2180" t="str">
        <f t="shared" si="103"/>
        <v>Basic</v>
      </c>
      <c r="P2180" s="7">
        <v>45657</v>
      </c>
    </row>
    <row r="2181" spans="1:16" x14ac:dyDescent="0.3">
      <c r="A2181">
        <v>2180</v>
      </c>
      <c r="B2181" s="7">
        <v>45030</v>
      </c>
      <c r="C2181" t="s">
        <v>12</v>
      </c>
      <c r="D2181">
        <v>199</v>
      </c>
      <c r="E2181">
        <v>8.6</v>
      </c>
      <c r="F2181">
        <v>4</v>
      </c>
      <c r="G2181">
        <v>4</v>
      </c>
      <c r="H2181">
        <v>23</v>
      </c>
      <c r="I2181">
        <v>10</v>
      </c>
      <c r="J2181" t="s">
        <v>11</v>
      </c>
      <c r="K2181">
        <f>IF(J2181="Yes", 1, 0)</f>
        <v>1</v>
      </c>
      <c r="L2181" t="str">
        <f>IF(G2181=0,"0 Failures","1+ Failures")</f>
        <v>1+ Failures</v>
      </c>
      <c r="M2181" t="str">
        <f t="shared" si="101"/>
        <v>5-10 hrs</v>
      </c>
      <c r="N2181" t="str">
        <f t="shared" si="102"/>
        <v>12+ months</v>
      </c>
      <c r="O2181" t="str">
        <f t="shared" si="103"/>
        <v>Basic</v>
      </c>
      <c r="P2181" s="7">
        <v>45657</v>
      </c>
    </row>
    <row r="2182" spans="1:16" x14ac:dyDescent="0.3">
      <c r="A2182">
        <v>2181</v>
      </c>
      <c r="B2182" s="7">
        <v>45307</v>
      </c>
      <c r="C2182" t="s">
        <v>12</v>
      </c>
      <c r="D2182">
        <v>199</v>
      </c>
      <c r="E2182">
        <v>7.1</v>
      </c>
      <c r="F2182">
        <v>0</v>
      </c>
      <c r="G2182">
        <v>4</v>
      </c>
      <c r="H2182">
        <v>36</v>
      </c>
      <c r="I2182">
        <v>13</v>
      </c>
      <c r="J2182" t="s">
        <v>13</v>
      </c>
      <c r="K2182">
        <f>IF(J2182="Yes", 1, 0)</f>
        <v>0</v>
      </c>
      <c r="L2182" t="str">
        <f>IF(G2182=0,"0 Failures","1+ Failures")</f>
        <v>1+ Failures</v>
      </c>
      <c r="M2182" t="str">
        <f t="shared" si="101"/>
        <v>5-10 hrs</v>
      </c>
      <c r="N2182" t="str">
        <f t="shared" si="102"/>
        <v>12+ months</v>
      </c>
      <c r="O2182" t="str">
        <f t="shared" si="103"/>
        <v>Basic</v>
      </c>
      <c r="P2182" s="7">
        <v>45657</v>
      </c>
    </row>
    <row r="2183" spans="1:16" x14ac:dyDescent="0.3">
      <c r="A2183">
        <v>2182</v>
      </c>
      <c r="B2183" s="7">
        <v>45303</v>
      </c>
      <c r="C2183" t="s">
        <v>12</v>
      </c>
      <c r="D2183">
        <v>199</v>
      </c>
      <c r="E2183">
        <v>10.4</v>
      </c>
      <c r="F2183">
        <v>7</v>
      </c>
      <c r="G2183">
        <v>2</v>
      </c>
      <c r="H2183">
        <v>29</v>
      </c>
      <c r="I2183">
        <v>39</v>
      </c>
      <c r="J2183" t="s">
        <v>11</v>
      </c>
      <c r="K2183">
        <f>IF(J2183="Yes", 1, 0)</f>
        <v>1</v>
      </c>
      <c r="L2183" t="str">
        <f>IF(G2183=0,"0 Failures","1+ Failures")</f>
        <v>1+ Failures</v>
      </c>
      <c r="M2183" t="str">
        <f t="shared" si="101"/>
        <v>10-20hrs</v>
      </c>
      <c r="N2183" t="str">
        <f t="shared" si="102"/>
        <v>12+ months</v>
      </c>
      <c r="O2183" t="str">
        <f t="shared" si="103"/>
        <v>Basic</v>
      </c>
      <c r="P2183" s="7">
        <v>45657</v>
      </c>
    </row>
    <row r="2184" spans="1:16" x14ac:dyDescent="0.3">
      <c r="A2184">
        <v>2183</v>
      </c>
      <c r="B2184" s="7">
        <v>44964</v>
      </c>
      <c r="C2184" t="s">
        <v>12</v>
      </c>
      <c r="D2184">
        <v>199</v>
      </c>
      <c r="E2184">
        <v>14.8</v>
      </c>
      <c r="F2184">
        <v>7</v>
      </c>
      <c r="G2184">
        <v>3</v>
      </c>
      <c r="H2184">
        <v>34</v>
      </c>
      <c r="I2184">
        <v>27</v>
      </c>
      <c r="J2184" t="s">
        <v>13</v>
      </c>
      <c r="K2184">
        <f>IF(J2184="Yes", 1, 0)</f>
        <v>0</v>
      </c>
      <c r="L2184" t="str">
        <f>IF(G2184=0,"0 Failures","1+ Failures")</f>
        <v>1+ Failures</v>
      </c>
      <c r="M2184" t="str">
        <f t="shared" si="101"/>
        <v>10-20hrs</v>
      </c>
      <c r="N2184" t="str">
        <f t="shared" si="102"/>
        <v>12+ months</v>
      </c>
      <c r="O2184" t="str">
        <f t="shared" si="103"/>
        <v>Basic</v>
      </c>
      <c r="P2184" s="7">
        <v>45657</v>
      </c>
    </row>
    <row r="2185" spans="1:16" x14ac:dyDescent="0.3">
      <c r="A2185">
        <v>2184</v>
      </c>
      <c r="B2185" s="7">
        <v>45313</v>
      </c>
      <c r="C2185" t="s">
        <v>10</v>
      </c>
      <c r="D2185">
        <v>699</v>
      </c>
      <c r="E2185">
        <v>18.399999999999999</v>
      </c>
      <c r="F2185">
        <v>8</v>
      </c>
      <c r="G2185">
        <v>0</v>
      </c>
      <c r="H2185">
        <v>36</v>
      </c>
      <c r="I2185">
        <v>9</v>
      </c>
      <c r="J2185" t="s">
        <v>13</v>
      </c>
      <c r="K2185">
        <f>IF(J2185="Yes", 1, 0)</f>
        <v>0</v>
      </c>
      <c r="L2185" t="str">
        <f>IF(G2185=0,"0 Failures","1+ Failures")</f>
        <v>0 Failures</v>
      </c>
      <c r="M2185" t="str">
        <f t="shared" si="101"/>
        <v>10-20hrs</v>
      </c>
      <c r="N2185" t="str">
        <f t="shared" si="102"/>
        <v>12+ months</v>
      </c>
      <c r="O2185" t="str">
        <f t="shared" si="103"/>
        <v>Premium</v>
      </c>
      <c r="P2185" s="7">
        <v>45657</v>
      </c>
    </row>
    <row r="2186" spans="1:16" x14ac:dyDescent="0.3">
      <c r="A2186">
        <v>2185</v>
      </c>
      <c r="B2186" s="7">
        <v>45128</v>
      </c>
      <c r="C2186" t="s">
        <v>14</v>
      </c>
      <c r="D2186">
        <v>399</v>
      </c>
      <c r="E2186">
        <v>18.399999999999999</v>
      </c>
      <c r="F2186">
        <v>4</v>
      </c>
      <c r="G2186">
        <v>1</v>
      </c>
      <c r="H2186">
        <v>29</v>
      </c>
      <c r="I2186">
        <v>9</v>
      </c>
      <c r="J2186" t="s">
        <v>13</v>
      </c>
      <c r="K2186">
        <f>IF(J2186="Yes", 1, 0)</f>
        <v>0</v>
      </c>
      <c r="L2186" t="str">
        <f>IF(G2186=0,"0 Failures","1+ Failures")</f>
        <v>1+ Failures</v>
      </c>
      <c r="M2186" t="str">
        <f t="shared" si="101"/>
        <v>10-20hrs</v>
      </c>
      <c r="N2186" t="str">
        <f t="shared" si="102"/>
        <v>12+ months</v>
      </c>
      <c r="O2186" t="str">
        <f t="shared" si="103"/>
        <v>Basic</v>
      </c>
      <c r="P2186" s="7">
        <v>45657</v>
      </c>
    </row>
    <row r="2187" spans="1:16" x14ac:dyDescent="0.3">
      <c r="A2187">
        <v>2186</v>
      </c>
      <c r="B2187" s="7">
        <v>45063</v>
      </c>
      <c r="C2187" t="s">
        <v>12</v>
      </c>
      <c r="D2187">
        <v>199</v>
      </c>
      <c r="E2187">
        <v>7.3</v>
      </c>
      <c r="F2187">
        <v>3</v>
      </c>
      <c r="G2187">
        <v>0</v>
      </c>
      <c r="H2187">
        <v>25</v>
      </c>
      <c r="I2187">
        <v>2</v>
      </c>
      <c r="J2187" t="s">
        <v>13</v>
      </c>
      <c r="K2187">
        <f>IF(J2187="Yes", 1, 0)</f>
        <v>0</v>
      </c>
      <c r="L2187" t="str">
        <f>IF(G2187=0,"0 Failures","1+ Failures")</f>
        <v>0 Failures</v>
      </c>
      <c r="M2187" t="str">
        <f t="shared" ref="M2187:M2250" si="104">IF(E2187&lt;=5, "0-5 hrs",    IF(E2187&lt;=10, "5-10 hrs",    IF(E2187&lt;=20, "10-20hrs", "20+ hrs")))</f>
        <v>5-10 hrs</v>
      </c>
      <c r="N2187" t="str">
        <f t="shared" si="102"/>
        <v>12+ months</v>
      </c>
      <c r="O2187" t="str">
        <f t="shared" si="103"/>
        <v>Basic</v>
      </c>
      <c r="P2187" s="7">
        <v>45657</v>
      </c>
    </row>
    <row r="2188" spans="1:16" x14ac:dyDescent="0.3">
      <c r="A2188">
        <v>2187</v>
      </c>
      <c r="B2188" s="7">
        <v>45188</v>
      </c>
      <c r="C2188" t="s">
        <v>12</v>
      </c>
      <c r="D2188">
        <v>199</v>
      </c>
      <c r="E2188">
        <v>14.4</v>
      </c>
      <c r="F2188">
        <v>6</v>
      </c>
      <c r="G2188">
        <v>1</v>
      </c>
      <c r="H2188">
        <v>27</v>
      </c>
      <c r="I2188">
        <v>27</v>
      </c>
      <c r="J2188" t="s">
        <v>13</v>
      </c>
      <c r="K2188">
        <f>IF(J2188="Yes", 1, 0)</f>
        <v>0</v>
      </c>
      <c r="L2188" t="str">
        <f>IF(G2188=0,"0 Failures","1+ Failures")</f>
        <v>1+ Failures</v>
      </c>
      <c r="M2188" t="str">
        <f t="shared" si="104"/>
        <v>10-20hrs</v>
      </c>
      <c r="N2188" t="str">
        <f t="shared" si="102"/>
        <v>12+ months</v>
      </c>
      <c r="O2188" t="str">
        <f t="shared" si="103"/>
        <v>Basic</v>
      </c>
      <c r="P2188" s="7">
        <v>45657</v>
      </c>
    </row>
    <row r="2189" spans="1:16" x14ac:dyDescent="0.3">
      <c r="A2189">
        <v>2188</v>
      </c>
      <c r="B2189" s="7">
        <v>44994</v>
      </c>
      <c r="C2189" t="s">
        <v>12</v>
      </c>
      <c r="D2189">
        <v>199</v>
      </c>
      <c r="E2189">
        <v>24.8</v>
      </c>
      <c r="F2189">
        <v>2</v>
      </c>
      <c r="G2189">
        <v>0</v>
      </c>
      <c r="H2189">
        <v>1</v>
      </c>
      <c r="I2189">
        <v>16</v>
      </c>
      <c r="J2189" t="s">
        <v>13</v>
      </c>
      <c r="K2189">
        <f>IF(J2189="Yes", 1, 0)</f>
        <v>0</v>
      </c>
      <c r="L2189" t="str">
        <f>IF(G2189=0,"0 Failures","1+ Failures")</f>
        <v>0 Failures</v>
      </c>
      <c r="M2189" t="str">
        <f t="shared" si="104"/>
        <v>20+ hrs</v>
      </c>
      <c r="N2189" t="str">
        <f t="shared" si="102"/>
        <v>0-3months</v>
      </c>
      <c r="O2189" t="str">
        <f t="shared" si="103"/>
        <v>Basic</v>
      </c>
      <c r="P2189" s="7">
        <v>45657</v>
      </c>
    </row>
    <row r="2190" spans="1:16" x14ac:dyDescent="0.3">
      <c r="A2190">
        <v>2189</v>
      </c>
      <c r="B2190" s="7">
        <v>45612</v>
      </c>
      <c r="C2190" t="s">
        <v>12</v>
      </c>
      <c r="D2190">
        <v>199</v>
      </c>
      <c r="E2190">
        <v>22.9</v>
      </c>
      <c r="F2190">
        <v>2</v>
      </c>
      <c r="G2190">
        <v>5</v>
      </c>
      <c r="H2190">
        <v>30</v>
      </c>
      <c r="I2190">
        <v>31</v>
      </c>
      <c r="J2190" t="s">
        <v>11</v>
      </c>
      <c r="K2190">
        <f>IF(J2190="Yes", 1, 0)</f>
        <v>1</v>
      </c>
      <c r="L2190" t="str">
        <f>IF(G2190=0,"0 Failures","1+ Failures")</f>
        <v>1+ Failures</v>
      </c>
      <c r="M2190" t="str">
        <f t="shared" si="104"/>
        <v>20+ hrs</v>
      </c>
      <c r="N2190" t="str">
        <f t="shared" si="102"/>
        <v>12+ months</v>
      </c>
      <c r="O2190" t="str">
        <f t="shared" si="103"/>
        <v>Basic</v>
      </c>
      <c r="P2190" s="7">
        <v>45657</v>
      </c>
    </row>
    <row r="2191" spans="1:16" x14ac:dyDescent="0.3">
      <c r="A2191">
        <v>2190</v>
      </c>
      <c r="B2191" s="7">
        <v>45488</v>
      </c>
      <c r="C2191" t="s">
        <v>14</v>
      </c>
      <c r="D2191">
        <v>399</v>
      </c>
      <c r="E2191">
        <v>15.6</v>
      </c>
      <c r="F2191">
        <v>5</v>
      </c>
      <c r="G2191">
        <v>3</v>
      </c>
      <c r="H2191">
        <v>22</v>
      </c>
      <c r="I2191">
        <v>16</v>
      </c>
      <c r="J2191" t="s">
        <v>13</v>
      </c>
      <c r="K2191">
        <f>IF(J2191="Yes", 1, 0)</f>
        <v>0</v>
      </c>
      <c r="L2191" t="str">
        <f>IF(G2191=0,"0 Failures","1+ Failures")</f>
        <v>1+ Failures</v>
      </c>
      <c r="M2191" t="str">
        <f t="shared" si="104"/>
        <v>10-20hrs</v>
      </c>
      <c r="N2191" t="str">
        <f t="shared" si="102"/>
        <v>12+ months</v>
      </c>
      <c r="O2191" t="str">
        <f t="shared" si="103"/>
        <v>Basic</v>
      </c>
      <c r="P2191" s="7">
        <v>45657</v>
      </c>
    </row>
    <row r="2192" spans="1:16" x14ac:dyDescent="0.3">
      <c r="A2192">
        <v>2191</v>
      </c>
      <c r="B2192" s="7">
        <v>45530</v>
      </c>
      <c r="C2192" t="s">
        <v>10</v>
      </c>
      <c r="D2192">
        <v>699</v>
      </c>
      <c r="E2192">
        <v>16</v>
      </c>
      <c r="F2192">
        <v>5</v>
      </c>
      <c r="G2192">
        <v>4</v>
      </c>
      <c r="H2192">
        <v>22</v>
      </c>
      <c r="I2192">
        <v>9</v>
      </c>
      <c r="J2192" t="s">
        <v>13</v>
      </c>
      <c r="K2192">
        <f>IF(J2192="Yes", 1, 0)</f>
        <v>0</v>
      </c>
      <c r="L2192" t="str">
        <f>IF(G2192=0,"0 Failures","1+ Failures")</f>
        <v>1+ Failures</v>
      </c>
      <c r="M2192" t="str">
        <f t="shared" si="104"/>
        <v>10-20hrs</v>
      </c>
      <c r="N2192" t="str">
        <f t="shared" si="102"/>
        <v>12+ months</v>
      </c>
      <c r="O2192" t="str">
        <f t="shared" si="103"/>
        <v>Premium</v>
      </c>
      <c r="P2192" s="7">
        <v>45657</v>
      </c>
    </row>
    <row r="2193" spans="1:16" x14ac:dyDescent="0.3">
      <c r="A2193">
        <v>2192</v>
      </c>
      <c r="B2193" s="7">
        <v>45421</v>
      </c>
      <c r="C2193" t="s">
        <v>10</v>
      </c>
      <c r="D2193">
        <v>699</v>
      </c>
      <c r="E2193">
        <v>20.3</v>
      </c>
      <c r="F2193">
        <v>3</v>
      </c>
      <c r="G2193">
        <v>1</v>
      </c>
      <c r="H2193">
        <v>18</v>
      </c>
      <c r="I2193">
        <v>52</v>
      </c>
      <c r="J2193" t="s">
        <v>11</v>
      </c>
      <c r="K2193">
        <f>IF(J2193="Yes", 1, 0)</f>
        <v>1</v>
      </c>
      <c r="L2193" t="str">
        <f>IF(G2193=0,"0 Failures","1+ Failures")</f>
        <v>1+ Failures</v>
      </c>
      <c r="M2193" t="str">
        <f t="shared" si="104"/>
        <v>20+ hrs</v>
      </c>
      <c r="N2193" t="str">
        <f t="shared" si="102"/>
        <v>12+ months</v>
      </c>
      <c r="O2193" t="str">
        <f t="shared" si="103"/>
        <v>Premium</v>
      </c>
      <c r="P2193" s="7">
        <v>45657</v>
      </c>
    </row>
    <row r="2194" spans="1:16" x14ac:dyDescent="0.3">
      <c r="A2194">
        <v>2193</v>
      </c>
      <c r="B2194" s="7">
        <v>44979</v>
      </c>
      <c r="C2194" t="s">
        <v>14</v>
      </c>
      <c r="D2194">
        <v>399</v>
      </c>
      <c r="E2194">
        <v>23.5</v>
      </c>
      <c r="F2194">
        <v>4</v>
      </c>
      <c r="G2194">
        <v>3</v>
      </c>
      <c r="H2194">
        <v>22</v>
      </c>
      <c r="I2194">
        <v>46</v>
      </c>
      <c r="J2194" t="s">
        <v>13</v>
      </c>
      <c r="K2194">
        <f>IF(J2194="Yes", 1, 0)</f>
        <v>0</v>
      </c>
      <c r="L2194" t="str">
        <f>IF(G2194=0,"0 Failures","1+ Failures")</f>
        <v>1+ Failures</v>
      </c>
      <c r="M2194" t="str">
        <f t="shared" si="104"/>
        <v>20+ hrs</v>
      </c>
      <c r="N2194" t="str">
        <f t="shared" si="102"/>
        <v>12+ months</v>
      </c>
      <c r="O2194" t="str">
        <f t="shared" si="103"/>
        <v>Basic</v>
      </c>
      <c r="P2194" s="7">
        <v>45657</v>
      </c>
    </row>
    <row r="2195" spans="1:16" x14ac:dyDescent="0.3">
      <c r="A2195">
        <v>2194</v>
      </c>
      <c r="B2195" s="7">
        <v>45155</v>
      </c>
      <c r="C2195" t="s">
        <v>10</v>
      </c>
      <c r="D2195">
        <v>699</v>
      </c>
      <c r="E2195">
        <v>20.100000000000001</v>
      </c>
      <c r="F2195">
        <v>4</v>
      </c>
      <c r="G2195">
        <v>0</v>
      </c>
      <c r="H2195">
        <v>20</v>
      </c>
      <c r="I2195">
        <v>52</v>
      </c>
      <c r="J2195" t="s">
        <v>11</v>
      </c>
      <c r="K2195">
        <f>IF(J2195="Yes", 1, 0)</f>
        <v>1</v>
      </c>
      <c r="L2195" t="str">
        <f>IF(G2195=0,"0 Failures","1+ Failures")</f>
        <v>0 Failures</v>
      </c>
      <c r="M2195" t="str">
        <f t="shared" si="104"/>
        <v>20+ hrs</v>
      </c>
      <c r="N2195" t="str">
        <f t="shared" si="102"/>
        <v>12+ months</v>
      </c>
      <c r="O2195" t="str">
        <f t="shared" si="103"/>
        <v>Premium</v>
      </c>
      <c r="P2195" s="7">
        <v>45657</v>
      </c>
    </row>
    <row r="2196" spans="1:16" x14ac:dyDescent="0.3">
      <c r="A2196">
        <v>2195</v>
      </c>
      <c r="B2196" s="7">
        <v>45298</v>
      </c>
      <c r="C2196" t="s">
        <v>12</v>
      </c>
      <c r="D2196">
        <v>199</v>
      </c>
      <c r="E2196">
        <v>11.9</v>
      </c>
      <c r="F2196">
        <v>2</v>
      </c>
      <c r="G2196">
        <v>0</v>
      </c>
      <c r="H2196">
        <v>16</v>
      </c>
      <c r="I2196">
        <v>44</v>
      </c>
      <c r="J2196" t="s">
        <v>13</v>
      </c>
      <c r="K2196">
        <f>IF(J2196="Yes", 1, 0)</f>
        <v>0</v>
      </c>
      <c r="L2196" t="str">
        <f>IF(G2196=0,"0 Failures","1+ Failures")</f>
        <v>0 Failures</v>
      </c>
      <c r="M2196" t="str">
        <f t="shared" si="104"/>
        <v>10-20hrs</v>
      </c>
      <c r="N2196" t="str">
        <f t="shared" si="102"/>
        <v>12+ months</v>
      </c>
      <c r="O2196" t="str">
        <f t="shared" si="103"/>
        <v>Basic</v>
      </c>
      <c r="P2196" s="7">
        <v>45657</v>
      </c>
    </row>
    <row r="2197" spans="1:16" x14ac:dyDescent="0.3">
      <c r="A2197">
        <v>2196</v>
      </c>
      <c r="B2197" s="7">
        <v>45565</v>
      </c>
      <c r="C2197" t="s">
        <v>14</v>
      </c>
      <c r="D2197">
        <v>399</v>
      </c>
      <c r="E2197">
        <v>10.8</v>
      </c>
      <c r="F2197">
        <v>5</v>
      </c>
      <c r="G2197">
        <v>2</v>
      </c>
      <c r="H2197">
        <v>26</v>
      </c>
      <c r="I2197">
        <v>5</v>
      </c>
      <c r="J2197" t="s">
        <v>11</v>
      </c>
      <c r="K2197">
        <f>IF(J2197="Yes", 1, 0)</f>
        <v>1</v>
      </c>
      <c r="L2197" t="str">
        <f>IF(G2197=0,"0 Failures","1+ Failures")</f>
        <v>1+ Failures</v>
      </c>
      <c r="M2197" t="str">
        <f t="shared" si="104"/>
        <v>10-20hrs</v>
      </c>
      <c r="N2197" t="str">
        <f t="shared" si="102"/>
        <v>12+ months</v>
      </c>
      <c r="O2197" t="str">
        <f t="shared" si="103"/>
        <v>Basic</v>
      </c>
      <c r="P2197" s="7">
        <v>45657</v>
      </c>
    </row>
    <row r="2198" spans="1:16" x14ac:dyDescent="0.3">
      <c r="A2198">
        <v>2197</v>
      </c>
      <c r="B2198" s="7">
        <v>45084</v>
      </c>
      <c r="C2198" t="s">
        <v>14</v>
      </c>
      <c r="D2198">
        <v>399</v>
      </c>
      <c r="E2198">
        <v>19.5</v>
      </c>
      <c r="F2198">
        <v>0</v>
      </c>
      <c r="G2198">
        <v>3</v>
      </c>
      <c r="H2198">
        <v>5</v>
      </c>
      <c r="I2198">
        <v>25</v>
      </c>
      <c r="J2198" t="s">
        <v>13</v>
      </c>
      <c r="K2198">
        <f>IF(J2198="Yes", 1, 0)</f>
        <v>0</v>
      </c>
      <c r="L2198" t="str">
        <f>IF(G2198=0,"0 Failures","1+ Failures")</f>
        <v>1+ Failures</v>
      </c>
      <c r="M2198" t="str">
        <f t="shared" si="104"/>
        <v>10-20hrs</v>
      </c>
      <c r="N2198" t="str">
        <f t="shared" si="102"/>
        <v>3-6months</v>
      </c>
      <c r="O2198" t="str">
        <f t="shared" si="103"/>
        <v>Basic</v>
      </c>
      <c r="P2198" s="7">
        <v>45657</v>
      </c>
    </row>
    <row r="2199" spans="1:16" x14ac:dyDescent="0.3">
      <c r="A2199">
        <v>2198</v>
      </c>
      <c r="B2199" s="7">
        <v>45425</v>
      </c>
      <c r="C2199" t="s">
        <v>14</v>
      </c>
      <c r="D2199">
        <v>399</v>
      </c>
      <c r="E2199">
        <v>24.5</v>
      </c>
      <c r="F2199">
        <v>5</v>
      </c>
      <c r="G2199">
        <v>2</v>
      </c>
      <c r="H2199">
        <v>31</v>
      </c>
      <c r="I2199">
        <v>7</v>
      </c>
      <c r="J2199" t="s">
        <v>11</v>
      </c>
      <c r="K2199">
        <f>IF(J2199="Yes", 1, 0)</f>
        <v>1</v>
      </c>
      <c r="L2199" t="str">
        <f>IF(G2199=0,"0 Failures","1+ Failures")</f>
        <v>1+ Failures</v>
      </c>
      <c r="M2199" t="str">
        <f t="shared" si="104"/>
        <v>20+ hrs</v>
      </c>
      <c r="N2199" t="str">
        <f t="shared" si="102"/>
        <v>12+ months</v>
      </c>
      <c r="O2199" t="str">
        <f t="shared" si="103"/>
        <v>Basic</v>
      </c>
      <c r="P2199" s="7">
        <v>45657</v>
      </c>
    </row>
    <row r="2200" spans="1:16" x14ac:dyDescent="0.3">
      <c r="A2200">
        <v>2199</v>
      </c>
      <c r="B2200" s="7">
        <v>45176</v>
      </c>
      <c r="C2200" t="s">
        <v>14</v>
      </c>
      <c r="D2200">
        <v>399</v>
      </c>
      <c r="E2200">
        <v>14.9</v>
      </c>
      <c r="F2200">
        <v>6</v>
      </c>
      <c r="G2200">
        <v>3</v>
      </c>
      <c r="H2200">
        <v>26</v>
      </c>
      <c r="I2200">
        <v>54</v>
      </c>
      <c r="J2200" t="s">
        <v>11</v>
      </c>
      <c r="K2200">
        <f>IF(J2200="Yes", 1, 0)</f>
        <v>1</v>
      </c>
      <c r="L2200" t="str">
        <f>IF(G2200=0,"0 Failures","1+ Failures")</f>
        <v>1+ Failures</v>
      </c>
      <c r="M2200" t="str">
        <f t="shared" si="104"/>
        <v>10-20hrs</v>
      </c>
      <c r="N2200" t="str">
        <f t="shared" si="102"/>
        <v>12+ months</v>
      </c>
      <c r="O2200" t="str">
        <f t="shared" si="103"/>
        <v>Basic</v>
      </c>
      <c r="P2200" s="7">
        <v>45657</v>
      </c>
    </row>
    <row r="2201" spans="1:16" x14ac:dyDescent="0.3">
      <c r="A2201">
        <v>2200</v>
      </c>
      <c r="B2201" s="7">
        <v>45030</v>
      </c>
      <c r="C2201" t="s">
        <v>10</v>
      </c>
      <c r="D2201">
        <v>699</v>
      </c>
      <c r="E2201">
        <v>8.6999999999999993</v>
      </c>
      <c r="F2201">
        <v>5</v>
      </c>
      <c r="G2201">
        <v>4</v>
      </c>
      <c r="H2201">
        <v>11</v>
      </c>
      <c r="I2201">
        <v>24</v>
      </c>
      <c r="J2201" t="s">
        <v>13</v>
      </c>
      <c r="K2201">
        <f>IF(J2201="Yes", 1, 0)</f>
        <v>0</v>
      </c>
      <c r="L2201" t="str">
        <f>IF(G2201=0,"0 Failures","1+ Failures")</f>
        <v>1+ Failures</v>
      </c>
      <c r="M2201" t="str">
        <f t="shared" si="104"/>
        <v>5-10 hrs</v>
      </c>
      <c r="N2201" t="str">
        <f t="shared" si="102"/>
        <v>6-12months</v>
      </c>
      <c r="O2201" t="str">
        <f t="shared" si="103"/>
        <v>Premium</v>
      </c>
      <c r="P2201" s="7">
        <v>45657</v>
      </c>
    </row>
    <row r="2202" spans="1:16" x14ac:dyDescent="0.3">
      <c r="A2202">
        <v>2201</v>
      </c>
      <c r="B2202" s="7">
        <v>45021</v>
      </c>
      <c r="C2202" t="s">
        <v>12</v>
      </c>
      <c r="D2202">
        <v>199</v>
      </c>
      <c r="E2202">
        <v>20</v>
      </c>
      <c r="F2202">
        <v>0</v>
      </c>
      <c r="G2202">
        <v>1</v>
      </c>
      <c r="H2202">
        <v>6</v>
      </c>
      <c r="I2202">
        <v>34</v>
      </c>
      <c r="J2202" t="s">
        <v>13</v>
      </c>
      <c r="K2202">
        <f>IF(J2202="Yes", 1, 0)</f>
        <v>0</v>
      </c>
      <c r="L2202" t="str">
        <f>IF(G2202=0,"0 Failures","1+ Failures")</f>
        <v>1+ Failures</v>
      </c>
      <c r="M2202" t="str">
        <f t="shared" si="104"/>
        <v>10-20hrs</v>
      </c>
      <c r="N2202" t="str">
        <f t="shared" si="102"/>
        <v>3-6months</v>
      </c>
      <c r="O2202" t="str">
        <f t="shared" si="103"/>
        <v>Basic</v>
      </c>
      <c r="P2202" s="7">
        <v>45657</v>
      </c>
    </row>
    <row r="2203" spans="1:16" x14ac:dyDescent="0.3">
      <c r="A2203">
        <v>2202</v>
      </c>
      <c r="B2203" s="7">
        <v>45225</v>
      </c>
      <c r="C2203" t="s">
        <v>10</v>
      </c>
      <c r="D2203">
        <v>699</v>
      </c>
      <c r="E2203">
        <v>24.8</v>
      </c>
      <c r="F2203">
        <v>0</v>
      </c>
      <c r="G2203">
        <v>3</v>
      </c>
      <c r="H2203">
        <v>10</v>
      </c>
      <c r="I2203">
        <v>11</v>
      </c>
      <c r="J2203" t="s">
        <v>11</v>
      </c>
      <c r="K2203">
        <f>IF(J2203="Yes", 1, 0)</f>
        <v>1</v>
      </c>
      <c r="L2203" t="str">
        <f>IF(G2203=0,"0 Failures","1+ Failures")</f>
        <v>1+ Failures</v>
      </c>
      <c r="M2203" t="str">
        <f t="shared" si="104"/>
        <v>20+ hrs</v>
      </c>
      <c r="N2203" t="str">
        <f t="shared" si="102"/>
        <v>6-12months</v>
      </c>
      <c r="O2203" t="str">
        <f t="shared" si="103"/>
        <v>Premium</v>
      </c>
      <c r="P2203" s="7">
        <v>45657</v>
      </c>
    </row>
    <row r="2204" spans="1:16" x14ac:dyDescent="0.3">
      <c r="A2204">
        <v>2203</v>
      </c>
      <c r="B2204" s="7">
        <v>45265</v>
      </c>
      <c r="C2204" t="s">
        <v>14</v>
      </c>
      <c r="D2204">
        <v>399</v>
      </c>
      <c r="E2204">
        <v>16.8</v>
      </c>
      <c r="F2204">
        <v>1</v>
      </c>
      <c r="G2204">
        <v>0</v>
      </c>
      <c r="H2204">
        <v>23</v>
      </c>
      <c r="I2204">
        <v>10</v>
      </c>
      <c r="J2204" t="s">
        <v>13</v>
      </c>
      <c r="K2204">
        <f>IF(J2204="Yes", 1, 0)</f>
        <v>0</v>
      </c>
      <c r="L2204" t="str">
        <f>IF(G2204=0,"0 Failures","1+ Failures")</f>
        <v>0 Failures</v>
      </c>
      <c r="M2204" t="str">
        <f t="shared" si="104"/>
        <v>10-20hrs</v>
      </c>
      <c r="N2204" t="str">
        <f t="shared" si="102"/>
        <v>12+ months</v>
      </c>
      <c r="O2204" t="str">
        <f t="shared" si="103"/>
        <v>Basic</v>
      </c>
      <c r="P2204" s="7">
        <v>45657</v>
      </c>
    </row>
    <row r="2205" spans="1:16" x14ac:dyDescent="0.3">
      <c r="A2205">
        <v>2204</v>
      </c>
      <c r="B2205" s="7">
        <v>45123</v>
      </c>
      <c r="C2205" t="s">
        <v>12</v>
      </c>
      <c r="D2205">
        <v>199</v>
      </c>
      <c r="E2205">
        <v>24.9</v>
      </c>
      <c r="F2205">
        <v>1</v>
      </c>
      <c r="G2205">
        <v>0</v>
      </c>
      <c r="H2205">
        <v>3</v>
      </c>
      <c r="I2205">
        <v>39</v>
      </c>
      <c r="J2205" t="s">
        <v>11</v>
      </c>
      <c r="K2205">
        <f>IF(J2205="Yes", 1, 0)</f>
        <v>1</v>
      </c>
      <c r="L2205" t="str">
        <f>IF(G2205=0,"0 Failures","1+ Failures")</f>
        <v>0 Failures</v>
      </c>
      <c r="M2205" t="str">
        <f t="shared" si="104"/>
        <v>20+ hrs</v>
      </c>
      <c r="N2205" t="str">
        <f t="shared" si="102"/>
        <v>0-3months</v>
      </c>
      <c r="O2205" t="str">
        <f t="shared" si="103"/>
        <v>Basic</v>
      </c>
      <c r="P2205" s="7">
        <v>45657</v>
      </c>
    </row>
    <row r="2206" spans="1:16" x14ac:dyDescent="0.3">
      <c r="A2206">
        <v>2205</v>
      </c>
      <c r="B2206" s="7">
        <v>45557</v>
      </c>
      <c r="C2206" t="s">
        <v>12</v>
      </c>
      <c r="D2206">
        <v>199</v>
      </c>
      <c r="E2206">
        <v>20.7</v>
      </c>
      <c r="F2206">
        <v>7</v>
      </c>
      <c r="G2206">
        <v>0</v>
      </c>
      <c r="H2206">
        <v>26</v>
      </c>
      <c r="I2206">
        <v>17</v>
      </c>
      <c r="J2206" t="s">
        <v>13</v>
      </c>
      <c r="K2206">
        <f>IF(J2206="Yes", 1, 0)</f>
        <v>0</v>
      </c>
      <c r="L2206" t="str">
        <f>IF(G2206=0,"0 Failures","1+ Failures")</f>
        <v>0 Failures</v>
      </c>
      <c r="M2206" t="str">
        <f t="shared" si="104"/>
        <v>20+ hrs</v>
      </c>
      <c r="N2206" t="str">
        <f t="shared" si="102"/>
        <v>12+ months</v>
      </c>
      <c r="O2206" t="str">
        <f t="shared" si="103"/>
        <v>Basic</v>
      </c>
      <c r="P2206" s="7">
        <v>45657</v>
      </c>
    </row>
    <row r="2207" spans="1:16" x14ac:dyDescent="0.3">
      <c r="A2207">
        <v>2206</v>
      </c>
      <c r="B2207" s="7">
        <v>45193</v>
      </c>
      <c r="C2207" t="s">
        <v>10</v>
      </c>
      <c r="D2207">
        <v>699</v>
      </c>
      <c r="E2207">
        <v>20.9</v>
      </c>
      <c r="F2207">
        <v>4</v>
      </c>
      <c r="G2207">
        <v>1</v>
      </c>
      <c r="H2207">
        <v>5</v>
      </c>
      <c r="I2207">
        <v>4</v>
      </c>
      <c r="J2207" t="s">
        <v>13</v>
      </c>
      <c r="K2207">
        <f>IF(J2207="Yes", 1, 0)</f>
        <v>0</v>
      </c>
      <c r="L2207" t="str">
        <f>IF(G2207=0,"0 Failures","1+ Failures")</f>
        <v>1+ Failures</v>
      </c>
      <c r="M2207" t="str">
        <f t="shared" si="104"/>
        <v>20+ hrs</v>
      </c>
      <c r="N2207" t="str">
        <f t="shared" si="102"/>
        <v>3-6months</v>
      </c>
      <c r="O2207" t="str">
        <f t="shared" si="103"/>
        <v>Premium</v>
      </c>
      <c r="P2207" s="7">
        <v>45657</v>
      </c>
    </row>
    <row r="2208" spans="1:16" x14ac:dyDescent="0.3">
      <c r="A2208">
        <v>2207</v>
      </c>
      <c r="B2208" s="7">
        <v>45273</v>
      </c>
      <c r="C2208" t="s">
        <v>12</v>
      </c>
      <c r="D2208">
        <v>199</v>
      </c>
      <c r="E2208">
        <v>2.9</v>
      </c>
      <c r="F2208">
        <v>3</v>
      </c>
      <c r="G2208">
        <v>5</v>
      </c>
      <c r="H2208">
        <v>33</v>
      </c>
      <c r="I2208">
        <v>18</v>
      </c>
      <c r="J2208" t="s">
        <v>11</v>
      </c>
      <c r="K2208">
        <f>IF(J2208="Yes", 1, 0)</f>
        <v>1</v>
      </c>
      <c r="L2208" t="str">
        <f>IF(G2208=0,"0 Failures","1+ Failures")</f>
        <v>1+ Failures</v>
      </c>
      <c r="M2208" t="str">
        <f t="shared" si="104"/>
        <v>0-5 hrs</v>
      </c>
      <c r="N2208" t="str">
        <f t="shared" si="102"/>
        <v>12+ months</v>
      </c>
      <c r="O2208" t="str">
        <f t="shared" si="103"/>
        <v>Basic</v>
      </c>
      <c r="P2208" s="7">
        <v>45657</v>
      </c>
    </row>
    <row r="2209" spans="1:16" x14ac:dyDescent="0.3">
      <c r="A2209">
        <v>2208</v>
      </c>
      <c r="B2209" s="7">
        <v>45227</v>
      </c>
      <c r="C2209" t="s">
        <v>10</v>
      </c>
      <c r="D2209">
        <v>699</v>
      </c>
      <c r="E2209">
        <v>17.5</v>
      </c>
      <c r="F2209">
        <v>7</v>
      </c>
      <c r="G2209">
        <v>2</v>
      </c>
      <c r="H2209">
        <v>11</v>
      </c>
      <c r="I2209">
        <v>60</v>
      </c>
      <c r="J2209" t="s">
        <v>11</v>
      </c>
      <c r="K2209">
        <f>IF(J2209="Yes", 1, 0)</f>
        <v>1</v>
      </c>
      <c r="L2209" t="str">
        <f>IF(G2209=0,"0 Failures","1+ Failures")</f>
        <v>1+ Failures</v>
      </c>
      <c r="M2209" t="str">
        <f t="shared" si="104"/>
        <v>10-20hrs</v>
      </c>
      <c r="N2209" t="str">
        <f t="shared" si="102"/>
        <v>6-12months</v>
      </c>
      <c r="O2209" t="str">
        <f t="shared" si="103"/>
        <v>Premium</v>
      </c>
      <c r="P2209" s="7">
        <v>45657</v>
      </c>
    </row>
    <row r="2210" spans="1:16" x14ac:dyDescent="0.3">
      <c r="A2210">
        <v>2209</v>
      </c>
      <c r="B2210" s="7">
        <v>45173</v>
      </c>
      <c r="C2210" t="s">
        <v>10</v>
      </c>
      <c r="D2210">
        <v>699</v>
      </c>
      <c r="E2210">
        <v>10.7</v>
      </c>
      <c r="F2210">
        <v>3</v>
      </c>
      <c r="G2210">
        <v>2</v>
      </c>
      <c r="H2210">
        <v>26</v>
      </c>
      <c r="I2210">
        <v>42</v>
      </c>
      <c r="J2210" t="s">
        <v>11</v>
      </c>
      <c r="K2210">
        <f>IF(J2210="Yes", 1, 0)</f>
        <v>1</v>
      </c>
      <c r="L2210" t="str">
        <f>IF(G2210=0,"0 Failures","1+ Failures")</f>
        <v>1+ Failures</v>
      </c>
      <c r="M2210" t="str">
        <f t="shared" si="104"/>
        <v>10-20hrs</v>
      </c>
      <c r="N2210" t="str">
        <f t="shared" si="102"/>
        <v>12+ months</v>
      </c>
      <c r="O2210" t="str">
        <f t="shared" si="103"/>
        <v>Premium</v>
      </c>
      <c r="P2210" s="7">
        <v>45657</v>
      </c>
    </row>
    <row r="2211" spans="1:16" x14ac:dyDescent="0.3">
      <c r="A2211">
        <v>2210</v>
      </c>
      <c r="B2211" s="7">
        <v>45047</v>
      </c>
      <c r="C2211" t="s">
        <v>14</v>
      </c>
      <c r="D2211">
        <v>399</v>
      </c>
      <c r="E2211">
        <v>17.7</v>
      </c>
      <c r="F2211">
        <v>0</v>
      </c>
      <c r="G2211">
        <v>0</v>
      </c>
      <c r="H2211">
        <v>10</v>
      </c>
      <c r="I2211">
        <v>3</v>
      </c>
      <c r="J2211" t="s">
        <v>13</v>
      </c>
      <c r="K2211">
        <f>IF(J2211="Yes", 1, 0)</f>
        <v>0</v>
      </c>
      <c r="L2211" t="str">
        <f>IF(G2211=0,"0 Failures","1+ Failures")</f>
        <v>0 Failures</v>
      </c>
      <c r="M2211" t="str">
        <f t="shared" si="104"/>
        <v>10-20hrs</v>
      </c>
      <c r="N2211" t="str">
        <f t="shared" si="102"/>
        <v>6-12months</v>
      </c>
      <c r="O2211" t="str">
        <f t="shared" si="103"/>
        <v>Basic</v>
      </c>
      <c r="P2211" s="7">
        <v>45657</v>
      </c>
    </row>
    <row r="2212" spans="1:16" x14ac:dyDescent="0.3">
      <c r="A2212">
        <v>2211</v>
      </c>
      <c r="B2212" s="7">
        <v>45267</v>
      </c>
      <c r="C2212" t="s">
        <v>12</v>
      </c>
      <c r="D2212">
        <v>199</v>
      </c>
      <c r="E2212">
        <v>25</v>
      </c>
      <c r="F2212">
        <v>2</v>
      </c>
      <c r="G2212">
        <v>1</v>
      </c>
      <c r="H2212">
        <v>7</v>
      </c>
      <c r="I2212">
        <v>46</v>
      </c>
      <c r="J2212" t="s">
        <v>11</v>
      </c>
      <c r="K2212">
        <f>IF(J2212="Yes", 1, 0)</f>
        <v>1</v>
      </c>
      <c r="L2212" t="str">
        <f>IF(G2212=0,"0 Failures","1+ Failures")</f>
        <v>1+ Failures</v>
      </c>
      <c r="M2212" t="str">
        <f t="shared" si="104"/>
        <v>20+ hrs</v>
      </c>
      <c r="N2212" t="str">
        <f t="shared" si="102"/>
        <v>6-12months</v>
      </c>
      <c r="O2212" t="str">
        <f t="shared" si="103"/>
        <v>Basic</v>
      </c>
      <c r="P2212" s="7">
        <v>45657</v>
      </c>
    </row>
    <row r="2213" spans="1:16" x14ac:dyDescent="0.3">
      <c r="A2213">
        <v>2212</v>
      </c>
      <c r="B2213" s="7">
        <v>45586</v>
      </c>
      <c r="C2213" t="s">
        <v>10</v>
      </c>
      <c r="D2213">
        <v>699</v>
      </c>
      <c r="E2213">
        <v>14.7</v>
      </c>
      <c r="F2213">
        <v>7</v>
      </c>
      <c r="G2213">
        <v>3</v>
      </c>
      <c r="H2213">
        <v>21</v>
      </c>
      <c r="I2213">
        <v>26</v>
      </c>
      <c r="J2213" t="s">
        <v>11</v>
      </c>
      <c r="K2213">
        <f>IF(J2213="Yes", 1, 0)</f>
        <v>1</v>
      </c>
      <c r="L2213" t="str">
        <f>IF(G2213=0,"0 Failures","1+ Failures")</f>
        <v>1+ Failures</v>
      </c>
      <c r="M2213" t="str">
        <f t="shared" si="104"/>
        <v>10-20hrs</v>
      </c>
      <c r="N2213" t="str">
        <f t="shared" si="102"/>
        <v>12+ months</v>
      </c>
      <c r="O2213" t="str">
        <f t="shared" si="103"/>
        <v>Premium</v>
      </c>
      <c r="P2213" s="7">
        <v>45657</v>
      </c>
    </row>
    <row r="2214" spans="1:16" x14ac:dyDescent="0.3">
      <c r="A2214">
        <v>2213</v>
      </c>
      <c r="B2214" s="7">
        <v>45598</v>
      </c>
      <c r="C2214" t="s">
        <v>10</v>
      </c>
      <c r="D2214">
        <v>699</v>
      </c>
      <c r="E2214">
        <v>18.399999999999999</v>
      </c>
      <c r="F2214">
        <v>4</v>
      </c>
      <c r="G2214">
        <v>5</v>
      </c>
      <c r="H2214">
        <v>36</v>
      </c>
      <c r="I2214">
        <v>13</v>
      </c>
      <c r="J2214" t="s">
        <v>13</v>
      </c>
      <c r="K2214">
        <f>IF(J2214="Yes", 1, 0)</f>
        <v>0</v>
      </c>
      <c r="L2214" t="str">
        <f>IF(G2214=0,"0 Failures","1+ Failures")</f>
        <v>1+ Failures</v>
      </c>
      <c r="M2214" t="str">
        <f t="shared" si="104"/>
        <v>10-20hrs</v>
      </c>
      <c r="N2214" t="str">
        <f t="shared" si="102"/>
        <v>12+ months</v>
      </c>
      <c r="O2214" t="str">
        <f t="shared" si="103"/>
        <v>Premium</v>
      </c>
      <c r="P2214" s="7">
        <v>45657</v>
      </c>
    </row>
    <row r="2215" spans="1:16" x14ac:dyDescent="0.3">
      <c r="A2215">
        <v>2214</v>
      </c>
      <c r="B2215" s="7">
        <v>45185</v>
      </c>
      <c r="C2215" t="s">
        <v>12</v>
      </c>
      <c r="D2215">
        <v>199</v>
      </c>
      <c r="E2215">
        <v>4.3</v>
      </c>
      <c r="F2215">
        <v>3</v>
      </c>
      <c r="G2215">
        <v>2</v>
      </c>
      <c r="H2215">
        <v>24</v>
      </c>
      <c r="I2215">
        <v>4</v>
      </c>
      <c r="J2215" t="s">
        <v>11</v>
      </c>
      <c r="K2215">
        <f>IF(J2215="Yes", 1, 0)</f>
        <v>1</v>
      </c>
      <c r="L2215" t="str">
        <f>IF(G2215=0,"0 Failures","1+ Failures")</f>
        <v>1+ Failures</v>
      </c>
      <c r="M2215" t="str">
        <f t="shared" si="104"/>
        <v>0-5 hrs</v>
      </c>
      <c r="N2215" t="str">
        <f t="shared" si="102"/>
        <v>12+ months</v>
      </c>
      <c r="O2215" t="str">
        <f t="shared" si="103"/>
        <v>Basic</v>
      </c>
      <c r="P2215" s="7">
        <v>45657</v>
      </c>
    </row>
    <row r="2216" spans="1:16" x14ac:dyDescent="0.3">
      <c r="A2216">
        <v>2215</v>
      </c>
      <c r="B2216" s="7">
        <v>45258</v>
      </c>
      <c r="C2216" t="s">
        <v>14</v>
      </c>
      <c r="D2216">
        <v>399</v>
      </c>
      <c r="E2216">
        <v>20.399999999999999</v>
      </c>
      <c r="F2216">
        <v>7</v>
      </c>
      <c r="G2216">
        <v>5</v>
      </c>
      <c r="H2216">
        <v>12</v>
      </c>
      <c r="I2216">
        <v>25</v>
      </c>
      <c r="J2216" t="s">
        <v>13</v>
      </c>
      <c r="K2216">
        <f>IF(J2216="Yes", 1, 0)</f>
        <v>0</v>
      </c>
      <c r="L2216" t="str">
        <f>IF(G2216=0,"0 Failures","1+ Failures")</f>
        <v>1+ Failures</v>
      </c>
      <c r="M2216" t="str">
        <f t="shared" si="104"/>
        <v>20+ hrs</v>
      </c>
      <c r="N2216" t="str">
        <f t="shared" si="102"/>
        <v>6-12months</v>
      </c>
      <c r="O2216" t="str">
        <f t="shared" si="103"/>
        <v>Basic</v>
      </c>
      <c r="P2216" s="7">
        <v>45657</v>
      </c>
    </row>
    <row r="2217" spans="1:16" x14ac:dyDescent="0.3">
      <c r="A2217">
        <v>2216</v>
      </c>
      <c r="B2217" s="7">
        <v>45507</v>
      </c>
      <c r="C2217" t="s">
        <v>14</v>
      </c>
      <c r="D2217">
        <v>399</v>
      </c>
      <c r="E2217">
        <v>20.5</v>
      </c>
      <c r="F2217">
        <v>6</v>
      </c>
      <c r="G2217">
        <v>5</v>
      </c>
      <c r="H2217">
        <v>9</v>
      </c>
      <c r="I2217">
        <v>20</v>
      </c>
      <c r="J2217" t="s">
        <v>13</v>
      </c>
      <c r="K2217">
        <f>IF(J2217="Yes", 1, 0)</f>
        <v>0</v>
      </c>
      <c r="L2217" t="str">
        <f>IF(G2217=0,"0 Failures","1+ Failures")</f>
        <v>1+ Failures</v>
      </c>
      <c r="M2217" t="str">
        <f t="shared" si="104"/>
        <v>20+ hrs</v>
      </c>
      <c r="N2217" t="str">
        <f t="shared" si="102"/>
        <v>6-12months</v>
      </c>
      <c r="O2217" t="str">
        <f t="shared" si="103"/>
        <v>Basic</v>
      </c>
      <c r="P2217" s="7">
        <v>45657</v>
      </c>
    </row>
    <row r="2218" spans="1:16" x14ac:dyDescent="0.3">
      <c r="A2218">
        <v>2217</v>
      </c>
      <c r="B2218" s="7">
        <v>45269</v>
      </c>
      <c r="C2218" t="s">
        <v>10</v>
      </c>
      <c r="D2218">
        <v>699</v>
      </c>
      <c r="E2218">
        <v>0.7</v>
      </c>
      <c r="F2218">
        <v>2</v>
      </c>
      <c r="G2218">
        <v>2</v>
      </c>
      <c r="H2218">
        <v>12</v>
      </c>
      <c r="I2218">
        <v>26</v>
      </c>
      <c r="J2218" t="s">
        <v>11</v>
      </c>
      <c r="K2218">
        <f>IF(J2218="Yes", 1, 0)</f>
        <v>1</v>
      </c>
      <c r="L2218" t="str">
        <f>IF(G2218=0,"0 Failures","1+ Failures")</f>
        <v>1+ Failures</v>
      </c>
      <c r="M2218" t="str">
        <f t="shared" si="104"/>
        <v>0-5 hrs</v>
      </c>
      <c r="N2218" t="str">
        <f t="shared" si="102"/>
        <v>6-12months</v>
      </c>
      <c r="O2218" t="str">
        <f t="shared" si="103"/>
        <v>Premium</v>
      </c>
      <c r="P2218" s="7">
        <v>45657</v>
      </c>
    </row>
    <row r="2219" spans="1:16" x14ac:dyDescent="0.3">
      <c r="A2219">
        <v>2218</v>
      </c>
      <c r="B2219" s="7">
        <v>45211</v>
      </c>
      <c r="C2219" t="s">
        <v>12</v>
      </c>
      <c r="D2219">
        <v>199</v>
      </c>
      <c r="E2219">
        <v>22.2</v>
      </c>
      <c r="F2219">
        <v>3</v>
      </c>
      <c r="G2219">
        <v>4</v>
      </c>
      <c r="H2219">
        <v>3</v>
      </c>
      <c r="I2219">
        <v>38</v>
      </c>
      <c r="J2219" t="s">
        <v>11</v>
      </c>
      <c r="K2219">
        <f>IF(J2219="Yes", 1, 0)</f>
        <v>1</v>
      </c>
      <c r="L2219" t="str">
        <f>IF(G2219=0,"0 Failures","1+ Failures")</f>
        <v>1+ Failures</v>
      </c>
      <c r="M2219" t="str">
        <f t="shared" si="104"/>
        <v>20+ hrs</v>
      </c>
      <c r="N2219" t="str">
        <f t="shared" si="102"/>
        <v>0-3months</v>
      </c>
      <c r="O2219" t="str">
        <f t="shared" si="103"/>
        <v>Basic</v>
      </c>
      <c r="P2219" s="7">
        <v>45657</v>
      </c>
    </row>
    <row r="2220" spans="1:16" x14ac:dyDescent="0.3">
      <c r="A2220">
        <v>2219</v>
      </c>
      <c r="B2220" s="7">
        <v>45556</v>
      </c>
      <c r="C2220" t="s">
        <v>12</v>
      </c>
      <c r="D2220">
        <v>199</v>
      </c>
      <c r="E2220">
        <v>10.7</v>
      </c>
      <c r="F2220">
        <v>0</v>
      </c>
      <c r="G2220">
        <v>5</v>
      </c>
      <c r="H2220">
        <v>12</v>
      </c>
      <c r="I2220">
        <v>23</v>
      </c>
      <c r="J2220" t="s">
        <v>13</v>
      </c>
      <c r="K2220">
        <f>IF(J2220="Yes", 1, 0)</f>
        <v>0</v>
      </c>
      <c r="L2220" t="str">
        <f>IF(G2220=0,"0 Failures","1+ Failures")</f>
        <v>1+ Failures</v>
      </c>
      <c r="M2220" t="str">
        <f t="shared" si="104"/>
        <v>10-20hrs</v>
      </c>
      <c r="N2220" t="str">
        <f t="shared" si="102"/>
        <v>6-12months</v>
      </c>
      <c r="O2220" t="str">
        <f t="shared" si="103"/>
        <v>Basic</v>
      </c>
      <c r="P2220" s="7">
        <v>45657</v>
      </c>
    </row>
    <row r="2221" spans="1:16" x14ac:dyDescent="0.3">
      <c r="A2221">
        <v>2220</v>
      </c>
      <c r="B2221" s="7">
        <v>45267</v>
      </c>
      <c r="C2221" t="s">
        <v>14</v>
      </c>
      <c r="D2221">
        <v>399</v>
      </c>
      <c r="E2221">
        <v>0.6</v>
      </c>
      <c r="F2221">
        <v>7</v>
      </c>
      <c r="G2221">
        <v>4</v>
      </c>
      <c r="H2221">
        <v>22</v>
      </c>
      <c r="I2221">
        <v>12</v>
      </c>
      <c r="J2221" t="s">
        <v>11</v>
      </c>
      <c r="K2221">
        <f>IF(J2221="Yes", 1, 0)</f>
        <v>1</v>
      </c>
      <c r="L2221" t="str">
        <f>IF(G2221=0,"0 Failures","1+ Failures")</f>
        <v>1+ Failures</v>
      </c>
      <c r="M2221" t="str">
        <f t="shared" si="104"/>
        <v>0-5 hrs</v>
      </c>
      <c r="N2221" t="str">
        <f t="shared" si="102"/>
        <v>12+ months</v>
      </c>
      <c r="O2221" t="str">
        <f t="shared" si="103"/>
        <v>Basic</v>
      </c>
      <c r="P2221" s="7">
        <v>45657</v>
      </c>
    </row>
    <row r="2222" spans="1:16" x14ac:dyDescent="0.3">
      <c r="A2222">
        <v>2221</v>
      </c>
      <c r="B2222" s="7">
        <v>45553</v>
      </c>
      <c r="C2222" t="s">
        <v>10</v>
      </c>
      <c r="D2222">
        <v>699</v>
      </c>
      <c r="E2222">
        <v>7.2</v>
      </c>
      <c r="F2222">
        <v>6</v>
      </c>
      <c r="G2222">
        <v>4</v>
      </c>
      <c r="H2222">
        <v>33</v>
      </c>
      <c r="I2222">
        <v>37</v>
      </c>
      <c r="J2222" t="s">
        <v>11</v>
      </c>
      <c r="K2222">
        <f>IF(J2222="Yes", 1, 0)</f>
        <v>1</v>
      </c>
      <c r="L2222" t="str">
        <f>IF(G2222=0,"0 Failures","1+ Failures")</f>
        <v>1+ Failures</v>
      </c>
      <c r="M2222" t="str">
        <f t="shared" si="104"/>
        <v>5-10 hrs</v>
      </c>
      <c r="N2222" t="str">
        <f t="shared" si="102"/>
        <v>12+ months</v>
      </c>
      <c r="O2222" t="str">
        <f t="shared" si="103"/>
        <v>Premium</v>
      </c>
      <c r="P2222" s="7">
        <v>45657</v>
      </c>
    </row>
    <row r="2223" spans="1:16" x14ac:dyDescent="0.3">
      <c r="A2223">
        <v>2222</v>
      </c>
      <c r="B2223" s="7">
        <v>45224</v>
      </c>
      <c r="C2223" t="s">
        <v>12</v>
      </c>
      <c r="D2223">
        <v>199</v>
      </c>
      <c r="E2223">
        <v>19.399999999999999</v>
      </c>
      <c r="F2223">
        <v>0</v>
      </c>
      <c r="G2223">
        <v>3</v>
      </c>
      <c r="H2223">
        <v>28</v>
      </c>
      <c r="I2223">
        <v>46</v>
      </c>
      <c r="J2223" t="s">
        <v>11</v>
      </c>
      <c r="K2223">
        <f>IF(J2223="Yes", 1, 0)</f>
        <v>1</v>
      </c>
      <c r="L2223" t="str">
        <f>IF(G2223=0,"0 Failures","1+ Failures")</f>
        <v>1+ Failures</v>
      </c>
      <c r="M2223" t="str">
        <f t="shared" si="104"/>
        <v>10-20hrs</v>
      </c>
      <c r="N2223" t="str">
        <f t="shared" si="102"/>
        <v>12+ months</v>
      </c>
      <c r="O2223" t="str">
        <f t="shared" si="103"/>
        <v>Basic</v>
      </c>
      <c r="P2223" s="7">
        <v>45657</v>
      </c>
    </row>
    <row r="2224" spans="1:16" x14ac:dyDescent="0.3">
      <c r="A2224">
        <v>2223</v>
      </c>
      <c r="B2224" s="7">
        <v>44991</v>
      </c>
      <c r="C2224" t="s">
        <v>10</v>
      </c>
      <c r="D2224">
        <v>699</v>
      </c>
      <c r="E2224">
        <v>1.6</v>
      </c>
      <c r="F2224">
        <v>5</v>
      </c>
      <c r="G2224">
        <v>0</v>
      </c>
      <c r="H2224">
        <v>30</v>
      </c>
      <c r="I2224">
        <v>26</v>
      </c>
      <c r="J2224" t="s">
        <v>11</v>
      </c>
      <c r="K2224">
        <f>IF(J2224="Yes", 1, 0)</f>
        <v>1</v>
      </c>
      <c r="L2224" t="str">
        <f>IF(G2224=0,"0 Failures","1+ Failures")</f>
        <v>0 Failures</v>
      </c>
      <c r="M2224" t="str">
        <f t="shared" si="104"/>
        <v>0-5 hrs</v>
      </c>
      <c r="N2224" t="str">
        <f t="shared" si="102"/>
        <v>12+ months</v>
      </c>
      <c r="O2224" t="str">
        <f t="shared" si="103"/>
        <v>Premium</v>
      </c>
      <c r="P2224" s="7">
        <v>45657</v>
      </c>
    </row>
    <row r="2225" spans="1:16" x14ac:dyDescent="0.3">
      <c r="A2225">
        <v>2224</v>
      </c>
      <c r="B2225" s="7">
        <v>45387</v>
      </c>
      <c r="C2225" t="s">
        <v>14</v>
      </c>
      <c r="D2225">
        <v>399</v>
      </c>
      <c r="E2225">
        <v>23.3</v>
      </c>
      <c r="F2225">
        <v>3</v>
      </c>
      <c r="G2225">
        <v>2</v>
      </c>
      <c r="H2225">
        <v>27</v>
      </c>
      <c r="I2225">
        <v>53</v>
      </c>
      <c r="J2225" t="s">
        <v>11</v>
      </c>
      <c r="K2225">
        <f>IF(J2225="Yes", 1, 0)</f>
        <v>1</v>
      </c>
      <c r="L2225" t="str">
        <f>IF(G2225=0,"0 Failures","1+ Failures")</f>
        <v>1+ Failures</v>
      </c>
      <c r="M2225" t="str">
        <f t="shared" si="104"/>
        <v>20+ hrs</v>
      </c>
      <c r="N2225" t="str">
        <f t="shared" si="102"/>
        <v>12+ months</v>
      </c>
      <c r="O2225" t="str">
        <f t="shared" si="103"/>
        <v>Basic</v>
      </c>
      <c r="P2225" s="7">
        <v>45657</v>
      </c>
    </row>
    <row r="2226" spans="1:16" x14ac:dyDescent="0.3">
      <c r="A2226">
        <v>2225</v>
      </c>
      <c r="B2226" s="7">
        <v>45187</v>
      </c>
      <c r="C2226" t="s">
        <v>14</v>
      </c>
      <c r="D2226">
        <v>399</v>
      </c>
      <c r="E2226">
        <v>22.3</v>
      </c>
      <c r="F2226">
        <v>0</v>
      </c>
      <c r="G2226">
        <v>1</v>
      </c>
      <c r="H2226">
        <v>20</v>
      </c>
      <c r="I2226">
        <v>42</v>
      </c>
      <c r="J2226" t="s">
        <v>13</v>
      </c>
      <c r="K2226">
        <f>IF(J2226="Yes", 1, 0)</f>
        <v>0</v>
      </c>
      <c r="L2226" t="str">
        <f>IF(G2226=0,"0 Failures","1+ Failures")</f>
        <v>1+ Failures</v>
      </c>
      <c r="M2226" t="str">
        <f t="shared" si="104"/>
        <v>20+ hrs</v>
      </c>
      <c r="N2226" t="str">
        <f t="shared" si="102"/>
        <v>12+ months</v>
      </c>
      <c r="O2226" t="str">
        <f t="shared" si="103"/>
        <v>Basic</v>
      </c>
      <c r="P2226" s="7">
        <v>45657</v>
      </c>
    </row>
    <row r="2227" spans="1:16" x14ac:dyDescent="0.3">
      <c r="A2227">
        <v>2226</v>
      </c>
      <c r="B2227" s="7">
        <v>45387</v>
      </c>
      <c r="C2227" t="s">
        <v>14</v>
      </c>
      <c r="D2227">
        <v>399</v>
      </c>
      <c r="E2227">
        <v>0.6</v>
      </c>
      <c r="F2227">
        <v>3</v>
      </c>
      <c r="G2227">
        <v>0</v>
      </c>
      <c r="H2227">
        <v>17</v>
      </c>
      <c r="I2227">
        <v>14</v>
      </c>
      <c r="J2227" t="s">
        <v>13</v>
      </c>
      <c r="K2227">
        <f>IF(J2227="Yes", 1, 0)</f>
        <v>0</v>
      </c>
      <c r="L2227" t="str">
        <f>IF(G2227=0,"0 Failures","1+ Failures")</f>
        <v>0 Failures</v>
      </c>
      <c r="M2227" t="str">
        <f t="shared" si="104"/>
        <v>0-5 hrs</v>
      </c>
      <c r="N2227" t="str">
        <f t="shared" si="102"/>
        <v>12+ months</v>
      </c>
      <c r="O2227" t="str">
        <f t="shared" si="103"/>
        <v>Basic</v>
      </c>
      <c r="P2227" s="7">
        <v>45657</v>
      </c>
    </row>
    <row r="2228" spans="1:16" x14ac:dyDescent="0.3">
      <c r="A2228">
        <v>2227</v>
      </c>
      <c r="B2228" s="7">
        <v>45475</v>
      </c>
      <c r="C2228" t="s">
        <v>12</v>
      </c>
      <c r="D2228">
        <v>199</v>
      </c>
      <c r="E2228">
        <v>0.6</v>
      </c>
      <c r="F2228">
        <v>0</v>
      </c>
      <c r="G2228">
        <v>0</v>
      </c>
      <c r="H2228">
        <v>26</v>
      </c>
      <c r="I2228">
        <v>51</v>
      </c>
      <c r="J2228" t="s">
        <v>13</v>
      </c>
      <c r="K2228">
        <f>IF(J2228="Yes", 1, 0)</f>
        <v>0</v>
      </c>
      <c r="L2228" t="str">
        <f>IF(G2228=0,"0 Failures","1+ Failures")</f>
        <v>0 Failures</v>
      </c>
      <c r="M2228" t="str">
        <f t="shared" si="104"/>
        <v>0-5 hrs</v>
      </c>
      <c r="N2228" t="str">
        <f t="shared" si="102"/>
        <v>12+ months</v>
      </c>
      <c r="O2228" t="str">
        <f t="shared" si="103"/>
        <v>Basic</v>
      </c>
      <c r="P2228" s="7">
        <v>45657</v>
      </c>
    </row>
    <row r="2229" spans="1:16" x14ac:dyDescent="0.3">
      <c r="A2229">
        <v>2228</v>
      </c>
      <c r="B2229" s="7">
        <v>45521</v>
      </c>
      <c r="C2229" t="s">
        <v>10</v>
      </c>
      <c r="D2229">
        <v>699</v>
      </c>
      <c r="E2229">
        <v>0.9</v>
      </c>
      <c r="F2229">
        <v>4</v>
      </c>
      <c r="G2229">
        <v>4</v>
      </c>
      <c r="H2229">
        <v>27</v>
      </c>
      <c r="I2229">
        <v>42</v>
      </c>
      <c r="J2229" t="s">
        <v>11</v>
      </c>
      <c r="K2229">
        <f>IF(J2229="Yes", 1, 0)</f>
        <v>1</v>
      </c>
      <c r="L2229" t="str">
        <f>IF(G2229=0,"0 Failures","1+ Failures")</f>
        <v>1+ Failures</v>
      </c>
      <c r="M2229" t="str">
        <f t="shared" si="104"/>
        <v>0-5 hrs</v>
      </c>
      <c r="N2229" t="str">
        <f t="shared" si="102"/>
        <v>12+ months</v>
      </c>
      <c r="O2229" t="str">
        <f t="shared" si="103"/>
        <v>Premium</v>
      </c>
      <c r="P2229" s="7">
        <v>45657</v>
      </c>
    </row>
    <row r="2230" spans="1:16" x14ac:dyDescent="0.3">
      <c r="A2230">
        <v>2229</v>
      </c>
      <c r="B2230" s="7">
        <v>45325</v>
      </c>
      <c r="C2230" t="s">
        <v>12</v>
      </c>
      <c r="D2230">
        <v>199</v>
      </c>
      <c r="E2230">
        <v>16.7</v>
      </c>
      <c r="F2230">
        <v>4</v>
      </c>
      <c r="G2230">
        <v>0</v>
      </c>
      <c r="H2230">
        <v>35</v>
      </c>
      <c r="I2230">
        <v>54</v>
      </c>
      <c r="J2230" t="s">
        <v>11</v>
      </c>
      <c r="K2230">
        <f>IF(J2230="Yes", 1, 0)</f>
        <v>1</v>
      </c>
      <c r="L2230" t="str">
        <f>IF(G2230=0,"0 Failures","1+ Failures")</f>
        <v>0 Failures</v>
      </c>
      <c r="M2230" t="str">
        <f t="shared" si="104"/>
        <v>10-20hrs</v>
      </c>
      <c r="N2230" t="str">
        <f t="shared" si="102"/>
        <v>12+ months</v>
      </c>
      <c r="O2230" t="str">
        <f t="shared" si="103"/>
        <v>Basic</v>
      </c>
      <c r="P2230" s="7">
        <v>45657</v>
      </c>
    </row>
    <row r="2231" spans="1:16" x14ac:dyDescent="0.3">
      <c r="A2231">
        <v>2230</v>
      </c>
      <c r="B2231" s="7">
        <v>45263</v>
      </c>
      <c r="C2231" t="s">
        <v>10</v>
      </c>
      <c r="D2231">
        <v>699</v>
      </c>
      <c r="E2231">
        <v>4.8</v>
      </c>
      <c r="F2231">
        <v>3</v>
      </c>
      <c r="G2231">
        <v>0</v>
      </c>
      <c r="H2231">
        <v>22</v>
      </c>
      <c r="I2231">
        <v>43</v>
      </c>
      <c r="J2231" t="s">
        <v>11</v>
      </c>
      <c r="K2231">
        <f>IF(J2231="Yes", 1, 0)</f>
        <v>1</v>
      </c>
      <c r="L2231" t="str">
        <f>IF(G2231=0,"0 Failures","1+ Failures")</f>
        <v>0 Failures</v>
      </c>
      <c r="M2231" t="str">
        <f t="shared" si="104"/>
        <v>0-5 hrs</v>
      </c>
      <c r="N2231" t="str">
        <f t="shared" si="102"/>
        <v>12+ months</v>
      </c>
      <c r="O2231" t="str">
        <f t="shared" si="103"/>
        <v>Premium</v>
      </c>
      <c r="P2231" s="7">
        <v>45657</v>
      </c>
    </row>
    <row r="2232" spans="1:16" x14ac:dyDescent="0.3">
      <c r="A2232">
        <v>2231</v>
      </c>
      <c r="B2232" s="7">
        <v>45191</v>
      </c>
      <c r="C2232" t="s">
        <v>10</v>
      </c>
      <c r="D2232">
        <v>699</v>
      </c>
      <c r="E2232">
        <v>23.7</v>
      </c>
      <c r="F2232">
        <v>0</v>
      </c>
      <c r="G2232">
        <v>0</v>
      </c>
      <c r="H2232">
        <v>16</v>
      </c>
      <c r="I2232">
        <v>8</v>
      </c>
      <c r="J2232" t="s">
        <v>13</v>
      </c>
      <c r="K2232">
        <f>IF(J2232="Yes", 1, 0)</f>
        <v>0</v>
      </c>
      <c r="L2232" t="str">
        <f>IF(G2232=0,"0 Failures","1+ Failures")</f>
        <v>0 Failures</v>
      </c>
      <c r="M2232" t="str">
        <f t="shared" si="104"/>
        <v>20+ hrs</v>
      </c>
      <c r="N2232" t="str">
        <f t="shared" si="102"/>
        <v>12+ months</v>
      </c>
      <c r="O2232" t="str">
        <f t="shared" si="103"/>
        <v>Premium</v>
      </c>
      <c r="P2232" s="7">
        <v>45657</v>
      </c>
    </row>
    <row r="2233" spans="1:16" x14ac:dyDescent="0.3">
      <c r="A2233">
        <v>2232</v>
      </c>
      <c r="B2233" s="7">
        <v>45094</v>
      </c>
      <c r="C2233" t="s">
        <v>12</v>
      </c>
      <c r="D2233">
        <v>199</v>
      </c>
      <c r="E2233">
        <v>17</v>
      </c>
      <c r="F2233">
        <v>6</v>
      </c>
      <c r="G2233">
        <v>1</v>
      </c>
      <c r="H2233">
        <v>19</v>
      </c>
      <c r="I2233">
        <v>57</v>
      </c>
      <c r="J2233" t="s">
        <v>11</v>
      </c>
      <c r="K2233">
        <f>IF(J2233="Yes", 1, 0)</f>
        <v>1</v>
      </c>
      <c r="L2233" t="str">
        <f>IF(G2233=0,"0 Failures","1+ Failures")</f>
        <v>1+ Failures</v>
      </c>
      <c r="M2233" t="str">
        <f t="shared" si="104"/>
        <v>10-20hrs</v>
      </c>
      <c r="N2233" t="str">
        <f t="shared" si="102"/>
        <v>12+ months</v>
      </c>
      <c r="O2233" t="str">
        <f t="shared" si="103"/>
        <v>Basic</v>
      </c>
      <c r="P2233" s="7">
        <v>45657</v>
      </c>
    </row>
    <row r="2234" spans="1:16" x14ac:dyDescent="0.3">
      <c r="A2234">
        <v>2233</v>
      </c>
      <c r="B2234" s="7">
        <v>45581</v>
      </c>
      <c r="C2234" t="s">
        <v>14</v>
      </c>
      <c r="D2234">
        <v>399</v>
      </c>
      <c r="E2234">
        <v>19.2</v>
      </c>
      <c r="F2234">
        <v>4</v>
      </c>
      <c r="G2234">
        <v>2</v>
      </c>
      <c r="H2234">
        <v>7</v>
      </c>
      <c r="I2234">
        <v>34</v>
      </c>
      <c r="J2234" t="s">
        <v>11</v>
      </c>
      <c r="K2234">
        <f>IF(J2234="Yes", 1, 0)</f>
        <v>1</v>
      </c>
      <c r="L2234" t="str">
        <f>IF(G2234=0,"0 Failures","1+ Failures")</f>
        <v>1+ Failures</v>
      </c>
      <c r="M2234" t="str">
        <f t="shared" si="104"/>
        <v>10-20hrs</v>
      </c>
      <c r="N2234" t="str">
        <f t="shared" si="102"/>
        <v>6-12months</v>
      </c>
      <c r="O2234" t="str">
        <f t="shared" si="103"/>
        <v>Basic</v>
      </c>
      <c r="P2234" s="7">
        <v>45657</v>
      </c>
    </row>
    <row r="2235" spans="1:16" x14ac:dyDescent="0.3">
      <c r="A2235">
        <v>2234</v>
      </c>
      <c r="B2235" s="7">
        <v>45203</v>
      </c>
      <c r="C2235" t="s">
        <v>12</v>
      </c>
      <c r="D2235">
        <v>199</v>
      </c>
      <c r="E2235">
        <v>24.6</v>
      </c>
      <c r="F2235">
        <v>1</v>
      </c>
      <c r="G2235">
        <v>0</v>
      </c>
      <c r="H2235">
        <v>5</v>
      </c>
      <c r="I2235">
        <v>15</v>
      </c>
      <c r="J2235" t="s">
        <v>11</v>
      </c>
      <c r="K2235">
        <f>IF(J2235="Yes", 1, 0)</f>
        <v>1</v>
      </c>
      <c r="L2235" t="str">
        <f>IF(G2235=0,"0 Failures","1+ Failures")</f>
        <v>0 Failures</v>
      </c>
      <c r="M2235" t="str">
        <f t="shared" si="104"/>
        <v>20+ hrs</v>
      </c>
      <c r="N2235" t="str">
        <f t="shared" si="102"/>
        <v>3-6months</v>
      </c>
      <c r="O2235" t="str">
        <f t="shared" si="103"/>
        <v>Basic</v>
      </c>
      <c r="P2235" s="7">
        <v>45657</v>
      </c>
    </row>
    <row r="2236" spans="1:16" x14ac:dyDescent="0.3">
      <c r="A2236">
        <v>2235</v>
      </c>
      <c r="B2236" s="7">
        <v>45474</v>
      </c>
      <c r="C2236" t="s">
        <v>12</v>
      </c>
      <c r="D2236">
        <v>199</v>
      </c>
      <c r="E2236">
        <v>19.2</v>
      </c>
      <c r="F2236">
        <v>5</v>
      </c>
      <c r="G2236">
        <v>0</v>
      </c>
      <c r="H2236">
        <v>8</v>
      </c>
      <c r="I2236">
        <v>32</v>
      </c>
      <c r="J2236" t="s">
        <v>13</v>
      </c>
      <c r="K2236">
        <f>IF(J2236="Yes", 1, 0)</f>
        <v>0</v>
      </c>
      <c r="L2236" t="str">
        <f>IF(G2236=0,"0 Failures","1+ Failures")</f>
        <v>0 Failures</v>
      </c>
      <c r="M2236" t="str">
        <f t="shared" si="104"/>
        <v>10-20hrs</v>
      </c>
      <c r="N2236" t="str">
        <f t="shared" si="102"/>
        <v>6-12months</v>
      </c>
      <c r="O2236" t="str">
        <f t="shared" si="103"/>
        <v>Basic</v>
      </c>
      <c r="P2236" s="7">
        <v>45657</v>
      </c>
    </row>
    <row r="2237" spans="1:16" x14ac:dyDescent="0.3">
      <c r="A2237">
        <v>2236</v>
      </c>
      <c r="B2237" s="7">
        <v>45288</v>
      </c>
      <c r="C2237" t="s">
        <v>14</v>
      </c>
      <c r="D2237">
        <v>399</v>
      </c>
      <c r="E2237">
        <v>3.5</v>
      </c>
      <c r="F2237">
        <v>4</v>
      </c>
      <c r="G2237">
        <v>0</v>
      </c>
      <c r="H2237">
        <v>33</v>
      </c>
      <c r="I2237">
        <v>22</v>
      </c>
      <c r="J2237" t="s">
        <v>13</v>
      </c>
      <c r="K2237">
        <f>IF(J2237="Yes", 1, 0)</f>
        <v>0</v>
      </c>
      <c r="L2237" t="str">
        <f>IF(G2237=0,"0 Failures","1+ Failures")</f>
        <v>0 Failures</v>
      </c>
      <c r="M2237" t="str">
        <f t="shared" si="104"/>
        <v>0-5 hrs</v>
      </c>
      <c r="N2237" t="str">
        <f t="shared" si="102"/>
        <v>12+ months</v>
      </c>
      <c r="O2237" t="str">
        <f t="shared" si="103"/>
        <v>Basic</v>
      </c>
      <c r="P2237" s="7">
        <v>45657</v>
      </c>
    </row>
    <row r="2238" spans="1:16" x14ac:dyDescent="0.3">
      <c r="A2238">
        <v>2237</v>
      </c>
      <c r="B2238" s="7">
        <v>45562</v>
      </c>
      <c r="C2238" t="s">
        <v>12</v>
      </c>
      <c r="D2238">
        <v>199</v>
      </c>
      <c r="E2238">
        <v>20.3</v>
      </c>
      <c r="F2238">
        <v>8</v>
      </c>
      <c r="G2238">
        <v>2</v>
      </c>
      <c r="H2238">
        <v>25</v>
      </c>
      <c r="I2238">
        <v>46</v>
      </c>
      <c r="J2238" t="s">
        <v>11</v>
      </c>
      <c r="K2238">
        <f>IF(J2238="Yes", 1, 0)</f>
        <v>1</v>
      </c>
      <c r="L2238" t="str">
        <f>IF(G2238=0,"0 Failures","1+ Failures")</f>
        <v>1+ Failures</v>
      </c>
      <c r="M2238" t="str">
        <f t="shared" si="104"/>
        <v>20+ hrs</v>
      </c>
      <c r="N2238" t="str">
        <f t="shared" si="102"/>
        <v>12+ months</v>
      </c>
      <c r="O2238" t="str">
        <f t="shared" si="103"/>
        <v>Basic</v>
      </c>
      <c r="P2238" s="7">
        <v>45657</v>
      </c>
    </row>
    <row r="2239" spans="1:16" x14ac:dyDescent="0.3">
      <c r="A2239">
        <v>2238</v>
      </c>
      <c r="B2239" s="7">
        <v>45474</v>
      </c>
      <c r="C2239" t="s">
        <v>12</v>
      </c>
      <c r="D2239">
        <v>199</v>
      </c>
      <c r="E2239">
        <v>4.5</v>
      </c>
      <c r="F2239">
        <v>5</v>
      </c>
      <c r="G2239">
        <v>1</v>
      </c>
      <c r="H2239">
        <v>5</v>
      </c>
      <c r="I2239">
        <v>33</v>
      </c>
      <c r="J2239" t="s">
        <v>13</v>
      </c>
      <c r="K2239">
        <f>IF(J2239="Yes", 1, 0)</f>
        <v>0</v>
      </c>
      <c r="L2239" t="str">
        <f>IF(G2239=0,"0 Failures","1+ Failures")</f>
        <v>1+ Failures</v>
      </c>
      <c r="M2239" t="str">
        <f t="shared" si="104"/>
        <v>0-5 hrs</v>
      </c>
      <c r="N2239" t="str">
        <f t="shared" si="102"/>
        <v>3-6months</v>
      </c>
      <c r="O2239" t="str">
        <f t="shared" si="103"/>
        <v>Basic</v>
      </c>
      <c r="P2239" s="7">
        <v>45657</v>
      </c>
    </row>
    <row r="2240" spans="1:16" x14ac:dyDescent="0.3">
      <c r="A2240">
        <v>2239</v>
      </c>
      <c r="B2240" s="7">
        <v>45369</v>
      </c>
      <c r="C2240" t="s">
        <v>12</v>
      </c>
      <c r="D2240">
        <v>199</v>
      </c>
      <c r="E2240">
        <v>24.8</v>
      </c>
      <c r="F2240">
        <v>5</v>
      </c>
      <c r="G2240">
        <v>0</v>
      </c>
      <c r="H2240">
        <v>31</v>
      </c>
      <c r="I2240">
        <v>21</v>
      </c>
      <c r="J2240" t="s">
        <v>13</v>
      </c>
      <c r="K2240">
        <f>IF(J2240="Yes", 1, 0)</f>
        <v>0</v>
      </c>
      <c r="L2240" t="str">
        <f>IF(G2240=0,"0 Failures","1+ Failures")</f>
        <v>0 Failures</v>
      </c>
      <c r="M2240" t="str">
        <f t="shared" si="104"/>
        <v>20+ hrs</v>
      </c>
      <c r="N2240" t="str">
        <f t="shared" si="102"/>
        <v>12+ months</v>
      </c>
      <c r="O2240" t="str">
        <f t="shared" si="103"/>
        <v>Basic</v>
      </c>
      <c r="P2240" s="7">
        <v>45657</v>
      </c>
    </row>
    <row r="2241" spans="1:16" x14ac:dyDescent="0.3">
      <c r="A2241">
        <v>2240</v>
      </c>
      <c r="B2241" s="7">
        <v>45579</v>
      </c>
      <c r="C2241" t="s">
        <v>12</v>
      </c>
      <c r="D2241">
        <v>199</v>
      </c>
      <c r="E2241">
        <v>19.5</v>
      </c>
      <c r="F2241">
        <v>6</v>
      </c>
      <c r="G2241">
        <v>1</v>
      </c>
      <c r="H2241">
        <v>33</v>
      </c>
      <c r="I2241">
        <v>10</v>
      </c>
      <c r="J2241" t="s">
        <v>11</v>
      </c>
      <c r="K2241">
        <f>IF(J2241="Yes", 1, 0)</f>
        <v>1</v>
      </c>
      <c r="L2241" t="str">
        <f>IF(G2241=0,"0 Failures","1+ Failures")</f>
        <v>1+ Failures</v>
      </c>
      <c r="M2241" t="str">
        <f t="shared" si="104"/>
        <v>10-20hrs</v>
      </c>
      <c r="N2241" t="str">
        <f t="shared" si="102"/>
        <v>12+ months</v>
      </c>
      <c r="O2241" t="str">
        <f t="shared" si="103"/>
        <v>Basic</v>
      </c>
      <c r="P2241" s="7">
        <v>45657</v>
      </c>
    </row>
    <row r="2242" spans="1:16" x14ac:dyDescent="0.3">
      <c r="A2242">
        <v>2241</v>
      </c>
      <c r="B2242" s="7">
        <v>45433</v>
      </c>
      <c r="C2242" t="s">
        <v>14</v>
      </c>
      <c r="D2242">
        <v>399</v>
      </c>
      <c r="E2242">
        <v>24.4</v>
      </c>
      <c r="F2242">
        <v>3</v>
      </c>
      <c r="G2242">
        <v>5</v>
      </c>
      <c r="H2242">
        <v>5</v>
      </c>
      <c r="I2242">
        <v>59</v>
      </c>
      <c r="J2242" t="s">
        <v>13</v>
      </c>
      <c r="K2242">
        <f>IF(J2242="Yes", 1, 0)</f>
        <v>0</v>
      </c>
      <c r="L2242" t="str">
        <f>IF(G2242=0,"0 Failures","1+ Failures")</f>
        <v>1+ Failures</v>
      </c>
      <c r="M2242" t="str">
        <f t="shared" si="104"/>
        <v>20+ hrs</v>
      </c>
      <c r="N2242" t="str">
        <f t="shared" si="102"/>
        <v>3-6months</v>
      </c>
      <c r="O2242" t="str">
        <f t="shared" si="103"/>
        <v>Basic</v>
      </c>
      <c r="P2242" s="7">
        <v>45657</v>
      </c>
    </row>
    <row r="2243" spans="1:16" x14ac:dyDescent="0.3">
      <c r="A2243">
        <v>2242</v>
      </c>
      <c r="B2243" s="7">
        <v>45390</v>
      </c>
      <c r="C2243" t="s">
        <v>10</v>
      </c>
      <c r="D2243">
        <v>699</v>
      </c>
      <c r="E2243">
        <v>10</v>
      </c>
      <c r="F2243">
        <v>5</v>
      </c>
      <c r="G2243">
        <v>1</v>
      </c>
      <c r="H2243">
        <v>30</v>
      </c>
      <c r="I2243">
        <v>57</v>
      </c>
      <c r="J2243" t="s">
        <v>11</v>
      </c>
      <c r="K2243">
        <f>IF(J2243="Yes", 1, 0)</f>
        <v>1</v>
      </c>
      <c r="L2243" t="str">
        <f>IF(G2243=0,"0 Failures","1+ Failures")</f>
        <v>1+ Failures</v>
      </c>
      <c r="M2243" t="str">
        <f t="shared" si="104"/>
        <v>5-10 hrs</v>
      </c>
      <c r="N2243" t="str">
        <f t="shared" ref="N2243:N2306" si="105">IF(H2243&lt;=3, "0-3months", IF(H2243&lt;=6, "3-6months", IF(H2243&lt;=12, "6-12months", "12+ months")))</f>
        <v>12+ months</v>
      </c>
      <c r="O2243" t="str">
        <f t="shared" ref="O2243:O2306" si="106">IF(C2243="premium", "Premium", "Basic")</f>
        <v>Premium</v>
      </c>
      <c r="P2243" s="7">
        <v>45657</v>
      </c>
    </row>
    <row r="2244" spans="1:16" x14ac:dyDescent="0.3">
      <c r="A2244">
        <v>2243</v>
      </c>
      <c r="B2244" s="7">
        <v>45273</v>
      </c>
      <c r="C2244" t="s">
        <v>12</v>
      </c>
      <c r="D2244">
        <v>199</v>
      </c>
      <c r="E2244">
        <v>14.5</v>
      </c>
      <c r="F2244">
        <v>0</v>
      </c>
      <c r="G2244">
        <v>5</v>
      </c>
      <c r="H2244">
        <v>1</v>
      </c>
      <c r="I2244">
        <v>59</v>
      </c>
      <c r="J2244" t="s">
        <v>11</v>
      </c>
      <c r="K2244">
        <f>IF(J2244="Yes", 1, 0)</f>
        <v>1</v>
      </c>
      <c r="L2244" t="str">
        <f>IF(G2244=0,"0 Failures","1+ Failures")</f>
        <v>1+ Failures</v>
      </c>
      <c r="M2244" t="str">
        <f t="shared" si="104"/>
        <v>10-20hrs</v>
      </c>
      <c r="N2244" t="str">
        <f t="shared" si="105"/>
        <v>0-3months</v>
      </c>
      <c r="O2244" t="str">
        <f t="shared" si="106"/>
        <v>Basic</v>
      </c>
      <c r="P2244" s="7">
        <v>45657</v>
      </c>
    </row>
    <row r="2245" spans="1:16" x14ac:dyDescent="0.3">
      <c r="A2245">
        <v>2244</v>
      </c>
      <c r="B2245" s="7">
        <v>45535</v>
      </c>
      <c r="C2245" t="s">
        <v>14</v>
      </c>
      <c r="D2245">
        <v>399</v>
      </c>
      <c r="E2245">
        <v>24.3</v>
      </c>
      <c r="F2245">
        <v>7</v>
      </c>
      <c r="G2245">
        <v>0</v>
      </c>
      <c r="H2245">
        <v>1</v>
      </c>
      <c r="I2245">
        <v>8</v>
      </c>
      <c r="J2245" t="s">
        <v>13</v>
      </c>
      <c r="K2245">
        <f>IF(J2245="Yes", 1, 0)</f>
        <v>0</v>
      </c>
      <c r="L2245" t="str">
        <f>IF(G2245=0,"0 Failures","1+ Failures")</f>
        <v>0 Failures</v>
      </c>
      <c r="M2245" t="str">
        <f t="shared" si="104"/>
        <v>20+ hrs</v>
      </c>
      <c r="N2245" t="str">
        <f t="shared" si="105"/>
        <v>0-3months</v>
      </c>
      <c r="O2245" t="str">
        <f t="shared" si="106"/>
        <v>Basic</v>
      </c>
      <c r="P2245" s="7">
        <v>45657</v>
      </c>
    </row>
    <row r="2246" spans="1:16" x14ac:dyDescent="0.3">
      <c r="A2246">
        <v>2245</v>
      </c>
      <c r="B2246" s="7">
        <v>45491</v>
      </c>
      <c r="C2246" t="s">
        <v>10</v>
      </c>
      <c r="D2246">
        <v>699</v>
      </c>
      <c r="E2246">
        <v>19.3</v>
      </c>
      <c r="F2246">
        <v>2</v>
      </c>
      <c r="G2246">
        <v>3</v>
      </c>
      <c r="H2246">
        <v>36</v>
      </c>
      <c r="I2246">
        <v>31</v>
      </c>
      <c r="J2246" t="s">
        <v>11</v>
      </c>
      <c r="K2246">
        <f>IF(J2246="Yes", 1, 0)</f>
        <v>1</v>
      </c>
      <c r="L2246" t="str">
        <f>IF(G2246=0,"0 Failures","1+ Failures")</f>
        <v>1+ Failures</v>
      </c>
      <c r="M2246" t="str">
        <f t="shared" si="104"/>
        <v>10-20hrs</v>
      </c>
      <c r="N2246" t="str">
        <f t="shared" si="105"/>
        <v>12+ months</v>
      </c>
      <c r="O2246" t="str">
        <f t="shared" si="106"/>
        <v>Premium</v>
      </c>
      <c r="P2246" s="7">
        <v>45657</v>
      </c>
    </row>
    <row r="2247" spans="1:16" x14ac:dyDescent="0.3">
      <c r="A2247">
        <v>2246</v>
      </c>
      <c r="B2247" s="7">
        <v>45476</v>
      </c>
      <c r="C2247" t="s">
        <v>10</v>
      </c>
      <c r="D2247">
        <v>699</v>
      </c>
      <c r="E2247">
        <v>3.4</v>
      </c>
      <c r="F2247">
        <v>0</v>
      </c>
      <c r="G2247">
        <v>5</v>
      </c>
      <c r="H2247">
        <v>22</v>
      </c>
      <c r="I2247">
        <v>20</v>
      </c>
      <c r="J2247" t="s">
        <v>11</v>
      </c>
      <c r="K2247">
        <f>IF(J2247="Yes", 1, 0)</f>
        <v>1</v>
      </c>
      <c r="L2247" t="str">
        <f>IF(G2247=0,"0 Failures","1+ Failures")</f>
        <v>1+ Failures</v>
      </c>
      <c r="M2247" t="str">
        <f t="shared" si="104"/>
        <v>0-5 hrs</v>
      </c>
      <c r="N2247" t="str">
        <f t="shared" si="105"/>
        <v>12+ months</v>
      </c>
      <c r="O2247" t="str">
        <f t="shared" si="106"/>
        <v>Premium</v>
      </c>
      <c r="P2247" s="7">
        <v>45657</v>
      </c>
    </row>
    <row r="2248" spans="1:16" x14ac:dyDescent="0.3">
      <c r="A2248">
        <v>2247</v>
      </c>
      <c r="B2248" s="7">
        <v>45067</v>
      </c>
      <c r="C2248" t="s">
        <v>14</v>
      </c>
      <c r="D2248">
        <v>399</v>
      </c>
      <c r="E2248">
        <v>1.5</v>
      </c>
      <c r="F2248">
        <v>1</v>
      </c>
      <c r="G2248">
        <v>0</v>
      </c>
      <c r="H2248">
        <v>19</v>
      </c>
      <c r="I2248">
        <v>60</v>
      </c>
      <c r="J2248" t="s">
        <v>11</v>
      </c>
      <c r="K2248">
        <f>IF(J2248="Yes", 1, 0)</f>
        <v>1</v>
      </c>
      <c r="L2248" t="str">
        <f>IF(G2248=0,"0 Failures","1+ Failures")</f>
        <v>0 Failures</v>
      </c>
      <c r="M2248" t="str">
        <f t="shared" si="104"/>
        <v>0-5 hrs</v>
      </c>
      <c r="N2248" t="str">
        <f t="shared" si="105"/>
        <v>12+ months</v>
      </c>
      <c r="O2248" t="str">
        <f t="shared" si="106"/>
        <v>Basic</v>
      </c>
      <c r="P2248" s="7">
        <v>45657</v>
      </c>
    </row>
    <row r="2249" spans="1:16" x14ac:dyDescent="0.3">
      <c r="A2249">
        <v>2248</v>
      </c>
      <c r="B2249" s="7">
        <v>45003</v>
      </c>
      <c r="C2249" t="s">
        <v>10</v>
      </c>
      <c r="D2249">
        <v>699</v>
      </c>
      <c r="E2249">
        <v>20.5</v>
      </c>
      <c r="F2249">
        <v>2</v>
      </c>
      <c r="G2249">
        <v>2</v>
      </c>
      <c r="H2249">
        <v>17</v>
      </c>
      <c r="I2249">
        <v>21</v>
      </c>
      <c r="J2249" t="s">
        <v>13</v>
      </c>
      <c r="K2249">
        <f>IF(J2249="Yes", 1, 0)</f>
        <v>0</v>
      </c>
      <c r="L2249" t="str">
        <f>IF(G2249=0,"0 Failures","1+ Failures")</f>
        <v>1+ Failures</v>
      </c>
      <c r="M2249" t="str">
        <f t="shared" si="104"/>
        <v>20+ hrs</v>
      </c>
      <c r="N2249" t="str">
        <f t="shared" si="105"/>
        <v>12+ months</v>
      </c>
      <c r="O2249" t="str">
        <f t="shared" si="106"/>
        <v>Premium</v>
      </c>
      <c r="P2249" s="7">
        <v>45657</v>
      </c>
    </row>
    <row r="2250" spans="1:16" x14ac:dyDescent="0.3">
      <c r="A2250">
        <v>2249</v>
      </c>
      <c r="B2250" s="7">
        <v>44953</v>
      </c>
      <c r="C2250" t="s">
        <v>10</v>
      </c>
      <c r="D2250">
        <v>699</v>
      </c>
      <c r="E2250">
        <v>2.2999999999999998</v>
      </c>
      <c r="F2250">
        <v>4</v>
      </c>
      <c r="G2250">
        <v>5</v>
      </c>
      <c r="H2250">
        <v>24</v>
      </c>
      <c r="I2250">
        <v>19</v>
      </c>
      <c r="J2250" t="s">
        <v>11</v>
      </c>
      <c r="K2250">
        <f>IF(J2250="Yes", 1, 0)</f>
        <v>1</v>
      </c>
      <c r="L2250" t="str">
        <f>IF(G2250=0,"0 Failures","1+ Failures")</f>
        <v>1+ Failures</v>
      </c>
      <c r="M2250" t="str">
        <f t="shared" si="104"/>
        <v>0-5 hrs</v>
      </c>
      <c r="N2250" t="str">
        <f t="shared" si="105"/>
        <v>12+ months</v>
      </c>
      <c r="O2250" t="str">
        <f t="shared" si="106"/>
        <v>Premium</v>
      </c>
      <c r="P2250" s="7">
        <v>45657</v>
      </c>
    </row>
    <row r="2251" spans="1:16" x14ac:dyDescent="0.3">
      <c r="A2251">
        <v>2250</v>
      </c>
      <c r="B2251" s="7">
        <v>45540</v>
      </c>
      <c r="C2251" t="s">
        <v>14</v>
      </c>
      <c r="D2251">
        <v>399</v>
      </c>
      <c r="E2251">
        <v>5</v>
      </c>
      <c r="F2251">
        <v>1</v>
      </c>
      <c r="G2251">
        <v>1</v>
      </c>
      <c r="H2251">
        <v>21</v>
      </c>
      <c r="I2251">
        <v>59</v>
      </c>
      <c r="J2251" t="s">
        <v>13</v>
      </c>
      <c r="K2251">
        <f>IF(J2251="Yes", 1, 0)</f>
        <v>0</v>
      </c>
      <c r="L2251" t="str">
        <f>IF(G2251=0,"0 Failures","1+ Failures")</f>
        <v>1+ Failures</v>
      </c>
      <c r="M2251" t="str">
        <f t="shared" ref="M2251:M2314" si="107">IF(E2251&lt;=5, "0-5 hrs",    IF(E2251&lt;=10, "5-10 hrs",    IF(E2251&lt;=20, "10-20hrs", "20+ hrs")))</f>
        <v>0-5 hrs</v>
      </c>
      <c r="N2251" t="str">
        <f t="shared" si="105"/>
        <v>12+ months</v>
      </c>
      <c r="O2251" t="str">
        <f t="shared" si="106"/>
        <v>Basic</v>
      </c>
      <c r="P2251" s="7">
        <v>45657</v>
      </c>
    </row>
    <row r="2252" spans="1:16" x14ac:dyDescent="0.3">
      <c r="A2252">
        <v>2251</v>
      </c>
      <c r="B2252" s="7">
        <v>45114</v>
      </c>
      <c r="C2252" t="s">
        <v>12</v>
      </c>
      <c r="D2252">
        <v>199</v>
      </c>
      <c r="E2252">
        <v>3.3</v>
      </c>
      <c r="F2252">
        <v>4</v>
      </c>
      <c r="G2252">
        <v>2</v>
      </c>
      <c r="H2252">
        <v>24</v>
      </c>
      <c r="I2252">
        <v>20</v>
      </c>
      <c r="J2252" t="s">
        <v>13</v>
      </c>
      <c r="K2252">
        <f>IF(J2252="Yes", 1, 0)</f>
        <v>0</v>
      </c>
      <c r="L2252" t="str">
        <f>IF(G2252=0,"0 Failures","1+ Failures")</f>
        <v>1+ Failures</v>
      </c>
      <c r="M2252" t="str">
        <f t="shared" si="107"/>
        <v>0-5 hrs</v>
      </c>
      <c r="N2252" t="str">
        <f t="shared" si="105"/>
        <v>12+ months</v>
      </c>
      <c r="O2252" t="str">
        <f t="shared" si="106"/>
        <v>Basic</v>
      </c>
      <c r="P2252" s="7">
        <v>45657</v>
      </c>
    </row>
    <row r="2253" spans="1:16" x14ac:dyDescent="0.3">
      <c r="A2253">
        <v>2252</v>
      </c>
      <c r="B2253" s="7">
        <v>45490</v>
      </c>
      <c r="C2253" t="s">
        <v>10</v>
      </c>
      <c r="D2253">
        <v>699</v>
      </c>
      <c r="E2253">
        <v>14.8</v>
      </c>
      <c r="F2253">
        <v>1</v>
      </c>
      <c r="G2253">
        <v>1</v>
      </c>
      <c r="H2253">
        <v>14</v>
      </c>
      <c r="I2253">
        <v>3</v>
      </c>
      <c r="J2253" t="s">
        <v>13</v>
      </c>
      <c r="K2253">
        <f>IF(J2253="Yes", 1, 0)</f>
        <v>0</v>
      </c>
      <c r="L2253" t="str">
        <f>IF(G2253=0,"0 Failures","1+ Failures")</f>
        <v>1+ Failures</v>
      </c>
      <c r="M2253" t="str">
        <f t="shared" si="107"/>
        <v>10-20hrs</v>
      </c>
      <c r="N2253" t="str">
        <f t="shared" si="105"/>
        <v>12+ months</v>
      </c>
      <c r="O2253" t="str">
        <f t="shared" si="106"/>
        <v>Premium</v>
      </c>
      <c r="P2253" s="7">
        <v>45657</v>
      </c>
    </row>
    <row r="2254" spans="1:16" x14ac:dyDescent="0.3">
      <c r="A2254">
        <v>2253</v>
      </c>
      <c r="B2254" s="7">
        <v>45231</v>
      </c>
      <c r="C2254" t="s">
        <v>10</v>
      </c>
      <c r="D2254">
        <v>699</v>
      </c>
      <c r="E2254">
        <v>20.399999999999999</v>
      </c>
      <c r="F2254">
        <v>8</v>
      </c>
      <c r="G2254">
        <v>4</v>
      </c>
      <c r="H2254">
        <v>6</v>
      </c>
      <c r="I2254">
        <v>55</v>
      </c>
      <c r="J2254" t="s">
        <v>11</v>
      </c>
      <c r="K2254">
        <f>IF(J2254="Yes", 1, 0)</f>
        <v>1</v>
      </c>
      <c r="L2254" t="str">
        <f>IF(G2254=0,"0 Failures","1+ Failures")</f>
        <v>1+ Failures</v>
      </c>
      <c r="M2254" t="str">
        <f t="shared" si="107"/>
        <v>20+ hrs</v>
      </c>
      <c r="N2254" t="str">
        <f t="shared" si="105"/>
        <v>3-6months</v>
      </c>
      <c r="O2254" t="str">
        <f t="shared" si="106"/>
        <v>Premium</v>
      </c>
      <c r="P2254" s="7">
        <v>45657</v>
      </c>
    </row>
    <row r="2255" spans="1:16" x14ac:dyDescent="0.3">
      <c r="A2255">
        <v>2254</v>
      </c>
      <c r="B2255" s="7">
        <v>45357</v>
      </c>
      <c r="C2255" t="s">
        <v>10</v>
      </c>
      <c r="D2255">
        <v>699</v>
      </c>
      <c r="E2255">
        <v>3</v>
      </c>
      <c r="F2255">
        <v>6</v>
      </c>
      <c r="G2255">
        <v>0</v>
      </c>
      <c r="H2255">
        <v>20</v>
      </c>
      <c r="I2255">
        <v>19</v>
      </c>
      <c r="J2255" t="s">
        <v>13</v>
      </c>
      <c r="K2255">
        <f>IF(J2255="Yes", 1, 0)</f>
        <v>0</v>
      </c>
      <c r="L2255" t="str">
        <f>IF(G2255=0,"0 Failures","1+ Failures")</f>
        <v>0 Failures</v>
      </c>
      <c r="M2255" t="str">
        <f t="shared" si="107"/>
        <v>0-5 hrs</v>
      </c>
      <c r="N2255" t="str">
        <f t="shared" si="105"/>
        <v>12+ months</v>
      </c>
      <c r="O2255" t="str">
        <f t="shared" si="106"/>
        <v>Premium</v>
      </c>
      <c r="P2255" s="7">
        <v>45657</v>
      </c>
    </row>
    <row r="2256" spans="1:16" x14ac:dyDescent="0.3">
      <c r="A2256">
        <v>2255</v>
      </c>
      <c r="B2256" s="7">
        <v>45529</v>
      </c>
      <c r="C2256" t="s">
        <v>12</v>
      </c>
      <c r="D2256">
        <v>199</v>
      </c>
      <c r="E2256">
        <v>7.1</v>
      </c>
      <c r="F2256">
        <v>0</v>
      </c>
      <c r="G2256">
        <v>1</v>
      </c>
      <c r="H2256">
        <v>22</v>
      </c>
      <c r="I2256">
        <v>4</v>
      </c>
      <c r="J2256" t="s">
        <v>11</v>
      </c>
      <c r="K2256">
        <f>IF(J2256="Yes", 1, 0)</f>
        <v>1</v>
      </c>
      <c r="L2256" t="str">
        <f>IF(G2256=0,"0 Failures","1+ Failures")</f>
        <v>1+ Failures</v>
      </c>
      <c r="M2256" t="str">
        <f t="shared" si="107"/>
        <v>5-10 hrs</v>
      </c>
      <c r="N2256" t="str">
        <f t="shared" si="105"/>
        <v>12+ months</v>
      </c>
      <c r="O2256" t="str">
        <f t="shared" si="106"/>
        <v>Basic</v>
      </c>
      <c r="P2256" s="7">
        <v>45657</v>
      </c>
    </row>
    <row r="2257" spans="1:16" x14ac:dyDescent="0.3">
      <c r="A2257">
        <v>2256</v>
      </c>
      <c r="B2257" s="7">
        <v>45481</v>
      </c>
      <c r="C2257" t="s">
        <v>12</v>
      </c>
      <c r="D2257">
        <v>199</v>
      </c>
      <c r="E2257">
        <v>22.3</v>
      </c>
      <c r="F2257">
        <v>0</v>
      </c>
      <c r="G2257">
        <v>3</v>
      </c>
      <c r="H2257">
        <v>7</v>
      </c>
      <c r="I2257">
        <v>51</v>
      </c>
      <c r="J2257" t="s">
        <v>11</v>
      </c>
      <c r="K2257">
        <f>IF(J2257="Yes", 1, 0)</f>
        <v>1</v>
      </c>
      <c r="L2257" t="str">
        <f>IF(G2257=0,"0 Failures","1+ Failures")</f>
        <v>1+ Failures</v>
      </c>
      <c r="M2257" t="str">
        <f t="shared" si="107"/>
        <v>20+ hrs</v>
      </c>
      <c r="N2257" t="str">
        <f t="shared" si="105"/>
        <v>6-12months</v>
      </c>
      <c r="O2257" t="str">
        <f t="shared" si="106"/>
        <v>Basic</v>
      </c>
      <c r="P2257" s="7">
        <v>45657</v>
      </c>
    </row>
    <row r="2258" spans="1:16" x14ac:dyDescent="0.3">
      <c r="A2258">
        <v>2257</v>
      </c>
      <c r="B2258" s="7">
        <v>45116</v>
      </c>
      <c r="C2258" t="s">
        <v>12</v>
      </c>
      <c r="D2258">
        <v>199</v>
      </c>
      <c r="E2258">
        <v>4.4000000000000004</v>
      </c>
      <c r="F2258">
        <v>8</v>
      </c>
      <c r="G2258">
        <v>1</v>
      </c>
      <c r="H2258">
        <v>17</v>
      </c>
      <c r="I2258">
        <v>5</v>
      </c>
      <c r="J2258" t="s">
        <v>11</v>
      </c>
      <c r="K2258">
        <f>IF(J2258="Yes", 1, 0)</f>
        <v>1</v>
      </c>
      <c r="L2258" t="str">
        <f>IF(G2258=0,"0 Failures","1+ Failures")</f>
        <v>1+ Failures</v>
      </c>
      <c r="M2258" t="str">
        <f t="shared" si="107"/>
        <v>0-5 hrs</v>
      </c>
      <c r="N2258" t="str">
        <f t="shared" si="105"/>
        <v>12+ months</v>
      </c>
      <c r="O2258" t="str">
        <f t="shared" si="106"/>
        <v>Basic</v>
      </c>
      <c r="P2258" s="7">
        <v>45657</v>
      </c>
    </row>
    <row r="2259" spans="1:16" x14ac:dyDescent="0.3">
      <c r="A2259">
        <v>2258</v>
      </c>
      <c r="B2259" s="7">
        <v>45056</v>
      </c>
      <c r="C2259" t="s">
        <v>10</v>
      </c>
      <c r="D2259">
        <v>699</v>
      </c>
      <c r="E2259">
        <v>16</v>
      </c>
      <c r="F2259">
        <v>0</v>
      </c>
      <c r="G2259">
        <v>3</v>
      </c>
      <c r="H2259">
        <v>7</v>
      </c>
      <c r="I2259">
        <v>13</v>
      </c>
      <c r="J2259" t="s">
        <v>13</v>
      </c>
      <c r="K2259">
        <f>IF(J2259="Yes", 1, 0)</f>
        <v>0</v>
      </c>
      <c r="L2259" t="str">
        <f>IF(G2259=0,"0 Failures","1+ Failures")</f>
        <v>1+ Failures</v>
      </c>
      <c r="M2259" t="str">
        <f t="shared" si="107"/>
        <v>10-20hrs</v>
      </c>
      <c r="N2259" t="str">
        <f t="shared" si="105"/>
        <v>6-12months</v>
      </c>
      <c r="O2259" t="str">
        <f t="shared" si="106"/>
        <v>Premium</v>
      </c>
      <c r="P2259" s="7">
        <v>45657</v>
      </c>
    </row>
    <row r="2260" spans="1:16" x14ac:dyDescent="0.3">
      <c r="A2260">
        <v>2259</v>
      </c>
      <c r="B2260" s="7">
        <v>45206</v>
      </c>
      <c r="C2260" t="s">
        <v>12</v>
      </c>
      <c r="D2260">
        <v>199</v>
      </c>
      <c r="E2260">
        <v>6.3</v>
      </c>
      <c r="F2260">
        <v>6</v>
      </c>
      <c r="G2260">
        <v>0</v>
      </c>
      <c r="H2260">
        <v>33</v>
      </c>
      <c r="I2260">
        <v>43</v>
      </c>
      <c r="J2260" t="s">
        <v>13</v>
      </c>
      <c r="K2260">
        <f>IF(J2260="Yes", 1, 0)</f>
        <v>0</v>
      </c>
      <c r="L2260" t="str">
        <f>IF(G2260=0,"0 Failures","1+ Failures")</f>
        <v>0 Failures</v>
      </c>
      <c r="M2260" t="str">
        <f t="shared" si="107"/>
        <v>5-10 hrs</v>
      </c>
      <c r="N2260" t="str">
        <f t="shared" si="105"/>
        <v>12+ months</v>
      </c>
      <c r="O2260" t="str">
        <f t="shared" si="106"/>
        <v>Basic</v>
      </c>
      <c r="P2260" s="7">
        <v>45657</v>
      </c>
    </row>
    <row r="2261" spans="1:16" x14ac:dyDescent="0.3">
      <c r="A2261">
        <v>2260</v>
      </c>
      <c r="B2261" s="7">
        <v>45609</v>
      </c>
      <c r="C2261" t="s">
        <v>10</v>
      </c>
      <c r="D2261">
        <v>699</v>
      </c>
      <c r="E2261">
        <v>12.6</v>
      </c>
      <c r="F2261">
        <v>3</v>
      </c>
      <c r="G2261">
        <v>0</v>
      </c>
      <c r="H2261">
        <v>13</v>
      </c>
      <c r="I2261">
        <v>27</v>
      </c>
      <c r="J2261" t="s">
        <v>11</v>
      </c>
      <c r="K2261">
        <f>IF(J2261="Yes", 1, 0)</f>
        <v>1</v>
      </c>
      <c r="L2261" t="str">
        <f>IF(G2261=0,"0 Failures","1+ Failures")</f>
        <v>0 Failures</v>
      </c>
      <c r="M2261" t="str">
        <f t="shared" si="107"/>
        <v>10-20hrs</v>
      </c>
      <c r="N2261" t="str">
        <f t="shared" si="105"/>
        <v>12+ months</v>
      </c>
      <c r="O2261" t="str">
        <f t="shared" si="106"/>
        <v>Premium</v>
      </c>
      <c r="P2261" s="7">
        <v>45657</v>
      </c>
    </row>
    <row r="2262" spans="1:16" x14ac:dyDescent="0.3">
      <c r="A2262">
        <v>2261</v>
      </c>
      <c r="B2262" s="7">
        <v>45531</v>
      </c>
      <c r="C2262" t="s">
        <v>14</v>
      </c>
      <c r="D2262">
        <v>399</v>
      </c>
      <c r="E2262">
        <v>20.7</v>
      </c>
      <c r="F2262">
        <v>4</v>
      </c>
      <c r="G2262">
        <v>2</v>
      </c>
      <c r="H2262">
        <v>13</v>
      </c>
      <c r="I2262">
        <v>8</v>
      </c>
      <c r="J2262" t="s">
        <v>11</v>
      </c>
      <c r="K2262">
        <f>IF(J2262="Yes", 1, 0)</f>
        <v>1</v>
      </c>
      <c r="L2262" t="str">
        <f>IF(G2262=0,"0 Failures","1+ Failures")</f>
        <v>1+ Failures</v>
      </c>
      <c r="M2262" t="str">
        <f t="shared" si="107"/>
        <v>20+ hrs</v>
      </c>
      <c r="N2262" t="str">
        <f t="shared" si="105"/>
        <v>12+ months</v>
      </c>
      <c r="O2262" t="str">
        <f t="shared" si="106"/>
        <v>Basic</v>
      </c>
      <c r="P2262" s="7">
        <v>45657</v>
      </c>
    </row>
    <row r="2263" spans="1:16" x14ac:dyDescent="0.3">
      <c r="A2263">
        <v>2262</v>
      </c>
      <c r="B2263" s="7">
        <v>45546</v>
      </c>
      <c r="C2263" t="s">
        <v>14</v>
      </c>
      <c r="D2263">
        <v>399</v>
      </c>
      <c r="E2263">
        <v>7.1</v>
      </c>
      <c r="F2263">
        <v>1</v>
      </c>
      <c r="G2263">
        <v>5</v>
      </c>
      <c r="H2263">
        <v>19</v>
      </c>
      <c r="I2263">
        <v>26</v>
      </c>
      <c r="J2263" t="s">
        <v>11</v>
      </c>
      <c r="K2263">
        <f>IF(J2263="Yes", 1, 0)</f>
        <v>1</v>
      </c>
      <c r="L2263" t="str">
        <f>IF(G2263=0,"0 Failures","1+ Failures")</f>
        <v>1+ Failures</v>
      </c>
      <c r="M2263" t="str">
        <f t="shared" si="107"/>
        <v>5-10 hrs</v>
      </c>
      <c r="N2263" t="str">
        <f t="shared" si="105"/>
        <v>12+ months</v>
      </c>
      <c r="O2263" t="str">
        <f t="shared" si="106"/>
        <v>Basic</v>
      </c>
      <c r="P2263" s="7">
        <v>45657</v>
      </c>
    </row>
    <row r="2264" spans="1:16" x14ac:dyDescent="0.3">
      <c r="A2264">
        <v>2263</v>
      </c>
      <c r="B2264" s="7">
        <v>45634</v>
      </c>
      <c r="C2264" t="s">
        <v>14</v>
      </c>
      <c r="D2264">
        <v>399</v>
      </c>
      <c r="E2264">
        <v>24.5</v>
      </c>
      <c r="F2264">
        <v>6</v>
      </c>
      <c r="G2264">
        <v>4</v>
      </c>
      <c r="H2264">
        <v>1</v>
      </c>
      <c r="I2264">
        <v>12</v>
      </c>
      <c r="J2264" t="s">
        <v>13</v>
      </c>
      <c r="K2264">
        <f>IF(J2264="Yes", 1, 0)</f>
        <v>0</v>
      </c>
      <c r="L2264" t="str">
        <f>IF(G2264=0,"0 Failures","1+ Failures")</f>
        <v>1+ Failures</v>
      </c>
      <c r="M2264" t="str">
        <f t="shared" si="107"/>
        <v>20+ hrs</v>
      </c>
      <c r="N2264" t="str">
        <f t="shared" si="105"/>
        <v>0-3months</v>
      </c>
      <c r="O2264" t="str">
        <f t="shared" si="106"/>
        <v>Basic</v>
      </c>
      <c r="P2264" s="7">
        <v>45657</v>
      </c>
    </row>
    <row r="2265" spans="1:16" x14ac:dyDescent="0.3">
      <c r="A2265">
        <v>2264</v>
      </c>
      <c r="B2265" s="7">
        <v>44968</v>
      </c>
      <c r="C2265" t="s">
        <v>12</v>
      </c>
      <c r="D2265">
        <v>199</v>
      </c>
      <c r="E2265">
        <v>20.5</v>
      </c>
      <c r="F2265">
        <v>1</v>
      </c>
      <c r="G2265">
        <v>5</v>
      </c>
      <c r="H2265">
        <v>12</v>
      </c>
      <c r="I2265">
        <v>15</v>
      </c>
      <c r="J2265" t="s">
        <v>11</v>
      </c>
      <c r="K2265">
        <f>IF(J2265="Yes", 1, 0)</f>
        <v>1</v>
      </c>
      <c r="L2265" t="str">
        <f>IF(G2265=0,"0 Failures","1+ Failures")</f>
        <v>1+ Failures</v>
      </c>
      <c r="M2265" t="str">
        <f t="shared" si="107"/>
        <v>20+ hrs</v>
      </c>
      <c r="N2265" t="str">
        <f t="shared" si="105"/>
        <v>6-12months</v>
      </c>
      <c r="O2265" t="str">
        <f t="shared" si="106"/>
        <v>Basic</v>
      </c>
      <c r="P2265" s="7">
        <v>45657</v>
      </c>
    </row>
    <row r="2266" spans="1:16" x14ac:dyDescent="0.3">
      <c r="A2266">
        <v>2265</v>
      </c>
      <c r="B2266" s="7">
        <v>45150</v>
      </c>
      <c r="C2266" t="s">
        <v>12</v>
      </c>
      <c r="D2266">
        <v>199</v>
      </c>
      <c r="E2266">
        <v>18.7</v>
      </c>
      <c r="F2266">
        <v>1</v>
      </c>
      <c r="G2266">
        <v>5</v>
      </c>
      <c r="H2266">
        <v>16</v>
      </c>
      <c r="I2266">
        <v>25</v>
      </c>
      <c r="J2266" t="s">
        <v>11</v>
      </c>
      <c r="K2266">
        <f>IF(J2266="Yes", 1, 0)</f>
        <v>1</v>
      </c>
      <c r="L2266" t="str">
        <f>IF(G2266=0,"0 Failures","1+ Failures")</f>
        <v>1+ Failures</v>
      </c>
      <c r="M2266" t="str">
        <f t="shared" si="107"/>
        <v>10-20hrs</v>
      </c>
      <c r="N2266" t="str">
        <f t="shared" si="105"/>
        <v>12+ months</v>
      </c>
      <c r="O2266" t="str">
        <f t="shared" si="106"/>
        <v>Basic</v>
      </c>
      <c r="P2266" s="7">
        <v>45657</v>
      </c>
    </row>
    <row r="2267" spans="1:16" x14ac:dyDescent="0.3">
      <c r="A2267">
        <v>2266</v>
      </c>
      <c r="B2267" s="7">
        <v>44941</v>
      </c>
      <c r="C2267" t="s">
        <v>14</v>
      </c>
      <c r="D2267">
        <v>399</v>
      </c>
      <c r="E2267">
        <v>14.6</v>
      </c>
      <c r="F2267">
        <v>3</v>
      </c>
      <c r="G2267">
        <v>5</v>
      </c>
      <c r="H2267">
        <v>8</v>
      </c>
      <c r="I2267">
        <v>7</v>
      </c>
      <c r="J2267" t="s">
        <v>13</v>
      </c>
      <c r="K2267">
        <f>IF(J2267="Yes", 1, 0)</f>
        <v>0</v>
      </c>
      <c r="L2267" t="str">
        <f>IF(G2267=0,"0 Failures","1+ Failures")</f>
        <v>1+ Failures</v>
      </c>
      <c r="M2267" t="str">
        <f t="shared" si="107"/>
        <v>10-20hrs</v>
      </c>
      <c r="N2267" t="str">
        <f t="shared" si="105"/>
        <v>6-12months</v>
      </c>
      <c r="O2267" t="str">
        <f t="shared" si="106"/>
        <v>Basic</v>
      </c>
      <c r="P2267" s="7">
        <v>45657</v>
      </c>
    </row>
    <row r="2268" spans="1:16" x14ac:dyDescent="0.3">
      <c r="A2268">
        <v>2267</v>
      </c>
      <c r="B2268" s="7">
        <v>45053</v>
      </c>
      <c r="C2268" t="s">
        <v>14</v>
      </c>
      <c r="D2268">
        <v>399</v>
      </c>
      <c r="E2268">
        <v>8.9</v>
      </c>
      <c r="F2268">
        <v>7</v>
      </c>
      <c r="G2268">
        <v>1</v>
      </c>
      <c r="H2268">
        <v>7</v>
      </c>
      <c r="I2268">
        <v>9</v>
      </c>
      <c r="J2268" t="s">
        <v>13</v>
      </c>
      <c r="K2268">
        <f>IF(J2268="Yes", 1, 0)</f>
        <v>0</v>
      </c>
      <c r="L2268" t="str">
        <f>IF(G2268=0,"0 Failures","1+ Failures")</f>
        <v>1+ Failures</v>
      </c>
      <c r="M2268" t="str">
        <f t="shared" si="107"/>
        <v>5-10 hrs</v>
      </c>
      <c r="N2268" t="str">
        <f t="shared" si="105"/>
        <v>6-12months</v>
      </c>
      <c r="O2268" t="str">
        <f t="shared" si="106"/>
        <v>Basic</v>
      </c>
      <c r="P2268" s="7">
        <v>45657</v>
      </c>
    </row>
    <row r="2269" spans="1:16" x14ac:dyDescent="0.3">
      <c r="A2269">
        <v>2268</v>
      </c>
      <c r="B2269" s="7">
        <v>45381</v>
      </c>
      <c r="C2269" t="s">
        <v>14</v>
      </c>
      <c r="D2269">
        <v>399</v>
      </c>
      <c r="E2269">
        <v>24.4</v>
      </c>
      <c r="F2269">
        <v>6</v>
      </c>
      <c r="G2269">
        <v>5</v>
      </c>
      <c r="H2269">
        <v>21</v>
      </c>
      <c r="I2269">
        <v>33</v>
      </c>
      <c r="J2269" t="s">
        <v>11</v>
      </c>
      <c r="K2269">
        <f>IF(J2269="Yes", 1, 0)</f>
        <v>1</v>
      </c>
      <c r="L2269" t="str">
        <f>IF(G2269=0,"0 Failures","1+ Failures")</f>
        <v>1+ Failures</v>
      </c>
      <c r="M2269" t="str">
        <f t="shared" si="107"/>
        <v>20+ hrs</v>
      </c>
      <c r="N2269" t="str">
        <f t="shared" si="105"/>
        <v>12+ months</v>
      </c>
      <c r="O2269" t="str">
        <f t="shared" si="106"/>
        <v>Basic</v>
      </c>
      <c r="P2269" s="7">
        <v>45657</v>
      </c>
    </row>
    <row r="2270" spans="1:16" x14ac:dyDescent="0.3">
      <c r="A2270">
        <v>2269</v>
      </c>
      <c r="B2270" s="7">
        <v>45608</v>
      </c>
      <c r="C2270" t="s">
        <v>10</v>
      </c>
      <c r="D2270">
        <v>699</v>
      </c>
      <c r="E2270">
        <v>21.5</v>
      </c>
      <c r="F2270">
        <v>2</v>
      </c>
      <c r="G2270">
        <v>1</v>
      </c>
      <c r="H2270">
        <v>13</v>
      </c>
      <c r="I2270">
        <v>24</v>
      </c>
      <c r="J2270" t="s">
        <v>13</v>
      </c>
      <c r="K2270">
        <f>IF(J2270="Yes", 1, 0)</f>
        <v>0</v>
      </c>
      <c r="L2270" t="str">
        <f>IF(G2270=0,"0 Failures","1+ Failures")</f>
        <v>1+ Failures</v>
      </c>
      <c r="M2270" t="str">
        <f t="shared" si="107"/>
        <v>20+ hrs</v>
      </c>
      <c r="N2270" t="str">
        <f t="shared" si="105"/>
        <v>12+ months</v>
      </c>
      <c r="O2270" t="str">
        <f t="shared" si="106"/>
        <v>Premium</v>
      </c>
      <c r="P2270" s="7">
        <v>45657</v>
      </c>
    </row>
    <row r="2271" spans="1:16" x14ac:dyDescent="0.3">
      <c r="A2271">
        <v>2270</v>
      </c>
      <c r="B2271" s="7">
        <v>45370</v>
      </c>
      <c r="C2271" t="s">
        <v>10</v>
      </c>
      <c r="D2271">
        <v>699</v>
      </c>
      <c r="E2271">
        <v>12.5</v>
      </c>
      <c r="F2271">
        <v>4</v>
      </c>
      <c r="G2271">
        <v>3</v>
      </c>
      <c r="H2271">
        <v>16</v>
      </c>
      <c r="I2271">
        <v>3</v>
      </c>
      <c r="J2271" t="s">
        <v>11</v>
      </c>
      <c r="K2271">
        <f>IF(J2271="Yes", 1, 0)</f>
        <v>1</v>
      </c>
      <c r="L2271" t="str">
        <f>IF(G2271=0,"0 Failures","1+ Failures")</f>
        <v>1+ Failures</v>
      </c>
      <c r="M2271" t="str">
        <f t="shared" si="107"/>
        <v>10-20hrs</v>
      </c>
      <c r="N2271" t="str">
        <f t="shared" si="105"/>
        <v>12+ months</v>
      </c>
      <c r="O2271" t="str">
        <f t="shared" si="106"/>
        <v>Premium</v>
      </c>
      <c r="P2271" s="7">
        <v>45657</v>
      </c>
    </row>
    <row r="2272" spans="1:16" x14ac:dyDescent="0.3">
      <c r="A2272">
        <v>2271</v>
      </c>
      <c r="B2272" s="7">
        <v>45135</v>
      </c>
      <c r="C2272" t="s">
        <v>14</v>
      </c>
      <c r="D2272">
        <v>399</v>
      </c>
      <c r="E2272">
        <v>2</v>
      </c>
      <c r="F2272">
        <v>0</v>
      </c>
      <c r="G2272">
        <v>5</v>
      </c>
      <c r="H2272">
        <v>11</v>
      </c>
      <c r="I2272">
        <v>29</v>
      </c>
      <c r="J2272" t="s">
        <v>11</v>
      </c>
      <c r="K2272">
        <f>IF(J2272="Yes", 1, 0)</f>
        <v>1</v>
      </c>
      <c r="L2272" t="str">
        <f>IF(G2272=0,"0 Failures","1+ Failures")</f>
        <v>1+ Failures</v>
      </c>
      <c r="M2272" t="str">
        <f t="shared" si="107"/>
        <v>0-5 hrs</v>
      </c>
      <c r="N2272" t="str">
        <f t="shared" si="105"/>
        <v>6-12months</v>
      </c>
      <c r="O2272" t="str">
        <f t="shared" si="106"/>
        <v>Basic</v>
      </c>
      <c r="P2272" s="7">
        <v>45657</v>
      </c>
    </row>
    <row r="2273" spans="1:16" x14ac:dyDescent="0.3">
      <c r="A2273">
        <v>2272</v>
      </c>
      <c r="B2273" s="7">
        <v>44941</v>
      </c>
      <c r="C2273" t="s">
        <v>14</v>
      </c>
      <c r="D2273">
        <v>399</v>
      </c>
      <c r="E2273">
        <v>22.1</v>
      </c>
      <c r="F2273">
        <v>2</v>
      </c>
      <c r="G2273">
        <v>2</v>
      </c>
      <c r="H2273">
        <v>8</v>
      </c>
      <c r="I2273">
        <v>17</v>
      </c>
      <c r="J2273" t="s">
        <v>11</v>
      </c>
      <c r="K2273">
        <f>IF(J2273="Yes", 1, 0)</f>
        <v>1</v>
      </c>
      <c r="L2273" t="str">
        <f>IF(G2273=0,"0 Failures","1+ Failures")</f>
        <v>1+ Failures</v>
      </c>
      <c r="M2273" t="str">
        <f t="shared" si="107"/>
        <v>20+ hrs</v>
      </c>
      <c r="N2273" t="str">
        <f t="shared" si="105"/>
        <v>6-12months</v>
      </c>
      <c r="O2273" t="str">
        <f t="shared" si="106"/>
        <v>Basic</v>
      </c>
      <c r="P2273" s="7">
        <v>45657</v>
      </c>
    </row>
    <row r="2274" spans="1:16" x14ac:dyDescent="0.3">
      <c r="A2274">
        <v>2273</v>
      </c>
      <c r="B2274" s="7">
        <v>45387</v>
      </c>
      <c r="C2274" t="s">
        <v>14</v>
      </c>
      <c r="D2274">
        <v>399</v>
      </c>
      <c r="E2274">
        <v>2.1</v>
      </c>
      <c r="F2274">
        <v>7</v>
      </c>
      <c r="G2274">
        <v>2</v>
      </c>
      <c r="H2274">
        <v>34</v>
      </c>
      <c r="I2274">
        <v>19</v>
      </c>
      <c r="J2274" t="s">
        <v>11</v>
      </c>
      <c r="K2274">
        <f>IF(J2274="Yes", 1, 0)</f>
        <v>1</v>
      </c>
      <c r="L2274" t="str">
        <f>IF(G2274=0,"0 Failures","1+ Failures")</f>
        <v>1+ Failures</v>
      </c>
      <c r="M2274" t="str">
        <f t="shared" si="107"/>
        <v>0-5 hrs</v>
      </c>
      <c r="N2274" t="str">
        <f t="shared" si="105"/>
        <v>12+ months</v>
      </c>
      <c r="O2274" t="str">
        <f t="shared" si="106"/>
        <v>Basic</v>
      </c>
      <c r="P2274" s="7">
        <v>45657</v>
      </c>
    </row>
    <row r="2275" spans="1:16" x14ac:dyDescent="0.3">
      <c r="A2275">
        <v>2274</v>
      </c>
      <c r="B2275" s="7">
        <v>45375</v>
      </c>
      <c r="C2275" t="s">
        <v>12</v>
      </c>
      <c r="D2275">
        <v>199</v>
      </c>
      <c r="E2275">
        <v>21.1</v>
      </c>
      <c r="F2275">
        <v>6</v>
      </c>
      <c r="G2275">
        <v>2</v>
      </c>
      <c r="H2275">
        <v>18</v>
      </c>
      <c r="I2275">
        <v>10</v>
      </c>
      <c r="J2275" t="s">
        <v>11</v>
      </c>
      <c r="K2275">
        <f>IF(J2275="Yes", 1, 0)</f>
        <v>1</v>
      </c>
      <c r="L2275" t="str">
        <f>IF(G2275=0,"0 Failures","1+ Failures")</f>
        <v>1+ Failures</v>
      </c>
      <c r="M2275" t="str">
        <f t="shared" si="107"/>
        <v>20+ hrs</v>
      </c>
      <c r="N2275" t="str">
        <f t="shared" si="105"/>
        <v>12+ months</v>
      </c>
      <c r="O2275" t="str">
        <f t="shared" si="106"/>
        <v>Basic</v>
      </c>
      <c r="P2275" s="7">
        <v>45657</v>
      </c>
    </row>
    <row r="2276" spans="1:16" x14ac:dyDescent="0.3">
      <c r="A2276">
        <v>2275</v>
      </c>
      <c r="B2276" s="7">
        <v>45491</v>
      </c>
      <c r="C2276" t="s">
        <v>12</v>
      </c>
      <c r="D2276">
        <v>199</v>
      </c>
      <c r="E2276">
        <v>19.600000000000001</v>
      </c>
      <c r="F2276">
        <v>7</v>
      </c>
      <c r="G2276">
        <v>3</v>
      </c>
      <c r="H2276">
        <v>2</v>
      </c>
      <c r="I2276">
        <v>14</v>
      </c>
      <c r="J2276" t="s">
        <v>13</v>
      </c>
      <c r="K2276">
        <f>IF(J2276="Yes", 1, 0)</f>
        <v>0</v>
      </c>
      <c r="L2276" t="str">
        <f>IF(G2276=0,"0 Failures","1+ Failures")</f>
        <v>1+ Failures</v>
      </c>
      <c r="M2276" t="str">
        <f t="shared" si="107"/>
        <v>10-20hrs</v>
      </c>
      <c r="N2276" t="str">
        <f t="shared" si="105"/>
        <v>0-3months</v>
      </c>
      <c r="O2276" t="str">
        <f t="shared" si="106"/>
        <v>Basic</v>
      </c>
      <c r="P2276" s="7">
        <v>45657</v>
      </c>
    </row>
    <row r="2277" spans="1:16" x14ac:dyDescent="0.3">
      <c r="A2277">
        <v>2276</v>
      </c>
      <c r="B2277" s="7">
        <v>45205</v>
      </c>
      <c r="C2277" t="s">
        <v>10</v>
      </c>
      <c r="D2277">
        <v>699</v>
      </c>
      <c r="E2277">
        <v>3.2</v>
      </c>
      <c r="F2277">
        <v>5</v>
      </c>
      <c r="G2277">
        <v>4</v>
      </c>
      <c r="H2277">
        <v>10</v>
      </c>
      <c r="I2277">
        <v>16</v>
      </c>
      <c r="J2277" t="s">
        <v>11</v>
      </c>
      <c r="K2277">
        <f>IF(J2277="Yes", 1, 0)</f>
        <v>1</v>
      </c>
      <c r="L2277" t="str">
        <f>IF(G2277=0,"0 Failures","1+ Failures")</f>
        <v>1+ Failures</v>
      </c>
      <c r="M2277" t="str">
        <f t="shared" si="107"/>
        <v>0-5 hrs</v>
      </c>
      <c r="N2277" t="str">
        <f t="shared" si="105"/>
        <v>6-12months</v>
      </c>
      <c r="O2277" t="str">
        <f t="shared" si="106"/>
        <v>Premium</v>
      </c>
      <c r="P2277" s="7">
        <v>45657</v>
      </c>
    </row>
    <row r="2278" spans="1:16" x14ac:dyDescent="0.3">
      <c r="A2278">
        <v>2277</v>
      </c>
      <c r="B2278" s="7">
        <v>45036</v>
      </c>
      <c r="C2278" t="s">
        <v>10</v>
      </c>
      <c r="D2278">
        <v>699</v>
      </c>
      <c r="E2278">
        <v>20.100000000000001</v>
      </c>
      <c r="F2278">
        <v>6</v>
      </c>
      <c r="G2278">
        <v>0</v>
      </c>
      <c r="H2278">
        <v>34</v>
      </c>
      <c r="I2278">
        <v>4</v>
      </c>
      <c r="J2278" t="s">
        <v>13</v>
      </c>
      <c r="K2278">
        <f>IF(J2278="Yes", 1, 0)</f>
        <v>0</v>
      </c>
      <c r="L2278" t="str">
        <f>IF(G2278=0,"0 Failures","1+ Failures")</f>
        <v>0 Failures</v>
      </c>
      <c r="M2278" t="str">
        <f t="shared" si="107"/>
        <v>20+ hrs</v>
      </c>
      <c r="N2278" t="str">
        <f t="shared" si="105"/>
        <v>12+ months</v>
      </c>
      <c r="O2278" t="str">
        <f t="shared" si="106"/>
        <v>Premium</v>
      </c>
      <c r="P2278" s="7">
        <v>45657</v>
      </c>
    </row>
    <row r="2279" spans="1:16" x14ac:dyDescent="0.3">
      <c r="A2279">
        <v>2278</v>
      </c>
      <c r="B2279" s="7">
        <v>45555</v>
      </c>
      <c r="C2279" t="s">
        <v>12</v>
      </c>
      <c r="D2279">
        <v>199</v>
      </c>
      <c r="E2279">
        <v>6.7</v>
      </c>
      <c r="F2279">
        <v>3</v>
      </c>
      <c r="G2279">
        <v>5</v>
      </c>
      <c r="H2279">
        <v>19</v>
      </c>
      <c r="I2279">
        <v>59</v>
      </c>
      <c r="J2279" t="s">
        <v>11</v>
      </c>
      <c r="K2279">
        <f>IF(J2279="Yes", 1, 0)</f>
        <v>1</v>
      </c>
      <c r="L2279" t="str">
        <f>IF(G2279=0,"0 Failures","1+ Failures")</f>
        <v>1+ Failures</v>
      </c>
      <c r="M2279" t="str">
        <f t="shared" si="107"/>
        <v>5-10 hrs</v>
      </c>
      <c r="N2279" t="str">
        <f t="shared" si="105"/>
        <v>12+ months</v>
      </c>
      <c r="O2279" t="str">
        <f t="shared" si="106"/>
        <v>Basic</v>
      </c>
      <c r="P2279" s="7">
        <v>45657</v>
      </c>
    </row>
    <row r="2280" spans="1:16" x14ac:dyDescent="0.3">
      <c r="A2280">
        <v>2279</v>
      </c>
      <c r="B2280" s="7">
        <v>44947</v>
      </c>
      <c r="C2280" t="s">
        <v>10</v>
      </c>
      <c r="D2280">
        <v>699</v>
      </c>
      <c r="E2280">
        <v>23.1</v>
      </c>
      <c r="F2280">
        <v>7</v>
      </c>
      <c r="G2280">
        <v>4</v>
      </c>
      <c r="H2280">
        <v>34</v>
      </c>
      <c r="I2280">
        <v>0</v>
      </c>
      <c r="J2280" t="s">
        <v>11</v>
      </c>
      <c r="K2280">
        <f>IF(J2280="Yes", 1, 0)</f>
        <v>1</v>
      </c>
      <c r="L2280" t="str">
        <f>IF(G2280=0,"0 Failures","1+ Failures")</f>
        <v>1+ Failures</v>
      </c>
      <c r="M2280" t="str">
        <f t="shared" si="107"/>
        <v>20+ hrs</v>
      </c>
      <c r="N2280" t="str">
        <f t="shared" si="105"/>
        <v>12+ months</v>
      </c>
      <c r="O2280" t="str">
        <f t="shared" si="106"/>
        <v>Premium</v>
      </c>
      <c r="P2280" s="7">
        <v>45657</v>
      </c>
    </row>
    <row r="2281" spans="1:16" x14ac:dyDescent="0.3">
      <c r="A2281">
        <v>2280</v>
      </c>
      <c r="B2281" s="7">
        <v>45038</v>
      </c>
      <c r="C2281" t="s">
        <v>14</v>
      </c>
      <c r="D2281">
        <v>399</v>
      </c>
      <c r="E2281">
        <v>10.8</v>
      </c>
      <c r="F2281">
        <v>5</v>
      </c>
      <c r="G2281">
        <v>0</v>
      </c>
      <c r="H2281">
        <v>36</v>
      </c>
      <c r="I2281">
        <v>30</v>
      </c>
      <c r="J2281" t="s">
        <v>11</v>
      </c>
      <c r="K2281">
        <f>IF(J2281="Yes", 1, 0)</f>
        <v>1</v>
      </c>
      <c r="L2281" t="str">
        <f>IF(G2281=0,"0 Failures","1+ Failures")</f>
        <v>0 Failures</v>
      </c>
      <c r="M2281" t="str">
        <f t="shared" si="107"/>
        <v>10-20hrs</v>
      </c>
      <c r="N2281" t="str">
        <f t="shared" si="105"/>
        <v>12+ months</v>
      </c>
      <c r="O2281" t="str">
        <f t="shared" si="106"/>
        <v>Basic</v>
      </c>
      <c r="P2281" s="7">
        <v>45657</v>
      </c>
    </row>
    <row r="2282" spans="1:16" x14ac:dyDescent="0.3">
      <c r="A2282">
        <v>2281</v>
      </c>
      <c r="B2282" s="7">
        <v>45527</v>
      </c>
      <c r="C2282" t="s">
        <v>10</v>
      </c>
      <c r="D2282">
        <v>699</v>
      </c>
      <c r="E2282">
        <v>18.2</v>
      </c>
      <c r="F2282">
        <v>6</v>
      </c>
      <c r="G2282">
        <v>2</v>
      </c>
      <c r="H2282">
        <v>20</v>
      </c>
      <c r="I2282">
        <v>44</v>
      </c>
      <c r="J2282" t="s">
        <v>13</v>
      </c>
      <c r="K2282">
        <f>IF(J2282="Yes", 1, 0)</f>
        <v>0</v>
      </c>
      <c r="L2282" t="str">
        <f>IF(G2282=0,"0 Failures","1+ Failures")</f>
        <v>1+ Failures</v>
      </c>
      <c r="M2282" t="str">
        <f t="shared" si="107"/>
        <v>10-20hrs</v>
      </c>
      <c r="N2282" t="str">
        <f t="shared" si="105"/>
        <v>12+ months</v>
      </c>
      <c r="O2282" t="str">
        <f t="shared" si="106"/>
        <v>Premium</v>
      </c>
      <c r="P2282" s="7">
        <v>45657</v>
      </c>
    </row>
    <row r="2283" spans="1:16" x14ac:dyDescent="0.3">
      <c r="A2283">
        <v>2282</v>
      </c>
      <c r="B2283" s="7">
        <v>45127</v>
      </c>
      <c r="C2283" t="s">
        <v>12</v>
      </c>
      <c r="D2283">
        <v>199</v>
      </c>
      <c r="E2283">
        <v>16.899999999999999</v>
      </c>
      <c r="F2283">
        <v>5</v>
      </c>
      <c r="G2283">
        <v>0</v>
      </c>
      <c r="H2283">
        <v>26</v>
      </c>
      <c r="I2283">
        <v>24</v>
      </c>
      <c r="J2283" t="s">
        <v>11</v>
      </c>
      <c r="K2283">
        <f>IF(J2283="Yes", 1, 0)</f>
        <v>1</v>
      </c>
      <c r="L2283" t="str">
        <f>IF(G2283=0,"0 Failures","1+ Failures")</f>
        <v>0 Failures</v>
      </c>
      <c r="M2283" t="str">
        <f t="shared" si="107"/>
        <v>10-20hrs</v>
      </c>
      <c r="N2283" t="str">
        <f t="shared" si="105"/>
        <v>12+ months</v>
      </c>
      <c r="O2283" t="str">
        <f t="shared" si="106"/>
        <v>Basic</v>
      </c>
      <c r="P2283" s="7">
        <v>45657</v>
      </c>
    </row>
    <row r="2284" spans="1:16" x14ac:dyDescent="0.3">
      <c r="A2284">
        <v>2283</v>
      </c>
      <c r="B2284" s="7">
        <v>45472</v>
      </c>
      <c r="C2284" t="s">
        <v>12</v>
      </c>
      <c r="D2284">
        <v>199</v>
      </c>
      <c r="E2284">
        <v>1.6</v>
      </c>
      <c r="F2284">
        <v>5</v>
      </c>
      <c r="G2284">
        <v>2</v>
      </c>
      <c r="H2284">
        <v>21</v>
      </c>
      <c r="I2284">
        <v>30</v>
      </c>
      <c r="J2284" t="s">
        <v>11</v>
      </c>
      <c r="K2284">
        <f>IF(J2284="Yes", 1, 0)</f>
        <v>1</v>
      </c>
      <c r="L2284" t="str">
        <f>IF(G2284=0,"0 Failures","1+ Failures")</f>
        <v>1+ Failures</v>
      </c>
      <c r="M2284" t="str">
        <f t="shared" si="107"/>
        <v>0-5 hrs</v>
      </c>
      <c r="N2284" t="str">
        <f t="shared" si="105"/>
        <v>12+ months</v>
      </c>
      <c r="O2284" t="str">
        <f t="shared" si="106"/>
        <v>Basic</v>
      </c>
      <c r="P2284" s="7">
        <v>45657</v>
      </c>
    </row>
    <row r="2285" spans="1:16" x14ac:dyDescent="0.3">
      <c r="A2285">
        <v>2284</v>
      </c>
      <c r="B2285" s="7">
        <v>45505</v>
      </c>
      <c r="C2285" t="s">
        <v>14</v>
      </c>
      <c r="D2285">
        <v>399</v>
      </c>
      <c r="E2285">
        <v>6.1</v>
      </c>
      <c r="F2285">
        <v>8</v>
      </c>
      <c r="G2285">
        <v>0</v>
      </c>
      <c r="H2285">
        <v>32</v>
      </c>
      <c r="I2285">
        <v>44</v>
      </c>
      <c r="J2285" t="s">
        <v>11</v>
      </c>
      <c r="K2285">
        <f>IF(J2285="Yes", 1, 0)</f>
        <v>1</v>
      </c>
      <c r="L2285" t="str">
        <f>IF(G2285=0,"0 Failures","1+ Failures")</f>
        <v>0 Failures</v>
      </c>
      <c r="M2285" t="str">
        <f t="shared" si="107"/>
        <v>5-10 hrs</v>
      </c>
      <c r="N2285" t="str">
        <f t="shared" si="105"/>
        <v>12+ months</v>
      </c>
      <c r="O2285" t="str">
        <f t="shared" si="106"/>
        <v>Basic</v>
      </c>
      <c r="P2285" s="7">
        <v>45657</v>
      </c>
    </row>
    <row r="2286" spans="1:16" x14ac:dyDescent="0.3">
      <c r="A2286">
        <v>2285</v>
      </c>
      <c r="B2286" s="7">
        <v>45001</v>
      </c>
      <c r="C2286" t="s">
        <v>12</v>
      </c>
      <c r="D2286">
        <v>199</v>
      </c>
      <c r="E2286">
        <v>10.6</v>
      </c>
      <c r="F2286">
        <v>0</v>
      </c>
      <c r="G2286">
        <v>1</v>
      </c>
      <c r="H2286">
        <v>15</v>
      </c>
      <c r="I2286">
        <v>29</v>
      </c>
      <c r="J2286" t="s">
        <v>13</v>
      </c>
      <c r="K2286">
        <f>IF(J2286="Yes", 1, 0)</f>
        <v>0</v>
      </c>
      <c r="L2286" t="str">
        <f>IF(G2286=0,"0 Failures","1+ Failures")</f>
        <v>1+ Failures</v>
      </c>
      <c r="M2286" t="str">
        <f t="shared" si="107"/>
        <v>10-20hrs</v>
      </c>
      <c r="N2286" t="str">
        <f t="shared" si="105"/>
        <v>12+ months</v>
      </c>
      <c r="O2286" t="str">
        <f t="shared" si="106"/>
        <v>Basic</v>
      </c>
      <c r="P2286" s="7">
        <v>45657</v>
      </c>
    </row>
    <row r="2287" spans="1:16" x14ac:dyDescent="0.3">
      <c r="A2287">
        <v>2286</v>
      </c>
      <c r="B2287" s="7">
        <v>45306</v>
      </c>
      <c r="C2287" t="s">
        <v>12</v>
      </c>
      <c r="D2287">
        <v>199</v>
      </c>
      <c r="E2287">
        <v>11.3</v>
      </c>
      <c r="F2287">
        <v>2</v>
      </c>
      <c r="G2287">
        <v>1</v>
      </c>
      <c r="H2287">
        <v>36</v>
      </c>
      <c r="I2287">
        <v>47</v>
      </c>
      <c r="J2287" t="s">
        <v>11</v>
      </c>
      <c r="K2287">
        <f>IF(J2287="Yes", 1, 0)</f>
        <v>1</v>
      </c>
      <c r="L2287" t="str">
        <f>IF(G2287=0,"0 Failures","1+ Failures")</f>
        <v>1+ Failures</v>
      </c>
      <c r="M2287" t="str">
        <f t="shared" si="107"/>
        <v>10-20hrs</v>
      </c>
      <c r="N2287" t="str">
        <f t="shared" si="105"/>
        <v>12+ months</v>
      </c>
      <c r="O2287" t="str">
        <f t="shared" si="106"/>
        <v>Basic</v>
      </c>
      <c r="P2287" s="7">
        <v>45657</v>
      </c>
    </row>
    <row r="2288" spans="1:16" x14ac:dyDescent="0.3">
      <c r="A2288">
        <v>2287</v>
      </c>
      <c r="B2288" s="7">
        <v>45387</v>
      </c>
      <c r="C2288" t="s">
        <v>12</v>
      </c>
      <c r="D2288">
        <v>199</v>
      </c>
      <c r="E2288">
        <v>6.8</v>
      </c>
      <c r="F2288">
        <v>6</v>
      </c>
      <c r="G2288">
        <v>0</v>
      </c>
      <c r="H2288">
        <v>3</v>
      </c>
      <c r="I2288">
        <v>17</v>
      </c>
      <c r="J2288" t="s">
        <v>13</v>
      </c>
      <c r="K2288">
        <f>IF(J2288="Yes", 1, 0)</f>
        <v>0</v>
      </c>
      <c r="L2288" t="str">
        <f>IF(G2288=0,"0 Failures","1+ Failures")</f>
        <v>0 Failures</v>
      </c>
      <c r="M2288" t="str">
        <f t="shared" si="107"/>
        <v>5-10 hrs</v>
      </c>
      <c r="N2288" t="str">
        <f t="shared" si="105"/>
        <v>0-3months</v>
      </c>
      <c r="O2288" t="str">
        <f t="shared" si="106"/>
        <v>Basic</v>
      </c>
      <c r="P2288" s="7">
        <v>45657</v>
      </c>
    </row>
    <row r="2289" spans="1:16" x14ac:dyDescent="0.3">
      <c r="A2289">
        <v>2288</v>
      </c>
      <c r="B2289" s="7">
        <v>45183</v>
      </c>
      <c r="C2289" t="s">
        <v>12</v>
      </c>
      <c r="D2289">
        <v>199</v>
      </c>
      <c r="E2289">
        <v>8.8000000000000007</v>
      </c>
      <c r="F2289">
        <v>3</v>
      </c>
      <c r="G2289">
        <v>4</v>
      </c>
      <c r="H2289">
        <v>6</v>
      </c>
      <c r="I2289">
        <v>7</v>
      </c>
      <c r="J2289" t="s">
        <v>11</v>
      </c>
      <c r="K2289">
        <f>IF(J2289="Yes", 1, 0)</f>
        <v>1</v>
      </c>
      <c r="L2289" t="str">
        <f>IF(G2289=0,"0 Failures","1+ Failures")</f>
        <v>1+ Failures</v>
      </c>
      <c r="M2289" t="str">
        <f t="shared" si="107"/>
        <v>5-10 hrs</v>
      </c>
      <c r="N2289" t="str">
        <f t="shared" si="105"/>
        <v>3-6months</v>
      </c>
      <c r="O2289" t="str">
        <f t="shared" si="106"/>
        <v>Basic</v>
      </c>
      <c r="P2289" s="7">
        <v>45657</v>
      </c>
    </row>
    <row r="2290" spans="1:16" x14ac:dyDescent="0.3">
      <c r="A2290">
        <v>2289</v>
      </c>
      <c r="B2290" s="7">
        <v>45481</v>
      </c>
      <c r="C2290" t="s">
        <v>10</v>
      </c>
      <c r="D2290">
        <v>699</v>
      </c>
      <c r="E2290">
        <v>18.8</v>
      </c>
      <c r="F2290">
        <v>3</v>
      </c>
      <c r="G2290">
        <v>0</v>
      </c>
      <c r="H2290">
        <v>35</v>
      </c>
      <c r="I2290">
        <v>30</v>
      </c>
      <c r="J2290" t="s">
        <v>13</v>
      </c>
      <c r="K2290">
        <f>IF(J2290="Yes", 1, 0)</f>
        <v>0</v>
      </c>
      <c r="L2290" t="str">
        <f>IF(G2290=0,"0 Failures","1+ Failures")</f>
        <v>0 Failures</v>
      </c>
      <c r="M2290" t="str">
        <f t="shared" si="107"/>
        <v>10-20hrs</v>
      </c>
      <c r="N2290" t="str">
        <f t="shared" si="105"/>
        <v>12+ months</v>
      </c>
      <c r="O2290" t="str">
        <f t="shared" si="106"/>
        <v>Premium</v>
      </c>
      <c r="P2290" s="7">
        <v>45657</v>
      </c>
    </row>
    <row r="2291" spans="1:16" x14ac:dyDescent="0.3">
      <c r="A2291">
        <v>2290</v>
      </c>
      <c r="B2291" s="7">
        <v>45265</v>
      </c>
      <c r="C2291" t="s">
        <v>12</v>
      </c>
      <c r="D2291">
        <v>199</v>
      </c>
      <c r="E2291">
        <v>23.2</v>
      </c>
      <c r="F2291">
        <v>7</v>
      </c>
      <c r="G2291">
        <v>1</v>
      </c>
      <c r="H2291">
        <v>1</v>
      </c>
      <c r="I2291">
        <v>50</v>
      </c>
      <c r="J2291" t="s">
        <v>11</v>
      </c>
      <c r="K2291">
        <f>IF(J2291="Yes", 1, 0)</f>
        <v>1</v>
      </c>
      <c r="L2291" t="str">
        <f>IF(G2291=0,"0 Failures","1+ Failures")</f>
        <v>1+ Failures</v>
      </c>
      <c r="M2291" t="str">
        <f t="shared" si="107"/>
        <v>20+ hrs</v>
      </c>
      <c r="N2291" t="str">
        <f t="shared" si="105"/>
        <v>0-3months</v>
      </c>
      <c r="O2291" t="str">
        <f t="shared" si="106"/>
        <v>Basic</v>
      </c>
      <c r="P2291" s="7">
        <v>45657</v>
      </c>
    </row>
    <row r="2292" spans="1:16" x14ac:dyDescent="0.3">
      <c r="A2292">
        <v>2291</v>
      </c>
      <c r="B2292" s="7">
        <v>45640</v>
      </c>
      <c r="C2292" t="s">
        <v>12</v>
      </c>
      <c r="D2292">
        <v>199</v>
      </c>
      <c r="E2292">
        <v>12.8</v>
      </c>
      <c r="F2292">
        <v>3</v>
      </c>
      <c r="G2292">
        <v>4</v>
      </c>
      <c r="H2292">
        <v>6</v>
      </c>
      <c r="I2292">
        <v>17</v>
      </c>
      <c r="J2292" t="s">
        <v>11</v>
      </c>
      <c r="K2292">
        <f>IF(J2292="Yes", 1, 0)</f>
        <v>1</v>
      </c>
      <c r="L2292" t="str">
        <f>IF(G2292=0,"0 Failures","1+ Failures")</f>
        <v>1+ Failures</v>
      </c>
      <c r="M2292" t="str">
        <f t="shared" si="107"/>
        <v>10-20hrs</v>
      </c>
      <c r="N2292" t="str">
        <f t="shared" si="105"/>
        <v>3-6months</v>
      </c>
      <c r="O2292" t="str">
        <f t="shared" si="106"/>
        <v>Basic</v>
      </c>
      <c r="P2292" s="7">
        <v>45657</v>
      </c>
    </row>
    <row r="2293" spans="1:16" x14ac:dyDescent="0.3">
      <c r="A2293">
        <v>2292</v>
      </c>
      <c r="B2293" s="7">
        <v>45026</v>
      </c>
      <c r="C2293" t="s">
        <v>14</v>
      </c>
      <c r="D2293">
        <v>399</v>
      </c>
      <c r="E2293">
        <v>19</v>
      </c>
      <c r="F2293">
        <v>8</v>
      </c>
      <c r="G2293">
        <v>5</v>
      </c>
      <c r="H2293">
        <v>23</v>
      </c>
      <c r="I2293">
        <v>10</v>
      </c>
      <c r="J2293" t="s">
        <v>11</v>
      </c>
      <c r="K2293">
        <f>IF(J2293="Yes", 1, 0)</f>
        <v>1</v>
      </c>
      <c r="L2293" t="str">
        <f>IF(G2293=0,"0 Failures","1+ Failures")</f>
        <v>1+ Failures</v>
      </c>
      <c r="M2293" t="str">
        <f t="shared" si="107"/>
        <v>10-20hrs</v>
      </c>
      <c r="N2293" t="str">
        <f t="shared" si="105"/>
        <v>12+ months</v>
      </c>
      <c r="O2293" t="str">
        <f t="shared" si="106"/>
        <v>Basic</v>
      </c>
      <c r="P2293" s="7">
        <v>45657</v>
      </c>
    </row>
    <row r="2294" spans="1:16" x14ac:dyDescent="0.3">
      <c r="A2294">
        <v>2293</v>
      </c>
      <c r="B2294" s="7">
        <v>44973</v>
      </c>
      <c r="C2294" t="s">
        <v>10</v>
      </c>
      <c r="D2294">
        <v>699</v>
      </c>
      <c r="E2294">
        <v>16.8</v>
      </c>
      <c r="F2294">
        <v>3</v>
      </c>
      <c r="G2294">
        <v>1</v>
      </c>
      <c r="H2294">
        <v>2</v>
      </c>
      <c r="I2294">
        <v>52</v>
      </c>
      <c r="J2294" t="s">
        <v>11</v>
      </c>
      <c r="K2294">
        <f>IF(J2294="Yes", 1, 0)</f>
        <v>1</v>
      </c>
      <c r="L2294" t="str">
        <f>IF(G2294=0,"0 Failures","1+ Failures")</f>
        <v>1+ Failures</v>
      </c>
      <c r="M2294" t="str">
        <f t="shared" si="107"/>
        <v>10-20hrs</v>
      </c>
      <c r="N2294" t="str">
        <f t="shared" si="105"/>
        <v>0-3months</v>
      </c>
      <c r="O2294" t="str">
        <f t="shared" si="106"/>
        <v>Premium</v>
      </c>
      <c r="P2294" s="7">
        <v>45657</v>
      </c>
    </row>
    <row r="2295" spans="1:16" x14ac:dyDescent="0.3">
      <c r="A2295">
        <v>2294</v>
      </c>
      <c r="B2295" s="7">
        <v>44989</v>
      </c>
      <c r="C2295" t="s">
        <v>10</v>
      </c>
      <c r="D2295">
        <v>699</v>
      </c>
      <c r="E2295">
        <v>5.3</v>
      </c>
      <c r="F2295">
        <v>3</v>
      </c>
      <c r="G2295">
        <v>1</v>
      </c>
      <c r="H2295">
        <v>12</v>
      </c>
      <c r="I2295">
        <v>8</v>
      </c>
      <c r="J2295" t="s">
        <v>13</v>
      </c>
      <c r="K2295">
        <f>IF(J2295="Yes", 1, 0)</f>
        <v>0</v>
      </c>
      <c r="L2295" t="str">
        <f>IF(G2295=0,"0 Failures","1+ Failures")</f>
        <v>1+ Failures</v>
      </c>
      <c r="M2295" t="str">
        <f t="shared" si="107"/>
        <v>5-10 hrs</v>
      </c>
      <c r="N2295" t="str">
        <f t="shared" si="105"/>
        <v>6-12months</v>
      </c>
      <c r="O2295" t="str">
        <f t="shared" si="106"/>
        <v>Premium</v>
      </c>
      <c r="P2295" s="7">
        <v>45657</v>
      </c>
    </row>
    <row r="2296" spans="1:16" x14ac:dyDescent="0.3">
      <c r="A2296">
        <v>2295</v>
      </c>
      <c r="B2296" s="7">
        <v>45136</v>
      </c>
      <c r="C2296" t="s">
        <v>10</v>
      </c>
      <c r="D2296">
        <v>699</v>
      </c>
      <c r="E2296">
        <v>6</v>
      </c>
      <c r="F2296">
        <v>2</v>
      </c>
      <c r="G2296">
        <v>0</v>
      </c>
      <c r="H2296">
        <v>29</v>
      </c>
      <c r="I2296">
        <v>7</v>
      </c>
      <c r="J2296" t="s">
        <v>13</v>
      </c>
      <c r="K2296">
        <f>IF(J2296="Yes", 1, 0)</f>
        <v>0</v>
      </c>
      <c r="L2296" t="str">
        <f>IF(G2296=0,"0 Failures","1+ Failures")</f>
        <v>0 Failures</v>
      </c>
      <c r="M2296" t="str">
        <f t="shared" si="107"/>
        <v>5-10 hrs</v>
      </c>
      <c r="N2296" t="str">
        <f t="shared" si="105"/>
        <v>12+ months</v>
      </c>
      <c r="O2296" t="str">
        <f t="shared" si="106"/>
        <v>Premium</v>
      </c>
      <c r="P2296" s="7">
        <v>45657</v>
      </c>
    </row>
    <row r="2297" spans="1:16" x14ac:dyDescent="0.3">
      <c r="A2297">
        <v>2296</v>
      </c>
      <c r="B2297" s="7">
        <v>45089</v>
      </c>
      <c r="C2297" t="s">
        <v>14</v>
      </c>
      <c r="D2297">
        <v>399</v>
      </c>
      <c r="E2297">
        <v>21</v>
      </c>
      <c r="F2297">
        <v>6</v>
      </c>
      <c r="G2297">
        <v>1</v>
      </c>
      <c r="H2297">
        <v>20</v>
      </c>
      <c r="I2297">
        <v>44</v>
      </c>
      <c r="J2297" t="s">
        <v>11</v>
      </c>
      <c r="K2297">
        <f>IF(J2297="Yes", 1, 0)</f>
        <v>1</v>
      </c>
      <c r="L2297" t="str">
        <f>IF(G2297=0,"0 Failures","1+ Failures")</f>
        <v>1+ Failures</v>
      </c>
      <c r="M2297" t="str">
        <f t="shared" si="107"/>
        <v>20+ hrs</v>
      </c>
      <c r="N2297" t="str">
        <f t="shared" si="105"/>
        <v>12+ months</v>
      </c>
      <c r="O2297" t="str">
        <f t="shared" si="106"/>
        <v>Basic</v>
      </c>
      <c r="P2297" s="7">
        <v>45657</v>
      </c>
    </row>
    <row r="2298" spans="1:16" x14ac:dyDescent="0.3">
      <c r="A2298">
        <v>2297</v>
      </c>
      <c r="B2298" s="7">
        <v>45357</v>
      </c>
      <c r="C2298" t="s">
        <v>14</v>
      </c>
      <c r="D2298">
        <v>399</v>
      </c>
      <c r="E2298">
        <v>0.7</v>
      </c>
      <c r="F2298">
        <v>5</v>
      </c>
      <c r="G2298">
        <v>0</v>
      </c>
      <c r="H2298">
        <v>25</v>
      </c>
      <c r="I2298">
        <v>34</v>
      </c>
      <c r="J2298" t="s">
        <v>11</v>
      </c>
      <c r="K2298">
        <f>IF(J2298="Yes", 1, 0)</f>
        <v>1</v>
      </c>
      <c r="L2298" t="str">
        <f>IF(G2298=0,"0 Failures","1+ Failures")</f>
        <v>0 Failures</v>
      </c>
      <c r="M2298" t="str">
        <f t="shared" si="107"/>
        <v>0-5 hrs</v>
      </c>
      <c r="N2298" t="str">
        <f t="shared" si="105"/>
        <v>12+ months</v>
      </c>
      <c r="O2298" t="str">
        <f t="shared" si="106"/>
        <v>Basic</v>
      </c>
      <c r="P2298" s="7">
        <v>45657</v>
      </c>
    </row>
    <row r="2299" spans="1:16" x14ac:dyDescent="0.3">
      <c r="A2299">
        <v>2298</v>
      </c>
      <c r="B2299" s="7">
        <v>45372</v>
      </c>
      <c r="C2299" t="s">
        <v>12</v>
      </c>
      <c r="D2299">
        <v>199</v>
      </c>
      <c r="E2299">
        <v>19.2</v>
      </c>
      <c r="F2299">
        <v>3</v>
      </c>
      <c r="G2299">
        <v>0</v>
      </c>
      <c r="H2299">
        <v>6</v>
      </c>
      <c r="I2299">
        <v>9</v>
      </c>
      <c r="J2299" t="s">
        <v>13</v>
      </c>
      <c r="K2299">
        <f>IF(J2299="Yes", 1, 0)</f>
        <v>0</v>
      </c>
      <c r="L2299" t="str">
        <f>IF(G2299=0,"0 Failures","1+ Failures")</f>
        <v>0 Failures</v>
      </c>
      <c r="M2299" t="str">
        <f t="shared" si="107"/>
        <v>10-20hrs</v>
      </c>
      <c r="N2299" t="str">
        <f t="shared" si="105"/>
        <v>3-6months</v>
      </c>
      <c r="O2299" t="str">
        <f t="shared" si="106"/>
        <v>Basic</v>
      </c>
      <c r="P2299" s="7">
        <v>45657</v>
      </c>
    </row>
    <row r="2300" spans="1:16" x14ac:dyDescent="0.3">
      <c r="A2300">
        <v>2299</v>
      </c>
      <c r="B2300" s="7">
        <v>45470</v>
      </c>
      <c r="C2300" t="s">
        <v>12</v>
      </c>
      <c r="D2300">
        <v>199</v>
      </c>
      <c r="E2300">
        <v>7</v>
      </c>
      <c r="F2300">
        <v>8</v>
      </c>
      <c r="G2300">
        <v>5</v>
      </c>
      <c r="H2300">
        <v>11</v>
      </c>
      <c r="I2300">
        <v>35</v>
      </c>
      <c r="J2300" t="s">
        <v>13</v>
      </c>
      <c r="K2300">
        <f>IF(J2300="Yes", 1, 0)</f>
        <v>0</v>
      </c>
      <c r="L2300" t="str">
        <f>IF(G2300=0,"0 Failures","1+ Failures")</f>
        <v>1+ Failures</v>
      </c>
      <c r="M2300" t="str">
        <f t="shared" si="107"/>
        <v>5-10 hrs</v>
      </c>
      <c r="N2300" t="str">
        <f t="shared" si="105"/>
        <v>6-12months</v>
      </c>
      <c r="O2300" t="str">
        <f t="shared" si="106"/>
        <v>Basic</v>
      </c>
      <c r="P2300" s="7">
        <v>45657</v>
      </c>
    </row>
    <row r="2301" spans="1:16" x14ac:dyDescent="0.3">
      <c r="A2301">
        <v>2300</v>
      </c>
      <c r="B2301" s="7">
        <v>45147</v>
      </c>
      <c r="C2301" t="s">
        <v>10</v>
      </c>
      <c r="D2301">
        <v>699</v>
      </c>
      <c r="E2301">
        <v>22.2</v>
      </c>
      <c r="F2301">
        <v>2</v>
      </c>
      <c r="G2301">
        <v>4</v>
      </c>
      <c r="H2301">
        <v>22</v>
      </c>
      <c r="I2301">
        <v>34</v>
      </c>
      <c r="J2301" t="s">
        <v>13</v>
      </c>
      <c r="K2301">
        <f>IF(J2301="Yes", 1, 0)</f>
        <v>0</v>
      </c>
      <c r="L2301" t="str">
        <f>IF(G2301=0,"0 Failures","1+ Failures")</f>
        <v>1+ Failures</v>
      </c>
      <c r="M2301" t="str">
        <f t="shared" si="107"/>
        <v>20+ hrs</v>
      </c>
      <c r="N2301" t="str">
        <f t="shared" si="105"/>
        <v>12+ months</v>
      </c>
      <c r="O2301" t="str">
        <f t="shared" si="106"/>
        <v>Premium</v>
      </c>
      <c r="P2301" s="7">
        <v>45657</v>
      </c>
    </row>
    <row r="2302" spans="1:16" x14ac:dyDescent="0.3">
      <c r="A2302">
        <v>2301</v>
      </c>
      <c r="B2302" s="7">
        <v>45146</v>
      </c>
      <c r="C2302" t="s">
        <v>14</v>
      </c>
      <c r="D2302">
        <v>399</v>
      </c>
      <c r="E2302">
        <v>4.7</v>
      </c>
      <c r="F2302">
        <v>7</v>
      </c>
      <c r="G2302">
        <v>2</v>
      </c>
      <c r="H2302">
        <v>28</v>
      </c>
      <c r="I2302">
        <v>20</v>
      </c>
      <c r="J2302" t="s">
        <v>11</v>
      </c>
      <c r="K2302">
        <f>IF(J2302="Yes", 1, 0)</f>
        <v>1</v>
      </c>
      <c r="L2302" t="str">
        <f>IF(G2302=0,"0 Failures","1+ Failures")</f>
        <v>1+ Failures</v>
      </c>
      <c r="M2302" t="str">
        <f t="shared" si="107"/>
        <v>0-5 hrs</v>
      </c>
      <c r="N2302" t="str">
        <f t="shared" si="105"/>
        <v>12+ months</v>
      </c>
      <c r="O2302" t="str">
        <f t="shared" si="106"/>
        <v>Basic</v>
      </c>
      <c r="P2302" s="7">
        <v>45657</v>
      </c>
    </row>
    <row r="2303" spans="1:16" x14ac:dyDescent="0.3">
      <c r="A2303">
        <v>2302</v>
      </c>
      <c r="B2303" s="7">
        <v>45020</v>
      </c>
      <c r="C2303" t="s">
        <v>10</v>
      </c>
      <c r="D2303">
        <v>699</v>
      </c>
      <c r="E2303">
        <v>5.3</v>
      </c>
      <c r="F2303">
        <v>4</v>
      </c>
      <c r="G2303">
        <v>3</v>
      </c>
      <c r="H2303">
        <v>2</v>
      </c>
      <c r="I2303">
        <v>49</v>
      </c>
      <c r="J2303" t="s">
        <v>11</v>
      </c>
      <c r="K2303">
        <f>IF(J2303="Yes", 1, 0)</f>
        <v>1</v>
      </c>
      <c r="L2303" t="str">
        <f>IF(G2303=0,"0 Failures","1+ Failures")</f>
        <v>1+ Failures</v>
      </c>
      <c r="M2303" t="str">
        <f t="shared" si="107"/>
        <v>5-10 hrs</v>
      </c>
      <c r="N2303" t="str">
        <f t="shared" si="105"/>
        <v>0-3months</v>
      </c>
      <c r="O2303" t="str">
        <f t="shared" si="106"/>
        <v>Premium</v>
      </c>
      <c r="P2303" s="7">
        <v>45657</v>
      </c>
    </row>
    <row r="2304" spans="1:16" x14ac:dyDescent="0.3">
      <c r="A2304">
        <v>2303</v>
      </c>
      <c r="B2304" s="7">
        <v>45473</v>
      </c>
      <c r="C2304" t="s">
        <v>10</v>
      </c>
      <c r="D2304">
        <v>699</v>
      </c>
      <c r="E2304">
        <v>20</v>
      </c>
      <c r="F2304">
        <v>2</v>
      </c>
      <c r="G2304">
        <v>0</v>
      </c>
      <c r="H2304">
        <v>8</v>
      </c>
      <c r="I2304">
        <v>14</v>
      </c>
      <c r="J2304" t="s">
        <v>13</v>
      </c>
      <c r="K2304">
        <f>IF(J2304="Yes", 1, 0)</f>
        <v>0</v>
      </c>
      <c r="L2304" t="str">
        <f>IF(G2304=0,"0 Failures","1+ Failures")</f>
        <v>0 Failures</v>
      </c>
      <c r="M2304" t="str">
        <f t="shared" si="107"/>
        <v>10-20hrs</v>
      </c>
      <c r="N2304" t="str">
        <f t="shared" si="105"/>
        <v>6-12months</v>
      </c>
      <c r="O2304" t="str">
        <f t="shared" si="106"/>
        <v>Premium</v>
      </c>
      <c r="P2304" s="7">
        <v>45657</v>
      </c>
    </row>
    <row r="2305" spans="1:16" x14ac:dyDescent="0.3">
      <c r="A2305">
        <v>2304</v>
      </c>
      <c r="B2305" s="7">
        <v>45164</v>
      </c>
      <c r="C2305" t="s">
        <v>12</v>
      </c>
      <c r="D2305">
        <v>199</v>
      </c>
      <c r="E2305">
        <v>12.2</v>
      </c>
      <c r="F2305">
        <v>2</v>
      </c>
      <c r="G2305">
        <v>0</v>
      </c>
      <c r="H2305">
        <v>36</v>
      </c>
      <c r="I2305">
        <v>33</v>
      </c>
      <c r="J2305" t="s">
        <v>11</v>
      </c>
      <c r="K2305">
        <f>IF(J2305="Yes", 1, 0)</f>
        <v>1</v>
      </c>
      <c r="L2305" t="str">
        <f>IF(G2305=0,"0 Failures","1+ Failures")</f>
        <v>0 Failures</v>
      </c>
      <c r="M2305" t="str">
        <f t="shared" si="107"/>
        <v>10-20hrs</v>
      </c>
      <c r="N2305" t="str">
        <f t="shared" si="105"/>
        <v>12+ months</v>
      </c>
      <c r="O2305" t="str">
        <f t="shared" si="106"/>
        <v>Basic</v>
      </c>
      <c r="P2305" s="7">
        <v>45657</v>
      </c>
    </row>
    <row r="2306" spans="1:16" x14ac:dyDescent="0.3">
      <c r="A2306">
        <v>2305</v>
      </c>
      <c r="B2306" s="7">
        <v>45174</v>
      </c>
      <c r="C2306" t="s">
        <v>12</v>
      </c>
      <c r="D2306">
        <v>199</v>
      </c>
      <c r="E2306">
        <v>22.7</v>
      </c>
      <c r="F2306">
        <v>8</v>
      </c>
      <c r="G2306">
        <v>4</v>
      </c>
      <c r="H2306">
        <v>16</v>
      </c>
      <c r="I2306">
        <v>34</v>
      </c>
      <c r="J2306" t="s">
        <v>13</v>
      </c>
      <c r="K2306">
        <f>IF(J2306="Yes", 1, 0)</f>
        <v>0</v>
      </c>
      <c r="L2306" t="str">
        <f>IF(G2306=0,"0 Failures","1+ Failures")</f>
        <v>1+ Failures</v>
      </c>
      <c r="M2306" t="str">
        <f t="shared" si="107"/>
        <v>20+ hrs</v>
      </c>
      <c r="N2306" t="str">
        <f t="shared" si="105"/>
        <v>12+ months</v>
      </c>
      <c r="O2306" t="str">
        <f t="shared" si="106"/>
        <v>Basic</v>
      </c>
      <c r="P2306" s="7">
        <v>45657</v>
      </c>
    </row>
    <row r="2307" spans="1:16" x14ac:dyDescent="0.3">
      <c r="A2307">
        <v>2306</v>
      </c>
      <c r="B2307" s="7">
        <v>45267</v>
      </c>
      <c r="C2307" t="s">
        <v>10</v>
      </c>
      <c r="D2307">
        <v>699</v>
      </c>
      <c r="E2307">
        <v>2.5</v>
      </c>
      <c r="F2307">
        <v>8</v>
      </c>
      <c r="G2307">
        <v>4</v>
      </c>
      <c r="H2307">
        <v>36</v>
      </c>
      <c r="I2307">
        <v>5</v>
      </c>
      <c r="J2307" t="s">
        <v>11</v>
      </c>
      <c r="K2307">
        <f>IF(J2307="Yes", 1, 0)</f>
        <v>1</v>
      </c>
      <c r="L2307" t="str">
        <f>IF(G2307=0,"0 Failures","1+ Failures")</f>
        <v>1+ Failures</v>
      </c>
      <c r="M2307" t="str">
        <f t="shared" si="107"/>
        <v>0-5 hrs</v>
      </c>
      <c r="N2307" t="str">
        <f t="shared" ref="N2307:N2370" si="108">IF(H2307&lt;=3, "0-3months", IF(H2307&lt;=6, "3-6months", IF(H2307&lt;=12, "6-12months", "12+ months")))</f>
        <v>12+ months</v>
      </c>
      <c r="O2307" t="str">
        <f t="shared" ref="O2307:O2370" si="109">IF(C2307="premium", "Premium", "Basic")</f>
        <v>Premium</v>
      </c>
      <c r="P2307" s="7">
        <v>45657</v>
      </c>
    </row>
    <row r="2308" spans="1:16" x14ac:dyDescent="0.3">
      <c r="A2308">
        <v>2307</v>
      </c>
      <c r="B2308" s="7">
        <v>45137</v>
      </c>
      <c r="C2308" t="s">
        <v>10</v>
      </c>
      <c r="D2308">
        <v>699</v>
      </c>
      <c r="E2308">
        <v>20.8</v>
      </c>
      <c r="F2308">
        <v>0</v>
      </c>
      <c r="G2308">
        <v>3</v>
      </c>
      <c r="H2308">
        <v>9</v>
      </c>
      <c r="I2308">
        <v>31</v>
      </c>
      <c r="J2308" t="s">
        <v>13</v>
      </c>
      <c r="K2308">
        <f>IF(J2308="Yes", 1, 0)</f>
        <v>0</v>
      </c>
      <c r="L2308" t="str">
        <f>IF(G2308=0,"0 Failures","1+ Failures")</f>
        <v>1+ Failures</v>
      </c>
      <c r="M2308" t="str">
        <f t="shared" si="107"/>
        <v>20+ hrs</v>
      </c>
      <c r="N2308" t="str">
        <f t="shared" si="108"/>
        <v>6-12months</v>
      </c>
      <c r="O2308" t="str">
        <f t="shared" si="109"/>
        <v>Premium</v>
      </c>
      <c r="P2308" s="7">
        <v>45657</v>
      </c>
    </row>
    <row r="2309" spans="1:16" x14ac:dyDescent="0.3">
      <c r="A2309">
        <v>2308</v>
      </c>
      <c r="B2309" s="7">
        <v>45000</v>
      </c>
      <c r="C2309" t="s">
        <v>12</v>
      </c>
      <c r="D2309">
        <v>199</v>
      </c>
      <c r="E2309">
        <v>17.600000000000001</v>
      </c>
      <c r="F2309">
        <v>1</v>
      </c>
      <c r="G2309">
        <v>4</v>
      </c>
      <c r="H2309">
        <v>15</v>
      </c>
      <c r="I2309">
        <v>9</v>
      </c>
      <c r="J2309" t="s">
        <v>13</v>
      </c>
      <c r="K2309">
        <f>IF(J2309="Yes", 1, 0)</f>
        <v>0</v>
      </c>
      <c r="L2309" t="str">
        <f>IF(G2309=0,"0 Failures","1+ Failures")</f>
        <v>1+ Failures</v>
      </c>
      <c r="M2309" t="str">
        <f t="shared" si="107"/>
        <v>10-20hrs</v>
      </c>
      <c r="N2309" t="str">
        <f t="shared" si="108"/>
        <v>12+ months</v>
      </c>
      <c r="O2309" t="str">
        <f t="shared" si="109"/>
        <v>Basic</v>
      </c>
      <c r="P2309" s="7">
        <v>45657</v>
      </c>
    </row>
    <row r="2310" spans="1:16" x14ac:dyDescent="0.3">
      <c r="A2310">
        <v>2309</v>
      </c>
      <c r="B2310" s="7">
        <v>45272</v>
      </c>
      <c r="C2310" t="s">
        <v>14</v>
      </c>
      <c r="D2310">
        <v>399</v>
      </c>
      <c r="E2310">
        <v>2.5</v>
      </c>
      <c r="F2310">
        <v>5</v>
      </c>
      <c r="G2310">
        <v>3</v>
      </c>
      <c r="H2310">
        <v>35</v>
      </c>
      <c r="I2310">
        <v>10</v>
      </c>
      <c r="J2310" t="s">
        <v>11</v>
      </c>
      <c r="K2310">
        <f>IF(J2310="Yes", 1, 0)</f>
        <v>1</v>
      </c>
      <c r="L2310" t="str">
        <f>IF(G2310=0,"0 Failures","1+ Failures")</f>
        <v>1+ Failures</v>
      </c>
      <c r="M2310" t="str">
        <f t="shared" si="107"/>
        <v>0-5 hrs</v>
      </c>
      <c r="N2310" t="str">
        <f t="shared" si="108"/>
        <v>12+ months</v>
      </c>
      <c r="O2310" t="str">
        <f t="shared" si="109"/>
        <v>Basic</v>
      </c>
      <c r="P2310" s="7">
        <v>45657</v>
      </c>
    </row>
    <row r="2311" spans="1:16" x14ac:dyDescent="0.3">
      <c r="A2311">
        <v>2310</v>
      </c>
      <c r="B2311" s="7">
        <v>44958</v>
      </c>
      <c r="C2311" t="s">
        <v>12</v>
      </c>
      <c r="D2311">
        <v>199</v>
      </c>
      <c r="E2311">
        <v>19.3</v>
      </c>
      <c r="F2311">
        <v>0</v>
      </c>
      <c r="G2311">
        <v>5</v>
      </c>
      <c r="H2311">
        <v>3</v>
      </c>
      <c r="I2311">
        <v>44</v>
      </c>
      <c r="J2311" t="s">
        <v>11</v>
      </c>
      <c r="K2311">
        <f>IF(J2311="Yes", 1, 0)</f>
        <v>1</v>
      </c>
      <c r="L2311" t="str">
        <f>IF(G2311=0,"0 Failures","1+ Failures")</f>
        <v>1+ Failures</v>
      </c>
      <c r="M2311" t="str">
        <f t="shared" si="107"/>
        <v>10-20hrs</v>
      </c>
      <c r="N2311" t="str">
        <f t="shared" si="108"/>
        <v>0-3months</v>
      </c>
      <c r="O2311" t="str">
        <f t="shared" si="109"/>
        <v>Basic</v>
      </c>
      <c r="P2311" s="7">
        <v>45657</v>
      </c>
    </row>
    <row r="2312" spans="1:16" x14ac:dyDescent="0.3">
      <c r="A2312">
        <v>2311</v>
      </c>
      <c r="B2312" s="7">
        <v>45027</v>
      </c>
      <c r="C2312" t="s">
        <v>12</v>
      </c>
      <c r="D2312">
        <v>199</v>
      </c>
      <c r="E2312">
        <v>4.5</v>
      </c>
      <c r="F2312">
        <v>1</v>
      </c>
      <c r="G2312">
        <v>0</v>
      </c>
      <c r="H2312">
        <v>21</v>
      </c>
      <c r="I2312">
        <v>44</v>
      </c>
      <c r="J2312" t="s">
        <v>11</v>
      </c>
      <c r="K2312">
        <f>IF(J2312="Yes", 1, 0)</f>
        <v>1</v>
      </c>
      <c r="L2312" t="str">
        <f>IF(G2312=0,"0 Failures","1+ Failures")</f>
        <v>0 Failures</v>
      </c>
      <c r="M2312" t="str">
        <f t="shared" si="107"/>
        <v>0-5 hrs</v>
      </c>
      <c r="N2312" t="str">
        <f t="shared" si="108"/>
        <v>12+ months</v>
      </c>
      <c r="O2312" t="str">
        <f t="shared" si="109"/>
        <v>Basic</v>
      </c>
      <c r="P2312" s="7">
        <v>45657</v>
      </c>
    </row>
    <row r="2313" spans="1:16" x14ac:dyDescent="0.3">
      <c r="A2313">
        <v>2312</v>
      </c>
      <c r="B2313" s="7">
        <v>44953</v>
      </c>
      <c r="C2313" t="s">
        <v>14</v>
      </c>
      <c r="D2313">
        <v>399</v>
      </c>
      <c r="E2313">
        <v>16.399999999999999</v>
      </c>
      <c r="F2313">
        <v>0</v>
      </c>
      <c r="G2313">
        <v>5</v>
      </c>
      <c r="H2313">
        <v>35</v>
      </c>
      <c r="I2313">
        <v>47</v>
      </c>
      <c r="J2313" t="s">
        <v>13</v>
      </c>
      <c r="K2313">
        <f>IF(J2313="Yes", 1, 0)</f>
        <v>0</v>
      </c>
      <c r="L2313" t="str">
        <f>IF(G2313=0,"0 Failures","1+ Failures")</f>
        <v>1+ Failures</v>
      </c>
      <c r="M2313" t="str">
        <f t="shared" si="107"/>
        <v>10-20hrs</v>
      </c>
      <c r="N2313" t="str">
        <f t="shared" si="108"/>
        <v>12+ months</v>
      </c>
      <c r="O2313" t="str">
        <f t="shared" si="109"/>
        <v>Basic</v>
      </c>
      <c r="P2313" s="7">
        <v>45657</v>
      </c>
    </row>
    <row r="2314" spans="1:16" x14ac:dyDescent="0.3">
      <c r="A2314">
        <v>2313</v>
      </c>
      <c r="B2314" s="7">
        <v>45443</v>
      </c>
      <c r="C2314" t="s">
        <v>10</v>
      </c>
      <c r="D2314">
        <v>699</v>
      </c>
      <c r="E2314">
        <v>24.7</v>
      </c>
      <c r="F2314">
        <v>5</v>
      </c>
      <c r="G2314">
        <v>3</v>
      </c>
      <c r="H2314">
        <v>10</v>
      </c>
      <c r="I2314">
        <v>43</v>
      </c>
      <c r="J2314" t="s">
        <v>11</v>
      </c>
      <c r="K2314">
        <f>IF(J2314="Yes", 1, 0)</f>
        <v>1</v>
      </c>
      <c r="L2314" t="str">
        <f>IF(G2314=0,"0 Failures","1+ Failures")</f>
        <v>1+ Failures</v>
      </c>
      <c r="M2314" t="str">
        <f t="shared" si="107"/>
        <v>20+ hrs</v>
      </c>
      <c r="N2314" t="str">
        <f t="shared" si="108"/>
        <v>6-12months</v>
      </c>
      <c r="O2314" t="str">
        <f t="shared" si="109"/>
        <v>Premium</v>
      </c>
      <c r="P2314" s="7">
        <v>45657</v>
      </c>
    </row>
    <row r="2315" spans="1:16" x14ac:dyDescent="0.3">
      <c r="A2315">
        <v>2314</v>
      </c>
      <c r="B2315" s="7">
        <v>45078</v>
      </c>
      <c r="C2315" t="s">
        <v>10</v>
      </c>
      <c r="D2315">
        <v>699</v>
      </c>
      <c r="E2315">
        <v>18.899999999999999</v>
      </c>
      <c r="F2315">
        <v>4</v>
      </c>
      <c r="G2315">
        <v>1</v>
      </c>
      <c r="H2315">
        <v>19</v>
      </c>
      <c r="I2315">
        <v>5</v>
      </c>
      <c r="J2315" t="s">
        <v>13</v>
      </c>
      <c r="K2315">
        <f>IF(J2315="Yes", 1, 0)</f>
        <v>0</v>
      </c>
      <c r="L2315" t="str">
        <f>IF(G2315=0,"0 Failures","1+ Failures")</f>
        <v>1+ Failures</v>
      </c>
      <c r="M2315" t="str">
        <f t="shared" ref="M2315:M2378" si="110">IF(E2315&lt;=5, "0-5 hrs",    IF(E2315&lt;=10, "5-10 hrs",    IF(E2315&lt;=20, "10-20hrs", "20+ hrs")))</f>
        <v>10-20hrs</v>
      </c>
      <c r="N2315" t="str">
        <f t="shared" si="108"/>
        <v>12+ months</v>
      </c>
      <c r="O2315" t="str">
        <f t="shared" si="109"/>
        <v>Premium</v>
      </c>
      <c r="P2315" s="7">
        <v>45657</v>
      </c>
    </row>
    <row r="2316" spans="1:16" x14ac:dyDescent="0.3">
      <c r="A2316">
        <v>2315</v>
      </c>
      <c r="B2316" s="7">
        <v>45081</v>
      </c>
      <c r="C2316" t="s">
        <v>10</v>
      </c>
      <c r="D2316">
        <v>699</v>
      </c>
      <c r="E2316">
        <v>12.2</v>
      </c>
      <c r="F2316">
        <v>7</v>
      </c>
      <c r="G2316">
        <v>4</v>
      </c>
      <c r="H2316">
        <v>35</v>
      </c>
      <c r="I2316">
        <v>58</v>
      </c>
      <c r="J2316" t="s">
        <v>13</v>
      </c>
      <c r="K2316">
        <f>IF(J2316="Yes", 1, 0)</f>
        <v>0</v>
      </c>
      <c r="L2316" t="str">
        <f>IF(G2316=0,"0 Failures","1+ Failures")</f>
        <v>1+ Failures</v>
      </c>
      <c r="M2316" t="str">
        <f t="shared" si="110"/>
        <v>10-20hrs</v>
      </c>
      <c r="N2316" t="str">
        <f t="shared" si="108"/>
        <v>12+ months</v>
      </c>
      <c r="O2316" t="str">
        <f t="shared" si="109"/>
        <v>Premium</v>
      </c>
      <c r="P2316" s="7">
        <v>45657</v>
      </c>
    </row>
    <row r="2317" spans="1:16" x14ac:dyDescent="0.3">
      <c r="A2317">
        <v>2316</v>
      </c>
      <c r="B2317" s="7">
        <v>45446</v>
      </c>
      <c r="C2317" t="s">
        <v>12</v>
      </c>
      <c r="D2317">
        <v>199</v>
      </c>
      <c r="E2317">
        <v>12.8</v>
      </c>
      <c r="F2317">
        <v>0</v>
      </c>
      <c r="G2317">
        <v>2</v>
      </c>
      <c r="H2317">
        <v>19</v>
      </c>
      <c r="I2317">
        <v>24</v>
      </c>
      <c r="J2317" t="s">
        <v>11</v>
      </c>
      <c r="K2317">
        <f>IF(J2317="Yes", 1, 0)</f>
        <v>1</v>
      </c>
      <c r="L2317" t="str">
        <f>IF(G2317=0,"0 Failures","1+ Failures")</f>
        <v>1+ Failures</v>
      </c>
      <c r="M2317" t="str">
        <f t="shared" si="110"/>
        <v>10-20hrs</v>
      </c>
      <c r="N2317" t="str">
        <f t="shared" si="108"/>
        <v>12+ months</v>
      </c>
      <c r="O2317" t="str">
        <f t="shared" si="109"/>
        <v>Basic</v>
      </c>
      <c r="P2317" s="7">
        <v>45657</v>
      </c>
    </row>
    <row r="2318" spans="1:16" x14ac:dyDescent="0.3">
      <c r="A2318">
        <v>2317</v>
      </c>
      <c r="B2318" s="7">
        <v>45178</v>
      </c>
      <c r="C2318" t="s">
        <v>14</v>
      </c>
      <c r="D2318">
        <v>399</v>
      </c>
      <c r="E2318">
        <v>1.1000000000000001</v>
      </c>
      <c r="F2318">
        <v>0</v>
      </c>
      <c r="G2318">
        <v>0</v>
      </c>
      <c r="H2318">
        <v>30</v>
      </c>
      <c r="I2318">
        <v>42</v>
      </c>
      <c r="J2318" t="s">
        <v>11</v>
      </c>
      <c r="K2318">
        <f>IF(J2318="Yes", 1, 0)</f>
        <v>1</v>
      </c>
      <c r="L2318" t="str">
        <f>IF(G2318=0,"0 Failures","1+ Failures")</f>
        <v>0 Failures</v>
      </c>
      <c r="M2318" t="str">
        <f t="shared" si="110"/>
        <v>0-5 hrs</v>
      </c>
      <c r="N2318" t="str">
        <f t="shared" si="108"/>
        <v>12+ months</v>
      </c>
      <c r="O2318" t="str">
        <f t="shared" si="109"/>
        <v>Basic</v>
      </c>
      <c r="P2318" s="7">
        <v>45657</v>
      </c>
    </row>
    <row r="2319" spans="1:16" x14ac:dyDescent="0.3">
      <c r="A2319">
        <v>2318</v>
      </c>
      <c r="B2319" s="7">
        <v>45469</v>
      </c>
      <c r="C2319" t="s">
        <v>14</v>
      </c>
      <c r="D2319">
        <v>399</v>
      </c>
      <c r="E2319">
        <v>16.100000000000001</v>
      </c>
      <c r="F2319">
        <v>1</v>
      </c>
      <c r="G2319">
        <v>2</v>
      </c>
      <c r="H2319">
        <v>23</v>
      </c>
      <c r="I2319">
        <v>46</v>
      </c>
      <c r="J2319" t="s">
        <v>11</v>
      </c>
      <c r="K2319">
        <f>IF(J2319="Yes", 1, 0)</f>
        <v>1</v>
      </c>
      <c r="L2319" t="str">
        <f>IF(G2319=0,"0 Failures","1+ Failures")</f>
        <v>1+ Failures</v>
      </c>
      <c r="M2319" t="str">
        <f t="shared" si="110"/>
        <v>10-20hrs</v>
      </c>
      <c r="N2319" t="str">
        <f t="shared" si="108"/>
        <v>12+ months</v>
      </c>
      <c r="O2319" t="str">
        <f t="shared" si="109"/>
        <v>Basic</v>
      </c>
      <c r="P2319" s="7">
        <v>45657</v>
      </c>
    </row>
    <row r="2320" spans="1:16" x14ac:dyDescent="0.3">
      <c r="A2320">
        <v>2319</v>
      </c>
      <c r="B2320" s="7">
        <v>45202</v>
      </c>
      <c r="C2320" t="s">
        <v>12</v>
      </c>
      <c r="D2320">
        <v>199</v>
      </c>
      <c r="E2320">
        <v>9.8000000000000007</v>
      </c>
      <c r="F2320">
        <v>1</v>
      </c>
      <c r="G2320">
        <v>1</v>
      </c>
      <c r="H2320">
        <v>26</v>
      </c>
      <c r="I2320">
        <v>26</v>
      </c>
      <c r="J2320" t="s">
        <v>11</v>
      </c>
      <c r="K2320">
        <f>IF(J2320="Yes", 1, 0)</f>
        <v>1</v>
      </c>
      <c r="L2320" t="str">
        <f>IF(G2320=0,"0 Failures","1+ Failures")</f>
        <v>1+ Failures</v>
      </c>
      <c r="M2320" t="str">
        <f t="shared" si="110"/>
        <v>5-10 hrs</v>
      </c>
      <c r="N2320" t="str">
        <f t="shared" si="108"/>
        <v>12+ months</v>
      </c>
      <c r="O2320" t="str">
        <f t="shared" si="109"/>
        <v>Basic</v>
      </c>
      <c r="P2320" s="7">
        <v>45657</v>
      </c>
    </row>
    <row r="2321" spans="1:16" x14ac:dyDescent="0.3">
      <c r="A2321">
        <v>2320</v>
      </c>
      <c r="B2321" s="7">
        <v>45101</v>
      </c>
      <c r="C2321" t="s">
        <v>10</v>
      </c>
      <c r="D2321">
        <v>699</v>
      </c>
      <c r="E2321">
        <v>24.8</v>
      </c>
      <c r="F2321">
        <v>5</v>
      </c>
      <c r="G2321">
        <v>5</v>
      </c>
      <c r="H2321">
        <v>15</v>
      </c>
      <c r="I2321">
        <v>3</v>
      </c>
      <c r="J2321" t="s">
        <v>11</v>
      </c>
      <c r="K2321">
        <f>IF(J2321="Yes", 1, 0)</f>
        <v>1</v>
      </c>
      <c r="L2321" t="str">
        <f>IF(G2321=0,"0 Failures","1+ Failures")</f>
        <v>1+ Failures</v>
      </c>
      <c r="M2321" t="str">
        <f t="shared" si="110"/>
        <v>20+ hrs</v>
      </c>
      <c r="N2321" t="str">
        <f t="shared" si="108"/>
        <v>12+ months</v>
      </c>
      <c r="O2321" t="str">
        <f t="shared" si="109"/>
        <v>Premium</v>
      </c>
      <c r="P2321" s="7">
        <v>45657</v>
      </c>
    </row>
    <row r="2322" spans="1:16" x14ac:dyDescent="0.3">
      <c r="A2322">
        <v>2321</v>
      </c>
      <c r="B2322" s="7">
        <v>44981</v>
      </c>
      <c r="C2322" t="s">
        <v>10</v>
      </c>
      <c r="D2322">
        <v>699</v>
      </c>
      <c r="E2322">
        <v>18.399999999999999</v>
      </c>
      <c r="F2322">
        <v>8</v>
      </c>
      <c r="G2322">
        <v>5</v>
      </c>
      <c r="H2322">
        <v>25</v>
      </c>
      <c r="I2322">
        <v>2</v>
      </c>
      <c r="J2322" t="s">
        <v>13</v>
      </c>
      <c r="K2322">
        <f>IF(J2322="Yes", 1, 0)</f>
        <v>0</v>
      </c>
      <c r="L2322" t="str">
        <f>IF(G2322=0,"0 Failures","1+ Failures")</f>
        <v>1+ Failures</v>
      </c>
      <c r="M2322" t="str">
        <f t="shared" si="110"/>
        <v>10-20hrs</v>
      </c>
      <c r="N2322" t="str">
        <f t="shared" si="108"/>
        <v>12+ months</v>
      </c>
      <c r="O2322" t="str">
        <f t="shared" si="109"/>
        <v>Premium</v>
      </c>
      <c r="P2322" s="7">
        <v>45657</v>
      </c>
    </row>
    <row r="2323" spans="1:16" x14ac:dyDescent="0.3">
      <c r="A2323">
        <v>2322</v>
      </c>
      <c r="B2323" s="7">
        <v>44944</v>
      </c>
      <c r="C2323" t="s">
        <v>14</v>
      </c>
      <c r="D2323">
        <v>399</v>
      </c>
      <c r="E2323">
        <v>6.4</v>
      </c>
      <c r="F2323">
        <v>8</v>
      </c>
      <c r="G2323">
        <v>3</v>
      </c>
      <c r="H2323">
        <v>14</v>
      </c>
      <c r="I2323">
        <v>39</v>
      </c>
      <c r="J2323" t="s">
        <v>11</v>
      </c>
      <c r="K2323">
        <f>IF(J2323="Yes", 1, 0)</f>
        <v>1</v>
      </c>
      <c r="L2323" t="str">
        <f>IF(G2323=0,"0 Failures","1+ Failures")</f>
        <v>1+ Failures</v>
      </c>
      <c r="M2323" t="str">
        <f t="shared" si="110"/>
        <v>5-10 hrs</v>
      </c>
      <c r="N2323" t="str">
        <f t="shared" si="108"/>
        <v>12+ months</v>
      </c>
      <c r="O2323" t="str">
        <f t="shared" si="109"/>
        <v>Basic</v>
      </c>
      <c r="P2323" s="7">
        <v>45657</v>
      </c>
    </row>
    <row r="2324" spans="1:16" x14ac:dyDescent="0.3">
      <c r="A2324">
        <v>2323</v>
      </c>
      <c r="B2324" s="7">
        <v>45052</v>
      </c>
      <c r="C2324" t="s">
        <v>10</v>
      </c>
      <c r="D2324">
        <v>699</v>
      </c>
      <c r="E2324">
        <v>5</v>
      </c>
      <c r="F2324">
        <v>1</v>
      </c>
      <c r="G2324">
        <v>0</v>
      </c>
      <c r="H2324">
        <v>34</v>
      </c>
      <c r="I2324">
        <v>17</v>
      </c>
      <c r="J2324" t="s">
        <v>13</v>
      </c>
      <c r="K2324">
        <f>IF(J2324="Yes", 1, 0)</f>
        <v>0</v>
      </c>
      <c r="L2324" t="str">
        <f>IF(G2324=0,"0 Failures","1+ Failures")</f>
        <v>0 Failures</v>
      </c>
      <c r="M2324" t="str">
        <f t="shared" si="110"/>
        <v>0-5 hrs</v>
      </c>
      <c r="N2324" t="str">
        <f t="shared" si="108"/>
        <v>12+ months</v>
      </c>
      <c r="O2324" t="str">
        <f t="shared" si="109"/>
        <v>Premium</v>
      </c>
      <c r="P2324" s="7">
        <v>45657</v>
      </c>
    </row>
    <row r="2325" spans="1:16" x14ac:dyDescent="0.3">
      <c r="A2325">
        <v>2324</v>
      </c>
      <c r="B2325" s="7">
        <v>44932</v>
      </c>
      <c r="C2325" t="s">
        <v>14</v>
      </c>
      <c r="D2325">
        <v>399</v>
      </c>
      <c r="E2325">
        <v>21</v>
      </c>
      <c r="F2325">
        <v>1</v>
      </c>
      <c r="G2325">
        <v>4</v>
      </c>
      <c r="H2325">
        <v>17</v>
      </c>
      <c r="I2325">
        <v>58</v>
      </c>
      <c r="J2325" t="s">
        <v>11</v>
      </c>
      <c r="K2325">
        <f>IF(J2325="Yes", 1, 0)</f>
        <v>1</v>
      </c>
      <c r="L2325" t="str">
        <f>IF(G2325=0,"0 Failures","1+ Failures")</f>
        <v>1+ Failures</v>
      </c>
      <c r="M2325" t="str">
        <f t="shared" si="110"/>
        <v>20+ hrs</v>
      </c>
      <c r="N2325" t="str">
        <f t="shared" si="108"/>
        <v>12+ months</v>
      </c>
      <c r="O2325" t="str">
        <f t="shared" si="109"/>
        <v>Basic</v>
      </c>
      <c r="P2325" s="7">
        <v>45657</v>
      </c>
    </row>
    <row r="2326" spans="1:16" x14ac:dyDescent="0.3">
      <c r="A2326">
        <v>2325</v>
      </c>
      <c r="B2326" s="7">
        <v>45181</v>
      </c>
      <c r="C2326" t="s">
        <v>14</v>
      </c>
      <c r="D2326">
        <v>399</v>
      </c>
      <c r="E2326">
        <v>24.1</v>
      </c>
      <c r="F2326">
        <v>2</v>
      </c>
      <c r="G2326">
        <v>4</v>
      </c>
      <c r="H2326">
        <v>17</v>
      </c>
      <c r="I2326">
        <v>60</v>
      </c>
      <c r="J2326" t="s">
        <v>11</v>
      </c>
      <c r="K2326">
        <f>IF(J2326="Yes", 1, 0)</f>
        <v>1</v>
      </c>
      <c r="L2326" t="str">
        <f>IF(G2326=0,"0 Failures","1+ Failures")</f>
        <v>1+ Failures</v>
      </c>
      <c r="M2326" t="str">
        <f t="shared" si="110"/>
        <v>20+ hrs</v>
      </c>
      <c r="N2326" t="str">
        <f t="shared" si="108"/>
        <v>12+ months</v>
      </c>
      <c r="O2326" t="str">
        <f t="shared" si="109"/>
        <v>Basic</v>
      </c>
      <c r="P2326" s="7">
        <v>45657</v>
      </c>
    </row>
    <row r="2327" spans="1:16" x14ac:dyDescent="0.3">
      <c r="A2327">
        <v>2326</v>
      </c>
      <c r="B2327" s="7">
        <v>45201</v>
      </c>
      <c r="C2327" t="s">
        <v>10</v>
      </c>
      <c r="D2327">
        <v>699</v>
      </c>
      <c r="E2327">
        <v>9.8000000000000007</v>
      </c>
      <c r="F2327">
        <v>3</v>
      </c>
      <c r="G2327">
        <v>4</v>
      </c>
      <c r="H2327">
        <v>13</v>
      </c>
      <c r="I2327">
        <v>41</v>
      </c>
      <c r="J2327" t="s">
        <v>11</v>
      </c>
      <c r="K2327">
        <f>IF(J2327="Yes", 1, 0)</f>
        <v>1</v>
      </c>
      <c r="L2327" t="str">
        <f>IF(G2327=0,"0 Failures","1+ Failures")</f>
        <v>1+ Failures</v>
      </c>
      <c r="M2327" t="str">
        <f t="shared" si="110"/>
        <v>5-10 hrs</v>
      </c>
      <c r="N2327" t="str">
        <f t="shared" si="108"/>
        <v>12+ months</v>
      </c>
      <c r="O2327" t="str">
        <f t="shared" si="109"/>
        <v>Premium</v>
      </c>
      <c r="P2327" s="7">
        <v>45657</v>
      </c>
    </row>
    <row r="2328" spans="1:16" x14ac:dyDescent="0.3">
      <c r="A2328">
        <v>2327</v>
      </c>
      <c r="B2328" s="7">
        <v>45229</v>
      </c>
      <c r="C2328" t="s">
        <v>12</v>
      </c>
      <c r="D2328">
        <v>199</v>
      </c>
      <c r="E2328">
        <v>17</v>
      </c>
      <c r="F2328">
        <v>2</v>
      </c>
      <c r="G2328">
        <v>5</v>
      </c>
      <c r="H2328">
        <v>10</v>
      </c>
      <c r="I2328">
        <v>25</v>
      </c>
      <c r="J2328" t="s">
        <v>13</v>
      </c>
      <c r="K2328">
        <f>IF(J2328="Yes", 1, 0)</f>
        <v>0</v>
      </c>
      <c r="L2328" t="str">
        <f>IF(G2328=0,"0 Failures","1+ Failures")</f>
        <v>1+ Failures</v>
      </c>
      <c r="M2328" t="str">
        <f t="shared" si="110"/>
        <v>10-20hrs</v>
      </c>
      <c r="N2328" t="str">
        <f t="shared" si="108"/>
        <v>6-12months</v>
      </c>
      <c r="O2328" t="str">
        <f t="shared" si="109"/>
        <v>Basic</v>
      </c>
      <c r="P2328" s="7">
        <v>45657</v>
      </c>
    </row>
    <row r="2329" spans="1:16" x14ac:dyDescent="0.3">
      <c r="A2329">
        <v>2328</v>
      </c>
      <c r="B2329" s="7">
        <v>45175</v>
      </c>
      <c r="C2329" t="s">
        <v>10</v>
      </c>
      <c r="D2329">
        <v>699</v>
      </c>
      <c r="E2329">
        <v>13.3</v>
      </c>
      <c r="F2329">
        <v>4</v>
      </c>
      <c r="G2329">
        <v>3</v>
      </c>
      <c r="H2329">
        <v>11</v>
      </c>
      <c r="I2329">
        <v>19</v>
      </c>
      <c r="J2329" t="s">
        <v>11</v>
      </c>
      <c r="K2329">
        <f>IF(J2329="Yes", 1, 0)</f>
        <v>1</v>
      </c>
      <c r="L2329" t="str">
        <f>IF(G2329=0,"0 Failures","1+ Failures")</f>
        <v>1+ Failures</v>
      </c>
      <c r="M2329" t="str">
        <f t="shared" si="110"/>
        <v>10-20hrs</v>
      </c>
      <c r="N2329" t="str">
        <f t="shared" si="108"/>
        <v>6-12months</v>
      </c>
      <c r="O2329" t="str">
        <f t="shared" si="109"/>
        <v>Premium</v>
      </c>
      <c r="P2329" s="7">
        <v>45657</v>
      </c>
    </row>
    <row r="2330" spans="1:16" x14ac:dyDescent="0.3">
      <c r="A2330">
        <v>2329</v>
      </c>
      <c r="B2330" s="7">
        <v>45184</v>
      </c>
      <c r="C2330" t="s">
        <v>14</v>
      </c>
      <c r="D2330">
        <v>399</v>
      </c>
      <c r="E2330">
        <v>9.5</v>
      </c>
      <c r="F2330">
        <v>8</v>
      </c>
      <c r="G2330">
        <v>3</v>
      </c>
      <c r="H2330">
        <v>9</v>
      </c>
      <c r="I2330">
        <v>13</v>
      </c>
      <c r="J2330" t="s">
        <v>11</v>
      </c>
      <c r="K2330">
        <f>IF(J2330="Yes", 1, 0)</f>
        <v>1</v>
      </c>
      <c r="L2330" t="str">
        <f>IF(G2330=0,"0 Failures","1+ Failures")</f>
        <v>1+ Failures</v>
      </c>
      <c r="M2330" t="str">
        <f t="shared" si="110"/>
        <v>5-10 hrs</v>
      </c>
      <c r="N2330" t="str">
        <f t="shared" si="108"/>
        <v>6-12months</v>
      </c>
      <c r="O2330" t="str">
        <f t="shared" si="109"/>
        <v>Basic</v>
      </c>
      <c r="P2330" s="7">
        <v>45657</v>
      </c>
    </row>
    <row r="2331" spans="1:16" x14ac:dyDescent="0.3">
      <c r="A2331">
        <v>2330</v>
      </c>
      <c r="B2331" s="7">
        <v>45326</v>
      </c>
      <c r="C2331" t="s">
        <v>12</v>
      </c>
      <c r="D2331">
        <v>199</v>
      </c>
      <c r="E2331">
        <v>21.9</v>
      </c>
      <c r="F2331">
        <v>6</v>
      </c>
      <c r="G2331">
        <v>2</v>
      </c>
      <c r="H2331">
        <v>30</v>
      </c>
      <c r="I2331">
        <v>60</v>
      </c>
      <c r="J2331" t="s">
        <v>13</v>
      </c>
      <c r="K2331">
        <f>IF(J2331="Yes", 1, 0)</f>
        <v>0</v>
      </c>
      <c r="L2331" t="str">
        <f>IF(G2331=0,"0 Failures","1+ Failures")</f>
        <v>1+ Failures</v>
      </c>
      <c r="M2331" t="str">
        <f t="shared" si="110"/>
        <v>20+ hrs</v>
      </c>
      <c r="N2331" t="str">
        <f t="shared" si="108"/>
        <v>12+ months</v>
      </c>
      <c r="O2331" t="str">
        <f t="shared" si="109"/>
        <v>Basic</v>
      </c>
      <c r="P2331" s="7">
        <v>45657</v>
      </c>
    </row>
    <row r="2332" spans="1:16" x14ac:dyDescent="0.3">
      <c r="A2332">
        <v>2331</v>
      </c>
      <c r="B2332" s="7">
        <v>45118</v>
      </c>
      <c r="C2332" t="s">
        <v>12</v>
      </c>
      <c r="D2332">
        <v>199</v>
      </c>
      <c r="E2332">
        <v>23.7</v>
      </c>
      <c r="F2332">
        <v>5</v>
      </c>
      <c r="G2332">
        <v>2</v>
      </c>
      <c r="H2332">
        <v>23</v>
      </c>
      <c r="I2332">
        <v>55</v>
      </c>
      <c r="J2332" t="s">
        <v>13</v>
      </c>
      <c r="K2332">
        <f>IF(J2332="Yes", 1, 0)</f>
        <v>0</v>
      </c>
      <c r="L2332" t="str">
        <f>IF(G2332=0,"0 Failures","1+ Failures")</f>
        <v>1+ Failures</v>
      </c>
      <c r="M2332" t="str">
        <f t="shared" si="110"/>
        <v>20+ hrs</v>
      </c>
      <c r="N2332" t="str">
        <f t="shared" si="108"/>
        <v>12+ months</v>
      </c>
      <c r="O2332" t="str">
        <f t="shared" si="109"/>
        <v>Basic</v>
      </c>
      <c r="P2332" s="7">
        <v>45657</v>
      </c>
    </row>
    <row r="2333" spans="1:16" x14ac:dyDescent="0.3">
      <c r="A2333">
        <v>2332</v>
      </c>
      <c r="B2333" s="7">
        <v>45227</v>
      </c>
      <c r="C2333" t="s">
        <v>14</v>
      </c>
      <c r="D2333">
        <v>399</v>
      </c>
      <c r="E2333">
        <v>18.2</v>
      </c>
      <c r="F2333">
        <v>5</v>
      </c>
      <c r="G2333">
        <v>2</v>
      </c>
      <c r="H2333">
        <v>15</v>
      </c>
      <c r="I2333">
        <v>34</v>
      </c>
      <c r="J2333" t="s">
        <v>11</v>
      </c>
      <c r="K2333">
        <f>IF(J2333="Yes", 1, 0)</f>
        <v>1</v>
      </c>
      <c r="L2333" t="str">
        <f>IF(G2333=0,"0 Failures","1+ Failures")</f>
        <v>1+ Failures</v>
      </c>
      <c r="M2333" t="str">
        <f t="shared" si="110"/>
        <v>10-20hrs</v>
      </c>
      <c r="N2333" t="str">
        <f t="shared" si="108"/>
        <v>12+ months</v>
      </c>
      <c r="O2333" t="str">
        <f t="shared" si="109"/>
        <v>Basic</v>
      </c>
      <c r="P2333" s="7">
        <v>45657</v>
      </c>
    </row>
    <row r="2334" spans="1:16" x14ac:dyDescent="0.3">
      <c r="A2334">
        <v>2333</v>
      </c>
      <c r="B2334" s="7">
        <v>45213</v>
      </c>
      <c r="C2334" t="s">
        <v>12</v>
      </c>
      <c r="D2334">
        <v>199</v>
      </c>
      <c r="E2334">
        <v>16.899999999999999</v>
      </c>
      <c r="F2334">
        <v>7</v>
      </c>
      <c r="G2334">
        <v>3</v>
      </c>
      <c r="H2334">
        <v>2</v>
      </c>
      <c r="I2334">
        <v>19</v>
      </c>
      <c r="J2334" t="s">
        <v>11</v>
      </c>
      <c r="K2334">
        <f>IF(J2334="Yes", 1, 0)</f>
        <v>1</v>
      </c>
      <c r="L2334" t="str">
        <f>IF(G2334=0,"0 Failures","1+ Failures")</f>
        <v>1+ Failures</v>
      </c>
      <c r="M2334" t="str">
        <f t="shared" si="110"/>
        <v>10-20hrs</v>
      </c>
      <c r="N2334" t="str">
        <f t="shared" si="108"/>
        <v>0-3months</v>
      </c>
      <c r="O2334" t="str">
        <f t="shared" si="109"/>
        <v>Basic</v>
      </c>
      <c r="P2334" s="7">
        <v>45657</v>
      </c>
    </row>
    <row r="2335" spans="1:16" x14ac:dyDescent="0.3">
      <c r="A2335">
        <v>2334</v>
      </c>
      <c r="B2335" s="7">
        <v>45158</v>
      </c>
      <c r="C2335" t="s">
        <v>14</v>
      </c>
      <c r="D2335">
        <v>399</v>
      </c>
      <c r="E2335">
        <v>14.6</v>
      </c>
      <c r="F2335">
        <v>8</v>
      </c>
      <c r="G2335">
        <v>4</v>
      </c>
      <c r="H2335">
        <v>33</v>
      </c>
      <c r="I2335">
        <v>58</v>
      </c>
      <c r="J2335" t="s">
        <v>13</v>
      </c>
      <c r="K2335">
        <f>IF(J2335="Yes", 1, 0)</f>
        <v>0</v>
      </c>
      <c r="L2335" t="str">
        <f>IF(G2335=0,"0 Failures","1+ Failures")</f>
        <v>1+ Failures</v>
      </c>
      <c r="M2335" t="str">
        <f t="shared" si="110"/>
        <v>10-20hrs</v>
      </c>
      <c r="N2335" t="str">
        <f t="shared" si="108"/>
        <v>12+ months</v>
      </c>
      <c r="O2335" t="str">
        <f t="shared" si="109"/>
        <v>Basic</v>
      </c>
      <c r="P2335" s="7">
        <v>45657</v>
      </c>
    </row>
    <row r="2336" spans="1:16" x14ac:dyDescent="0.3">
      <c r="A2336">
        <v>2335</v>
      </c>
      <c r="B2336" s="7">
        <v>45209</v>
      </c>
      <c r="C2336" t="s">
        <v>10</v>
      </c>
      <c r="D2336">
        <v>699</v>
      </c>
      <c r="E2336">
        <v>9.5</v>
      </c>
      <c r="F2336">
        <v>8</v>
      </c>
      <c r="G2336">
        <v>5</v>
      </c>
      <c r="H2336">
        <v>7</v>
      </c>
      <c r="I2336">
        <v>32</v>
      </c>
      <c r="J2336" t="s">
        <v>11</v>
      </c>
      <c r="K2336">
        <f>IF(J2336="Yes", 1, 0)</f>
        <v>1</v>
      </c>
      <c r="L2336" t="str">
        <f>IF(G2336=0,"0 Failures","1+ Failures")</f>
        <v>1+ Failures</v>
      </c>
      <c r="M2336" t="str">
        <f t="shared" si="110"/>
        <v>5-10 hrs</v>
      </c>
      <c r="N2336" t="str">
        <f t="shared" si="108"/>
        <v>6-12months</v>
      </c>
      <c r="O2336" t="str">
        <f t="shared" si="109"/>
        <v>Premium</v>
      </c>
      <c r="P2336" s="7">
        <v>45657</v>
      </c>
    </row>
    <row r="2337" spans="1:16" x14ac:dyDescent="0.3">
      <c r="A2337">
        <v>2336</v>
      </c>
      <c r="B2337" s="7">
        <v>45223</v>
      </c>
      <c r="C2337" t="s">
        <v>14</v>
      </c>
      <c r="D2337">
        <v>399</v>
      </c>
      <c r="E2337">
        <v>11.9</v>
      </c>
      <c r="F2337">
        <v>0</v>
      </c>
      <c r="G2337">
        <v>5</v>
      </c>
      <c r="H2337">
        <v>9</v>
      </c>
      <c r="I2337">
        <v>44</v>
      </c>
      <c r="J2337" t="s">
        <v>11</v>
      </c>
      <c r="K2337">
        <f>IF(J2337="Yes", 1, 0)</f>
        <v>1</v>
      </c>
      <c r="L2337" t="str">
        <f>IF(G2337=0,"0 Failures","1+ Failures")</f>
        <v>1+ Failures</v>
      </c>
      <c r="M2337" t="str">
        <f t="shared" si="110"/>
        <v>10-20hrs</v>
      </c>
      <c r="N2337" t="str">
        <f t="shared" si="108"/>
        <v>6-12months</v>
      </c>
      <c r="O2337" t="str">
        <f t="shared" si="109"/>
        <v>Basic</v>
      </c>
      <c r="P2337" s="7">
        <v>45657</v>
      </c>
    </row>
    <row r="2338" spans="1:16" x14ac:dyDescent="0.3">
      <c r="A2338">
        <v>2337</v>
      </c>
      <c r="B2338" s="7">
        <v>45140</v>
      </c>
      <c r="C2338" t="s">
        <v>10</v>
      </c>
      <c r="D2338">
        <v>699</v>
      </c>
      <c r="E2338">
        <v>24.8</v>
      </c>
      <c r="F2338">
        <v>4</v>
      </c>
      <c r="G2338">
        <v>1</v>
      </c>
      <c r="H2338">
        <v>4</v>
      </c>
      <c r="I2338">
        <v>13</v>
      </c>
      <c r="J2338" t="s">
        <v>13</v>
      </c>
      <c r="K2338">
        <f>IF(J2338="Yes", 1, 0)</f>
        <v>0</v>
      </c>
      <c r="L2338" t="str">
        <f>IF(G2338=0,"0 Failures","1+ Failures")</f>
        <v>1+ Failures</v>
      </c>
      <c r="M2338" t="str">
        <f t="shared" si="110"/>
        <v>20+ hrs</v>
      </c>
      <c r="N2338" t="str">
        <f t="shared" si="108"/>
        <v>3-6months</v>
      </c>
      <c r="O2338" t="str">
        <f t="shared" si="109"/>
        <v>Premium</v>
      </c>
      <c r="P2338" s="7">
        <v>45657</v>
      </c>
    </row>
    <row r="2339" spans="1:16" x14ac:dyDescent="0.3">
      <c r="A2339">
        <v>2338</v>
      </c>
      <c r="B2339" s="7">
        <v>45052</v>
      </c>
      <c r="C2339" t="s">
        <v>14</v>
      </c>
      <c r="D2339">
        <v>399</v>
      </c>
      <c r="E2339">
        <v>20.8</v>
      </c>
      <c r="F2339">
        <v>4</v>
      </c>
      <c r="G2339">
        <v>4</v>
      </c>
      <c r="H2339">
        <v>13</v>
      </c>
      <c r="I2339">
        <v>20</v>
      </c>
      <c r="J2339" t="s">
        <v>13</v>
      </c>
      <c r="K2339">
        <f>IF(J2339="Yes", 1, 0)</f>
        <v>0</v>
      </c>
      <c r="L2339" t="str">
        <f>IF(G2339=0,"0 Failures","1+ Failures")</f>
        <v>1+ Failures</v>
      </c>
      <c r="M2339" t="str">
        <f t="shared" si="110"/>
        <v>20+ hrs</v>
      </c>
      <c r="N2339" t="str">
        <f t="shared" si="108"/>
        <v>12+ months</v>
      </c>
      <c r="O2339" t="str">
        <f t="shared" si="109"/>
        <v>Basic</v>
      </c>
      <c r="P2339" s="7">
        <v>45657</v>
      </c>
    </row>
    <row r="2340" spans="1:16" x14ac:dyDescent="0.3">
      <c r="A2340">
        <v>2339</v>
      </c>
      <c r="B2340" s="7">
        <v>45392</v>
      </c>
      <c r="C2340" t="s">
        <v>14</v>
      </c>
      <c r="D2340">
        <v>399</v>
      </c>
      <c r="E2340">
        <v>20.3</v>
      </c>
      <c r="F2340">
        <v>1</v>
      </c>
      <c r="G2340">
        <v>0</v>
      </c>
      <c r="H2340">
        <v>15</v>
      </c>
      <c r="I2340">
        <v>6</v>
      </c>
      <c r="J2340" t="s">
        <v>13</v>
      </c>
      <c r="K2340">
        <f>IF(J2340="Yes", 1, 0)</f>
        <v>0</v>
      </c>
      <c r="L2340" t="str">
        <f>IF(G2340=0,"0 Failures","1+ Failures")</f>
        <v>0 Failures</v>
      </c>
      <c r="M2340" t="str">
        <f t="shared" si="110"/>
        <v>20+ hrs</v>
      </c>
      <c r="N2340" t="str">
        <f t="shared" si="108"/>
        <v>12+ months</v>
      </c>
      <c r="O2340" t="str">
        <f t="shared" si="109"/>
        <v>Basic</v>
      </c>
      <c r="P2340" s="7">
        <v>45657</v>
      </c>
    </row>
    <row r="2341" spans="1:16" x14ac:dyDescent="0.3">
      <c r="A2341">
        <v>2340</v>
      </c>
      <c r="B2341" s="7">
        <v>45130</v>
      </c>
      <c r="C2341" t="s">
        <v>10</v>
      </c>
      <c r="D2341">
        <v>699</v>
      </c>
      <c r="E2341">
        <v>18.2</v>
      </c>
      <c r="F2341">
        <v>1</v>
      </c>
      <c r="G2341">
        <v>4</v>
      </c>
      <c r="H2341">
        <v>30</v>
      </c>
      <c r="I2341">
        <v>3</v>
      </c>
      <c r="J2341" t="s">
        <v>13</v>
      </c>
      <c r="K2341">
        <f>IF(J2341="Yes", 1, 0)</f>
        <v>0</v>
      </c>
      <c r="L2341" t="str">
        <f>IF(G2341=0,"0 Failures","1+ Failures")</f>
        <v>1+ Failures</v>
      </c>
      <c r="M2341" t="str">
        <f t="shared" si="110"/>
        <v>10-20hrs</v>
      </c>
      <c r="N2341" t="str">
        <f t="shared" si="108"/>
        <v>12+ months</v>
      </c>
      <c r="O2341" t="str">
        <f t="shared" si="109"/>
        <v>Premium</v>
      </c>
      <c r="P2341" s="7">
        <v>45657</v>
      </c>
    </row>
    <row r="2342" spans="1:16" x14ac:dyDescent="0.3">
      <c r="A2342">
        <v>2341</v>
      </c>
      <c r="B2342" s="7">
        <v>45586</v>
      </c>
      <c r="C2342" t="s">
        <v>12</v>
      </c>
      <c r="D2342">
        <v>199</v>
      </c>
      <c r="E2342">
        <v>16</v>
      </c>
      <c r="F2342">
        <v>3</v>
      </c>
      <c r="G2342">
        <v>3</v>
      </c>
      <c r="H2342">
        <v>6</v>
      </c>
      <c r="I2342">
        <v>13</v>
      </c>
      <c r="J2342" t="s">
        <v>11</v>
      </c>
      <c r="K2342">
        <f>IF(J2342="Yes", 1, 0)</f>
        <v>1</v>
      </c>
      <c r="L2342" t="str">
        <f>IF(G2342=0,"0 Failures","1+ Failures")</f>
        <v>1+ Failures</v>
      </c>
      <c r="M2342" t="str">
        <f t="shared" si="110"/>
        <v>10-20hrs</v>
      </c>
      <c r="N2342" t="str">
        <f t="shared" si="108"/>
        <v>3-6months</v>
      </c>
      <c r="O2342" t="str">
        <f t="shared" si="109"/>
        <v>Basic</v>
      </c>
      <c r="P2342" s="7">
        <v>45657</v>
      </c>
    </row>
    <row r="2343" spans="1:16" x14ac:dyDescent="0.3">
      <c r="A2343">
        <v>2342</v>
      </c>
      <c r="B2343" s="7">
        <v>45012</v>
      </c>
      <c r="C2343" t="s">
        <v>14</v>
      </c>
      <c r="D2343">
        <v>399</v>
      </c>
      <c r="E2343">
        <v>1.5</v>
      </c>
      <c r="F2343">
        <v>6</v>
      </c>
      <c r="G2343">
        <v>0</v>
      </c>
      <c r="H2343">
        <v>15</v>
      </c>
      <c r="I2343">
        <v>46</v>
      </c>
      <c r="J2343" t="s">
        <v>11</v>
      </c>
      <c r="K2343">
        <f>IF(J2343="Yes", 1, 0)</f>
        <v>1</v>
      </c>
      <c r="L2343" t="str">
        <f>IF(G2343=0,"0 Failures","1+ Failures")</f>
        <v>0 Failures</v>
      </c>
      <c r="M2343" t="str">
        <f t="shared" si="110"/>
        <v>0-5 hrs</v>
      </c>
      <c r="N2343" t="str">
        <f t="shared" si="108"/>
        <v>12+ months</v>
      </c>
      <c r="O2343" t="str">
        <f t="shared" si="109"/>
        <v>Basic</v>
      </c>
      <c r="P2343" s="7">
        <v>45657</v>
      </c>
    </row>
    <row r="2344" spans="1:16" x14ac:dyDescent="0.3">
      <c r="A2344">
        <v>2343</v>
      </c>
      <c r="B2344" s="7">
        <v>45439</v>
      </c>
      <c r="C2344" t="s">
        <v>10</v>
      </c>
      <c r="D2344">
        <v>699</v>
      </c>
      <c r="E2344">
        <v>12.7</v>
      </c>
      <c r="F2344">
        <v>5</v>
      </c>
      <c r="G2344">
        <v>3</v>
      </c>
      <c r="H2344">
        <v>33</v>
      </c>
      <c r="I2344">
        <v>6</v>
      </c>
      <c r="J2344" t="s">
        <v>11</v>
      </c>
      <c r="K2344">
        <f>IF(J2344="Yes", 1, 0)</f>
        <v>1</v>
      </c>
      <c r="L2344" t="str">
        <f>IF(G2344=0,"0 Failures","1+ Failures")</f>
        <v>1+ Failures</v>
      </c>
      <c r="M2344" t="str">
        <f t="shared" si="110"/>
        <v>10-20hrs</v>
      </c>
      <c r="N2344" t="str">
        <f t="shared" si="108"/>
        <v>12+ months</v>
      </c>
      <c r="O2344" t="str">
        <f t="shared" si="109"/>
        <v>Premium</v>
      </c>
      <c r="P2344" s="7">
        <v>45657</v>
      </c>
    </row>
    <row r="2345" spans="1:16" x14ac:dyDescent="0.3">
      <c r="A2345">
        <v>2344</v>
      </c>
      <c r="B2345" s="7">
        <v>45140</v>
      </c>
      <c r="C2345" t="s">
        <v>14</v>
      </c>
      <c r="D2345">
        <v>399</v>
      </c>
      <c r="E2345">
        <v>18.100000000000001</v>
      </c>
      <c r="F2345">
        <v>8</v>
      </c>
      <c r="G2345">
        <v>0</v>
      </c>
      <c r="H2345">
        <v>36</v>
      </c>
      <c r="I2345">
        <v>0</v>
      </c>
      <c r="J2345" t="s">
        <v>13</v>
      </c>
      <c r="K2345">
        <f>IF(J2345="Yes", 1, 0)</f>
        <v>0</v>
      </c>
      <c r="L2345" t="str">
        <f>IF(G2345=0,"0 Failures","1+ Failures")</f>
        <v>0 Failures</v>
      </c>
      <c r="M2345" t="str">
        <f t="shared" si="110"/>
        <v>10-20hrs</v>
      </c>
      <c r="N2345" t="str">
        <f t="shared" si="108"/>
        <v>12+ months</v>
      </c>
      <c r="O2345" t="str">
        <f t="shared" si="109"/>
        <v>Basic</v>
      </c>
      <c r="P2345" s="7">
        <v>45657</v>
      </c>
    </row>
    <row r="2346" spans="1:16" x14ac:dyDescent="0.3">
      <c r="A2346">
        <v>2345</v>
      </c>
      <c r="B2346" s="7">
        <v>45538</v>
      </c>
      <c r="C2346" t="s">
        <v>12</v>
      </c>
      <c r="D2346">
        <v>199</v>
      </c>
      <c r="E2346">
        <v>14.9</v>
      </c>
      <c r="F2346">
        <v>5</v>
      </c>
      <c r="G2346">
        <v>3</v>
      </c>
      <c r="H2346">
        <v>2</v>
      </c>
      <c r="I2346">
        <v>7</v>
      </c>
      <c r="J2346" t="s">
        <v>13</v>
      </c>
      <c r="K2346">
        <f>IF(J2346="Yes", 1, 0)</f>
        <v>0</v>
      </c>
      <c r="L2346" t="str">
        <f>IF(G2346=0,"0 Failures","1+ Failures")</f>
        <v>1+ Failures</v>
      </c>
      <c r="M2346" t="str">
        <f t="shared" si="110"/>
        <v>10-20hrs</v>
      </c>
      <c r="N2346" t="str">
        <f t="shared" si="108"/>
        <v>0-3months</v>
      </c>
      <c r="O2346" t="str">
        <f t="shared" si="109"/>
        <v>Basic</v>
      </c>
      <c r="P2346" s="7">
        <v>45657</v>
      </c>
    </row>
    <row r="2347" spans="1:16" x14ac:dyDescent="0.3">
      <c r="A2347">
        <v>2346</v>
      </c>
      <c r="B2347" s="7">
        <v>45436</v>
      </c>
      <c r="C2347" t="s">
        <v>10</v>
      </c>
      <c r="D2347">
        <v>699</v>
      </c>
      <c r="E2347">
        <v>6.5</v>
      </c>
      <c r="F2347">
        <v>6</v>
      </c>
      <c r="G2347">
        <v>2</v>
      </c>
      <c r="H2347">
        <v>1</v>
      </c>
      <c r="I2347">
        <v>30</v>
      </c>
      <c r="J2347" t="s">
        <v>11</v>
      </c>
      <c r="K2347">
        <f>IF(J2347="Yes", 1, 0)</f>
        <v>1</v>
      </c>
      <c r="L2347" t="str">
        <f>IF(G2347=0,"0 Failures","1+ Failures")</f>
        <v>1+ Failures</v>
      </c>
      <c r="M2347" t="str">
        <f t="shared" si="110"/>
        <v>5-10 hrs</v>
      </c>
      <c r="N2347" t="str">
        <f t="shared" si="108"/>
        <v>0-3months</v>
      </c>
      <c r="O2347" t="str">
        <f t="shared" si="109"/>
        <v>Premium</v>
      </c>
      <c r="P2347" s="7">
        <v>45657</v>
      </c>
    </row>
    <row r="2348" spans="1:16" x14ac:dyDescent="0.3">
      <c r="A2348">
        <v>2347</v>
      </c>
      <c r="B2348" s="7">
        <v>44930</v>
      </c>
      <c r="C2348" t="s">
        <v>14</v>
      </c>
      <c r="D2348">
        <v>399</v>
      </c>
      <c r="E2348">
        <v>20.7</v>
      </c>
      <c r="F2348">
        <v>1</v>
      </c>
      <c r="G2348">
        <v>5</v>
      </c>
      <c r="H2348">
        <v>19</v>
      </c>
      <c r="I2348">
        <v>58</v>
      </c>
      <c r="J2348" t="s">
        <v>11</v>
      </c>
      <c r="K2348">
        <f>IF(J2348="Yes", 1, 0)</f>
        <v>1</v>
      </c>
      <c r="L2348" t="str">
        <f>IF(G2348=0,"0 Failures","1+ Failures")</f>
        <v>1+ Failures</v>
      </c>
      <c r="M2348" t="str">
        <f t="shared" si="110"/>
        <v>20+ hrs</v>
      </c>
      <c r="N2348" t="str">
        <f t="shared" si="108"/>
        <v>12+ months</v>
      </c>
      <c r="O2348" t="str">
        <f t="shared" si="109"/>
        <v>Basic</v>
      </c>
      <c r="P2348" s="7">
        <v>45657</v>
      </c>
    </row>
    <row r="2349" spans="1:16" x14ac:dyDescent="0.3">
      <c r="A2349">
        <v>2348</v>
      </c>
      <c r="B2349" s="7">
        <v>45245</v>
      </c>
      <c r="C2349" t="s">
        <v>10</v>
      </c>
      <c r="D2349">
        <v>699</v>
      </c>
      <c r="E2349">
        <v>10.1</v>
      </c>
      <c r="F2349">
        <v>5</v>
      </c>
      <c r="G2349">
        <v>1</v>
      </c>
      <c r="H2349">
        <v>14</v>
      </c>
      <c r="I2349">
        <v>56</v>
      </c>
      <c r="J2349" t="s">
        <v>11</v>
      </c>
      <c r="K2349">
        <f>IF(J2349="Yes", 1, 0)</f>
        <v>1</v>
      </c>
      <c r="L2349" t="str">
        <f>IF(G2349=0,"0 Failures","1+ Failures")</f>
        <v>1+ Failures</v>
      </c>
      <c r="M2349" t="str">
        <f t="shared" si="110"/>
        <v>10-20hrs</v>
      </c>
      <c r="N2349" t="str">
        <f t="shared" si="108"/>
        <v>12+ months</v>
      </c>
      <c r="O2349" t="str">
        <f t="shared" si="109"/>
        <v>Premium</v>
      </c>
      <c r="P2349" s="7">
        <v>45657</v>
      </c>
    </row>
    <row r="2350" spans="1:16" x14ac:dyDescent="0.3">
      <c r="A2350">
        <v>2349</v>
      </c>
      <c r="B2350" s="7">
        <v>45038</v>
      </c>
      <c r="C2350" t="s">
        <v>10</v>
      </c>
      <c r="D2350">
        <v>699</v>
      </c>
      <c r="E2350">
        <v>20.3</v>
      </c>
      <c r="F2350">
        <v>8</v>
      </c>
      <c r="G2350">
        <v>5</v>
      </c>
      <c r="H2350">
        <v>5</v>
      </c>
      <c r="I2350">
        <v>49</v>
      </c>
      <c r="J2350" t="s">
        <v>11</v>
      </c>
      <c r="K2350">
        <f>IF(J2350="Yes", 1, 0)</f>
        <v>1</v>
      </c>
      <c r="L2350" t="str">
        <f>IF(G2350=0,"0 Failures","1+ Failures")</f>
        <v>1+ Failures</v>
      </c>
      <c r="M2350" t="str">
        <f t="shared" si="110"/>
        <v>20+ hrs</v>
      </c>
      <c r="N2350" t="str">
        <f t="shared" si="108"/>
        <v>3-6months</v>
      </c>
      <c r="O2350" t="str">
        <f t="shared" si="109"/>
        <v>Premium</v>
      </c>
      <c r="P2350" s="7">
        <v>45657</v>
      </c>
    </row>
    <row r="2351" spans="1:16" x14ac:dyDescent="0.3">
      <c r="A2351">
        <v>2350</v>
      </c>
      <c r="B2351" s="7">
        <v>44954</v>
      </c>
      <c r="C2351" t="s">
        <v>10</v>
      </c>
      <c r="D2351">
        <v>699</v>
      </c>
      <c r="E2351">
        <v>6</v>
      </c>
      <c r="F2351">
        <v>6</v>
      </c>
      <c r="G2351">
        <v>4</v>
      </c>
      <c r="H2351">
        <v>19</v>
      </c>
      <c r="I2351">
        <v>30</v>
      </c>
      <c r="J2351" t="s">
        <v>11</v>
      </c>
      <c r="K2351">
        <f>IF(J2351="Yes", 1, 0)</f>
        <v>1</v>
      </c>
      <c r="L2351" t="str">
        <f>IF(G2351=0,"0 Failures","1+ Failures")</f>
        <v>1+ Failures</v>
      </c>
      <c r="M2351" t="str">
        <f t="shared" si="110"/>
        <v>5-10 hrs</v>
      </c>
      <c r="N2351" t="str">
        <f t="shared" si="108"/>
        <v>12+ months</v>
      </c>
      <c r="O2351" t="str">
        <f t="shared" si="109"/>
        <v>Premium</v>
      </c>
      <c r="P2351" s="7">
        <v>45657</v>
      </c>
    </row>
    <row r="2352" spans="1:16" x14ac:dyDescent="0.3">
      <c r="A2352">
        <v>2351</v>
      </c>
      <c r="B2352" s="7">
        <v>45088</v>
      </c>
      <c r="C2352" t="s">
        <v>10</v>
      </c>
      <c r="D2352">
        <v>699</v>
      </c>
      <c r="E2352">
        <v>19</v>
      </c>
      <c r="F2352">
        <v>6</v>
      </c>
      <c r="G2352">
        <v>1</v>
      </c>
      <c r="H2352">
        <v>9</v>
      </c>
      <c r="I2352">
        <v>10</v>
      </c>
      <c r="J2352" t="s">
        <v>13</v>
      </c>
      <c r="K2352">
        <f>IF(J2352="Yes", 1, 0)</f>
        <v>0</v>
      </c>
      <c r="L2352" t="str">
        <f>IF(G2352=0,"0 Failures","1+ Failures")</f>
        <v>1+ Failures</v>
      </c>
      <c r="M2352" t="str">
        <f t="shared" si="110"/>
        <v>10-20hrs</v>
      </c>
      <c r="N2352" t="str">
        <f t="shared" si="108"/>
        <v>6-12months</v>
      </c>
      <c r="O2352" t="str">
        <f t="shared" si="109"/>
        <v>Premium</v>
      </c>
      <c r="P2352" s="7">
        <v>45657</v>
      </c>
    </row>
    <row r="2353" spans="1:16" x14ac:dyDescent="0.3">
      <c r="A2353">
        <v>2352</v>
      </c>
      <c r="B2353" s="7">
        <v>45355</v>
      </c>
      <c r="C2353" t="s">
        <v>12</v>
      </c>
      <c r="D2353">
        <v>199</v>
      </c>
      <c r="E2353">
        <v>4.0999999999999996</v>
      </c>
      <c r="F2353">
        <v>3</v>
      </c>
      <c r="G2353">
        <v>3</v>
      </c>
      <c r="H2353">
        <v>33</v>
      </c>
      <c r="I2353">
        <v>17</v>
      </c>
      <c r="J2353" t="s">
        <v>11</v>
      </c>
      <c r="K2353">
        <f>IF(J2353="Yes", 1, 0)</f>
        <v>1</v>
      </c>
      <c r="L2353" t="str">
        <f>IF(G2353=0,"0 Failures","1+ Failures")</f>
        <v>1+ Failures</v>
      </c>
      <c r="M2353" t="str">
        <f t="shared" si="110"/>
        <v>0-5 hrs</v>
      </c>
      <c r="N2353" t="str">
        <f t="shared" si="108"/>
        <v>12+ months</v>
      </c>
      <c r="O2353" t="str">
        <f t="shared" si="109"/>
        <v>Basic</v>
      </c>
      <c r="P2353" s="7">
        <v>45657</v>
      </c>
    </row>
    <row r="2354" spans="1:16" x14ac:dyDescent="0.3">
      <c r="A2354">
        <v>2353</v>
      </c>
      <c r="B2354" s="7">
        <v>45228</v>
      </c>
      <c r="C2354" t="s">
        <v>12</v>
      </c>
      <c r="D2354">
        <v>199</v>
      </c>
      <c r="E2354">
        <v>6.8</v>
      </c>
      <c r="F2354">
        <v>0</v>
      </c>
      <c r="G2354">
        <v>5</v>
      </c>
      <c r="H2354">
        <v>6</v>
      </c>
      <c r="I2354">
        <v>47</v>
      </c>
      <c r="J2354" t="s">
        <v>13</v>
      </c>
      <c r="K2354">
        <f>IF(J2354="Yes", 1, 0)</f>
        <v>0</v>
      </c>
      <c r="L2354" t="str">
        <f>IF(G2354=0,"0 Failures","1+ Failures")</f>
        <v>1+ Failures</v>
      </c>
      <c r="M2354" t="str">
        <f t="shared" si="110"/>
        <v>5-10 hrs</v>
      </c>
      <c r="N2354" t="str">
        <f t="shared" si="108"/>
        <v>3-6months</v>
      </c>
      <c r="O2354" t="str">
        <f t="shared" si="109"/>
        <v>Basic</v>
      </c>
      <c r="P2354" s="7">
        <v>45657</v>
      </c>
    </row>
    <row r="2355" spans="1:16" x14ac:dyDescent="0.3">
      <c r="A2355">
        <v>2354</v>
      </c>
      <c r="B2355" s="7">
        <v>45272</v>
      </c>
      <c r="C2355" t="s">
        <v>12</v>
      </c>
      <c r="D2355">
        <v>199</v>
      </c>
      <c r="E2355">
        <v>13.6</v>
      </c>
      <c r="F2355">
        <v>0</v>
      </c>
      <c r="G2355">
        <v>2</v>
      </c>
      <c r="H2355">
        <v>34</v>
      </c>
      <c r="I2355">
        <v>40</v>
      </c>
      <c r="J2355" t="s">
        <v>11</v>
      </c>
      <c r="K2355">
        <f>IF(J2355="Yes", 1, 0)</f>
        <v>1</v>
      </c>
      <c r="L2355" t="str">
        <f>IF(G2355=0,"0 Failures","1+ Failures")</f>
        <v>1+ Failures</v>
      </c>
      <c r="M2355" t="str">
        <f t="shared" si="110"/>
        <v>10-20hrs</v>
      </c>
      <c r="N2355" t="str">
        <f t="shared" si="108"/>
        <v>12+ months</v>
      </c>
      <c r="O2355" t="str">
        <f t="shared" si="109"/>
        <v>Basic</v>
      </c>
      <c r="P2355" s="7">
        <v>45657</v>
      </c>
    </row>
    <row r="2356" spans="1:16" x14ac:dyDescent="0.3">
      <c r="A2356">
        <v>2355</v>
      </c>
      <c r="B2356" s="7">
        <v>45458</v>
      </c>
      <c r="C2356" t="s">
        <v>12</v>
      </c>
      <c r="D2356">
        <v>199</v>
      </c>
      <c r="E2356">
        <v>23.4</v>
      </c>
      <c r="F2356">
        <v>6</v>
      </c>
      <c r="G2356">
        <v>3</v>
      </c>
      <c r="H2356">
        <v>32</v>
      </c>
      <c r="I2356">
        <v>50</v>
      </c>
      <c r="J2356" t="s">
        <v>11</v>
      </c>
      <c r="K2356">
        <f>IF(J2356="Yes", 1, 0)</f>
        <v>1</v>
      </c>
      <c r="L2356" t="str">
        <f>IF(G2356=0,"0 Failures","1+ Failures")</f>
        <v>1+ Failures</v>
      </c>
      <c r="M2356" t="str">
        <f t="shared" si="110"/>
        <v>20+ hrs</v>
      </c>
      <c r="N2356" t="str">
        <f t="shared" si="108"/>
        <v>12+ months</v>
      </c>
      <c r="O2356" t="str">
        <f t="shared" si="109"/>
        <v>Basic</v>
      </c>
      <c r="P2356" s="7">
        <v>45657</v>
      </c>
    </row>
    <row r="2357" spans="1:16" x14ac:dyDescent="0.3">
      <c r="A2357">
        <v>2356</v>
      </c>
      <c r="B2357" s="7">
        <v>44970</v>
      </c>
      <c r="C2357" t="s">
        <v>10</v>
      </c>
      <c r="D2357">
        <v>699</v>
      </c>
      <c r="E2357">
        <v>3.4</v>
      </c>
      <c r="F2357">
        <v>2</v>
      </c>
      <c r="G2357">
        <v>3</v>
      </c>
      <c r="H2357">
        <v>7</v>
      </c>
      <c r="I2357">
        <v>49</v>
      </c>
      <c r="J2357" t="s">
        <v>11</v>
      </c>
      <c r="K2357">
        <f>IF(J2357="Yes", 1, 0)</f>
        <v>1</v>
      </c>
      <c r="L2357" t="str">
        <f>IF(G2357=0,"0 Failures","1+ Failures")</f>
        <v>1+ Failures</v>
      </c>
      <c r="M2357" t="str">
        <f t="shared" si="110"/>
        <v>0-5 hrs</v>
      </c>
      <c r="N2357" t="str">
        <f t="shared" si="108"/>
        <v>6-12months</v>
      </c>
      <c r="O2357" t="str">
        <f t="shared" si="109"/>
        <v>Premium</v>
      </c>
      <c r="P2357" s="7">
        <v>45657</v>
      </c>
    </row>
    <row r="2358" spans="1:16" x14ac:dyDescent="0.3">
      <c r="A2358">
        <v>2357</v>
      </c>
      <c r="B2358" s="7">
        <v>45549</v>
      </c>
      <c r="C2358" t="s">
        <v>12</v>
      </c>
      <c r="D2358">
        <v>199</v>
      </c>
      <c r="E2358">
        <v>13.2</v>
      </c>
      <c r="F2358">
        <v>3</v>
      </c>
      <c r="G2358">
        <v>2</v>
      </c>
      <c r="H2358">
        <v>4</v>
      </c>
      <c r="I2358">
        <v>24</v>
      </c>
      <c r="J2358" t="s">
        <v>11</v>
      </c>
      <c r="K2358">
        <f>IF(J2358="Yes", 1, 0)</f>
        <v>1</v>
      </c>
      <c r="L2358" t="str">
        <f>IF(G2358=0,"0 Failures","1+ Failures")</f>
        <v>1+ Failures</v>
      </c>
      <c r="M2358" t="str">
        <f t="shared" si="110"/>
        <v>10-20hrs</v>
      </c>
      <c r="N2358" t="str">
        <f t="shared" si="108"/>
        <v>3-6months</v>
      </c>
      <c r="O2358" t="str">
        <f t="shared" si="109"/>
        <v>Basic</v>
      </c>
      <c r="P2358" s="7">
        <v>45657</v>
      </c>
    </row>
    <row r="2359" spans="1:16" x14ac:dyDescent="0.3">
      <c r="A2359">
        <v>2358</v>
      </c>
      <c r="B2359" s="7">
        <v>45144</v>
      </c>
      <c r="C2359" t="s">
        <v>12</v>
      </c>
      <c r="D2359">
        <v>199</v>
      </c>
      <c r="E2359">
        <v>10</v>
      </c>
      <c r="F2359">
        <v>7</v>
      </c>
      <c r="G2359">
        <v>0</v>
      </c>
      <c r="H2359">
        <v>2</v>
      </c>
      <c r="I2359">
        <v>20</v>
      </c>
      <c r="J2359" t="s">
        <v>13</v>
      </c>
      <c r="K2359">
        <f>IF(J2359="Yes", 1, 0)</f>
        <v>0</v>
      </c>
      <c r="L2359" t="str">
        <f>IF(G2359=0,"0 Failures","1+ Failures")</f>
        <v>0 Failures</v>
      </c>
      <c r="M2359" t="str">
        <f t="shared" si="110"/>
        <v>5-10 hrs</v>
      </c>
      <c r="N2359" t="str">
        <f t="shared" si="108"/>
        <v>0-3months</v>
      </c>
      <c r="O2359" t="str">
        <f t="shared" si="109"/>
        <v>Basic</v>
      </c>
      <c r="P2359" s="7">
        <v>45657</v>
      </c>
    </row>
    <row r="2360" spans="1:16" x14ac:dyDescent="0.3">
      <c r="A2360">
        <v>2359</v>
      </c>
      <c r="B2360" s="7">
        <v>45367</v>
      </c>
      <c r="C2360" t="s">
        <v>12</v>
      </c>
      <c r="D2360">
        <v>199</v>
      </c>
      <c r="E2360">
        <v>19.3</v>
      </c>
      <c r="F2360">
        <v>4</v>
      </c>
      <c r="G2360">
        <v>2</v>
      </c>
      <c r="H2360">
        <v>12</v>
      </c>
      <c r="I2360">
        <v>22</v>
      </c>
      <c r="J2360" t="s">
        <v>11</v>
      </c>
      <c r="K2360">
        <f>IF(J2360="Yes", 1, 0)</f>
        <v>1</v>
      </c>
      <c r="L2360" t="str">
        <f>IF(G2360=0,"0 Failures","1+ Failures")</f>
        <v>1+ Failures</v>
      </c>
      <c r="M2360" t="str">
        <f t="shared" si="110"/>
        <v>10-20hrs</v>
      </c>
      <c r="N2360" t="str">
        <f t="shared" si="108"/>
        <v>6-12months</v>
      </c>
      <c r="O2360" t="str">
        <f t="shared" si="109"/>
        <v>Basic</v>
      </c>
      <c r="P2360" s="7">
        <v>45657</v>
      </c>
    </row>
    <row r="2361" spans="1:16" x14ac:dyDescent="0.3">
      <c r="A2361">
        <v>2360</v>
      </c>
      <c r="B2361" s="7">
        <v>45361</v>
      </c>
      <c r="C2361" t="s">
        <v>10</v>
      </c>
      <c r="D2361">
        <v>699</v>
      </c>
      <c r="E2361">
        <v>5</v>
      </c>
      <c r="F2361">
        <v>1</v>
      </c>
      <c r="G2361">
        <v>3</v>
      </c>
      <c r="H2361">
        <v>36</v>
      </c>
      <c r="I2361">
        <v>40</v>
      </c>
      <c r="J2361" t="s">
        <v>13</v>
      </c>
      <c r="K2361">
        <f>IF(J2361="Yes", 1, 0)</f>
        <v>0</v>
      </c>
      <c r="L2361" t="str">
        <f>IF(G2361=0,"0 Failures","1+ Failures")</f>
        <v>1+ Failures</v>
      </c>
      <c r="M2361" t="str">
        <f t="shared" si="110"/>
        <v>0-5 hrs</v>
      </c>
      <c r="N2361" t="str">
        <f t="shared" si="108"/>
        <v>12+ months</v>
      </c>
      <c r="O2361" t="str">
        <f t="shared" si="109"/>
        <v>Premium</v>
      </c>
      <c r="P2361" s="7">
        <v>45657</v>
      </c>
    </row>
    <row r="2362" spans="1:16" x14ac:dyDescent="0.3">
      <c r="A2362">
        <v>2361</v>
      </c>
      <c r="B2362" s="7">
        <v>44968</v>
      </c>
      <c r="C2362" t="s">
        <v>10</v>
      </c>
      <c r="D2362">
        <v>699</v>
      </c>
      <c r="E2362">
        <v>15.7</v>
      </c>
      <c r="F2362">
        <v>8</v>
      </c>
      <c r="G2362">
        <v>2</v>
      </c>
      <c r="H2362">
        <v>10</v>
      </c>
      <c r="I2362">
        <v>18</v>
      </c>
      <c r="J2362" t="s">
        <v>13</v>
      </c>
      <c r="K2362">
        <f>IF(J2362="Yes", 1, 0)</f>
        <v>0</v>
      </c>
      <c r="L2362" t="str">
        <f>IF(G2362=0,"0 Failures","1+ Failures")</f>
        <v>1+ Failures</v>
      </c>
      <c r="M2362" t="str">
        <f t="shared" si="110"/>
        <v>10-20hrs</v>
      </c>
      <c r="N2362" t="str">
        <f t="shared" si="108"/>
        <v>6-12months</v>
      </c>
      <c r="O2362" t="str">
        <f t="shared" si="109"/>
        <v>Premium</v>
      </c>
      <c r="P2362" s="7">
        <v>45657</v>
      </c>
    </row>
    <row r="2363" spans="1:16" x14ac:dyDescent="0.3">
      <c r="A2363">
        <v>2362</v>
      </c>
      <c r="B2363" s="7">
        <v>45385</v>
      </c>
      <c r="C2363" t="s">
        <v>12</v>
      </c>
      <c r="D2363">
        <v>199</v>
      </c>
      <c r="E2363">
        <v>7.9</v>
      </c>
      <c r="F2363">
        <v>8</v>
      </c>
      <c r="G2363">
        <v>0</v>
      </c>
      <c r="H2363">
        <v>16</v>
      </c>
      <c r="I2363">
        <v>50</v>
      </c>
      <c r="J2363" t="s">
        <v>13</v>
      </c>
      <c r="K2363">
        <f>IF(J2363="Yes", 1, 0)</f>
        <v>0</v>
      </c>
      <c r="L2363" t="str">
        <f>IF(G2363=0,"0 Failures","1+ Failures")</f>
        <v>0 Failures</v>
      </c>
      <c r="M2363" t="str">
        <f t="shared" si="110"/>
        <v>5-10 hrs</v>
      </c>
      <c r="N2363" t="str">
        <f t="shared" si="108"/>
        <v>12+ months</v>
      </c>
      <c r="O2363" t="str">
        <f t="shared" si="109"/>
        <v>Basic</v>
      </c>
      <c r="P2363" s="7">
        <v>45657</v>
      </c>
    </row>
    <row r="2364" spans="1:16" x14ac:dyDescent="0.3">
      <c r="A2364">
        <v>2363</v>
      </c>
      <c r="B2364" s="7">
        <v>45468</v>
      </c>
      <c r="C2364" t="s">
        <v>12</v>
      </c>
      <c r="D2364">
        <v>199</v>
      </c>
      <c r="E2364">
        <v>7.8</v>
      </c>
      <c r="F2364">
        <v>7</v>
      </c>
      <c r="G2364">
        <v>5</v>
      </c>
      <c r="H2364">
        <v>22</v>
      </c>
      <c r="I2364">
        <v>58</v>
      </c>
      <c r="J2364" t="s">
        <v>11</v>
      </c>
      <c r="K2364">
        <f>IF(J2364="Yes", 1, 0)</f>
        <v>1</v>
      </c>
      <c r="L2364" t="str">
        <f>IF(G2364=0,"0 Failures","1+ Failures")</f>
        <v>1+ Failures</v>
      </c>
      <c r="M2364" t="str">
        <f t="shared" si="110"/>
        <v>5-10 hrs</v>
      </c>
      <c r="N2364" t="str">
        <f t="shared" si="108"/>
        <v>12+ months</v>
      </c>
      <c r="O2364" t="str">
        <f t="shared" si="109"/>
        <v>Basic</v>
      </c>
      <c r="P2364" s="7">
        <v>45657</v>
      </c>
    </row>
    <row r="2365" spans="1:16" x14ac:dyDescent="0.3">
      <c r="A2365">
        <v>2364</v>
      </c>
      <c r="B2365" s="7">
        <v>45054</v>
      </c>
      <c r="C2365" t="s">
        <v>12</v>
      </c>
      <c r="D2365">
        <v>199</v>
      </c>
      <c r="E2365">
        <v>1.6</v>
      </c>
      <c r="F2365">
        <v>3</v>
      </c>
      <c r="G2365">
        <v>5</v>
      </c>
      <c r="H2365">
        <v>27</v>
      </c>
      <c r="I2365">
        <v>23</v>
      </c>
      <c r="J2365" t="s">
        <v>11</v>
      </c>
      <c r="K2365">
        <f>IF(J2365="Yes", 1, 0)</f>
        <v>1</v>
      </c>
      <c r="L2365" t="str">
        <f>IF(G2365=0,"0 Failures","1+ Failures")</f>
        <v>1+ Failures</v>
      </c>
      <c r="M2365" t="str">
        <f t="shared" si="110"/>
        <v>0-5 hrs</v>
      </c>
      <c r="N2365" t="str">
        <f t="shared" si="108"/>
        <v>12+ months</v>
      </c>
      <c r="O2365" t="str">
        <f t="shared" si="109"/>
        <v>Basic</v>
      </c>
      <c r="P2365" s="7">
        <v>45657</v>
      </c>
    </row>
    <row r="2366" spans="1:16" x14ac:dyDescent="0.3">
      <c r="A2366">
        <v>2365</v>
      </c>
      <c r="B2366" s="7">
        <v>44975</v>
      </c>
      <c r="C2366" t="s">
        <v>12</v>
      </c>
      <c r="D2366">
        <v>199</v>
      </c>
      <c r="E2366">
        <v>16.8</v>
      </c>
      <c r="F2366">
        <v>7</v>
      </c>
      <c r="G2366">
        <v>5</v>
      </c>
      <c r="H2366">
        <v>7</v>
      </c>
      <c r="I2366">
        <v>44</v>
      </c>
      <c r="J2366" t="s">
        <v>11</v>
      </c>
      <c r="K2366">
        <f>IF(J2366="Yes", 1, 0)</f>
        <v>1</v>
      </c>
      <c r="L2366" t="str">
        <f>IF(G2366=0,"0 Failures","1+ Failures")</f>
        <v>1+ Failures</v>
      </c>
      <c r="M2366" t="str">
        <f t="shared" si="110"/>
        <v>10-20hrs</v>
      </c>
      <c r="N2366" t="str">
        <f t="shared" si="108"/>
        <v>6-12months</v>
      </c>
      <c r="O2366" t="str">
        <f t="shared" si="109"/>
        <v>Basic</v>
      </c>
      <c r="P2366" s="7">
        <v>45657</v>
      </c>
    </row>
    <row r="2367" spans="1:16" x14ac:dyDescent="0.3">
      <c r="A2367">
        <v>2366</v>
      </c>
      <c r="B2367" s="7">
        <v>44943</v>
      </c>
      <c r="C2367" t="s">
        <v>10</v>
      </c>
      <c r="D2367">
        <v>699</v>
      </c>
      <c r="E2367">
        <v>24.8</v>
      </c>
      <c r="F2367">
        <v>1</v>
      </c>
      <c r="G2367">
        <v>2</v>
      </c>
      <c r="H2367">
        <v>24</v>
      </c>
      <c r="I2367">
        <v>18</v>
      </c>
      <c r="J2367" t="s">
        <v>13</v>
      </c>
      <c r="K2367">
        <f>IF(J2367="Yes", 1, 0)</f>
        <v>0</v>
      </c>
      <c r="L2367" t="str">
        <f>IF(G2367=0,"0 Failures","1+ Failures")</f>
        <v>1+ Failures</v>
      </c>
      <c r="M2367" t="str">
        <f t="shared" si="110"/>
        <v>20+ hrs</v>
      </c>
      <c r="N2367" t="str">
        <f t="shared" si="108"/>
        <v>12+ months</v>
      </c>
      <c r="O2367" t="str">
        <f t="shared" si="109"/>
        <v>Premium</v>
      </c>
      <c r="P2367" s="7">
        <v>45657</v>
      </c>
    </row>
    <row r="2368" spans="1:16" x14ac:dyDescent="0.3">
      <c r="A2368">
        <v>2367</v>
      </c>
      <c r="B2368" s="7">
        <v>45513</v>
      </c>
      <c r="C2368" t="s">
        <v>10</v>
      </c>
      <c r="D2368">
        <v>699</v>
      </c>
      <c r="E2368">
        <v>24.8</v>
      </c>
      <c r="F2368">
        <v>2</v>
      </c>
      <c r="G2368">
        <v>3</v>
      </c>
      <c r="H2368">
        <v>29</v>
      </c>
      <c r="I2368">
        <v>48</v>
      </c>
      <c r="J2368" t="s">
        <v>11</v>
      </c>
      <c r="K2368">
        <f>IF(J2368="Yes", 1, 0)</f>
        <v>1</v>
      </c>
      <c r="L2368" t="str">
        <f>IF(G2368=0,"0 Failures","1+ Failures")</f>
        <v>1+ Failures</v>
      </c>
      <c r="M2368" t="str">
        <f t="shared" si="110"/>
        <v>20+ hrs</v>
      </c>
      <c r="N2368" t="str">
        <f t="shared" si="108"/>
        <v>12+ months</v>
      </c>
      <c r="O2368" t="str">
        <f t="shared" si="109"/>
        <v>Premium</v>
      </c>
      <c r="P2368" s="7">
        <v>45657</v>
      </c>
    </row>
    <row r="2369" spans="1:16" x14ac:dyDescent="0.3">
      <c r="A2369">
        <v>2368</v>
      </c>
      <c r="B2369" s="7">
        <v>45584</v>
      </c>
      <c r="C2369" t="s">
        <v>10</v>
      </c>
      <c r="D2369">
        <v>699</v>
      </c>
      <c r="E2369">
        <v>19.3</v>
      </c>
      <c r="F2369">
        <v>6</v>
      </c>
      <c r="G2369">
        <v>5</v>
      </c>
      <c r="H2369">
        <v>27</v>
      </c>
      <c r="I2369">
        <v>18</v>
      </c>
      <c r="J2369" t="s">
        <v>13</v>
      </c>
      <c r="K2369">
        <f>IF(J2369="Yes", 1, 0)</f>
        <v>0</v>
      </c>
      <c r="L2369" t="str">
        <f>IF(G2369=0,"0 Failures","1+ Failures")</f>
        <v>1+ Failures</v>
      </c>
      <c r="M2369" t="str">
        <f t="shared" si="110"/>
        <v>10-20hrs</v>
      </c>
      <c r="N2369" t="str">
        <f t="shared" si="108"/>
        <v>12+ months</v>
      </c>
      <c r="O2369" t="str">
        <f t="shared" si="109"/>
        <v>Premium</v>
      </c>
      <c r="P2369" s="7">
        <v>45657</v>
      </c>
    </row>
    <row r="2370" spans="1:16" x14ac:dyDescent="0.3">
      <c r="A2370">
        <v>2369</v>
      </c>
      <c r="B2370" s="7">
        <v>45301</v>
      </c>
      <c r="C2370" t="s">
        <v>10</v>
      </c>
      <c r="D2370">
        <v>699</v>
      </c>
      <c r="E2370">
        <v>2.7</v>
      </c>
      <c r="F2370">
        <v>8</v>
      </c>
      <c r="G2370">
        <v>2</v>
      </c>
      <c r="H2370">
        <v>30</v>
      </c>
      <c r="I2370">
        <v>9</v>
      </c>
      <c r="J2370" t="s">
        <v>11</v>
      </c>
      <c r="K2370">
        <f>IF(J2370="Yes", 1, 0)</f>
        <v>1</v>
      </c>
      <c r="L2370" t="str">
        <f>IF(G2370=0,"0 Failures","1+ Failures")</f>
        <v>1+ Failures</v>
      </c>
      <c r="M2370" t="str">
        <f t="shared" si="110"/>
        <v>0-5 hrs</v>
      </c>
      <c r="N2370" t="str">
        <f t="shared" si="108"/>
        <v>12+ months</v>
      </c>
      <c r="O2370" t="str">
        <f t="shared" si="109"/>
        <v>Premium</v>
      </c>
      <c r="P2370" s="7">
        <v>45657</v>
      </c>
    </row>
    <row r="2371" spans="1:16" x14ac:dyDescent="0.3">
      <c r="A2371">
        <v>2370</v>
      </c>
      <c r="B2371" s="7">
        <v>45228</v>
      </c>
      <c r="C2371" t="s">
        <v>10</v>
      </c>
      <c r="D2371">
        <v>699</v>
      </c>
      <c r="E2371">
        <v>16.100000000000001</v>
      </c>
      <c r="F2371">
        <v>3</v>
      </c>
      <c r="G2371">
        <v>1</v>
      </c>
      <c r="H2371">
        <v>25</v>
      </c>
      <c r="I2371">
        <v>21</v>
      </c>
      <c r="J2371" t="s">
        <v>13</v>
      </c>
      <c r="K2371">
        <f>IF(J2371="Yes", 1, 0)</f>
        <v>0</v>
      </c>
      <c r="L2371" t="str">
        <f>IF(G2371=0,"0 Failures","1+ Failures")</f>
        <v>1+ Failures</v>
      </c>
      <c r="M2371" t="str">
        <f t="shared" si="110"/>
        <v>10-20hrs</v>
      </c>
      <c r="N2371" t="str">
        <f t="shared" ref="N2371:N2434" si="111">IF(H2371&lt;=3, "0-3months", IF(H2371&lt;=6, "3-6months", IF(H2371&lt;=12, "6-12months", "12+ months")))</f>
        <v>12+ months</v>
      </c>
      <c r="O2371" t="str">
        <f t="shared" ref="O2371:O2434" si="112">IF(C2371="premium", "Premium", "Basic")</f>
        <v>Premium</v>
      </c>
      <c r="P2371" s="7">
        <v>45657</v>
      </c>
    </row>
    <row r="2372" spans="1:16" x14ac:dyDescent="0.3">
      <c r="A2372">
        <v>2371</v>
      </c>
      <c r="B2372" s="7">
        <v>45116</v>
      </c>
      <c r="C2372" t="s">
        <v>12</v>
      </c>
      <c r="D2372">
        <v>199</v>
      </c>
      <c r="E2372">
        <v>22.2</v>
      </c>
      <c r="F2372">
        <v>3</v>
      </c>
      <c r="G2372">
        <v>1</v>
      </c>
      <c r="H2372">
        <v>33</v>
      </c>
      <c r="I2372">
        <v>56</v>
      </c>
      <c r="J2372" t="s">
        <v>11</v>
      </c>
      <c r="K2372">
        <f>IF(J2372="Yes", 1, 0)</f>
        <v>1</v>
      </c>
      <c r="L2372" t="str">
        <f>IF(G2372=0,"0 Failures","1+ Failures")</f>
        <v>1+ Failures</v>
      </c>
      <c r="M2372" t="str">
        <f t="shared" si="110"/>
        <v>20+ hrs</v>
      </c>
      <c r="N2372" t="str">
        <f t="shared" si="111"/>
        <v>12+ months</v>
      </c>
      <c r="O2372" t="str">
        <f t="shared" si="112"/>
        <v>Basic</v>
      </c>
      <c r="P2372" s="7">
        <v>45657</v>
      </c>
    </row>
    <row r="2373" spans="1:16" x14ac:dyDescent="0.3">
      <c r="A2373">
        <v>2372</v>
      </c>
      <c r="B2373" s="7">
        <v>44983</v>
      </c>
      <c r="C2373" t="s">
        <v>12</v>
      </c>
      <c r="D2373">
        <v>199</v>
      </c>
      <c r="E2373">
        <v>19.600000000000001</v>
      </c>
      <c r="F2373">
        <v>6</v>
      </c>
      <c r="G2373">
        <v>3</v>
      </c>
      <c r="H2373">
        <v>19</v>
      </c>
      <c r="I2373">
        <v>36</v>
      </c>
      <c r="J2373" t="s">
        <v>11</v>
      </c>
      <c r="K2373">
        <f>IF(J2373="Yes", 1, 0)</f>
        <v>1</v>
      </c>
      <c r="L2373" t="str">
        <f>IF(G2373=0,"0 Failures","1+ Failures")</f>
        <v>1+ Failures</v>
      </c>
      <c r="M2373" t="str">
        <f t="shared" si="110"/>
        <v>10-20hrs</v>
      </c>
      <c r="N2373" t="str">
        <f t="shared" si="111"/>
        <v>12+ months</v>
      </c>
      <c r="O2373" t="str">
        <f t="shared" si="112"/>
        <v>Basic</v>
      </c>
      <c r="P2373" s="7">
        <v>45657</v>
      </c>
    </row>
    <row r="2374" spans="1:16" x14ac:dyDescent="0.3">
      <c r="A2374">
        <v>2373</v>
      </c>
      <c r="B2374" s="7">
        <v>45395</v>
      </c>
      <c r="C2374" t="s">
        <v>14</v>
      </c>
      <c r="D2374">
        <v>399</v>
      </c>
      <c r="E2374">
        <v>24.8</v>
      </c>
      <c r="F2374">
        <v>7</v>
      </c>
      <c r="G2374">
        <v>1</v>
      </c>
      <c r="H2374">
        <v>2</v>
      </c>
      <c r="I2374">
        <v>25</v>
      </c>
      <c r="J2374" t="s">
        <v>13</v>
      </c>
      <c r="K2374">
        <f>IF(J2374="Yes", 1, 0)</f>
        <v>0</v>
      </c>
      <c r="L2374" t="str">
        <f>IF(G2374=0,"0 Failures","1+ Failures")</f>
        <v>1+ Failures</v>
      </c>
      <c r="M2374" t="str">
        <f t="shared" si="110"/>
        <v>20+ hrs</v>
      </c>
      <c r="N2374" t="str">
        <f t="shared" si="111"/>
        <v>0-3months</v>
      </c>
      <c r="O2374" t="str">
        <f t="shared" si="112"/>
        <v>Basic</v>
      </c>
      <c r="P2374" s="7">
        <v>45657</v>
      </c>
    </row>
    <row r="2375" spans="1:16" x14ac:dyDescent="0.3">
      <c r="A2375">
        <v>2374</v>
      </c>
      <c r="B2375" s="7">
        <v>45160</v>
      </c>
      <c r="C2375" t="s">
        <v>14</v>
      </c>
      <c r="D2375">
        <v>399</v>
      </c>
      <c r="E2375">
        <v>16.2</v>
      </c>
      <c r="F2375">
        <v>2</v>
      </c>
      <c r="G2375">
        <v>5</v>
      </c>
      <c r="H2375">
        <v>2</v>
      </c>
      <c r="I2375">
        <v>13</v>
      </c>
      <c r="J2375" t="s">
        <v>11</v>
      </c>
      <c r="K2375">
        <f>IF(J2375="Yes", 1, 0)</f>
        <v>1</v>
      </c>
      <c r="L2375" t="str">
        <f>IF(G2375=0,"0 Failures","1+ Failures")</f>
        <v>1+ Failures</v>
      </c>
      <c r="M2375" t="str">
        <f t="shared" si="110"/>
        <v>10-20hrs</v>
      </c>
      <c r="N2375" t="str">
        <f t="shared" si="111"/>
        <v>0-3months</v>
      </c>
      <c r="O2375" t="str">
        <f t="shared" si="112"/>
        <v>Basic</v>
      </c>
      <c r="P2375" s="7">
        <v>45657</v>
      </c>
    </row>
    <row r="2376" spans="1:16" x14ac:dyDescent="0.3">
      <c r="A2376">
        <v>2375</v>
      </c>
      <c r="B2376" s="7">
        <v>45459</v>
      </c>
      <c r="C2376" t="s">
        <v>10</v>
      </c>
      <c r="D2376">
        <v>699</v>
      </c>
      <c r="E2376">
        <v>8.5</v>
      </c>
      <c r="F2376">
        <v>5</v>
      </c>
      <c r="G2376">
        <v>5</v>
      </c>
      <c r="H2376">
        <v>15</v>
      </c>
      <c r="I2376">
        <v>15</v>
      </c>
      <c r="J2376" t="s">
        <v>13</v>
      </c>
      <c r="K2376">
        <f>IF(J2376="Yes", 1, 0)</f>
        <v>0</v>
      </c>
      <c r="L2376" t="str">
        <f>IF(G2376=0,"0 Failures","1+ Failures")</f>
        <v>1+ Failures</v>
      </c>
      <c r="M2376" t="str">
        <f t="shared" si="110"/>
        <v>5-10 hrs</v>
      </c>
      <c r="N2376" t="str">
        <f t="shared" si="111"/>
        <v>12+ months</v>
      </c>
      <c r="O2376" t="str">
        <f t="shared" si="112"/>
        <v>Premium</v>
      </c>
      <c r="P2376" s="7">
        <v>45657</v>
      </c>
    </row>
    <row r="2377" spans="1:16" x14ac:dyDescent="0.3">
      <c r="A2377">
        <v>2376</v>
      </c>
      <c r="B2377" s="7">
        <v>45344</v>
      </c>
      <c r="C2377" t="s">
        <v>12</v>
      </c>
      <c r="D2377">
        <v>199</v>
      </c>
      <c r="E2377">
        <v>19</v>
      </c>
      <c r="F2377">
        <v>4</v>
      </c>
      <c r="G2377">
        <v>0</v>
      </c>
      <c r="H2377">
        <v>36</v>
      </c>
      <c r="I2377">
        <v>57</v>
      </c>
      <c r="J2377" t="s">
        <v>11</v>
      </c>
      <c r="K2377">
        <f>IF(J2377="Yes", 1, 0)</f>
        <v>1</v>
      </c>
      <c r="L2377" t="str">
        <f>IF(G2377=0,"0 Failures","1+ Failures")</f>
        <v>0 Failures</v>
      </c>
      <c r="M2377" t="str">
        <f t="shared" si="110"/>
        <v>10-20hrs</v>
      </c>
      <c r="N2377" t="str">
        <f t="shared" si="111"/>
        <v>12+ months</v>
      </c>
      <c r="O2377" t="str">
        <f t="shared" si="112"/>
        <v>Basic</v>
      </c>
      <c r="P2377" s="7">
        <v>45657</v>
      </c>
    </row>
    <row r="2378" spans="1:16" x14ac:dyDescent="0.3">
      <c r="A2378">
        <v>2377</v>
      </c>
      <c r="B2378" s="7">
        <v>45077</v>
      </c>
      <c r="C2378" t="s">
        <v>10</v>
      </c>
      <c r="D2378">
        <v>699</v>
      </c>
      <c r="E2378">
        <v>24.5</v>
      </c>
      <c r="F2378">
        <v>6</v>
      </c>
      <c r="G2378">
        <v>2</v>
      </c>
      <c r="H2378">
        <v>8</v>
      </c>
      <c r="I2378">
        <v>1</v>
      </c>
      <c r="J2378" t="s">
        <v>13</v>
      </c>
      <c r="K2378">
        <f>IF(J2378="Yes", 1, 0)</f>
        <v>0</v>
      </c>
      <c r="L2378" t="str">
        <f>IF(G2378=0,"0 Failures","1+ Failures")</f>
        <v>1+ Failures</v>
      </c>
      <c r="M2378" t="str">
        <f t="shared" si="110"/>
        <v>20+ hrs</v>
      </c>
      <c r="N2378" t="str">
        <f t="shared" si="111"/>
        <v>6-12months</v>
      </c>
      <c r="O2378" t="str">
        <f t="shared" si="112"/>
        <v>Premium</v>
      </c>
      <c r="P2378" s="7">
        <v>45657</v>
      </c>
    </row>
    <row r="2379" spans="1:16" x14ac:dyDescent="0.3">
      <c r="A2379">
        <v>2378</v>
      </c>
      <c r="B2379" s="7">
        <v>45490</v>
      </c>
      <c r="C2379" t="s">
        <v>14</v>
      </c>
      <c r="D2379">
        <v>399</v>
      </c>
      <c r="E2379">
        <v>13.8</v>
      </c>
      <c r="F2379">
        <v>2</v>
      </c>
      <c r="G2379">
        <v>3</v>
      </c>
      <c r="H2379">
        <v>23</v>
      </c>
      <c r="I2379">
        <v>42</v>
      </c>
      <c r="J2379" t="s">
        <v>11</v>
      </c>
      <c r="K2379">
        <f>IF(J2379="Yes", 1, 0)</f>
        <v>1</v>
      </c>
      <c r="L2379" t="str">
        <f>IF(G2379=0,"0 Failures","1+ Failures")</f>
        <v>1+ Failures</v>
      </c>
      <c r="M2379" t="str">
        <f t="shared" ref="M2379:M2442" si="113">IF(E2379&lt;=5, "0-5 hrs",    IF(E2379&lt;=10, "5-10 hrs",    IF(E2379&lt;=20, "10-20hrs", "20+ hrs")))</f>
        <v>10-20hrs</v>
      </c>
      <c r="N2379" t="str">
        <f t="shared" si="111"/>
        <v>12+ months</v>
      </c>
      <c r="O2379" t="str">
        <f t="shared" si="112"/>
        <v>Basic</v>
      </c>
      <c r="P2379" s="7">
        <v>45657</v>
      </c>
    </row>
    <row r="2380" spans="1:16" x14ac:dyDescent="0.3">
      <c r="A2380">
        <v>2379</v>
      </c>
      <c r="B2380" s="7">
        <v>45363</v>
      </c>
      <c r="C2380" t="s">
        <v>14</v>
      </c>
      <c r="D2380">
        <v>399</v>
      </c>
      <c r="E2380">
        <v>8.9</v>
      </c>
      <c r="F2380">
        <v>1</v>
      </c>
      <c r="G2380">
        <v>1</v>
      </c>
      <c r="H2380">
        <v>25</v>
      </c>
      <c r="I2380">
        <v>0</v>
      </c>
      <c r="J2380" t="s">
        <v>13</v>
      </c>
      <c r="K2380">
        <f>IF(J2380="Yes", 1, 0)</f>
        <v>0</v>
      </c>
      <c r="L2380" t="str">
        <f>IF(G2380=0,"0 Failures","1+ Failures")</f>
        <v>1+ Failures</v>
      </c>
      <c r="M2380" t="str">
        <f t="shared" si="113"/>
        <v>5-10 hrs</v>
      </c>
      <c r="N2380" t="str">
        <f t="shared" si="111"/>
        <v>12+ months</v>
      </c>
      <c r="O2380" t="str">
        <f t="shared" si="112"/>
        <v>Basic</v>
      </c>
      <c r="P2380" s="7">
        <v>45657</v>
      </c>
    </row>
    <row r="2381" spans="1:16" x14ac:dyDescent="0.3">
      <c r="A2381">
        <v>2380</v>
      </c>
      <c r="B2381" s="7">
        <v>45050</v>
      </c>
      <c r="C2381" t="s">
        <v>12</v>
      </c>
      <c r="D2381">
        <v>199</v>
      </c>
      <c r="E2381">
        <v>19.3</v>
      </c>
      <c r="F2381">
        <v>8</v>
      </c>
      <c r="G2381">
        <v>2</v>
      </c>
      <c r="H2381">
        <v>10</v>
      </c>
      <c r="I2381">
        <v>36</v>
      </c>
      <c r="J2381" t="s">
        <v>11</v>
      </c>
      <c r="K2381">
        <f>IF(J2381="Yes", 1, 0)</f>
        <v>1</v>
      </c>
      <c r="L2381" t="str">
        <f>IF(G2381=0,"0 Failures","1+ Failures")</f>
        <v>1+ Failures</v>
      </c>
      <c r="M2381" t="str">
        <f t="shared" si="113"/>
        <v>10-20hrs</v>
      </c>
      <c r="N2381" t="str">
        <f t="shared" si="111"/>
        <v>6-12months</v>
      </c>
      <c r="O2381" t="str">
        <f t="shared" si="112"/>
        <v>Basic</v>
      </c>
      <c r="P2381" s="7">
        <v>45657</v>
      </c>
    </row>
    <row r="2382" spans="1:16" x14ac:dyDescent="0.3">
      <c r="A2382">
        <v>2381</v>
      </c>
      <c r="B2382" s="7">
        <v>45245</v>
      </c>
      <c r="C2382" t="s">
        <v>14</v>
      </c>
      <c r="D2382">
        <v>399</v>
      </c>
      <c r="E2382">
        <v>19.5</v>
      </c>
      <c r="F2382">
        <v>6</v>
      </c>
      <c r="G2382">
        <v>4</v>
      </c>
      <c r="H2382">
        <v>13</v>
      </c>
      <c r="I2382">
        <v>9</v>
      </c>
      <c r="J2382" t="s">
        <v>11</v>
      </c>
      <c r="K2382">
        <f>IF(J2382="Yes", 1, 0)</f>
        <v>1</v>
      </c>
      <c r="L2382" t="str">
        <f>IF(G2382=0,"0 Failures","1+ Failures")</f>
        <v>1+ Failures</v>
      </c>
      <c r="M2382" t="str">
        <f t="shared" si="113"/>
        <v>10-20hrs</v>
      </c>
      <c r="N2382" t="str">
        <f t="shared" si="111"/>
        <v>12+ months</v>
      </c>
      <c r="O2382" t="str">
        <f t="shared" si="112"/>
        <v>Basic</v>
      </c>
      <c r="P2382" s="7">
        <v>45657</v>
      </c>
    </row>
    <row r="2383" spans="1:16" x14ac:dyDescent="0.3">
      <c r="A2383">
        <v>2382</v>
      </c>
      <c r="B2383" s="7">
        <v>45416</v>
      </c>
      <c r="C2383" t="s">
        <v>10</v>
      </c>
      <c r="D2383">
        <v>699</v>
      </c>
      <c r="E2383">
        <v>15.8</v>
      </c>
      <c r="F2383">
        <v>0</v>
      </c>
      <c r="G2383">
        <v>0</v>
      </c>
      <c r="H2383">
        <v>18</v>
      </c>
      <c r="I2383">
        <v>53</v>
      </c>
      <c r="J2383" t="s">
        <v>13</v>
      </c>
      <c r="K2383">
        <f>IF(J2383="Yes", 1, 0)</f>
        <v>0</v>
      </c>
      <c r="L2383" t="str">
        <f>IF(G2383=0,"0 Failures","1+ Failures")</f>
        <v>0 Failures</v>
      </c>
      <c r="M2383" t="str">
        <f t="shared" si="113"/>
        <v>10-20hrs</v>
      </c>
      <c r="N2383" t="str">
        <f t="shared" si="111"/>
        <v>12+ months</v>
      </c>
      <c r="O2383" t="str">
        <f t="shared" si="112"/>
        <v>Premium</v>
      </c>
      <c r="P2383" s="7">
        <v>45657</v>
      </c>
    </row>
    <row r="2384" spans="1:16" x14ac:dyDescent="0.3">
      <c r="A2384">
        <v>2383</v>
      </c>
      <c r="B2384" s="7">
        <v>45325</v>
      </c>
      <c r="C2384" t="s">
        <v>12</v>
      </c>
      <c r="D2384">
        <v>199</v>
      </c>
      <c r="E2384">
        <v>0.7</v>
      </c>
      <c r="F2384">
        <v>8</v>
      </c>
      <c r="G2384">
        <v>3</v>
      </c>
      <c r="H2384">
        <v>1</v>
      </c>
      <c r="I2384">
        <v>38</v>
      </c>
      <c r="J2384" t="s">
        <v>11</v>
      </c>
      <c r="K2384">
        <f>IF(J2384="Yes", 1, 0)</f>
        <v>1</v>
      </c>
      <c r="L2384" t="str">
        <f>IF(G2384=0,"0 Failures","1+ Failures")</f>
        <v>1+ Failures</v>
      </c>
      <c r="M2384" t="str">
        <f t="shared" si="113"/>
        <v>0-5 hrs</v>
      </c>
      <c r="N2384" t="str">
        <f t="shared" si="111"/>
        <v>0-3months</v>
      </c>
      <c r="O2384" t="str">
        <f t="shared" si="112"/>
        <v>Basic</v>
      </c>
      <c r="P2384" s="7">
        <v>45657</v>
      </c>
    </row>
    <row r="2385" spans="1:16" x14ac:dyDescent="0.3">
      <c r="A2385">
        <v>2384</v>
      </c>
      <c r="B2385" s="7">
        <v>45611</v>
      </c>
      <c r="C2385" t="s">
        <v>12</v>
      </c>
      <c r="D2385">
        <v>199</v>
      </c>
      <c r="E2385">
        <v>3.4</v>
      </c>
      <c r="F2385">
        <v>6</v>
      </c>
      <c r="G2385">
        <v>4</v>
      </c>
      <c r="H2385">
        <v>4</v>
      </c>
      <c r="I2385">
        <v>12</v>
      </c>
      <c r="J2385" t="s">
        <v>11</v>
      </c>
      <c r="K2385">
        <f>IF(J2385="Yes", 1, 0)</f>
        <v>1</v>
      </c>
      <c r="L2385" t="str">
        <f>IF(G2385=0,"0 Failures","1+ Failures")</f>
        <v>1+ Failures</v>
      </c>
      <c r="M2385" t="str">
        <f t="shared" si="113"/>
        <v>0-5 hrs</v>
      </c>
      <c r="N2385" t="str">
        <f t="shared" si="111"/>
        <v>3-6months</v>
      </c>
      <c r="O2385" t="str">
        <f t="shared" si="112"/>
        <v>Basic</v>
      </c>
      <c r="P2385" s="7">
        <v>45657</v>
      </c>
    </row>
    <row r="2386" spans="1:16" x14ac:dyDescent="0.3">
      <c r="A2386">
        <v>2385</v>
      </c>
      <c r="B2386" s="7">
        <v>45467</v>
      </c>
      <c r="C2386" t="s">
        <v>12</v>
      </c>
      <c r="D2386">
        <v>199</v>
      </c>
      <c r="E2386">
        <v>20.7</v>
      </c>
      <c r="F2386">
        <v>0</v>
      </c>
      <c r="G2386">
        <v>0</v>
      </c>
      <c r="H2386">
        <v>22</v>
      </c>
      <c r="I2386">
        <v>60</v>
      </c>
      <c r="J2386" t="s">
        <v>11</v>
      </c>
      <c r="K2386">
        <f>IF(J2386="Yes", 1, 0)</f>
        <v>1</v>
      </c>
      <c r="L2386" t="str">
        <f>IF(G2386=0,"0 Failures","1+ Failures")</f>
        <v>0 Failures</v>
      </c>
      <c r="M2386" t="str">
        <f t="shared" si="113"/>
        <v>20+ hrs</v>
      </c>
      <c r="N2386" t="str">
        <f t="shared" si="111"/>
        <v>12+ months</v>
      </c>
      <c r="O2386" t="str">
        <f t="shared" si="112"/>
        <v>Basic</v>
      </c>
      <c r="P2386" s="7">
        <v>45657</v>
      </c>
    </row>
    <row r="2387" spans="1:16" x14ac:dyDescent="0.3">
      <c r="A2387">
        <v>2386</v>
      </c>
      <c r="B2387" s="7">
        <v>45344</v>
      </c>
      <c r="C2387" t="s">
        <v>12</v>
      </c>
      <c r="D2387">
        <v>199</v>
      </c>
      <c r="E2387">
        <v>2.5</v>
      </c>
      <c r="F2387">
        <v>1</v>
      </c>
      <c r="G2387">
        <v>5</v>
      </c>
      <c r="H2387">
        <v>18</v>
      </c>
      <c r="I2387">
        <v>20</v>
      </c>
      <c r="J2387" t="s">
        <v>11</v>
      </c>
      <c r="K2387">
        <f>IF(J2387="Yes", 1, 0)</f>
        <v>1</v>
      </c>
      <c r="L2387" t="str">
        <f>IF(G2387=0,"0 Failures","1+ Failures")</f>
        <v>1+ Failures</v>
      </c>
      <c r="M2387" t="str">
        <f t="shared" si="113"/>
        <v>0-5 hrs</v>
      </c>
      <c r="N2387" t="str">
        <f t="shared" si="111"/>
        <v>12+ months</v>
      </c>
      <c r="O2387" t="str">
        <f t="shared" si="112"/>
        <v>Basic</v>
      </c>
      <c r="P2387" s="7">
        <v>45657</v>
      </c>
    </row>
    <row r="2388" spans="1:16" x14ac:dyDescent="0.3">
      <c r="A2388">
        <v>2387</v>
      </c>
      <c r="B2388" s="7">
        <v>44978</v>
      </c>
      <c r="C2388" t="s">
        <v>12</v>
      </c>
      <c r="D2388">
        <v>199</v>
      </c>
      <c r="E2388">
        <v>5.3</v>
      </c>
      <c r="F2388">
        <v>7</v>
      </c>
      <c r="G2388">
        <v>5</v>
      </c>
      <c r="H2388">
        <v>34</v>
      </c>
      <c r="I2388">
        <v>26</v>
      </c>
      <c r="J2388" t="s">
        <v>11</v>
      </c>
      <c r="K2388">
        <f>IF(J2388="Yes", 1, 0)</f>
        <v>1</v>
      </c>
      <c r="L2388" t="str">
        <f>IF(G2388=0,"0 Failures","1+ Failures")</f>
        <v>1+ Failures</v>
      </c>
      <c r="M2388" t="str">
        <f t="shared" si="113"/>
        <v>5-10 hrs</v>
      </c>
      <c r="N2388" t="str">
        <f t="shared" si="111"/>
        <v>12+ months</v>
      </c>
      <c r="O2388" t="str">
        <f t="shared" si="112"/>
        <v>Basic</v>
      </c>
      <c r="P2388" s="7">
        <v>45657</v>
      </c>
    </row>
    <row r="2389" spans="1:16" x14ac:dyDescent="0.3">
      <c r="A2389">
        <v>2388</v>
      </c>
      <c r="B2389" s="7">
        <v>45378</v>
      </c>
      <c r="C2389" t="s">
        <v>10</v>
      </c>
      <c r="D2389">
        <v>699</v>
      </c>
      <c r="E2389">
        <v>5.9</v>
      </c>
      <c r="F2389">
        <v>4</v>
      </c>
      <c r="G2389">
        <v>2</v>
      </c>
      <c r="H2389">
        <v>24</v>
      </c>
      <c r="I2389">
        <v>1</v>
      </c>
      <c r="J2389" t="s">
        <v>13</v>
      </c>
      <c r="K2389">
        <f>IF(J2389="Yes", 1, 0)</f>
        <v>0</v>
      </c>
      <c r="L2389" t="str">
        <f>IF(G2389=0,"0 Failures","1+ Failures")</f>
        <v>1+ Failures</v>
      </c>
      <c r="M2389" t="str">
        <f t="shared" si="113"/>
        <v>5-10 hrs</v>
      </c>
      <c r="N2389" t="str">
        <f t="shared" si="111"/>
        <v>12+ months</v>
      </c>
      <c r="O2389" t="str">
        <f t="shared" si="112"/>
        <v>Premium</v>
      </c>
      <c r="P2389" s="7">
        <v>45657</v>
      </c>
    </row>
    <row r="2390" spans="1:16" x14ac:dyDescent="0.3">
      <c r="A2390">
        <v>2389</v>
      </c>
      <c r="B2390" s="7">
        <v>45070</v>
      </c>
      <c r="C2390" t="s">
        <v>14</v>
      </c>
      <c r="D2390">
        <v>399</v>
      </c>
      <c r="E2390">
        <v>10.1</v>
      </c>
      <c r="F2390">
        <v>0</v>
      </c>
      <c r="G2390">
        <v>5</v>
      </c>
      <c r="H2390">
        <v>19</v>
      </c>
      <c r="I2390">
        <v>60</v>
      </c>
      <c r="J2390" t="s">
        <v>11</v>
      </c>
      <c r="K2390">
        <f>IF(J2390="Yes", 1, 0)</f>
        <v>1</v>
      </c>
      <c r="L2390" t="str">
        <f>IF(G2390=0,"0 Failures","1+ Failures")</f>
        <v>1+ Failures</v>
      </c>
      <c r="M2390" t="str">
        <f t="shared" si="113"/>
        <v>10-20hrs</v>
      </c>
      <c r="N2390" t="str">
        <f t="shared" si="111"/>
        <v>12+ months</v>
      </c>
      <c r="O2390" t="str">
        <f t="shared" si="112"/>
        <v>Basic</v>
      </c>
      <c r="P2390" s="7">
        <v>45657</v>
      </c>
    </row>
    <row r="2391" spans="1:16" x14ac:dyDescent="0.3">
      <c r="A2391">
        <v>2390</v>
      </c>
      <c r="B2391" s="7">
        <v>45279</v>
      </c>
      <c r="C2391" t="s">
        <v>10</v>
      </c>
      <c r="D2391">
        <v>699</v>
      </c>
      <c r="E2391">
        <v>19.2</v>
      </c>
      <c r="F2391">
        <v>6</v>
      </c>
      <c r="G2391">
        <v>5</v>
      </c>
      <c r="H2391">
        <v>26</v>
      </c>
      <c r="I2391">
        <v>8</v>
      </c>
      <c r="J2391" t="s">
        <v>13</v>
      </c>
      <c r="K2391">
        <f>IF(J2391="Yes", 1, 0)</f>
        <v>0</v>
      </c>
      <c r="L2391" t="str">
        <f>IF(G2391=0,"0 Failures","1+ Failures")</f>
        <v>1+ Failures</v>
      </c>
      <c r="M2391" t="str">
        <f t="shared" si="113"/>
        <v>10-20hrs</v>
      </c>
      <c r="N2391" t="str">
        <f t="shared" si="111"/>
        <v>12+ months</v>
      </c>
      <c r="O2391" t="str">
        <f t="shared" si="112"/>
        <v>Premium</v>
      </c>
      <c r="P2391" s="7">
        <v>45657</v>
      </c>
    </row>
    <row r="2392" spans="1:16" x14ac:dyDescent="0.3">
      <c r="A2392">
        <v>2391</v>
      </c>
      <c r="B2392" s="7">
        <v>45320</v>
      </c>
      <c r="C2392" t="s">
        <v>12</v>
      </c>
      <c r="D2392">
        <v>199</v>
      </c>
      <c r="E2392">
        <v>20.100000000000001</v>
      </c>
      <c r="F2392">
        <v>7</v>
      </c>
      <c r="G2392">
        <v>5</v>
      </c>
      <c r="H2392">
        <v>36</v>
      </c>
      <c r="I2392">
        <v>40</v>
      </c>
      <c r="J2392" t="s">
        <v>13</v>
      </c>
      <c r="K2392">
        <f>IF(J2392="Yes", 1, 0)</f>
        <v>0</v>
      </c>
      <c r="L2392" t="str">
        <f>IF(G2392=0,"0 Failures","1+ Failures")</f>
        <v>1+ Failures</v>
      </c>
      <c r="M2392" t="str">
        <f t="shared" si="113"/>
        <v>20+ hrs</v>
      </c>
      <c r="N2392" t="str">
        <f t="shared" si="111"/>
        <v>12+ months</v>
      </c>
      <c r="O2392" t="str">
        <f t="shared" si="112"/>
        <v>Basic</v>
      </c>
      <c r="P2392" s="7">
        <v>45657</v>
      </c>
    </row>
    <row r="2393" spans="1:16" x14ac:dyDescent="0.3">
      <c r="A2393">
        <v>2392</v>
      </c>
      <c r="B2393" s="7">
        <v>45463</v>
      </c>
      <c r="C2393" t="s">
        <v>12</v>
      </c>
      <c r="D2393">
        <v>199</v>
      </c>
      <c r="E2393">
        <v>14.4</v>
      </c>
      <c r="F2393">
        <v>1</v>
      </c>
      <c r="G2393">
        <v>2</v>
      </c>
      <c r="H2393">
        <v>11</v>
      </c>
      <c r="I2393">
        <v>1</v>
      </c>
      <c r="J2393" t="s">
        <v>13</v>
      </c>
      <c r="K2393">
        <f>IF(J2393="Yes", 1, 0)</f>
        <v>0</v>
      </c>
      <c r="L2393" t="str">
        <f>IF(G2393=0,"0 Failures","1+ Failures")</f>
        <v>1+ Failures</v>
      </c>
      <c r="M2393" t="str">
        <f t="shared" si="113"/>
        <v>10-20hrs</v>
      </c>
      <c r="N2393" t="str">
        <f t="shared" si="111"/>
        <v>6-12months</v>
      </c>
      <c r="O2393" t="str">
        <f t="shared" si="112"/>
        <v>Basic</v>
      </c>
      <c r="P2393" s="7">
        <v>45657</v>
      </c>
    </row>
    <row r="2394" spans="1:16" x14ac:dyDescent="0.3">
      <c r="A2394">
        <v>2393</v>
      </c>
      <c r="B2394" s="7">
        <v>45018</v>
      </c>
      <c r="C2394" t="s">
        <v>10</v>
      </c>
      <c r="D2394">
        <v>699</v>
      </c>
      <c r="E2394">
        <v>6.9</v>
      </c>
      <c r="F2394">
        <v>3</v>
      </c>
      <c r="G2394">
        <v>1</v>
      </c>
      <c r="H2394">
        <v>35</v>
      </c>
      <c r="I2394">
        <v>12</v>
      </c>
      <c r="J2394" t="s">
        <v>13</v>
      </c>
      <c r="K2394">
        <f>IF(J2394="Yes", 1, 0)</f>
        <v>0</v>
      </c>
      <c r="L2394" t="str">
        <f>IF(G2394=0,"0 Failures","1+ Failures")</f>
        <v>1+ Failures</v>
      </c>
      <c r="M2394" t="str">
        <f t="shared" si="113"/>
        <v>5-10 hrs</v>
      </c>
      <c r="N2394" t="str">
        <f t="shared" si="111"/>
        <v>12+ months</v>
      </c>
      <c r="O2394" t="str">
        <f t="shared" si="112"/>
        <v>Premium</v>
      </c>
      <c r="P2394" s="7">
        <v>45657</v>
      </c>
    </row>
    <row r="2395" spans="1:16" x14ac:dyDescent="0.3">
      <c r="A2395">
        <v>2394</v>
      </c>
      <c r="B2395" s="7">
        <v>45337</v>
      </c>
      <c r="C2395" t="s">
        <v>12</v>
      </c>
      <c r="D2395">
        <v>199</v>
      </c>
      <c r="E2395">
        <v>9.3000000000000007</v>
      </c>
      <c r="F2395">
        <v>2</v>
      </c>
      <c r="G2395">
        <v>1</v>
      </c>
      <c r="H2395">
        <v>21</v>
      </c>
      <c r="I2395">
        <v>22</v>
      </c>
      <c r="J2395" t="s">
        <v>13</v>
      </c>
      <c r="K2395">
        <f>IF(J2395="Yes", 1, 0)</f>
        <v>0</v>
      </c>
      <c r="L2395" t="str">
        <f>IF(G2395=0,"0 Failures","1+ Failures")</f>
        <v>1+ Failures</v>
      </c>
      <c r="M2395" t="str">
        <f t="shared" si="113"/>
        <v>5-10 hrs</v>
      </c>
      <c r="N2395" t="str">
        <f t="shared" si="111"/>
        <v>12+ months</v>
      </c>
      <c r="O2395" t="str">
        <f t="shared" si="112"/>
        <v>Basic</v>
      </c>
      <c r="P2395" s="7">
        <v>45657</v>
      </c>
    </row>
    <row r="2396" spans="1:16" x14ac:dyDescent="0.3">
      <c r="A2396">
        <v>2395</v>
      </c>
      <c r="B2396" s="7">
        <v>45095</v>
      </c>
      <c r="C2396" t="s">
        <v>12</v>
      </c>
      <c r="D2396">
        <v>199</v>
      </c>
      <c r="E2396">
        <v>13.8</v>
      </c>
      <c r="F2396">
        <v>1</v>
      </c>
      <c r="G2396">
        <v>3</v>
      </c>
      <c r="H2396">
        <v>30</v>
      </c>
      <c r="I2396">
        <v>0</v>
      </c>
      <c r="J2396" t="s">
        <v>11</v>
      </c>
      <c r="K2396">
        <f>IF(J2396="Yes", 1, 0)</f>
        <v>1</v>
      </c>
      <c r="L2396" t="str">
        <f>IF(G2396=0,"0 Failures","1+ Failures")</f>
        <v>1+ Failures</v>
      </c>
      <c r="M2396" t="str">
        <f t="shared" si="113"/>
        <v>10-20hrs</v>
      </c>
      <c r="N2396" t="str">
        <f t="shared" si="111"/>
        <v>12+ months</v>
      </c>
      <c r="O2396" t="str">
        <f t="shared" si="112"/>
        <v>Basic</v>
      </c>
      <c r="P2396" s="7">
        <v>45657</v>
      </c>
    </row>
    <row r="2397" spans="1:16" x14ac:dyDescent="0.3">
      <c r="A2397">
        <v>2396</v>
      </c>
      <c r="B2397" s="7">
        <v>45359</v>
      </c>
      <c r="C2397" t="s">
        <v>10</v>
      </c>
      <c r="D2397">
        <v>699</v>
      </c>
      <c r="E2397">
        <v>2.4</v>
      </c>
      <c r="F2397">
        <v>2</v>
      </c>
      <c r="G2397">
        <v>0</v>
      </c>
      <c r="H2397">
        <v>7</v>
      </c>
      <c r="I2397">
        <v>24</v>
      </c>
      <c r="J2397" t="s">
        <v>11</v>
      </c>
      <c r="K2397">
        <f>IF(J2397="Yes", 1, 0)</f>
        <v>1</v>
      </c>
      <c r="L2397" t="str">
        <f>IF(G2397=0,"0 Failures","1+ Failures")</f>
        <v>0 Failures</v>
      </c>
      <c r="M2397" t="str">
        <f t="shared" si="113"/>
        <v>0-5 hrs</v>
      </c>
      <c r="N2397" t="str">
        <f t="shared" si="111"/>
        <v>6-12months</v>
      </c>
      <c r="O2397" t="str">
        <f t="shared" si="112"/>
        <v>Premium</v>
      </c>
      <c r="P2397" s="7">
        <v>45657</v>
      </c>
    </row>
    <row r="2398" spans="1:16" x14ac:dyDescent="0.3">
      <c r="A2398">
        <v>2397</v>
      </c>
      <c r="B2398" s="7">
        <v>45514</v>
      </c>
      <c r="C2398" t="s">
        <v>12</v>
      </c>
      <c r="D2398">
        <v>199</v>
      </c>
      <c r="E2398">
        <v>24.5</v>
      </c>
      <c r="F2398">
        <v>5</v>
      </c>
      <c r="G2398">
        <v>1</v>
      </c>
      <c r="H2398">
        <v>33</v>
      </c>
      <c r="I2398">
        <v>29</v>
      </c>
      <c r="J2398" t="s">
        <v>11</v>
      </c>
      <c r="K2398">
        <f>IF(J2398="Yes", 1, 0)</f>
        <v>1</v>
      </c>
      <c r="L2398" t="str">
        <f>IF(G2398=0,"0 Failures","1+ Failures")</f>
        <v>1+ Failures</v>
      </c>
      <c r="M2398" t="str">
        <f t="shared" si="113"/>
        <v>20+ hrs</v>
      </c>
      <c r="N2398" t="str">
        <f t="shared" si="111"/>
        <v>12+ months</v>
      </c>
      <c r="O2398" t="str">
        <f t="shared" si="112"/>
        <v>Basic</v>
      </c>
      <c r="P2398" s="7">
        <v>45657</v>
      </c>
    </row>
    <row r="2399" spans="1:16" x14ac:dyDescent="0.3">
      <c r="A2399">
        <v>2398</v>
      </c>
      <c r="B2399" s="7">
        <v>45485</v>
      </c>
      <c r="C2399" t="s">
        <v>14</v>
      </c>
      <c r="D2399">
        <v>399</v>
      </c>
      <c r="E2399">
        <v>3.5</v>
      </c>
      <c r="F2399">
        <v>3</v>
      </c>
      <c r="G2399">
        <v>3</v>
      </c>
      <c r="H2399">
        <v>25</v>
      </c>
      <c r="I2399">
        <v>4</v>
      </c>
      <c r="J2399" t="s">
        <v>13</v>
      </c>
      <c r="K2399">
        <f>IF(J2399="Yes", 1, 0)</f>
        <v>0</v>
      </c>
      <c r="L2399" t="str">
        <f>IF(G2399=0,"0 Failures","1+ Failures")</f>
        <v>1+ Failures</v>
      </c>
      <c r="M2399" t="str">
        <f t="shared" si="113"/>
        <v>0-5 hrs</v>
      </c>
      <c r="N2399" t="str">
        <f t="shared" si="111"/>
        <v>12+ months</v>
      </c>
      <c r="O2399" t="str">
        <f t="shared" si="112"/>
        <v>Basic</v>
      </c>
      <c r="P2399" s="7">
        <v>45657</v>
      </c>
    </row>
    <row r="2400" spans="1:16" x14ac:dyDescent="0.3">
      <c r="A2400">
        <v>2399</v>
      </c>
      <c r="B2400" s="7">
        <v>45257</v>
      </c>
      <c r="C2400" t="s">
        <v>14</v>
      </c>
      <c r="D2400">
        <v>399</v>
      </c>
      <c r="E2400">
        <v>7</v>
      </c>
      <c r="F2400">
        <v>0</v>
      </c>
      <c r="G2400">
        <v>5</v>
      </c>
      <c r="H2400">
        <v>20</v>
      </c>
      <c r="I2400">
        <v>10</v>
      </c>
      <c r="J2400" t="s">
        <v>13</v>
      </c>
      <c r="K2400">
        <f>IF(J2400="Yes", 1, 0)</f>
        <v>0</v>
      </c>
      <c r="L2400" t="str">
        <f>IF(G2400=0,"0 Failures","1+ Failures")</f>
        <v>1+ Failures</v>
      </c>
      <c r="M2400" t="str">
        <f t="shared" si="113"/>
        <v>5-10 hrs</v>
      </c>
      <c r="N2400" t="str">
        <f t="shared" si="111"/>
        <v>12+ months</v>
      </c>
      <c r="O2400" t="str">
        <f t="shared" si="112"/>
        <v>Basic</v>
      </c>
      <c r="P2400" s="7">
        <v>45657</v>
      </c>
    </row>
    <row r="2401" spans="1:16" x14ac:dyDescent="0.3">
      <c r="A2401">
        <v>2400</v>
      </c>
      <c r="B2401" s="7">
        <v>45023</v>
      </c>
      <c r="C2401" t="s">
        <v>12</v>
      </c>
      <c r="D2401">
        <v>199</v>
      </c>
      <c r="E2401">
        <v>21.7</v>
      </c>
      <c r="F2401">
        <v>4</v>
      </c>
      <c r="G2401">
        <v>4</v>
      </c>
      <c r="H2401">
        <v>10</v>
      </c>
      <c r="I2401">
        <v>2</v>
      </c>
      <c r="J2401" t="s">
        <v>13</v>
      </c>
      <c r="K2401">
        <f>IF(J2401="Yes", 1, 0)</f>
        <v>0</v>
      </c>
      <c r="L2401" t="str">
        <f>IF(G2401=0,"0 Failures","1+ Failures")</f>
        <v>1+ Failures</v>
      </c>
      <c r="M2401" t="str">
        <f t="shared" si="113"/>
        <v>20+ hrs</v>
      </c>
      <c r="N2401" t="str">
        <f t="shared" si="111"/>
        <v>6-12months</v>
      </c>
      <c r="O2401" t="str">
        <f t="shared" si="112"/>
        <v>Basic</v>
      </c>
      <c r="P2401" s="7">
        <v>45657</v>
      </c>
    </row>
    <row r="2402" spans="1:16" x14ac:dyDescent="0.3">
      <c r="A2402">
        <v>2401</v>
      </c>
      <c r="B2402" s="7">
        <v>45183</v>
      </c>
      <c r="C2402" t="s">
        <v>14</v>
      </c>
      <c r="D2402">
        <v>399</v>
      </c>
      <c r="E2402">
        <v>7.5</v>
      </c>
      <c r="F2402">
        <v>0</v>
      </c>
      <c r="G2402">
        <v>1</v>
      </c>
      <c r="H2402">
        <v>18</v>
      </c>
      <c r="I2402">
        <v>28</v>
      </c>
      <c r="J2402" t="s">
        <v>11</v>
      </c>
      <c r="K2402">
        <f>IF(J2402="Yes", 1, 0)</f>
        <v>1</v>
      </c>
      <c r="L2402" t="str">
        <f>IF(G2402=0,"0 Failures","1+ Failures")</f>
        <v>1+ Failures</v>
      </c>
      <c r="M2402" t="str">
        <f t="shared" si="113"/>
        <v>5-10 hrs</v>
      </c>
      <c r="N2402" t="str">
        <f t="shared" si="111"/>
        <v>12+ months</v>
      </c>
      <c r="O2402" t="str">
        <f t="shared" si="112"/>
        <v>Basic</v>
      </c>
      <c r="P2402" s="7">
        <v>45657</v>
      </c>
    </row>
    <row r="2403" spans="1:16" x14ac:dyDescent="0.3">
      <c r="A2403">
        <v>2402</v>
      </c>
      <c r="B2403" s="7">
        <v>45438</v>
      </c>
      <c r="C2403" t="s">
        <v>12</v>
      </c>
      <c r="D2403">
        <v>199</v>
      </c>
      <c r="E2403">
        <v>12</v>
      </c>
      <c r="F2403">
        <v>1</v>
      </c>
      <c r="G2403">
        <v>1</v>
      </c>
      <c r="H2403">
        <v>26</v>
      </c>
      <c r="I2403">
        <v>57</v>
      </c>
      <c r="J2403" t="s">
        <v>13</v>
      </c>
      <c r="K2403">
        <f>IF(J2403="Yes", 1, 0)</f>
        <v>0</v>
      </c>
      <c r="L2403" t="str">
        <f>IF(G2403=0,"0 Failures","1+ Failures")</f>
        <v>1+ Failures</v>
      </c>
      <c r="M2403" t="str">
        <f t="shared" si="113"/>
        <v>10-20hrs</v>
      </c>
      <c r="N2403" t="str">
        <f t="shared" si="111"/>
        <v>12+ months</v>
      </c>
      <c r="O2403" t="str">
        <f t="shared" si="112"/>
        <v>Basic</v>
      </c>
      <c r="P2403" s="7">
        <v>45657</v>
      </c>
    </row>
    <row r="2404" spans="1:16" x14ac:dyDescent="0.3">
      <c r="A2404">
        <v>2403</v>
      </c>
      <c r="B2404" s="7">
        <v>45581</v>
      </c>
      <c r="C2404" t="s">
        <v>10</v>
      </c>
      <c r="D2404">
        <v>699</v>
      </c>
      <c r="E2404">
        <v>4.7</v>
      </c>
      <c r="F2404">
        <v>2</v>
      </c>
      <c r="G2404">
        <v>0</v>
      </c>
      <c r="H2404">
        <v>33</v>
      </c>
      <c r="I2404">
        <v>0</v>
      </c>
      <c r="J2404" t="s">
        <v>13</v>
      </c>
      <c r="K2404">
        <f>IF(J2404="Yes", 1, 0)</f>
        <v>0</v>
      </c>
      <c r="L2404" t="str">
        <f>IF(G2404=0,"0 Failures","1+ Failures")</f>
        <v>0 Failures</v>
      </c>
      <c r="M2404" t="str">
        <f t="shared" si="113"/>
        <v>0-5 hrs</v>
      </c>
      <c r="N2404" t="str">
        <f t="shared" si="111"/>
        <v>12+ months</v>
      </c>
      <c r="O2404" t="str">
        <f t="shared" si="112"/>
        <v>Premium</v>
      </c>
      <c r="P2404" s="7">
        <v>45657</v>
      </c>
    </row>
    <row r="2405" spans="1:16" x14ac:dyDescent="0.3">
      <c r="A2405">
        <v>2404</v>
      </c>
      <c r="B2405" s="7">
        <v>45194</v>
      </c>
      <c r="C2405" t="s">
        <v>12</v>
      </c>
      <c r="D2405">
        <v>199</v>
      </c>
      <c r="E2405">
        <v>22.4</v>
      </c>
      <c r="F2405">
        <v>8</v>
      </c>
      <c r="G2405">
        <v>1</v>
      </c>
      <c r="H2405">
        <v>32</v>
      </c>
      <c r="I2405">
        <v>6</v>
      </c>
      <c r="J2405" t="s">
        <v>13</v>
      </c>
      <c r="K2405">
        <f>IF(J2405="Yes", 1, 0)</f>
        <v>0</v>
      </c>
      <c r="L2405" t="str">
        <f>IF(G2405=0,"0 Failures","1+ Failures")</f>
        <v>1+ Failures</v>
      </c>
      <c r="M2405" t="str">
        <f t="shared" si="113"/>
        <v>20+ hrs</v>
      </c>
      <c r="N2405" t="str">
        <f t="shared" si="111"/>
        <v>12+ months</v>
      </c>
      <c r="O2405" t="str">
        <f t="shared" si="112"/>
        <v>Basic</v>
      </c>
      <c r="P2405" s="7">
        <v>45657</v>
      </c>
    </row>
    <row r="2406" spans="1:16" x14ac:dyDescent="0.3">
      <c r="A2406">
        <v>2405</v>
      </c>
      <c r="B2406" s="7">
        <v>45630</v>
      </c>
      <c r="C2406" t="s">
        <v>10</v>
      </c>
      <c r="D2406">
        <v>699</v>
      </c>
      <c r="E2406">
        <v>4.7</v>
      </c>
      <c r="F2406">
        <v>8</v>
      </c>
      <c r="G2406">
        <v>2</v>
      </c>
      <c r="H2406">
        <v>27</v>
      </c>
      <c r="I2406">
        <v>47</v>
      </c>
      <c r="J2406" t="s">
        <v>11</v>
      </c>
      <c r="K2406">
        <f>IF(J2406="Yes", 1, 0)</f>
        <v>1</v>
      </c>
      <c r="L2406" t="str">
        <f>IF(G2406=0,"0 Failures","1+ Failures")</f>
        <v>1+ Failures</v>
      </c>
      <c r="M2406" t="str">
        <f t="shared" si="113"/>
        <v>0-5 hrs</v>
      </c>
      <c r="N2406" t="str">
        <f t="shared" si="111"/>
        <v>12+ months</v>
      </c>
      <c r="O2406" t="str">
        <f t="shared" si="112"/>
        <v>Premium</v>
      </c>
      <c r="P2406" s="7">
        <v>45657</v>
      </c>
    </row>
    <row r="2407" spans="1:16" x14ac:dyDescent="0.3">
      <c r="A2407">
        <v>2406</v>
      </c>
      <c r="B2407" s="7">
        <v>45175</v>
      </c>
      <c r="C2407" t="s">
        <v>10</v>
      </c>
      <c r="D2407">
        <v>699</v>
      </c>
      <c r="E2407">
        <v>6.2</v>
      </c>
      <c r="F2407">
        <v>6</v>
      </c>
      <c r="G2407">
        <v>1</v>
      </c>
      <c r="H2407">
        <v>29</v>
      </c>
      <c r="I2407">
        <v>55</v>
      </c>
      <c r="J2407" t="s">
        <v>13</v>
      </c>
      <c r="K2407">
        <f>IF(J2407="Yes", 1, 0)</f>
        <v>0</v>
      </c>
      <c r="L2407" t="str">
        <f>IF(G2407=0,"0 Failures","1+ Failures")</f>
        <v>1+ Failures</v>
      </c>
      <c r="M2407" t="str">
        <f t="shared" si="113"/>
        <v>5-10 hrs</v>
      </c>
      <c r="N2407" t="str">
        <f t="shared" si="111"/>
        <v>12+ months</v>
      </c>
      <c r="O2407" t="str">
        <f t="shared" si="112"/>
        <v>Premium</v>
      </c>
      <c r="P2407" s="7">
        <v>45657</v>
      </c>
    </row>
    <row r="2408" spans="1:16" x14ac:dyDescent="0.3">
      <c r="A2408">
        <v>2407</v>
      </c>
      <c r="B2408" s="7">
        <v>45513</v>
      </c>
      <c r="C2408" t="s">
        <v>12</v>
      </c>
      <c r="D2408">
        <v>199</v>
      </c>
      <c r="E2408">
        <v>4.8</v>
      </c>
      <c r="F2408">
        <v>5</v>
      </c>
      <c r="G2408">
        <v>3</v>
      </c>
      <c r="H2408">
        <v>33</v>
      </c>
      <c r="I2408">
        <v>1</v>
      </c>
      <c r="J2408" t="s">
        <v>11</v>
      </c>
      <c r="K2408">
        <f>IF(J2408="Yes", 1, 0)</f>
        <v>1</v>
      </c>
      <c r="L2408" t="str">
        <f>IF(G2408=0,"0 Failures","1+ Failures")</f>
        <v>1+ Failures</v>
      </c>
      <c r="M2408" t="str">
        <f t="shared" si="113"/>
        <v>0-5 hrs</v>
      </c>
      <c r="N2408" t="str">
        <f t="shared" si="111"/>
        <v>12+ months</v>
      </c>
      <c r="O2408" t="str">
        <f t="shared" si="112"/>
        <v>Basic</v>
      </c>
      <c r="P2408" s="7">
        <v>45657</v>
      </c>
    </row>
    <row r="2409" spans="1:16" x14ac:dyDescent="0.3">
      <c r="A2409">
        <v>2408</v>
      </c>
      <c r="B2409" s="7">
        <v>45624</v>
      </c>
      <c r="C2409" t="s">
        <v>14</v>
      </c>
      <c r="D2409">
        <v>399</v>
      </c>
      <c r="E2409">
        <v>12.6</v>
      </c>
      <c r="F2409">
        <v>8</v>
      </c>
      <c r="G2409">
        <v>5</v>
      </c>
      <c r="H2409">
        <v>2</v>
      </c>
      <c r="I2409">
        <v>40</v>
      </c>
      <c r="J2409" t="s">
        <v>11</v>
      </c>
      <c r="K2409">
        <f>IF(J2409="Yes", 1, 0)</f>
        <v>1</v>
      </c>
      <c r="L2409" t="str">
        <f>IF(G2409=0,"0 Failures","1+ Failures")</f>
        <v>1+ Failures</v>
      </c>
      <c r="M2409" t="str">
        <f t="shared" si="113"/>
        <v>10-20hrs</v>
      </c>
      <c r="N2409" t="str">
        <f t="shared" si="111"/>
        <v>0-3months</v>
      </c>
      <c r="O2409" t="str">
        <f t="shared" si="112"/>
        <v>Basic</v>
      </c>
      <c r="P2409" s="7">
        <v>45657</v>
      </c>
    </row>
    <row r="2410" spans="1:16" x14ac:dyDescent="0.3">
      <c r="A2410">
        <v>2409</v>
      </c>
      <c r="B2410" s="7">
        <v>45168</v>
      </c>
      <c r="C2410" t="s">
        <v>12</v>
      </c>
      <c r="D2410">
        <v>199</v>
      </c>
      <c r="E2410">
        <v>12.2</v>
      </c>
      <c r="F2410">
        <v>0</v>
      </c>
      <c r="G2410">
        <v>3</v>
      </c>
      <c r="H2410">
        <v>30</v>
      </c>
      <c r="I2410">
        <v>55</v>
      </c>
      <c r="J2410" t="s">
        <v>13</v>
      </c>
      <c r="K2410">
        <f>IF(J2410="Yes", 1, 0)</f>
        <v>0</v>
      </c>
      <c r="L2410" t="str">
        <f>IF(G2410=0,"0 Failures","1+ Failures")</f>
        <v>1+ Failures</v>
      </c>
      <c r="M2410" t="str">
        <f t="shared" si="113"/>
        <v>10-20hrs</v>
      </c>
      <c r="N2410" t="str">
        <f t="shared" si="111"/>
        <v>12+ months</v>
      </c>
      <c r="O2410" t="str">
        <f t="shared" si="112"/>
        <v>Basic</v>
      </c>
      <c r="P2410" s="7">
        <v>45657</v>
      </c>
    </row>
    <row r="2411" spans="1:16" x14ac:dyDescent="0.3">
      <c r="A2411">
        <v>2410</v>
      </c>
      <c r="B2411" s="7">
        <v>45312</v>
      </c>
      <c r="C2411" t="s">
        <v>14</v>
      </c>
      <c r="D2411">
        <v>399</v>
      </c>
      <c r="E2411">
        <v>19.600000000000001</v>
      </c>
      <c r="F2411">
        <v>2</v>
      </c>
      <c r="G2411">
        <v>0</v>
      </c>
      <c r="H2411">
        <v>34</v>
      </c>
      <c r="I2411">
        <v>23</v>
      </c>
      <c r="J2411" t="s">
        <v>13</v>
      </c>
      <c r="K2411">
        <f>IF(J2411="Yes", 1, 0)</f>
        <v>0</v>
      </c>
      <c r="L2411" t="str">
        <f>IF(G2411=0,"0 Failures","1+ Failures")</f>
        <v>0 Failures</v>
      </c>
      <c r="M2411" t="str">
        <f t="shared" si="113"/>
        <v>10-20hrs</v>
      </c>
      <c r="N2411" t="str">
        <f t="shared" si="111"/>
        <v>12+ months</v>
      </c>
      <c r="O2411" t="str">
        <f t="shared" si="112"/>
        <v>Basic</v>
      </c>
      <c r="P2411" s="7">
        <v>45657</v>
      </c>
    </row>
    <row r="2412" spans="1:16" x14ac:dyDescent="0.3">
      <c r="A2412">
        <v>2411</v>
      </c>
      <c r="B2412" s="7">
        <v>45262</v>
      </c>
      <c r="C2412" t="s">
        <v>10</v>
      </c>
      <c r="D2412">
        <v>699</v>
      </c>
      <c r="E2412">
        <v>2.6</v>
      </c>
      <c r="F2412">
        <v>2</v>
      </c>
      <c r="G2412">
        <v>1</v>
      </c>
      <c r="H2412">
        <v>10</v>
      </c>
      <c r="I2412">
        <v>14</v>
      </c>
      <c r="J2412" t="s">
        <v>13</v>
      </c>
      <c r="K2412">
        <f>IF(J2412="Yes", 1, 0)</f>
        <v>0</v>
      </c>
      <c r="L2412" t="str">
        <f>IF(G2412=0,"0 Failures","1+ Failures")</f>
        <v>1+ Failures</v>
      </c>
      <c r="M2412" t="str">
        <f t="shared" si="113"/>
        <v>0-5 hrs</v>
      </c>
      <c r="N2412" t="str">
        <f t="shared" si="111"/>
        <v>6-12months</v>
      </c>
      <c r="O2412" t="str">
        <f t="shared" si="112"/>
        <v>Premium</v>
      </c>
      <c r="P2412" s="7">
        <v>45657</v>
      </c>
    </row>
    <row r="2413" spans="1:16" x14ac:dyDescent="0.3">
      <c r="A2413">
        <v>2412</v>
      </c>
      <c r="B2413" s="7">
        <v>44942</v>
      </c>
      <c r="C2413" t="s">
        <v>10</v>
      </c>
      <c r="D2413">
        <v>699</v>
      </c>
      <c r="E2413">
        <v>2.6</v>
      </c>
      <c r="F2413">
        <v>6</v>
      </c>
      <c r="G2413">
        <v>5</v>
      </c>
      <c r="H2413">
        <v>11</v>
      </c>
      <c r="I2413">
        <v>55</v>
      </c>
      <c r="J2413" t="s">
        <v>11</v>
      </c>
      <c r="K2413">
        <f>IF(J2413="Yes", 1, 0)</f>
        <v>1</v>
      </c>
      <c r="L2413" t="str">
        <f>IF(G2413=0,"0 Failures","1+ Failures")</f>
        <v>1+ Failures</v>
      </c>
      <c r="M2413" t="str">
        <f t="shared" si="113"/>
        <v>0-5 hrs</v>
      </c>
      <c r="N2413" t="str">
        <f t="shared" si="111"/>
        <v>6-12months</v>
      </c>
      <c r="O2413" t="str">
        <f t="shared" si="112"/>
        <v>Premium</v>
      </c>
      <c r="P2413" s="7">
        <v>45657</v>
      </c>
    </row>
    <row r="2414" spans="1:16" x14ac:dyDescent="0.3">
      <c r="A2414">
        <v>2413</v>
      </c>
      <c r="B2414" s="7">
        <v>45080</v>
      </c>
      <c r="C2414" t="s">
        <v>14</v>
      </c>
      <c r="D2414">
        <v>399</v>
      </c>
      <c r="E2414">
        <v>24.7</v>
      </c>
      <c r="F2414">
        <v>1</v>
      </c>
      <c r="G2414">
        <v>5</v>
      </c>
      <c r="H2414">
        <v>35</v>
      </c>
      <c r="I2414">
        <v>16</v>
      </c>
      <c r="J2414" t="s">
        <v>13</v>
      </c>
      <c r="K2414">
        <f>IF(J2414="Yes", 1, 0)</f>
        <v>0</v>
      </c>
      <c r="L2414" t="str">
        <f>IF(G2414=0,"0 Failures","1+ Failures")</f>
        <v>1+ Failures</v>
      </c>
      <c r="M2414" t="str">
        <f t="shared" si="113"/>
        <v>20+ hrs</v>
      </c>
      <c r="N2414" t="str">
        <f t="shared" si="111"/>
        <v>12+ months</v>
      </c>
      <c r="O2414" t="str">
        <f t="shared" si="112"/>
        <v>Basic</v>
      </c>
      <c r="P2414" s="7">
        <v>45657</v>
      </c>
    </row>
    <row r="2415" spans="1:16" x14ac:dyDescent="0.3">
      <c r="A2415">
        <v>2414</v>
      </c>
      <c r="B2415" s="7">
        <v>45508</v>
      </c>
      <c r="C2415" t="s">
        <v>10</v>
      </c>
      <c r="D2415">
        <v>699</v>
      </c>
      <c r="E2415">
        <v>13.3</v>
      </c>
      <c r="F2415">
        <v>2</v>
      </c>
      <c r="G2415">
        <v>0</v>
      </c>
      <c r="H2415">
        <v>5</v>
      </c>
      <c r="I2415">
        <v>36</v>
      </c>
      <c r="J2415" t="s">
        <v>11</v>
      </c>
      <c r="K2415">
        <f>IF(J2415="Yes", 1, 0)</f>
        <v>1</v>
      </c>
      <c r="L2415" t="str">
        <f>IF(G2415=0,"0 Failures","1+ Failures")</f>
        <v>0 Failures</v>
      </c>
      <c r="M2415" t="str">
        <f t="shared" si="113"/>
        <v>10-20hrs</v>
      </c>
      <c r="N2415" t="str">
        <f t="shared" si="111"/>
        <v>3-6months</v>
      </c>
      <c r="O2415" t="str">
        <f t="shared" si="112"/>
        <v>Premium</v>
      </c>
      <c r="P2415" s="7">
        <v>45657</v>
      </c>
    </row>
    <row r="2416" spans="1:16" x14ac:dyDescent="0.3">
      <c r="A2416">
        <v>2415</v>
      </c>
      <c r="B2416" s="7">
        <v>45625</v>
      </c>
      <c r="C2416" t="s">
        <v>14</v>
      </c>
      <c r="D2416">
        <v>399</v>
      </c>
      <c r="E2416">
        <v>19</v>
      </c>
      <c r="F2416">
        <v>0</v>
      </c>
      <c r="G2416">
        <v>4</v>
      </c>
      <c r="H2416">
        <v>30</v>
      </c>
      <c r="I2416">
        <v>37</v>
      </c>
      <c r="J2416" t="s">
        <v>11</v>
      </c>
      <c r="K2416">
        <f>IF(J2416="Yes", 1, 0)</f>
        <v>1</v>
      </c>
      <c r="L2416" t="str">
        <f>IF(G2416=0,"0 Failures","1+ Failures")</f>
        <v>1+ Failures</v>
      </c>
      <c r="M2416" t="str">
        <f t="shared" si="113"/>
        <v>10-20hrs</v>
      </c>
      <c r="N2416" t="str">
        <f t="shared" si="111"/>
        <v>12+ months</v>
      </c>
      <c r="O2416" t="str">
        <f t="shared" si="112"/>
        <v>Basic</v>
      </c>
      <c r="P2416" s="7">
        <v>45657</v>
      </c>
    </row>
    <row r="2417" spans="1:16" x14ac:dyDescent="0.3">
      <c r="A2417">
        <v>2416</v>
      </c>
      <c r="B2417" s="7">
        <v>44943</v>
      </c>
      <c r="C2417" t="s">
        <v>14</v>
      </c>
      <c r="D2417">
        <v>399</v>
      </c>
      <c r="E2417">
        <v>11</v>
      </c>
      <c r="F2417">
        <v>8</v>
      </c>
      <c r="G2417">
        <v>2</v>
      </c>
      <c r="H2417">
        <v>16</v>
      </c>
      <c r="I2417">
        <v>50</v>
      </c>
      <c r="J2417" t="s">
        <v>11</v>
      </c>
      <c r="K2417">
        <f>IF(J2417="Yes", 1, 0)</f>
        <v>1</v>
      </c>
      <c r="L2417" t="str">
        <f>IF(G2417=0,"0 Failures","1+ Failures")</f>
        <v>1+ Failures</v>
      </c>
      <c r="M2417" t="str">
        <f t="shared" si="113"/>
        <v>10-20hrs</v>
      </c>
      <c r="N2417" t="str">
        <f t="shared" si="111"/>
        <v>12+ months</v>
      </c>
      <c r="O2417" t="str">
        <f t="shared" si="112"/>
        <v>Basic</v>
      </c>
      <c r="P2417" s="7">
        <v>45657</v>
      </c>
    </row>
    <row r="2418" spans="1:16" x14ac:dyDescent="0.3">
      <c r="A2418">
        <v>2417</v>
      </c>
      <c r="B2418" s="7">
        <v>45546</v>
      </c>
      <c r="C2418" t="s">
        <v>12</v>
      </c>
      <c r="D2418">
        <v>199</v>
      </c>
      <c r="E2418">
        <v>22.4</v>
      </c>
      <c r="F2418">
        <v>0</v>
      </c>
      <c r="G2418">
        <v>2</v>
      </c>
      <c r="H2418">
        <v>9</v>
      </c>
      <c r="I2418">
        <v>51</v>
      </c>
      <c r="J2418" t="s">
        <v>11</v>
      </c>
      <c r="K2418">
        <f>IF(J2418="Yes", 1, 0)</f>
        <v>1</v>
      </c>
      <c r="L2418" t="str">
        <f>IF(G2418=0,"0 Failures","1+ Failures")</f>
        <v>1+ Failures</v>
      </c>
      <c r="M2418" t="str">
        <f t="shared" si="113"/>
        <v>20+ hrs</v>
      </c>
      <c r="N2418" t="str">
        <f t="shared" si="111"/>
        <v>6-12months</v>
      </c>
      <c r="O2418" t="str">
        <f t="shared" si="112"/>
        <v>Basic</v>
      </c>
      <c r="P2418" s="7">
        <v>45657</v>
      </c>
    </row>
    <row r="2419" spans="1:16" x14ac:dyDescent="0.3">
      <c r="A2419">
        <v>2418</v>
      </c>
      <c r="B2419" s="7">
        <v>45635</v>
      </c>
      <c r="C2419" t="s">
        <v>10</v>
      </c>
      <c r="D2419">
        <v>699</v>
      </c>
      <c r="E2419">
        <v>16.7</v>
      </c>
      <c r="F2419">
        <v>8</v>
      </c>
      <c r="G2419">
        <v>3</v>
      </c>
      <c r="H2419">
        <v>15</v>
      </c>
      <c r="I2419">
        <v>46</v>
      </c>
      <c r="J2419" t="s">
        <v>11</v>
      </c>
      <c r="K2419">
        <f>IF(J2419="Yes", 1, 0)</f>
        <v>1</v>
      </c>
      <c r="L2419" t="str">
        <f>IF(G2419=0,"0 Failures","1+ Failures")</f>
        <v>1+ Failures</v>
      </c>
      <c r="M2419" t="str">
        <f t="shared" si="113"/>
        <v>10-20hrs</v>
      </c>
      <c r="N2419" t="str">
        <f t="shared" si="111"/>
        <v>12+ months</v>
      </c>
      <c r="O2419" t="str">
        <f t="shared" si="112"/>
        <v>Premium</v>
      </c>
      <c r="P2419" s="7">
        <v>45657</v>
      </c>
    </row>
    <row r="2420" spans="1:16" x14ac:dyDescent="0.3">
      <c r="A2420">
        <v>2419</v>
      </c>
      <c r="B2420" s="7">
        <v>45551</v>
      </c>
      <c r="C2420" t="s">
        <v>14</v>
      </c>
      <c r="D2420">
        <v>399</v>
      </c>
      <c r="E2420">
        <v>24.2</v>
      </c>
      <c r="F2420">
        <v>2</v>
      </c>
      <c r="G2420">
        <v>2</v>
      </c>
      <c r="H2420">
        <v>33</v>
      </c>
      <c r="I2420">
        <v>56</v>
      </c>
      <c r="J2420" t="s">
        <v>13</v>
      </c>
      <c r="K2420">
        <f>IF(J2420="Yes", 1, 0)</f>
        <v>0</v>
      </c>
      <c r="L2420" t="str">
        <f>IF(G2420=0,"0 Failures","1+ Failures")</f>
        <v>1+ Failures</v>
      </c>
      <c r="M2420" t="str">
        <f t="shared" si="113"/>
        <v>20+ hrs</v>
      </c>
      <c r="N2420" t="str">
        <f t="shared" si="111"/>
        <v>12+ months</v>
      </c>
      <c r="O2420" t="str">
        <f t="shared" si="112"/>
        <v>Basic</v>
      </c>
      <c r="P2420" s="7">
        <v>45657</v>
      </c>
    </row>
    <row r="2421" spans="1:16" x14ac:dyDescent="0.3">
      <c r="A2421">
        <v>2420</v>
      </c>
      <c r="B2421" s="7">
        <v>45485</v>
      </c>
      <c r="C2421" t="s">
        <v>10</v>
      </c>
      <c r="D2421">
        <v>699</v>
      </c>
      <c r="E2421">
        <v>15.9</v>
      </c>
      <c r="F2421">
        <v>1</v>
      </c>
      <c r="G2421">
        <v>2</v>
      </c>
      <c r="H2421">
        <v>36</v>
      </c>
      <c r="I2421">
        <v>22</v>
      </c>
      <c r="J2421" t="s">
        <v>11</v>
      </c>
      <c r="K2421">
        <f>IF(J2421="Yes", 1, 0)</f>
        <v>1</v>
      </c>
      <c r="L2421" t="str">
        <f>IF(G2421=0,"0 Failures","1+ Failures")</f>
        <v>1+ Failures</v>
      </c>
      <c r="M2421" t="str">
        <f t="shared" si="113"/>
        <v>10-20hrs</v>
      </c>
      <c r="N2421" t="str">
        <f t="shared" si="111"/>
        <v>12+ months</v>
      </c>
      <c r="O2421" t="str">
        <f t="shared" si="112"/>
        <v>Premium</v>
      </c>
      <c r="P2421" s="7">
        <v>45657</v>
      </c>
    </row>
    <row r="2422" spans="1:16" x14ac:dyDescent="0.3">
      <c r="A2422">
        <v>2421</v>
      </c>
      <c r="B2422" s="7">
        <v>45292</v>
      </c>
      <c r="C2422" t="s">
        <v>10</v>
      </c>
      <c r="D2422">
        <v>699</v>
      </c>
      <c r="E2422">
        <v>24.1</v>
      </c>
      <c r="F2422">
        <v>0</v>
      </c>
      <c r="G2422">
        <v>5</v>
      </c>
      <c r="H2422">
        <v>30</v>
      </c>
      <c r="I2422">
        <v>41</v>
      </c>
      <c r="J2422" t="s">
        <v>11</v>
      </c>
      <c r="K2422">
        <f>IF(J2422="Yes", 1, 0)</f>
        <v>1</v>
      </c>
      <c r="L2422" t="str">
        <f>IF(G2422=0,"0 Failures","1+ Failures")</f>
        <v>1+ Failures</v>
      </c>
      <c r="M2422" t="str">
        <f t="shared" si="113"/>
        <v>20+ hrs</v>
      </c>
      <c r="N2422" t="str">
        <f t="shared" si="111"/>
        <v>12+ months</v>
      </c>
      <c r="O2422" t="str">
        <f t="shared" si="112"/>
        <v>Premium</v>
      </c>
      <c r="P2422" s="7">
        <v>45657</v>
      </c>
    </row>
    <row r="2423" spans="1:16" x14ac:dyDescent="0.3">
      <c r="A2423">
        <v>2422</v>
      </c>
      <c r="B2423" s="7">
        <v>45479</v>
      </c>
      <c r="C2423" t="s">
        <v>12</v>
      </c>
      <c r="D2423">
        <v>199</v>
      </c>
      <c r="E2423">
        <v>22.4</v>
      </c>
      <c r="F2423">
        <v>6</v>
      </c>
      <c r="G2423">
        <v>3</v>
      </c>
      <c r="H2423">
        <v>16</v>
      </c>
      <c r="I2423">
        <v>24</v>
      </c>
      <c r="J2423" t="s">
        <v>11</v>
      </c>
      <c r="K2423">
        <f>IF(J2423="Yes", 1, 0)</f>
        <v>1</v>
      </c>
      <c r="L2423" t="str">
        <f>IF(G2423=0,"0 Failures","1+ Failures")</f>
        <v>1+ Failures</v>
      </c>
      <c r="M2423" t="str">
        <f t="shared" si="113"/>
        <v>20+ hrs</v>
      </c>
      <c r="N2423" t="str">
        <f t="shared" si="111"/>
        <v>12+ months</v>
      </c>
      <c r="O2423" t="str">
        <f t="shared" si="112"/>
        <v>Basic</v>
      </c>
      <c r="P2423" s="7">
        <v>45657</v>
      </c>
    </row>
    <row r="2424" spans="1:16" x14ac:dyDescent="0.3">
      <c r="A2424">
        <v>2423</v>
      </c>
      <c r="B2424" s="7">
        <v>45555</v>
      </c>
      <c r="C2424" t="s">
        <v>10</v>
      </c>
      <c r="D2424">
        <v>699</v>
      </c>
      <c r="E2424">
        <v>1.1000000000000001</v>
      </c>
      <c r="F2424">
        <v>7</v>
      </c>
      <c r="G2424">
        <v>2</v>
      </c>
      <c r="H2424">
        <v>12</v>
      </c>
      <c r="I2424">
        <v>24</v>
      </c>
      <c r="J2424" t="s">
        <v>11</v>
      </c>
      <c r="K2424">
        <f>IF(J2424="Yes", 1, 0)</f>
        <v>1</v>
      </c>
      <c r="L2424" t="str">
        <f>IF(G2424=0,"0 Failures","1+ Failures")</f>
        <v>1+ Failures</v>
      </c>
      <c r="M2424" t="str">
        <f t="shared" si="113"/>
        <v>0-5 hrs</v>
      </c>
      <c r="N2424" t="str">
        <f t="shared" si="111"/>
        <v>6-12months</v>
      </c>
      <c r="O2424" t="str">
        <f t="shared" si="112"/>
        <v>Premium</v>
      </c>
      <c r="P2424" s="7">
        <v>45657</v>
      </c>
    </row>
    <row r="2425" spans="1:16" x14ac:dyDescent="0.3">
      <c r="A2425">
        <v>2424</v>
      </c>
      <c r="B2425" s="7">
        <v>45565</v>
      </c>
      <c r="C2425" t="s">
        <v>12</v>
      </c>
      <c r="D2425">
        <v>199</v>
      </c>
      <c r="E2425">
        <v>12.6</v>
      </c>
      <c r="F2425">
        <v>8</v>
      </c>
      <c r="G2425">
        <v>3</v>
      </c>
      <c r="H2425">
        <v>30</v>
      </c>
      <c r="I2425">
        <v>24</v>
      </c>
      <c r="J2425" t="s">
        <v>11</v>
      </c>
      <c r="K2425">
        <f>IF(J2425="Yes", 1, 0)</f>
        <v>1</v>
      </c>
      <c r="L2425" t="str">
        <f>IF(G2425=0,"0 Failures","1+ Failures")</f>
        <v>1+ Failures</v>
      </c>
      <c r="M2425" t="str">
        <f t="shared" si="113"/>
        <v>10-20hrs</v>
      </c>
      <c r="N2425" t="str">
        <f t="shared" si="111"/>
        <v>12+ months</v>
      </c>
      <c r="O2425" t="str">
        <f t="shared" si="112"/>
        <v>Basic</v>
      </c>
      <c r="P2425" s="7">
        <v>45657</v>
      </c>
    </row>
    <row r="2426" spans="1:16" x14ac:dyDescent="0.3">
      <c r="A2426">
        <v>2425</v>
      </c>
      <c r="B2426" s="7">
        <v>45127</v>
      </c>
      <c r="C2426" t="s">
        <v>10</v>
      </c>
      <c r="D2426">
        <v>699</v>
      </c>
      <c r="E2426">
        <v>12.9</v>
      </c>
      <c r="F2426">
        <v>2</v>
      </c>
      <c r="G2426">
        <v>1</v>
      </c>
      <c r="H2426">
        <v>28</v>
      </c>
      <c r="I2426">
        <v>20</v>
      </c>
      <c r="J2426" t="s">
        <v>13</v>
      </c>
      <c r="K2426">
        <f>IF(J2426="Yes", 1, 0)</f>
        <v>0</v>
      </c>
      <c r="L2426" t="str">
        <f>IF(G2426=0,"0 Failures","1+ Failures")</f>
        <v>1+ Failures</v>
      </c>
      <c r="M2426" t="str">
        <f t="shared" si="113"/>
        <v>10-20hrs</v>
      </c>
      <c r="N2426" t="str">
        <f t="shared" si="111"/>
        <v>12+ months</v>
      </c>
      <c r="O2426" t="str">
        <f t="shared" si="112"/>
        <v>Premium</v>
      </c>
      <c r="P2426" s="7">
        <v>45657</v>
      </c>
    </row>
    <row r="2427" spans="1:16" x14ac:dyDescent="0.3">
      <c r="A2427">
        <v>2426</v>
      </c>
      <c r="B2427" s="7">
        <v>45335</v>
      </c>
      <c r="C2427" t="s">
        <v>14</v>
      </c>
      <c r="D2427">
        <v>399</v>
      </c>
      <c r="E2427">
        <v>19.899999999999999</v>
      </c>
      <c r="F2427">
        <v>8</v>
      </c>
      <c r="G2427">
        <v>2</v>
      </c>
      <c r="H2427">
        <v>3</v>
      </c>
      <c r="I2427">
        <v>43</v>
      </c>
      <c r="J2427" t="s">
        <v>11</v>
      </c>
      <c r="K2427">
        <f>IF(J2427="Yes", 1, 0)</f>
        <v>1</v>
      </c>
      <c r="L2427" t="str">
        <f>IF(G2427=0,"0 Failures","1+ Failures")</f>
        <v>1+ Failures</v>
      </c>
      <c r="M2427" t="str">
        <f t="shared" si="113"/>
        <v>10-20hrs</v>
      </c>
      <c r="N2427" t="str">
        <f t="shared" si="111"/>
        <v>0-3months</v>
      </c>
      <c r="O2427" t="str">
        <f t="shared" si="112"/>
        <v>Basic</v>
      </c>
      <c r="P2427" s="7">
        <v>45657</v>
      </c>
    </row>
    <row r="2428" spans="1:16" x14ac:dyDescent="0.3">
      <c r="A2428">
        <v>2427</v>
      </c>
      <c r="B2428" s="7">
        <v>44957</v>
      </c>
      <c r="C2428" t="s">
        <v>10</v>
      </c>
      <c r="D2428">
        <v>699</v>
      </c>
      <c r="E2428">
        <v>17.2</v>
      </c>
      <c r="F2428">
        <v>3</v>
      </c>
      <c r="G2428">
        <v>2</v>
      </c>
      <c r="H2428">
        <v>12</v>
      </c>
      <c r="I2428">
        <v>3</v>
      </c>
      <c r="J2428" t="s">
        <v>13</v>
      </c>
      <c r="K2428">
        <f>IF(J2428="Yes", 1, 0)</f>
        <v>0</v>
      </c>
      <c r="L2428" t="str">
        <f>IF(G2428=0,"0 Failures","1+ Failures")</f>
        <v>1+ Failures</v>
      </c>
      <c r="M2428" t="str">
        <f t="shared" si="113"/>
        <v>10-20hrs</v>
      </c>
      <c r="N2428" t="str">
        <f t="shared" si="111"/>
        <v>6-12months</v>
      </c>
      <c r="O2428" t="str">
        <f t="shared" si="112"/>
        <v>Premium</v>
      </c>
      <c r="P2428" s="7">
        <v>45657</v>
      </c>
    </row>
    <row r="2429" spans="1:16" x14ac:dyDescent="0.3">
      <c r="A2429">
        <v>2428</v>
      </c>
      <c r="B2429" s="7">
        <v>45629</v>
      </c>
      <c r="C2429" t="s">
        <v>10</v>
      </c>
      <c r="D2429">
        <v>699</v>
      </c>
      <c r="E2429">
        <v>19</v>
      </c>
      <c r="F2429">
        <v>6</v>
      </c>
      <c r="G2429">
        <v>3</v>
      </c>
      <c r="H2429">
        <v>24</v>
      </c>
      <c r="I2429">
        <v>46</v>
      </c>
      <c r="J2429" t="s">
        <v>11</v>
      </c>
      <c r="K2429">
        <f>IF(J2429="Yes", 1, 0)</f>
        <v>1</v>
      </c>
      <c r="L2429" t="str">
        <f>IF(G2429=0,"0 Failures","1+ Failures")</f>
        <v>1+ Failures</v>
      </c>
      <c r="M2429" t="str">
        <f t="shared" si="113"/>
        <v>10-20hrs</v>
      </c>
      <c r="N2429" t="str">
        <f t="shared" si="111"/>
        <v>12+ months</v>
      </c>
      <c r="O2429" t="str">
        <f t="shared" si="112"/>
        <v>Premium</v>
      </c>
      <c r="P2429" s="7">
        <v>45657</v>
      </c>
    </row>
    <row r="2430" spans="1:16" x14ac:dyDescent="0.3">
      <c r="A2430">
        <v>2429</v>
      </c>
      <c r="B2430" s="7">
        <v>45107</v>
      </c>
      <c r="C2430" t="s">
        <v>14</v>
      </c>
      <c r="D2430">
        <v>399</v>
      </c>
      <c r="E2430">
        <v>1.3</v>
      </c>
      <c r="F2430">
        <v>1</v>
      </c>
      <c r="G2430">
        <v>1</v>
      </c>
      <c r="H2430">
        <v>3</v>
      </c>
      <c r="I2430">
        <v>17</v>
      </c>
      <c r="J2430" t="s">
        <v>13</v>
      </c>
      <c r="K2430">
        <f>IF(J2430="Yes", 1, 0)</f>
        <v>0</v>
      </c>
      <c r="L2430" t="str">
        <f>IF(G2430=0,"0 Failures","1+ Failures")</f>
        <v>1+ Failures</v>
      </c>
      <c r="M2430" t="str">
        <f t="shared" si="113"/>
        <v>0-5 hrs</v>
      </c>
      <c r="N2430" t="str">
        <f t="shared" si="111"/>
        <v>0-3months</v>
      </c>
      <c r="O2430" t="str">
        <f t="shared" si="112"/>
        <v>Basic</v>
      </c>
      <c r="P2430" s="7">
        <v>45657</v>
      </c>
    </row>
    <row r="2431" spans="1:16" x14ac:dyDescent="0.3">
      <c r="A2431">
        <v>2430</v>
      </c>
      <c r="B2431" s="7">
        <v>45329</v>
      </c>
      <c r="C2431" t="s">
        <v>10</v>
      </c>
      <c r="D2431">
        <v>699</v>
      </c>
      <c r="E2431">
        <v>21.4</v>
      </c>
      <c r="F2431">
        <v>4</v>
      </c>
      <c r="G2431">
        <v>2</v>
      </c>
      <c r="H2431">
        <v>22</v>
      </c>
      <c r="I2431">
        <v>11</v>
      </c>
      <c r="J2431" t="s">
        <v>13</v>
      </c>
      <c r="K2431">
        <f>IF(J2431="Yes", 1, 0)</f>
        <v>0</v>
      </c>
      <c r="L2431" t="str">
        <f>IF(G2431=0,"0 Failures","1+ Failures")</f>
        <v>1+ Failures</v>
      </c>
      <c r="M2431" t="str">
        <f t="shared" si="113"/>
        <v>20+ hrs</v>
      </c>
      <c r="N2431" t="str">
        <f t="shared" si="111"/>
        <v>12+ months</v>
      </c>
      <c r="O2431" t="str">
        <f t="shared" si="112"/>
        <v>Premium</v>
      </c>
      <c r="P2431" s="7">
        <v>45657</v>
      </c>
    </row>
    <row r="2432" spans="1:16" x14ac:dyDescent="0.3">
      <c r="A2432">
        <v>2431</v>
      </c>
      <c r="B2432" s="7">
        <v>45179</v>
      </c>
      <c r="C2432" t="s">
        <v>14</v>
      </c>
      <c r="D2432">
        <v>399</v>
      </c>
      <c r="E2432">
        <v>5.3</v>
      </c>
      <c r="F2432">
        <v>5</v>
      </c>
      <c r="G2432">
        <v>4</v>
      </c>
      <c r="H2432">
        <v>26</v>
      </c>
      <c r="I2432">
        <v>18</v>
      </c>
      <c r="J2432" t="s">
        <v>11</v>
      </c>
      <c r="K2432">
        <f>IF(J2432="Yes", 1, 0)</f>
        <v>1</v>
      </c>
      <c r="L2432" t="str">
        <f>IF(G2432=0,"0 Failures","1+ Failures")</f>
        <v>1+ Failures</v>
      </c>
      <c r="M2432" t="str">
        <f t="shared" si="113"/>
        <v>5-10 hrs</v>
      </c>
      <c r="N2432" t="str">
        <f t="shared" si="111"/>
        <v>12+ months</v>
      </c>
      <c r="O2432" t="str">
        <f t="shared" si="112"/>
        <v>Basic</v>
      </c>
      <c r="P2432" s="7">
        <v>45657</v>
      </c>
    </row>
    <row r="2433" spans="1:16" x14ac:dyDescent="0.3">
      <c r="A2433">
        <v>2432</v>
      </c>
      <c r="B2433" s="7">
        <v>45126</v>
      </c>
      <c r="C2433" t="s">
        <v>10</v>
      </c>
      <c r="D2433">
        <v>699</v>
      </c>
      <c r="E2433">
        <v>17.2</v>
      </c>
      <c r="F2433">
        <v>4</v>
      </c>
      <c r="G2433">
        <v>3</v>
      </c>
      <c r="H2433">
        <v>9</v>
      </c>
      <c r="I2433">
        <v>53</v>
      </c>
      <c r="J2433" t="s">
        <v>13</v>
      </c>
      <c r="K2433">
        <f>IF(J2433="Yes", 1, 0)</f>
        <v>0</v>
      </c>
      <c r="L2433" t="str">
        <f>IF(G2433=0,"0 Failures","1+ Failures")</f>
        <v>1+ Failures</v>
      </c>
      <c r="M2433" t="str">
        <f t="shared" si="113"/>
        <v>10-20hrs</v>
      </c>
      <c r="N2433" t="str">
        <f t="shared" si="111"/>
        <v>6-12months</v>
      </c>
      <c r="O2433" t="str">
        <f t="shared" si="112"/>
        <v>Premium</v>
      </c>
      <c r="P2433" s="7">
        <v>45657</v>
      </c>
    </row>
    <row r="2434" spans="1:16" x14ac:dyDescent="0.3">
      <c r="A2434">
        <v>2433</v>
      </c>
      <c r="B2434" s="7">
        <v>45262</v>
      </c>
      <c r="C2434" t="s">
        <v>10</v>
      </c>
      <c r="D2434">
        <v>699</v>
      </c>
      <c r="E2434">
        <v>8.8000000000000007</v>
      </c>
      <c r="F2434">
        <v>2</v>
      </c>
      <c r="G2434">
        <v>2</v>
      </c>
      <c r="H2434">
        <v>7</v>
      </c>
      <c r="I2434">
        <v>5</v>
      </c>
      <c r="J2434" t="s">
        <v>13</v>
      </c>
      <c r="K2434">
        <f>IF(J2434="Yes", 1, 0)</f>
        <v>0</v>
      </c>
      <c r="L2434" t="str">
        <f>IF(G2434=0,"0 Failures","1+ Failures")</f>
        <v>1+ Failures</v>
      </c>
      <c r="M2434" t="str">
        <f t="shared" si="113"/>
        <v>5-10 hrs</v>
      </c>
      <c r="N2434" t="str">
        <f t="shared" si="111"/>
        <v>6-12months</v>
      </c>
      <c r="O2434" t="str">
        <f t="shared" si="112"/>
        <v>Premium</v>
      </c>
      <c r="P2434" s="7">
        <v>45657</v>
      </c>
    </row>
    <row r="2435" spans="1:16" x14ac:dyDescent="0.3">
      <c r="A2435">
        <v>2434</v>
      </c>
      <c r="B2435" s="7">
        <v>45325</v>
      </c>
      <c r="C2435" t="s">
        <v>12</v>
      </c>
      <c r="D2435">
        <v>199</v>
      </c>
      <c r="E2435">
        <v>19.2</v>
      </c>
      <c r="F2435">
        <v>7</v>
      </c>
      <c r="G2435">
        <v>1</v>
      </c>
      <c r="H2435">
        <v>35</v>
      </c>
      <c r="I2435">
        <v>58</v>
      </c>
      <c r="J2435" t="s">
        <v>13</v>
      </c>
      <c r="K2435">
        <f>IF(J2435="Yes", 1, 0)</f>
        <v>0</v>
      </c>
      <c r="L2435" t="str">
        <f>IF(G2435=0,"0 Failures","1+ Failures")</f>
        <v>1+ Failures</v>
      </c>
      <c r="M2435" t="str">
        <f t="shared" si="113"/>
        <v>10-20hrs</v>
      </c>
      <c r="N2435" t="str">
        <f t="shared" ref="N2435:N2498" si="114">IF(H2435&lt;=3, "0-3months", IF(H2435&lt;=6, "3-6months", IF(H2435&lt;=12, "6-12months", "12+ months")))</f>
        <v>12+ months</v>
      </c>
      <c r="O2435" t="str">
        <f t="shared" ref="O2435:O2498" si="115">IF(C2435="premium", "Premium", "Basic")</f>
        <v>Basic</v>
      </c>
      <c r="P2435" s="7">
        <v>45657</v>
      </c>
    </row>
    <row r="2436" spans="1:16" x14ac:dyDescent="0.3">
      <c r="A2436">
        <v>2435</v>
      </c>
      <c r="B2436" s="7">
        <v>45549</v>
      </c>
      <c r="C2436" t="s">
        <v>12</v>
      </c>
      <c r="D2436">
        <v>199</v>
      </c>
      <c r="E2436">
        <v>10.4</v>
      </c>
      <c r="F2436">
        <v>3</v>
      </c>
      <c r="G2436">
        <v>5</v>
      </c>
      <c r="H2436">
        <v>11</v>
      </c>
      <c r="I2436">
        <v>14</v>
      </c>
      <c r="J2436" t="s">
        <v>11</v>
      </c>
      <c r="K2436">
        <f>IF(J2436="Yes", 1, 0)</f>
        <v>1</v>
      </c>
      <c r="L2436" t="str">
        <f>IF(G2436=0,"0 Failures","1+ Failures")</f>
        <v>1+ Failures</v>
      </c>
      <c r="M2436" t="str">
        <f t="shared" si="113"/>
        <v>10-20hrs</v>
      </c>
      <c r="N2436" t="str">
        <f t="shared" si="114"/>
        <v>6-12months</v>
      </c>
      <c r="O2436" t="str">
        <f t="shared" si="115"/>
        <v>Basic</v>
      </c>
      <c r="P2436" s="7">
        <v>45657</v>
      </c>
    </row>
    <row r="2437" spans="1:16" x14ac:dyDescent="0.3">
      <c r="A2437">
        <v>2436</v>
      </c>
      <c r="B2437" s="7">
        <v>45305</v>
      </c>
      <c r="C2437" t="s">
        <v>10</v>
      </c>
      <c r="D2437">
        <v>699</v>
      </c>
      <c r="E2437">
        <v>3</v>
      </c>
      <c r="F2437">
        <v>8</v>
      </c>
      <c r="G2437">
        <v>0</v>
      </c>
      <c r="H2437">
        <v>24</v>
      </c>
      <c r="I2437">
        <v>35</v>
      </c>
      <c r="J2437" t="s">
        <v>11</v>
      </c>
      <c r="K2437">
        <f>IF(J2437="Yes", 1, 0)</f>
        <v>1</v>
      </c>
      <c r="L2437" t="str">
        <f>IF(G2437=0,"0 Failures","1+ Failures")</f>
        <v>0 Failures</v>
      </c>
      <c r="M2437" t="str">
        <f t="shared" si="113"/>
        <v>0-5 hrs</v>
      </c>
      <c r="N2437" t="str">
        <f t="shared" si="114"/>
        <v>12+ months</v>
      </c>
      <c r="O2437" t="str">
        <f t="shared" si="115"/>
        <v>Premium</v>
      </c>
      <c r="P2437" s="7">
        <v>45657</v>
      </c>
    </row>
    <row r="2438" spans="1:16" x14ac:dyDescent="0.3">
      <c r="A2438">
        <v>2437</v>
      </c>
      <c r="B2438" s="7">
        <v>45499</v>
      </c>
      <c r="C2438" t="s">
        <v>14</v>
      </c>
      <c r="D2438">
        <v>399</v>
      </c>
      <c r="E2438">
        <v>23.8</v>
      </c>
      <c r="F2438">
        <v>7</v>
      </c>
      <c r="G2438">
        <v>4</v>
      </c>
      <c r="H2438">
        <v>2</v>
      </c>
      <c r="I2438">
        <v>16</v>
      </c>
      <c r="J2438" t="s">
        <v>13</v>
      </c>
      <c r="K2438">
        <f>IF(J2438="Yes", 1, 0)</f>
        <v>0</v>
      </c>
      <c r="L2438" t="str">
        <f>IF(G2438=0,"0 Failures","1+ Failures")</f>
        <v>1+ Failures</v>
      </c>
      <c r="M2438" t="str">
        <f t="shared" si="113"/>
        <v>20+ hrs</v>
      </c>
      <c r="N2438" t="str">
        <f t="shared" si="114"/>
        <v>0-3months</v>
      </c>
      <c r="O2438" t="str">
        <f t="shared" si="115"/>
        <v>Basic</v>
      </c>
      <c r="P2438" s="7">
        <v>45657</v>
      </c>
    </row>
    <row r="2439" spans="1:16" x14ac:dyDescent="0.3">
      <c r="A2439">
        <v>2438</v>
      </c>
      <c r="B2439" s="7">
        <v>45156</v>
      </c>
      <c r="C2439" t="s">
        <v>14</v>
      </c>
      <c r="D2439">
        <v>399</v>
      </c>
      <c r="E2439">
        <v>15.4</v>
      </c>
      <c r="F2439">
        <v>7</v>
      </c>
      <c r="G2439">
        <v>5</v>
      </c>
      <c r="H2439">
        <v>2</v>
      </c>
      <c r="I2439">
        <v>18</v>
      </c>
      <c r="J2439" t="s">
        <v>13</v>
      </c>
      <c r="K2439">
        <f>IF(J2439="Yes", 1, 0)</f>
        <v>0</v>
      </c>
      <c r="L2439" t="str">
        <f>IF(G2439=0,"0 Failures","1+ Failures")</f>
        <v>1+ Failures</v>
      </c>
      <c r="M2439" t="str">
        <f t="shared" si="113"/>
        <v>10-20hrs</v>
      </c>
      <c r="N2439" t="str">
        <f t="shared" si="114"/>
        <v>0-3months</v>
      </c>
      <c r="O2439" t="str">
        <f t="shared" si="115"/>
        <v>Basic</v>
      </c>
      <c r="P2439" s="7">
        <v>45657</v>
      </c>
    </row>
    <row r="2440" spans="1:16" x14ac:dyDescent="0.3">
      <c r="A2440">
        <v>2439</v>
      </c>
      <c r="B2440" s="7">
        <v>45517</v>
      </c>
      <c r="C2440" t="s">
        <v>12</v>
      </c>
      <c r="D2440">
        <v>199</v>
      </c>
      <c r="E2440">
        <v>8</v>
      </c>
      <c r="F2440">
        <v>1</v>
      </c>
      <c r="G2440">
        <v>5</v>
      </c>
      <c r="H2440">
        <v>13</v>
      </c>
      <c r="I2440">
        <v>57</v>
      </c>
      <c r="J2440" t="s">
        <v>11</v>
      </c>
      <c r="K2440">
        <f>IF(J2440="Yes", 1, 0)</f>
        <v>1</v>
      </c>
      <c r="L2440" t="str">
        <f>IF(G2440=0,"0 Failures","1+ Failures")</f>
        <v>1+ Failures</v>
      </c>
      <c r="M2440" t="str">
        <f t="shared" si="113"/>
        <v>5-10 hrs</v>
      </c>
      <c r="N2440" t="str">
        <f t="shared" si="114"/>
        <v>12+ months</v>
      </c>
      <c r="O2440" t="str">
        <f t="shared" si="115"/>
        <v>Basic</v>
      </c>
      <c r="P2440" s="7">
        <v>45657</v>
      </c>
    </row>
    <row r="2441" spans="1:16" x14ac:dyDescent="0.3">
      <c r="A2441">
        <v>2440</v>
      </c>
      <c r="B2441" s="7">
        <v>45648</v>
      </c>
      <c r="C2441" t="s">
        <v>12</v>
      </c>
      <c r="D2441">
        <v>199</v>
      </c>
      <c r="E2441">
        <v>22.9</v>
      </c>
      <c r="F2441">
        <v>7</v>
      </c>
      <c r="G2441">
        <v>1</v>
      </c>
      <c r="H2441">
        <v>8</v>
      </c>
      <c r="I2441">
        <v>3</v>
      </c>
      <c r="J2441" t="s">
        <v>11</v>
      </c>
      <c r="K2441">
        <f>IF(J2441="Yes", 1, 0)</f>
        <v>1</v>
      </c>
      <c r="L2441" t="str">
        <f>IF(G2441=0,"0 Failures","1+ Failures")</f>
        <v>1+ Failures</v>
      </c>
      <c r="M2441" t="str">
        <f t="shared" si="113"/>
        <v>20+ hrs</v>
      </c>
      <c r="N2441" t="str">
        <f t="shared" si="114"/>
        <v>6-12months</v>
      </c>
      <c r="O2441" t="str">
        <f t="shared" si="115"/>
        <v>Basic</v>
      </c>
      <c r="P2441" s="7">
        <v>45657</v>
      </c>
    </row>
    <row r="2442" spans="1:16" x14ac:dyDescent="0.3">
      <c r="A2442">
        <v>2441</v>
      </c>
      <c r="B2442" s="7">
        <v>45330</v>
      </c>
      <c r="C2442" t="s">
        <v>14</v>
      </c>
      <c r="D2442">
        <v>399</v>
      </c>
      <c r="E2442">
        <v>7.1</v>
      </c>
      <c r="F2442">
        <v>0</v>
      </c>
      <c r="G2442">
        <v>0</v>
      </c>
      <c r="H2442">
        <v>16</v>
      </c>
      <c r="I2442">
        <v>53</v>
      </c>
      <c r="J2442" t="s">
        <v>13</v>
      </c>
      <c r="K2442">
        <f>IF(J2442="Yes", 1, 0)</f>
        <v>0</v>
      </c>
      <c r="L2442" t="str">
        <f>IF(G2442=0,"0 Failures","1+ Failures")</f>
        <v>0 Failures</v>
      </c>
      <c r="M2442" t="str">
        <f t="shared" si="113"/>
        <v>5-10 hrs</v>
      </c>
      <c r="N2442" t="str">
        <f t="shared" si="114"/>
        <v>12+ months</v>
      </c>
      <c r="O2442" t="str">
        <f t="shared" si="115"/>
        <v>Basic</v>
      </c>
      <c r="P2442" s="7">
        <v>45657</v>
      </c>
    </row>
    <row r="2443" spans="1:16" x14ac:dyDescent="0.3">
      <c r="A2443">
        <v>2442</v>
      </c>
      <c r="B2443" s="7">
        <v>45134</v>
      </c>
      <c r="C2443" t="s">
        <v>14</v>
      </c>
      <c r="D2443">
        <v>399</v>
      </c>
      <c r="E2443">
        <v>8.5</v>
      </c>
      <c r="F2443">
        <v>7</v>
      </c>
      <c r="G2443">
        <v>0</v>
      </c>
      <c r="H2443">
        <v>6</v>
      </c>
      <c r="I2443">
        <v>20</v>
      </c>
      <c r="J2443" t="s">
        <v>13</v>
      </c>
      <c r="K2443">
        <f>IF(J2443="Yes", 1, 0)</f>
        <v>0</v>
      </c>
      <c r="L2443" t="str">
        <f>IF(G2443=0,"0 Failures","1+ Failures")</f>
        <v>0 Failures</v>
      </c>
      <c r="M2443" t="str">
        <f t="shared" ref="M2443:M2506" si="116">IF(E2443&lt;=5, "0-5 hrs",    IF(E2443&lt;=10, "5-10 hrs",    IF(E2443&lt;=20, "10-20hrs", "20+ hrs")))</f>
        <v>5-10 hrs</v>
      </c>
      <c r="N2443" t="str">
        <f t="shared" si="114"/>
        <v>3-6months</v>
      </c>
      <c r="O2443" t="str">
        <f t="shared" si="115"/>
        <v>Basic</v>
      </c>
      <c r="P2443" s="7">
        <v>45657</v>
      </c>
    </row>
    <row r="2444" spans="1:16" x14ac:dyDescent="0.3">
      <c r="A2444">
        <v>2443</v>
      </c>
      <c r="B2444" s="7">
        <v>45356</v>
      </c>
      <c r="C2444" t="s">
        <v>12</v>
      </c>
      <c r="D2444">
        <v>199</v>
      </c>
      <c r="E2444">
        <v>18.399999999999999</v>
      </c>
      <c r="F2444">
        <v>5</v>
      </c>
      <c r="G2444">
        <v>4</v>
      </c>
      <c r="H2444">
        <v>14</v>
      </c>
      <c r="I2444">
        <v>56</v>
      </c>
      <c r="J2444" t="s">
        <v>11</v>
      </c>
      <c r="K2444">
        <f>IF(J2444="Yes", 1, 0)</f>
        <v>1</v>
      </c>
      <c r="L2444" t="str">
        <f>IF(G2444=0,"0 Failures","1+ Failures")</f>
        <v>1+ Failures</v>
      </c>
      <c r="M2444" t="str">
        <f t="shared" si="116"/>
        <v>10-20hrs</v>
      </c>
      <c r="N2444" t="str">
        <f t="shared" si="114"/>
        <v>12+ months</v>
      </c>
      <c r="O2444" t="str">
        <f t="shared" si="115"/>
        <v>Basic</v>
      </c>
      <c r="P2444" s="7">
        <v>45657</v>
      </c>
    </row>
    <row r="2445" spans="1:16" x14ac:dyDescent="0.3">
      <c r="A2445">
        <v>2444</v>
      </c>
      <c r="B2445" s="7">
        <v>44943</v>
      </c>
      <c r="C2445" t="s">
        <v>14</v>
      </c>
      <c r="D2445">
        <v>399</v>
      </c>
      <c r="E2445">
        <v>2.9</v>
      </c>
      <c r="F2445">
        <v>6</v>
      </c>
      <c r="G2445">
        <v>3</v>
      </c>
      <c r="H2445">
        <v>34</v>
      </c>
      <c r="I2445">
        <v>54</v>
      </c>
      <c r="J2445" t="s">
        <v>11</v>
      </c>
      <c r="K2445">
        <f>IF(J2445="Yes", 1, 0)</f>
        <v>1</v>
      </c>
      <c r="L2445" t="str">
        <f>IF(G2445=0,"0 Failures","1+ Failures")</f>
        <v>1+ Failures</v>
      </c>
      <c r="M2445" t="str">
        <f t="shared" si="116"/>
        <v>0-5 hrs</v>
      </c>
      <c r="N2445" t="str">
        <f t="shared" si="114"/>
        <v>12+ months</v>
      </c>
      <c r="O2445" t="str">
        <f t="shared" si="115"/>
        <v>Basic</v>
      </c>
      <c r="P2445" s="7">
        <v>45657</v>
      </c>
    </row>
    <row r="2446" spans="1:16" x14ac:dyDescent="0.3">
      <c r="A2446">
        <v>2445</v>
      </c>
      <c r="B2446" s="7">
        <v>45038</v>
      </c>
      <c r="C2446" t="s">
        <v>10</v>
      </c>
      <c r="D2446">
        <v>699</v>
      </c>
      <c r="E2446">
        <v>23.8</v>
      </c>
      <c r="F2446">
        <v>2</v>
      </c>
      <c r="G2446">
        <v>5</v>
      </c>
      <c r="H2446">
        <v>18</v>
      </c>
      <c r="I2446">
        <v>55</v>
      </c>
      <c r="J2446" t="s">
        <v>13</v>
      </c>
      <c r="K2446">
        <f>IF(J2446="Yes", 1, 0)</f>
        <v>0</v>
      </c>
      <c r="L2446" t="str">
        <f>IF(G2446=0,"0 Failures","1+ Failures")</f>
        <v>1+ Failures</v>
      </c>
      <c r="M2446" t="str">
        <f t="shared" si="116"/>
        <v>20+ hrs</v>
      </c>
      <c r="N2446" t="str">
        <f t="shared" si="114"/>
        <v>12+ months</v>
      </c>
      <c r="O2446" t="str">
        <f t="shared" si="115"/>
        <v>Premium</v>
      </c>
      <c r="P2446" s="7">
        <v>45657</v>
      </c>
    </row>
    <row r="2447" spans="1:16" x14ac:dyDescent="0.3">
      <c r="A2447">
        <v>2446</v>
      </c>
      <c r="B2447" s="7">
        <v>45468</v>
      </c>
      <c r="C2447" t="s">
        <v>14</v>
      </c>
      <c r="D2447">
        <v>399</v>
      </c>
      <c r="E2447">
        <v>1.4</v>
      </c>
      <c r="F2447">
        <v>5</v>
      </c>
      <c r="G2447">
        <v>1</v>
      </c>
      <c r="H2447">
        <v>6</v>
      </c>
      <c r="I2447">
        <v>29</v>
      </c>
      <c r="J2447" t="s">
        <v>11</v>
      </c>
      <c r="K2447">
        <f>IF(J2447="Yes", 1, 0)</f>
        <v>1</v>
      </c>
      <c r="L2447" t="str">
        <f>IF(G2447=0,"0 Failures","1+ Failures")</f>
        <v>1+ Failures</v>
      </c>
      <c r="M2447" t="str">
        <f t="shared" si="116"/>
        <v>0-5 hrs</v>
      </c>
      <c r="N2447" t="str">
        <f t="shared" si="114"/>
        <v>3-6months</v>
      </c>
      <c r="O2447" t="str">
        <f t="shared" si="115"/>
        <v>Basic</v>
      </c>
      <c r="P2447" s="7">
        <v>45657</v>
      </c>
    </row>
    <row r="2448" spans="1:16" x14ac:dyDescent="0.3">
      <c r="A2448">
        <v>2447</v>
      </c>
      <c r="B2448" s="7">
        <v>45416</v>
      </c>
      <c r="C2448" t="s">
        <v>12</v>
      </c>
      <c r="D2448">
        <v>199</v>
      </c>
      <c r="E2448">
        <v>12.1</v>
      </c>
      <c r="F2448">
        <v>0</v>
      </c>
      <c r="G2448">
        <v>4</v>
      </c>
      <c r="H2448">
        <v>34</v>
      </c>
      <c r="I2448">
        <v>46</v>
      </c>
      <c r="J2448" t="s">
        <v>13</v>
      </c>
      <c r="K2448">
        <f>IF(J2448="Yes", 1, 0)</f>
        <v>0</v>
      </c>
      <c r="L2448" t="str">
        <f>IF(G2448=0,"0 Failures","1+ Failures")</f>
        <v>1+ Failures</v>
      </c>
      <c r="M2448" t="str">
        <f t="shared" si="116"/>
        <v>10-20hrs</v>
      </c>
      <c r="N2448" t="str">
        <f t="shared" si="114"/>
        <v>12+ months</v>
      </c>
      <c r="O2448" t="str">
        <f t="shared" si="115"/>
        <v>Basic</v>
      </c>
      <c r="P2448" s="7">
        <v>45657</v>
      </c>
    </row>
    <row r="2449" spans="1:16" x14ac:dyDescent="0.3">
      <c r="A2449">
        <v>2448</v>
      </c>
      <c r="B2449" s="7">
        <v>45283</v>
      </c>
      <c r="C2449" t="s">
        <v>12</v>
      </c>
      <c r="D2449">
        <v>199</v>
      </c>
      <c r="E2449">
        <v>9.3000000000000007</v>
      </c>
      <c r="F2449">
        <v>3</v>
      </c>
      <c r="G2449">
        <v>4</v>
      </c>
      <c r="H2449">
        <v>18</v>
      </c>
      <c r="I2449">
        <v>33</v>
      </c>
      <c r="J2449" t="s">
        <v>11</v>
      </c>
      <c r="K2449">
        <f>IF(J2449="Yes", 1, 0)</f>
        <v>1</v>
      </c>
      <c r="L2449" t="str">
        <f>IF(G2449=0,"0 Failures","1+ Failures")</f>
        <v>1+ Failures</v>
      </c>
      <c r="M2449" t="str">
        <f t="shared" si="116"/>
        <v>5-10 hrs</v>
      </c>
      <c r="N2449" t="str">
        <f t="shared" si="114"/>
        <v>12+ months</v>
      </c>
      <c r="O2449" t="str">
        <f t="shared" si="115"/>
        <v>Basic</v>
      </c>
      <c r="P2449" s="7">
        <v>45657</v>
      </c>
    </row>
    <row r="2450" spans="1:16" x14ac:dyDescent="0.3">
      <c r="A2450">
        <v>2449</v>
      </c>
      <c r="B2450" s="7">
        <v>45365</v>
      </c>
      <c r="C2450" t="s">
        <v>14</v>
      </c>
      <c r="D2450">
        <v>399</v>
      </c>
      <c r="E2450">
        <v>22.3</v>
      </c>
      <c r="F2450">
        <v>5</v>
      </c>
      <c r="G2450">
        <v>4</v>
      </c>
      <c r="H2450">
        <v>11</v>
      </c>
      <c r="I2450">
        <v>51</v>
      </c>
      <c r="J2450" t="s">
        <v>13</v>
      </c>
      <c r="K2450">
        <f>IF(J2450="Yes", 1, 0)</f>
        <v>0</v>
      </c>
      <c r="L2450" t="str">
        <f>IF(G2450=0,"0 Failures","1+ Failures")</f>
        <v>1+ Failures</v>
      </c>
      <c r="M2450" t="str">
        <f t="shared" si="116"/>
        <v>20+ hrs</v>
      </c>
      <c r="N2450" t="str">
        <f t="shared" si="114"/>
        <v>6-12months</v>
      </c>
      <c r="O2450" t="str">
        <f t="shared" si="115"/>
        <v>Basic</v>
      </c>
      <c r="P2450" s="7">
        <v>45657</v>
      </c>
    </row>
    <row r="2451" spans="1:16" x14ac:dyDescent="0.3">
      <c r="A2451">
        <v>2450</v>
      </c>
      <c r="B2451" s="7">
        <v>45478</v>
      </c>
      <c r="C2451" t="s">
        <v>14</v>
      </c>
      <c r="D2451">
        <v>399</v>
      </c>
      <c r="E2451">
        <v>23.9</v>
      </c>
      <c r="F2451">
        <v>8</v>
      </c>
      <c r="G2451">
        <v>3</v>
      </c>
      <c r="H2451">
        <v>4</v>
      </c>
      <c r="I2451">
        <v>50</v>
      </c>
      <c r="J2451" t="s">
        <v>13</v>
      </c>
      <c r="K2451">
        <f>IF(J2451="Yes", 1, 0)</f>
        <v>0</v>
      </c>
      <c r="L2451" t="str">
        <f>IF(G2451=0,"0 Failures","1+ Failures")</f>
        <v>1+ Failures</v>
      </c>
      <c r="M2451" t="str">
        <f t="shared" si="116"/>
        <v>20+ hrs</v>
      </c>
      <c r="N2451" t="str">
        <f t="shared" si="114"/>
        <v>3-6months</v>
      </c>
      <c r="O2451" t="str">
        <f t="shared" si="115"/>
        <v>Basic</v>
      </c>
      <c r="P2451" s="7">
        <v>45657</v>
      </c>
    </row>
    <row r="2452" spans="1:16" x14ac:dyDescent="0.3">
      <c r="A2452">
        <v>2451</v>
      </c>
      <c r="B2452" s="7">
        <v>45449</v>
      </c>
      <c r="C2452" t="s">
        <v>14</v>
      </c>
      <c r="D2452">
        <v>399</v>
      </c>
      <c r="E2452">
        <v>7.8</v>
      </c>
      <c r="F2452">
        <v>2</v>
      </c>
      <c r="G2452">
        <v>1</v>
      </c>
      <c r="H2452">
        <v>18</v>
      </c>
      <c r="I2452">
        <v>31</v>
      </c>
      <c r="J2452" t="s">
        <v>13</v>
      </c>
      <c r="K2452">
        <f>IF(J2452="Yes", 1, 0)</f>
        <v>0</v>
      </c>
      <c r="L2452" t="str">
        <f>IF(G2452=0,"0 Failures","1+ Failures")</f>
        <v>1+ Failures</v>
      </c>
      <c r="M2452" t="str">
        <f t="shared" si="116"/>
        <v>5-10 hrs</v>
      </c>
      <c r="N2452" t="str">
        <f t="shared" si="114"/>
        <v>12+ months</v>
      </c>
      <c r="O2452" t="str">
        <f t="shared" si="115"/>
        <v>Basic</v>
      </c>
      <c r="P2452" s="7">
        <v>45657</v>
      </c>
    </row>
    <row r="2453" spans="1:16" x14ac:dyDescent="0.3">
      <c r="A2453">
        <v>2452</v>
      </c>
      <c r="B2453" s="7">
        <v>45299</v>
      </c>
      <c r="C2453" t="s">
        <v>14</v>
      </c>
      <c r="D2453">
        <v>399</v>
      </c>
      <c r="E2453">
        <v>13.8</v>
      </c>
      <c r="F2453">
        <v>5</v>
      </c>
      <c r="G2453">
        <v>5</v>
      </c>
      <c r="H2453">
        <v>18</v>
      </c>
      <c r="I2453">
        <v>37</v>
      </c>
      <c r="J2453" t="s">
        <v>11</v>
      </c>
      <c r="K2453">
        <f>IF(J2453="Yes", 1, 0)</f>
        <v>1</v>
      </c>
      <c r="L2453" t="str">
        <f>IF(G2453=0,"0 Failures","1+ Failures")</f>
        <v>1+ Failures</v>
      </c>
      <c r="M2453" t="str">
        <f t="shared" si="116"/>
        <v>10-20hrs</v>
      </c>
      <c r="N2453" t="str">
        <f t="shared" si="114"/>
        <v>12+ months</v>
      </c>
      <c r="O2453" t="str">
        <f t="shared" si="115"/>
        <v>Basic</v>
      </c>
      <c r="P2453" s="7">
        <v>45657</v>
      </c>
    </row>
    <row r="2454" spans="1:16" x14ac:dyDescent="0.3">
      <c r="A2454">
        <v>2453</v>
      </c>
      <c r="B2454" s="7">
        <v>45011</v>
      </c>
      <c r="C2454" t="s">
        <v>14</v>
      </c>
      <c r="D2454">
        <v>399</v>
      </c>
      <c r="E2454">
        <v>4.9000000000000004</v>
      </c>
      <c r="F2454">
        <v>2</v>
      </c>
      <c r="G2454">
        <v>2</v>
      </c>
      <c r="H2454">
        <v>19</v>
      </c>
      <c r="I2454">
        <v>39</v>
      </c>
      <c r="J2454" t="s">
        <v>13</v>
      </c>
      <c r="K2454">
        <f>IF(J2454="Yes", 1, 0)</f>
        <v>0</v>
      </c>
      <c r="L2454" t="str">
        <f>IF(G2454=0,"0 Failures","1+ Failures")</f>
        <v>1+ Failures</v>
      </c>
      <c r="M2454" t="str">
        <f t="shared" si="116"/>
        <v>0-5 hrs</v>
      </c>
      <c r="N2454" t="str">
        <f t="shared" si="114"/>
        <v>12+ months</v>
      </c>
      <c r="O2454" t="str">
        <f t="shared" si="115"/>
        <v>Basic</v>
      </c>
      <c r="P2454" s="7">
        <v>45657</v>
      </c>
    </row>
    <row r="2455" spans="1:16" x14ac:dyDescent="0.3">
      <c r="A2455">
        <v>2454</v>
      </c>
      <c r="B2455" s="7">
        <v>44967</v>
      </c>
      <c r="C2455" t="s">
        <v>10</v>
      </c>
      <c r="D2455">
        <v>699</v>
      </c>
      <c r="E2455">
        <v>24.6</v>
      </c>
      <c r="F2455">
        <v>0</v>
      </c>
      <c r="G2455">
        <v>1</v>
      </c>
      <c r="H2455">
        <v>28</v>
      </c>
      <c r="I2455">
        <v>59</v>
      </c>
      <c r="J2455" t="s">
        <v>13</v>
      </c>
      <c r="K2455">
        <f>IF(J2455="Yes", 1, 0)</f>
        <v>0</v>
      </c>
      <c r="L2455" t="str">
        <f>IF(G2455=0,"0 Failures","1+ Failures")</f>
        <v>1+ Failures</v>
      </c>
      <c r="M2455" t="str">
        <f t="shared" si="116"/>
        <v>20+ hrs</v>
      </c>
      <c r="N2455" t="str">
        <f t="shared" si="114"/>
        <v>12+ months</v>
      </c>
      <c r="O2455" t="str">
        <f t="shared" si="115"/>
        <v>Premium</v>
      </c>
      <c r="P2455" s="7">
        <v>45657</v>
      </c>
    </row>
    <row r="2456" spans="1:16" x14ac:dyDescent="0.3">
      <c r="A2456">
        <v>2455</v>
      </c>
      <c r="B2456" s="7">
        <v>45164</v>
      </c>
      <c r="C2456" t="s">
        <v>12</v>
      </c>
      <c r="D2456">
        <v>199</v>
      </c>
      <c r="E2456">
        <v>20.100000000000001</v>
      </c>
      <c r="F2456">
        <v>5</v>
      </c>
      <c r="G2456">
        <v>5</v>
      </c>
      <c r="H2456">
        <v>10</v>
      </c>
      <c r="I2456">
        <v>14</v>
      </c>
      <c r="J2456" t="s">
        <v>13</v>
      </c>
      <c r="K2456">
        <f>IF(J2456="Yes", 1, 0)</f>
        <v>0</v>
      </c>
      <c r="L2456" t="str">
        <f>IF(G2456=0,"0 Failures","1+ Failures")</f>
        <v>1+ Failures</v>
      </c>
      <c r="M2456" t="str">
        <f t="shared" si="116"/>
        <v>20+ hrs</v>
      </c>
      <c r="N2456" t="str">
        <f t="shared" si="114"/>
        <v>6-12months</v>
      </c>
      <c r="O2456" t="str">
        <f t="shared" si="115"/>
        <v>Basic</v>
      </c>
      <c r="P2456" s="7">
        <v>45657</v>
      </c>
    </row>
    <row r="2457" spans="1:16" x14ac:dyDescent="0.3">
      <c r="A2457">
        <v>2456</v>
      </c>
      <c r="B2457" s="7">
        <v>45140</v>
      </c>
      <c r="C2457" t="s">
        <v>12</v>
      </c>
      <c r="D2457">
        <v>199</v>
      </c>
      <c r="E2457">
        <v>3.7</v>
      </c>
      <c r="F2457">
        <v>1</v>
      </c>
      <c r="G2457">
        <v>2</v>
      </c>
      <c r="H2457">
        <v>16</v>
      </c>
      <c r="I2457">
        <v>55</v>
      </c>
      <c r="J2457" t="s">
        <v>11</v>
      </c>
      <c r="K2457">
        <f>IF(J2457="Yes", 1, 0)</f>
        <v>1</v>
      </c>
      <c r="L2457" t="str">
        <f>IF(G2457=0,"0 Failures","1+ Failures")</f>
        <v>1+ Failures</v>
      </c>
      <c r="M2457" t="str">
        <f t="shared" si="116"/>
        <v>0-5 hrs</v>
      </c>
      <c r="N2457" t="str">
        <f t="shared" si="114"/>
        <v>12+ months</v>
      </c>
      <c r="O2457" t="str">
        <f t="shared" si="115"/>
        <v>Basic</v>
      </c>
      <c r="P2457" s="7">
        <v>45657</v>
      </c>
    </row>
    <row r="2458" spans="1:16" x14ac:dyDescent="0.3">
      <c r="A2458">
        <v>2457</v>
      </c>
      <c r="B2458" s="7">
        <v>45362</v>
      </c>
      <c r="C2458" t="s">
        <v>12</v>
      </c>
      <c r="D2458">
        <v>199</v>
      </c>
      <c r="E2458">
        <v>8.8000000000000007</v>
      </c>
      <c r="F2458">
        <v>0</v>
      </c>
      <c r="G2458">
        <v>4</v>
      </c>
      <c r="H2458">
        <v>21</v>
      </c>
      <c r="I2458">
        <v>13</v>
      </c>
      <c r="J2458" t="s">
        <v>13</v>
      </c>
      <c r="K2458">
        <f>IF(J2458="Yes", 1, 0)</f>
        <v>0</v>
      </c>
      <c r="L2458" t="str">
        <f>IF(G2458=0,"0 Failures","1+ Failures")</f>
        <v>1+ Failures</v>
      </c>
      <c r="M2458" t="str">
        <f t="shared" si="116"/>
        <v>5-10 hrs</v>
      </c>
      <c r="N2458" t="str">
        <f t="shared" si="114"/>
        <v>12+ months</v>
      </c>
      <c r="O2458" t="str">
        <f t="shared" si="115"/>
        <v>Basic</v>
      </c>
      <c r="P2458" s="7">
        <v>45657</v>
      </c>
    </row>
    <row r="2459" spans="1:16" x14ac:dyDescent="0.3">
      <c r="A2459">
        <v>2458</v>
      </c>
      <c r="B2459" s="7">
        <v>45464</v>
      </c>
      <c r="C2459" t="s">
        <v>10</v>
      </c>
      <c r="D2459">
        <v>699</v>
      </c>
      <c r="E2459">
        <v>17.2</v>
      </c>
      <c r="F2459">
        <v>4</v>
      </c>
      <c r="G2459">
        <v>2</v>
      </c>
      <c r="H2459">
        <v>12</v>
      </c>
      <c r="I2459">
        <v>18</v>
      </c>
      <c r="J2459" t="s">
        <v>13</v>
      </c>
      <c r="K2459">
        <f>IF(J2459="Yes", 1, 0)</f>
        <v>0</v>
      </c>
      <c r="L2459" t="str">
        <f>IF(G2459=0,"0 Failures","1+ Failures")</f>
        <v>1+ Failures</v>
      </c>
      <c r="M2459" t="str">
        <f t="shared" si="116"/>
        <v>10-20hrs</v>
      </c>
      <c r="N2459" t="str">
        <f t="shared" si="114"/>
        <v>6-12months</v>
      </c>
      <c r="O2459" t="str">
        <f t="shared" si="115"/>
        <v>Premium</v>
      </c>
      <c r="P2459" s="7">
        <v>45657</v>
      </c>
    </row>
    <row r="2460" spans="1:16" x14ac:dyDescent="0.3">
      <c r="A2460">
        <v>2459</v>
      </c>
      <c r="B2460" s="7">
        <v>45633</v>
      </c>
      <c r="C2460" t="s">
        <v>10</v>
      </c>
      <c r="D2460">
        <v>699</v>
      </c>
      <c r="E2460">
        <v>10</v>
      </c>
      <c r="F2460">
        <v>7</v>
      </c>
      <c r="G2460">
        <v>1</v>
      </c>
      <c r="H2460">
        <v>25</v>
      </c>
      <c r="I2460">
        <v>31</v>
      </c>
      <c r="J2460" t="s">
        <v>13</v>
      </c>
      <c r="K2460">
        <f>IF(J2460="Yes", 1, 0)</f>
        <v>0</v>
      </c>
      <c r="L2460" t="str">
        <f>IF(G2460=0,"0 Failures","1+ Failures")</f>
        <v>1+ Failures</v>
      </c>
      <c r="M2460" t="str">
        <f t="shared" si="116"/>
        <v>5-10 hrs</v>
      </c>
      <c r="N2460" t="str">
        <f t="shared" si="114"/>
        <v>12+ months</v>
      </c>
      <c r="O2460" t="str">
        <f t="shared" si="115"/>
        <v>Premium</v>
      </c>
      <c r="P2460" s="7">
        <v>45657</v>
      </c>
    </row>
    <row r="2461" spans="1:16" x14ac:dyDescent="0.3">
      <c r="A2461">
        <v>2460</v>
      </c>
      <c r="B2461" s="7">
        <v>45350</v>
      </c>
      <c r="C2461" t="s">
        <v>12</v>
      </c>
      <c r="D2461">
        <v>199</v>
      </c>
      <c r="E2461">
        <v>11.5</v>
      </c>
      <c r="F2461">
        <v>7</v>
      </c>
      <c r="G2461">
        <v>5</v>
      </c>
      <c r="H2461">
        <v>28</v>
      </c>
      <c r="I2461">
        <v>60</v>
      </c>
      <c r="J2461" t="s">
        <v>11</v>
      </c>
      <c r="K2461">
        <f>IF(J2461="Yes", 1, 0)</f>
        <v>1</v>
      </c>
      <c r="L2461" t="str">
        <f>IF(G2461=0,"0 Failures","1+ Failures")</f>
        <v>1+ Failures</v>
      </c>
      <c r="M2461" t="str">
        <f t="shared" si="116"/>
        <v>10-20hrs</v>
      </c>
      <c r="N2461" t="str">
        <f t="shared" si="114"/>
        <v>12+ months</v>
      </c>
      <c r="O2461" t="str">
        <f t="shared" si="115"/>
        <v>Basic</v>
      </c>
      <c r="P2461" s="7">
        <v>45657</v>
      </c>
    </row>
    <row r="2462" spans="1:16" x14ac:dyDescent="0.3">
      <c r="A2462">
        <v>2461</v>
      </c>
      <c r="B2462" s="7">
        <v>45304</v>
      </c>
      <c r="C2462" t="s">
        <v>12</v>
      </c>
      <c r="D2462">
        <v>199</v>
      </c>
      <c r="E2462">
        <v>3.7</v>
      </c>
      <c r="F2462">
        <v>8</v>
      </c>
      <c r="G2462">
        <v>5</v>
      </c>
      <c r="H2462">
        <v>1</v>
      </c>
      <c r="I2462">
        <v>45</v>
      </c>
      <c r="J2462" t="s">
        <v>11</v>
      </c>
      <c r="K2462">
        <f>IF(J2462="Yes", 1, 0)</f>
        <v>1</v>
      </c>
      <c r="L2462" t="str">
        <f>IF(G2462=0,"0 Failures","1+ Failures")</f>
        <v>1+ Failures</v>
      </c>
      <c r="M2462" t="str">
        <f t="shared" si="116"/>
        <v>0-5 hrs</v>
      </c>
      <c r="N2462" t="str">
        <f t="shared" si="114"/>
        <v>0-3months</v>
      </c>
      <c r="O2462" t="str">
        <f t="shared" si="115"/>
        <v>Basic</v>
      </c>
      <c r="P2462" s="7">
        <v>45657</v>
      </c>
    </row>
    <row r="2463" spans="1:16" x14ac:dyDescent="0.3">
      <c r="A2463">
        <v>2462</v>
      </c>
      <c r="B2463" s="7">
        <v>45104</v>
      </c>
      <c r="C2463" t="s">
        <v>14</v>
      </c>
      <c r="D2463">
        <v>399</v>
      </c>
      <c r="E2463">
        <v>23.8</v>
      </c>
      <c r="F2463">
        <v>1</v>
      </c>
      <c r="G2463">
        <v>4</v>
      </c>
      <c r="H2463">
        <v>14</v>
      </c>
      <c r="I2463">
        <v>13</v>
      </c>
      <c r="J2463" t="s">
        <v>13</v>
      </c>
      <c r="K2463">
        <f>IF(J2463="Yes", 1, 0)</f>
        <v>0</v>
      </c>
      <c r="L2463" t="str">
        <f>IF(G2463=0,"0 Failures","1+ Failures")</f>
        <v>1+ Failures</v>
      </c>
      <c r="M2463" t="str">
        <f t="shared" si="116"/>
        <v>20+ hrs</v>
      </c>
      <c r="N2463" t="str">
        <f t="shared" si="114"/>
        <v>12+ months</v>
      </c>
      <c r="O2463" t="str">
        <f t="shared" si="115"/>
        <v>Basic</v>
      </c>
      <c r="P2463" s="7">
        <v>45657</v>
      </c>
    </row>
    <row r="2464" spans="1:16" x14ac:dyDescent="0.3">
      <c r="A2464">
        <v>2463</v>
      </c>
      <c r="B2464" s="7">
        <v>44991</v>
      </c>
      <c r="C2464" t="s">
        <v>10</v>
      </c>
      <c r="D2464">
        <v>699</v>
      </c>
      <c r="E2464">
        <v>20.3</v>
      </c>
      <c r="F2464">
        <v>1</v>
      </c>
      <c r="G2464">
        <v>5</v>
      </c>
      <c r="H2464">
        <v>35</v>
      </c>
      <c r="I2464">
        <v>8</v>
      </c>
      <c r="J2464" t="s">
        <v>11</v>
      </c>
      <c r="K2464">
        <f>IF(J2464="Yes", 1, 0)</f>
        <v>1</v>
      </c>
      <c r="L2464" t="str">
        <f>IF(G2464=0,"0 Failures","1+ Failures")</f>
        <v>1+ Failures</v>
      </c>
      <c r="M2464" t="str">
        <f t="shared" si="116"/>
        <v>20+ hrs</v>
      </c>
      <c r="N2464" t="str">
        <f t="shared" si="114"/>
        <v>12+ months</v>
      </c>
      <c r="O2464" t="str">
        <f t="shared" si="115"/>
        <v>Premium</v>
      </c>
      <c r="P2464" s="7">
        <v>45657</v>
      </c>
    </row>
    <row r="2465" spans="1:16" x14ac:dyDescent="0.3">
      <c r="A2465">
        <v>2464</v>
      </c>
      <c r="B2465" s="7">
        <v>44987</v>
      </c>
      <c r="C2465" t="s">
        <v>12</v>
      </c>
      <c r="D2465">
        <v>199</v>
      </c>
      <c r="E2465">
        <v>15.4</v>
      </c>
      <c r="F2465">
        <v>0</v>
      </c>
      <c r="G2465">
        <v>5</v>
      </c>
      <c r="H2465">
        <v>13</v>
      </c>
      <c r="I2465">
        <v>19</v>
      </c>
      <c r="J2465" t="s">
        <v>13</v>
      </c>
      <c r="K2465">
        <f>IF(J2465="Yes", 1, 0)</f>
        <v>0</v>
      </c>
      <c r="L2465" t="str">
        <f>IF(G2465=0,"0 Failures","1+ Failures")</f>
        <v>1+ Failures</v>
      </c>
      <c r="M2465" t="str">
        <f t="shared" si="116"/>
        <v>10-20hrs</v>
      </c>
      <c r="N2465" t="str">
        <f t="shared" si="114"/>
        <v>12+ months</v>
      </c>
      <c r="O2465" t="str">
        <f t="shared" si="115"/>
        <v>Basic</v>
      </c>
      <c r="P2465" s="7">
        <v>45657</v>
      </c>
    </row>
    <row r="2466" spans="1:16" x14ac:dyDescent="0.3">
      <c r="A2466">
        <v>2465</v>
      </c>
      <c r="B2466" s="7">
        <v>45090</v>
      </c>
      <c r="C2466" t="s">
        <v>14</v>
      </c>
      <c r="D2466">
        <v>399</v>
      </c>
      <c r="E2466">
        <v>22.2</v>
      </c>
      <c r="F2466">
        <v>8</v>
      </c>
      <c r="G2466">
        <v>1</v>
      </c>
      <c r="H2466">
        <v>1</v>
      </c>
      <c r="I2466">
        <v>26</v>
      </c>
      <c r="J2466" t="s">
        <v>11</v>
      </c>
      <c r="K2466">
        <f>IF(J2466="Yes", 1, 0)</f>
        <v>1</v>
      </c>
      <c r="L2466" t="str">
        <f>IF(G2466=0,"0 Failures","1+ Failures")</f>
        <v>1+ Failures</v>
      </c>
      <c r="M2466" t="str">
        <f t="shared" si="116"/>
        <v>20+ hrs</v>
      </c>
      <c r="N2466" t="str">
        <f t="shared" si="114"/>
        <v>0-3months</v>
      </c>
      <c r="O2466" t="str">
        <f t="shared" si="115"/>
        <v>Basic</v>
      </c>
      <c r="P2466" s="7">
        <v>45657</v>
      </c>
    </row>
    <row r="2467" spans="1:16" x14ac:dyDescent="0.3">
      <c r="A2467">
        <v>2466</v>
      </c>
      <c r="B2467" s="7">
        <v>45340</v>
      </c>
      <c r="C2467" t="s">
        <v>12</v>
      </c>
      <c r="D2467">
        <v>199</v>
      </c>
      <c r="E2467">
        <v>11.8</v>
      </c>
      <c r="F2467">
        <v>0</v>
      </c>
      <c r="G2467">
        <v>4</v>
      </c>
      <c r="H2467">
        <v>36</v>
      </c>
      <c r="I2467">
        <v>10</v>
      </c>
      <c r="J2467" t="s">
        <v>13</v>
      </c>
      <c r="K2467">
        <f>IF(J2467="Yes", 1, 0)</f>
        <v>0</v>
      </c>
      <c r="L2467" t="str">
        <f>IF(G2467=0,"0 Failures","1+ Failures")</f>
        <v>1+ Failures</v>
      </c>
      <c r="M2467" t="str">
        <f t="shared" si="116"/>
        <v>10-20hrs</v>
      </c>
      <c r="N2467" t="str">
        <f t="shared" si="114"/>
        <v>12+ months</v>
      </c>
      <c r="O2467" t="str">
        <f t="shared" si="115"/>
        <v>Basic</v>
      </c>
      <c r="P2467" s="7">
        <v>45657</v>
      </c>
    </row>
    <row r="2468" spans="1:16" x14ac:dyDescent="0.3">
      <c r="A2468">
        <v>2467</v>
      </c>
      <c r="B2468" s="7">
        <v>45402</v>
      </c>
      <c r="C2468" t="s">
        <v>10</v>
      </c>
      <c r="D2468">
        <v>699</v>
      </c>
      <c r="E2468">
        <v>16.8</v>
      </c>
      <c r="F2468">
        <v>2</v>
      </c>
      <c r="G2468">
        <v>1</v>
      </c>
      <c r="H2468">
        <v>6</v>
      </c>
      <c r="I2468">
        <v>57</v>
      </c>
      <c r="J2468" t="s">
        <v>13</v>
      </c>
      <c r="K2468">
        <f>IF(J2468="Yes", 1, 0)</f>
        <v>0</v>
      </c>
      <c r="L2468" t="str">
        <f>IF(G2468=0,"0 Failures","1+ Failures")</f>
        <v>1+ Failures</v>
      </c>
      <c r="M2468" t="str">
        <f t="shared" si="116"/>
        <v>10-20hrs</v>
      </c>
      <c r="N2468" t="str">
        <f t="shared" si="114"/>
        <v>3-6months</v>
      </c>
      <c r="O2468" t="str">
        <f t="shared" si="115"/>
        <v>Premium</v>
      </c>
      <c r="P2468" s="7">
        <v>45657</v>
      </c>
    </row>
    <row r="2469" spans="1:16" x14ac:dyDescent="0.3">
      <c r="A2469">
        <v>2468</v>
      </c>
      <c r="B2469" s="7">
        <v>45065</v>
      </c>
      <c r="C2469" t="s">
        <v>14</v>
      </c>
      <c r="D2469">
        <v>399</v>
      </c>
      <c r="E2469">
        <v>18.8</v>
      </c>
      <c r="F2469">
        <v>5</v>
      </c>
      <c r="G2469">
        <v>4</v>
      </c>
      <c r="H2469">
        <v>17</v>
      </c>
      <c r="I2469">
        <v>40</v>
      </c>
      <c r="J2469" t="s">
        <v>11</v>
      </c>
      <c r="K2469">
        <f>IF(J2469="Yes", 1, 0)</f>
        <v>1</v>
      </c>
      <c r="L2469" t="str">
        <f>IF(G2469=0,"0 Failures","1+ Failures")</f>
        <v>1+ Failures</v>
      </c>
      <c r="M2469" t="str">
        <f t="shared" si="116"/>
        <v>10-20hrs</v>
      </c>
      <c r="N2469" t="str">
        <f t="shared" si="114"/>
        <v>12+ months</v>
      </c>
      <c r="O2469" t="str">
        <f t="shared" si="115"/>
        <v>Basic</v>
      </c>
      <c r="P2469" s="7">
        <v>45657</v>
      </c>
    </row>
    <row r="2470" spans="1:16" x14ac:dyDescent="0.3">
      <c r="A2470">
        <v>2469</v>
      </c>
      <c r="B2470" s="7">
        <v>45450</v>
      </c>
      <c r="C2470" t="s">
        <v>14</v>
      </c>
      <c r="D2470">
        <v>399</v>
      </c>
      <c r="E2470">
        <v>21.6</v>
      </c>
      <c r="F2470">
        <v>0</v>
      </c>
      <c r="G2470">
        <v>2</v>
      </c>
      <c r="H2470">
        <v>10</v>
      </c>
      <c r="I2470">
        <v>9</v>
      </c>
      <c r="J2470" t="s">
        <v>13</v>
      </c>
      <c r="K2470">
        <f>IF(J2470="Yes", 1, 0)</f>
        <v>0</v>
      </c>
      <c r="L2470" t="str">
        <f>IF(G2470=0,"0 Failures","1+ Failures")</f>
        <v>1+ Failures</v>
      </c>
      <c r="M2470" t="str">
        <f t="shared" si="116"/>
        <v>20+ hrs</v>
      </c>
      <c r="N2470" t="str">
        <f t="shared" si="114"/>
        <v>6-12months</v>
      </c>
      <c r="O2470" t="str">
        <f t="shared" si="115"/>
        <v>Basic</v>
      </c>
      <c r="P2470" s="7">
        <v>45657</v>
      </c>
    </row>
    <row r="2471" spans="1:16" x14ac:dyDescent="0.3">
      <c r="A2471">
        <v>2470</v>
      </c>
      <c r="B2471" s="7">
        <v>44981</v>
      </c>
      <c r="C2471" t="s">
        <v>10</v>
      </c>
      <c r="D2471">
        <v>699</v>
      </c>
      <c r="E2471">
        <v>9.9</v>
      </c>
      <c r="F2471">
        <v>8</v>
      </c>
      <c r="G2471">
        <v>1</v>
      </c>
      <c r="H2471">
        <v>30</v>
      </c>
      <c r="I2471">
        <v>46</v>
      </c>
      <c r="J2471" t="s">
        <v>11</v>
      </c>
      <c r="K2471">
        <f>IF(J2471="Yes", 1, 0)</f>
        <v>1</v>
      </c>
      <c r="L2471" t="str">
        <f>IF(G2471=0,"0 Failures","1+ Failures")</f>
        <v>1+ Failures</v>
      </c>
      <c r="M2471" t="str">
        <f t="shared" si="116"/>
        <v>5-10 hrs</v>
      </c>
      <c r="N2471" t="str">
        <f t="shared" si="114"/>
        <v>12+ months</v>
      </c>
      <c r="O2471" t="str">
        <f t="shared" si="115"/>
        <v>Premium</v>
      </c>
      <c r="P2471" s="7">
        <v>45657</v>
      </c>
    </row>
    <row r="2472" spans="1:16" x14ac:dyDescent="0.3">
      <c r="A2472">
        <v>2471</v>
      </c>
      <c r="B2472" s="7">
        <v>45395</v>
      </c>
      <c r="C2472" t="s">
        <v>10</v>
      </c>
      <c r="D2472">
        <v>699</v>
      </c>
      <c r="E2472">
        <v>18.100000000000001</v>
      </c>
      <c r="F2472">
        <v>1</v>
      </c>
      <c r="G2472">
        <v>5</v>
      </c>
      <c r="H2472">
        <v>12</v>
      </c>
      <c r="I2472">
        <v>30</v>
      </c>
      <c r="J2472" t="s">
        <v>11</v>
      </c>
      <c r="K2472">
        <f>IF(J2472="Yes", 1, 0)</f>
        <v>1</v>
      </c>
      <c r="L2472" t="str">
        <f>IF(G2472=0,"0 Failures","1+ Failures")</f>
        <v>1+ Failures</v>
      </c>
      <c r="M2472" t="str">
        <f t="shared" si="116"/>
        <v>10-20hrs</v>
      </c>
      <c r="N2472" t="str">
        <f t="shared" si="114"/>
        <v>6-12months</v>
      </c>
      <c r="O2472" t="str">
        <f t="shared" si="115"/>
        <v>Premium</v>
      </c>
      <c r="P2472" s="7">
        <v>45657</v>
      </c>
    </row>
    <row r="2473" spans="1:16" x14ac:dyDescent="0.3">
      <c r="A2473">
        <v>2472</v>
      </c>
      <c r="B2473" s="7">
        <v>45117</v>
      </c>
      <c r="C2473" t="s">
        <v>10</v>
      </c>
      <c r="D2473">
        <v>699</v>
      </c>
      <c r="E2473">
        <v>5.4</v>
      </c>
      <c r="F2473">
        <v>3</v>
      </c>
      <c r="G2473">
        <v>4</v>
      </c>
      <c r="H2473">
        <v>14</v>
      </c>
      <c r="I2473">
        <v>41</v>
      </c>
      <c r="J2473" t="s">
        <v>11</v>
      </c>
      <c r="K2473">
        <f>IF(J2473="Yes", 1, 0)</f>
        <v>1</v>
      </c>
      <c r="L2473" t="str">
        <f>IF(G2473=0,"0 Failures","1+ Failures")</f>
        <v>1+ Failures</v>
      </c>
      <c r="M2473" t="str">
        <f t="shared" si="116"/>
        <v>5-10 hrs</v>
      </c>
      <c r="N2473" t="str">
        <f t="shared" si="114"/>
        <v>12+ months</v>
      </c>
      <c r="O2473" t="str">
        <f t="shared" si="115"/>
        <v>Premium</v>
      </c>
      <c r="P2473" s="7">
        <v>45657</v>
      </c>
    </row>
    <row r="2474" spans="1:16" x14ac:dyDescent="0.3">
      <c r="A2474">
        <v>2473</v>
      </c>
      <c r="B2474" s="7">
        <v>45146</v>
      </c>
      <c r="C2474" t="s">
        <v>12</v>
      </c>
      <c r="D2474">
        <v>199</v>
      </c>
      <c r="E2474">
        <v>5</v>
      </c>
      <c r="F2474">
        <v>2</v>
      </c>
      <c r="G2474">
        <v>4</v>
      </c>
      <c r="H2474">
        <v>21</v>
      </c>
      <c r="I2474">
        <v>36</v>
      </c>
      <c r="J2474" t="s">
        <v>13</v>
      </c>
      <c r="K2474">
        <f>IF(J2474="Yes", 1, 0)</f>
        <v>0</v>
      </c>
      <c r="L2474" t="str">
        <f>IF(G2474=0,"0 Failures","1+ Failures")</f>
        <v>1+ Failures</v>
      </c>
      <c r="M2474" t="str">
        <f t="shared" si="116"/>
        <v>0-5 hrs</v>
      </c>
      <c r="N2474" t="str">
        <f t="shared" si="114"/>
        <v>12+ months</v>
      </c>
      <c r="O2474" t="str">
        <f t="shared" si="115"/>
        <v>Basic</v>
      </c>
      <c r="P2474" s="7">
        <v>45657</v>
      </c>
    </row>
    <row r="2475" spans="1:16" x14ac:dyDescent="0.3">
      <c r="A2475">
        <v>2474</v>
      </c>
      <c r="B2475" s="7">
        <v>45600</v>
      </c>
      <c r="C2475" t="s">
        <v>10</v>
      </c>
      <c r="D2475">
        <v>699</v>
      </c>
      <c r="E2475">
        <v>22.1</v>
      </c>
      <c r="F2475">
        <v>1</v>
      </c>
      <c r="G2475">
        <v>5</v>
      </c>
      <c r="H2475">
        <v>27</v>
      </c>
      <c r="I2475">
        <v>27</v>
      </c>
      <c r="J2475" t="s">
        <v>13</v>
      </c>
      <c r="K2475">
        <f>IF(J2475="Yes", 1, 0)</f>
        <v>0</v>
      </c>
      <c r="L2475" t="str">
        <f>IF(G2475=0,"0 Failures","1+ Failures")</f>
        <v>1+ Failures</v>
      </c>
      <c r="M2475" t="str">
        <f t="shared" si="116"/>
        <v>20+ hrs</v>
      </c>
      <c r="N2475" t="str">
        <f t="shared" si="114"/>
        <v>12+ months</v>
      </c>
      <c r="O2475" t="str">
        <f t="shared" si="115"/>
        <v>Premium</v>
      </c>
      <c r="P2475" s="7">
        <v>45657</v>
      </c>
    </row>
    <row r="2476" spans="1:16" x14ac:dyDescent="0.3">
      <c r="A2476">
        <v>2475</v>
      </c>
      <c r="B2476" s="7">
        <v>45097</v>
      </c>
      <c r="C2476" t="s">
        <v>10</v>
      </c>
      <c r="D2476">
        <v>699</v>
      </c>
      <c r="E2476">
        <v>16.2</v>
      </c>
      <c r="F2476">
        <v>3</v>
      </c>
      <c r="G2476">
        <v>4</v>
      </c>
      <c r="H2476">
        <v>5</v>
      </c>
      <c r="I2476">
        <v>35</v>
      </c>
      <c r="J2476" t="s">
        <v>11</v>
      </c>
      <c r="K2476">
        <f>IF(J2476="Yes", 1, 0)</f>
        <v>1</v>
      </c>
      <c r="L2476" t="str">
        <f>IF(G2476=0,"0 Failures","1+ Failures")</f>
        <v>1+ Failures</v>
      </c>
      <c r="M2476" t="str">
        <f t="shared" si="116"/>
        <v>10-20hrs</v>
      </c>
      <c r="N2476" t="str">
        <f t="shared" si="114"/>
        <v>3-6months</v>
      </c>
      <c r="O2476" t="str">
        <f t="shared" si="115"/>
        <v>Premium</v>
      </c>
      <c r="P2476" s="7">
        <v>45657</v>
      </c>
    </row>
    <row r="2477" spans="1:16" x14ac:dyDescent="0.3">
      <c r="A2477">
        <v>2476</v>
      </c>
      <c r="B2477" s="7">
        <v>45135</v>
      </c>
      <c r="C2477" t="s">
        <v>14</v>
      </c>
      <c r="D2477">
        <v>399</v>
      </c>
      <c r="E2477">
        <v>17.7</v>
      </c>
      <c r="F2477">
        <v>3</v>
      </c>
      <c r="G2477">
        <v>4</v>
      </c>
      <c r="H2477">
        <v>24</v>
      </c>
      <c r="I2477">
        <v>54</v>
      </c>
      <c r="J2477" t="s">
        <v>13</v>
      </c>
      <c r="K2477">
        <f>IF(J2477="Yes", 1, 0)</f>
        <v>0</v>
      </c>
      <c r="L2477" t="str">
        <f>IF(G2477=0,"0 Failures","1+ Failures")</f>
        <v>1+ Failures</v>
      </c>
      <c r="M2477" t="str">
        <f t="shared" si="116"/>
        <v>10-20hrs</v>
      </c>
      <c r="N2477" t="str">
        <f t="shared" si="114"/>
        <v>12+ months</v>
      </c>
      <c r="O2477" t="str">
        <f t="shared" si="115"/>
        <v>Basic</v>
      </c>
      <c r="P2477" s="7">
        <v>45657</v>
      </c>
    </row>
    <row r="2478" spans="1:16" x14ac:dyDescent="0.3">
      <c r="A2478">
        <v>2477</v>
      </c>
      <c r="B2478" s="7">
        <v>45587</v>
      </c>
      <c r="C2478" t="s">
        <v>14</v>
      </c>
      <c r="D2478">
        <v>399</v>
      </c>
      <c r="E2478">
        <v>23.5</v>
      </c>
      <c r="F2478">
        <v>4</v>
      </c>
      <c r="G2478">
        <v>3</v>
      </c>
      <c r="H2478">
        <v>36</v>
      </c>
      <c r="I2478">
        <v>7</v>
      </c>
      <c r="J2478" t="s">
        <v>11</v>
      </c>
      <c r="K2478">
        <f>IF(J2478="Yes", 1, 0)</f>
        <v>1</v>
      </c>
      <c r="L2478" t="str">
        <f>IF(G2478=0,"0 Failures","1+ Failures")</f>
        <v>1+ Failures</v>
      </c>
      <c r="M2478" t="str">
        <f t="shared" si="116"/>
        <v>20+ hrs</v>
      </c>
      <c r="N2478" t="str">
        <f t="shared" si="114"/>
        <v>12+ months</v>
      </c>
      <c r="O2478" t="str">
        <f t="shared" si="115"/>
        <v>Basic</v>
      </c>
      <c r="P2478" s="7">
        <v>45657</v>
      </c>
    </row>
    <row r="2479" spans="1:16" x14ac:dyDescent="0.3">
      <c r="A2479">
        <v>2478</v>
      </c>
      <c r="B2479" s="7">
        <v>45511</v>
      </c>
      <c r="C2479" t="s">
        <v>14</v>
      </c>
      <c r="D2479">
        <v>399</v>
      </c>
      <c r="E2479">
        <v>5.9</v>
      </c>
      <c r="F2479">
        <v>6</v>
      </c>
      <c r="G2479">
        <v>2</v>
      </c>
      <c r="H2479">
        <v>32</v>
      </c>
      <c r="I2479">
        <v>15</v>
      </c>
      <c r="J2479" t="s">
        <v>13</v>
      </c>
      <c r="K2479">
        <f>IF(J2479="Yes", 1, 0)</f>
        <v>0</v>
      </c>
      <c r="L2479" t="str">
        <f>IF(G2479=0,"0 Failures","1+ Failures")</f>
        <v>1+ Failures</v>
      </c>
      <c r="M2479" t="str">
        <f t="shared" si="116"/>
        <v>5-10 hrs</v>
      </c>
      <c r="N2479" t="str">
        <f t="shared" si="114"/>
        <v>12+ months</v>
      </c>
      <c r="O2479" t="str">
        <f t="shared" si="115"/>
        <v>Basic</v>
      </c>
      <c r="P2479" s="7">
        <v>45657</v>
      </c>
    </row>
    <row r="2480" spans="1:16" x14ac:dyDescent="0.3">
      <c r="A2480">
        <v>2479</v>
      </c>
      <c r="B2480" s="7">
        <v>45111</v>
      </c>
      <c r="C2480" t="s">
        <v>14</v>
      </c>
      <c r="D2480">
        <v>399</v>
      </c>
      <c r="E2480">
        <v>21.7</v>
      </c>
      <c r="F2480">
        <v>7</v>
      </c>
      <c r="G2480">
        <v>4</v>
      </c>
      <c r="H2480">
        <v>17</v>
      </c>
      <c r="I2480">
        <v>45</v>
      </c>
      <c r="J2480" t="s">
        <v>11</v>
      </c>
      <c r="K2480">
        <f>IF(J2480="Yes", 1, 0)</f>
        <v>1</v>
      </c>
      <c r="L2480" t="str">
        <f>IF(G2480=0,"0 Failures","1+ Failures")</f>
        <v>1+ Failures</v>
      </c>
      <c r="M2480" t="str">
        <f t="shared" si="116"/>
        <v>20+ hrs</v>
      </c>
      <c r="N2480" t="str">
        <f t="shared" si="114"/>
        <v>12+ months</v>
      </c>
      <c r="O2480" t="str">
        <f t="shared" si="115"/>
        <v>Basic</v>
      </c>
      <c r="P2480" s="7">
        <v>45657</v>
      </c>
    </row>
    <row r="2481" spans="1:16" x14ac:dyDescent="0.3">
      <c r="A2481">
        <v>2480</v>
      </c>
      <c r="B2481" s="7">
        <v>45266</v>
      </c>
      <c r="C2481" t="s">
        <v>14</v>
      </c>
      <c r="D2481">
        <v>399</v>
      </c>
      <c r="E2481">
        <v>0.6</v>
      </c>
      <c r="F2481">
        <v>2</v>
      </c>
      <c r="G2481">
        <v>3</v>
      </c>
      <c r="H2481">
        <v>29</v>
      </c>
      <c r="I2481">
        <v>4</v>
      </c>
      <c r="J2481" t="s">
        <v>11</v>
      </c>
      <c r="K2481">
        <f>IF(J2481="Yes", 1, 0)</f>
        <v>1</v>
      </c>
      <c r="L2481" t="str">
        <f>IF(G2481=0,"0 Failures","1+ Failures")</f>
        <v>1+ Failures</v>
      </c>
      <c r="M2481" t="str">
        <f t="shared" si="116"/>
        <v>0-5 hrs</v>
      </c>
      <c r="N2481" t="str">
        <f t="shared" si="114"/>
        <v>12+ months</v>
      </c>
      <c r="O2481" t="str">
        <f t="shared" si="115"/>
        <v>Basic</v>
      </c>
      <c r="P2481" s="7">
        <v>45657</v>
      </c>
    </row>
    <row r="2482" spans="1:16" x14ac:dyDescent="0.3">
      <c r="A2482">
        <v>2481</v>
      </c>
      <c r="B2482" s="7">
        <v>45651</v>
      </c>
      <c r="C2482" t="s">
        <v>12</v>
      </c>
      <c r="D2482">
        <v>199</v>
      </c>
      <c r="E2482">
        <v>19.100000000000001</v>
      </c>
      <c r="F2482">
        <v>7</v>
      </c>
      <c r="G2482">
        <v>5</v>
      </c>
      <c r="H2482">
        <v>30</v>
      </c>
      <c r="I2482">
        <v>7</v>
      </c>
      <c r="J2482" t="s">
        <v>11</v>
      </c>
      <c r="K2482">
        <f>IF(J2482="Yes", 1, 0)</f>
        <v>1</v>
      </c>
      <c r="L2482" t="str">
        <f>IF(G2482=0,"0 Failures","1+ Failures")</f>
        <v>1+ Failures</v>
      </c>
      <c r="M2482" t="str">
        <f t="shared" si="116"/>
        <v>10-20hrs</v>
      </c>
      <c r="N2482" t="str">
        <f t="shared" si="114"/>
        <v>12+ months</v>
      </c>
      <c r="O2482" t="str">
        <f t="shared" si="115"/>
        <v>Basic</v>
      </c>
      <c r="P2482" s="7">
        <v>45657</v>
      </c>
    </row>
    <row r="2483" spans="1:16" x14ac:dyDescent="0.3">
      <c r="A2483">
        <v>2482</v>
      </c>
      <c r="B2483" s="7">
        <v>44955</v>
      </c>
      <c r="C2483" t="s">
        <v>14</v>
      </c>
      <c r="D2483">
        <v>399</v>
      </c>
      <c r="E2483">
        <v>14.7</v>
      </c>
      <c r="F2483">
        <v>8</v>
      </c>
      <c r="G2483">
        <v>4</v>
      </c>
      <c r="H2483">
        <v>9</v>
      </c>
      <c r="I2483">
        <v>15</v>
      </c>
      <c r="J2483" t="s">
        <v>11</v>
      </c>
      <c r="K2483">
        <f>IF(J2483="Yes", 1, 0)</f>
        <v>1</v>
      </c>
      <c r="L2483" t="str">
        <f>IF(G2483=0,"0 Failures","1+ Failures")</f>
        <v>1+ Failures</v>
      </c>
      <c r="M2483" t="str">
        <f t="shared" si="116"/>
        <v>10-20hrs</v>
      </c>
      <c r="N2483" t="str">
        <f t="shared" si="114"/>
        <v>6-12months</v>
      </c>
      <c r="O2483" t="str">
        <f t="shared" si="115"/>
        <v>Basic</v>
      </c>
      <c r="P2483" s="7">
        <v>45657</v>
      </c>
    </row>
    <row r="2484" spans="1:16" x14ac:dyDescent="0.3">
      <c r="A2484">
        <v>2483</v>
      </c>
      <c r="B2484" s="7">
        <v>44982</v>
      </c>
      <c r="C2484" t="s">
        <v>10</v>
      </c>
      <c r="D2484">
        <v>699</v>
      </c>
      <c r="E2484">
        <v>3.8</v>
      </c>
      <c r="F2484">
        <v>5</v>
      </c>
      <c r="G2484">
        <v>3</v>
      </c>
      <c r="H2484">
        <v>7</v>
      </c>
      <c r="I2484">
        <v>46</v>
      </c>
      <c r="J2484" t="s">
        <v>11</v>
      </c>
      <c r="K2484">
        <f>IF(J2484="Yes", 1, 0)</f>
        <v>1</v>
      </c>
      <c r="L2484" t="str">
        <f>IF(G2484=0,"0 Failures","1+ Failures")</f>
        <v>1+ Failures</v>
      </c>
      <c r="M2484" t="str">
        <f t="shared" si="116"/>
        <v>0-5 hrs</v>
      </c>
      <c r="N2484" t="str">
        <f t="shared" si="114"/>
        <v>6-12months</v>
      </c>
      <c r="O2484" t="str">
        <f t="shared" si="115"/>
        <v>Premium</v>
      </c>
      <c r="P2484" s="7">
        <v>45657</v>
      </c>
    </row>
    <row r="2485" spans="1:16" x14ac:dyDescent="0.3">
      <c r="A2485">
        <v>2484</v>
      </c>
      <c r="B2485" s="7">
        <v>45548</v>
      </c>
      <c r="C2485" t="s">
        <v>10</v>
      </c>
      <c r="D2485">
        <v>699</v>
      </c>
      <c r="E2485">
        <v>4.7</v>
      </c>
      <c r="F2485">
        <v>0</v>
      </c>
      <c r="G2485">
        <v>2</v>
      </c>
      <c r="H2485">
        <v>13</v>
      </c>
      <c r="I2485">
        <v>48</v>
      </c>
      <c r="J2485" t="s">
        <v>11</v>
      </c>
      <c r="K2485">
        <f>IF(J2485="Yes", 1, 0)</f>
        <v>1</v>
      </c>
      <c r="L2485" t="str">
        <f>IF(G2485=0,"0 Failures","1+ Failures")</f>
        <v>1+ Failures</v>
      </c>
      <c r="M2485" t="str">
        <f t="shared" si="116"/>
        <v>0-5 hrs</v>
      </c>
      <c r="N2485" t="str">
        <f t="shared" si="114"/>
        <v>12+ months</v>
      </c>
      <c r="O2485" t="str">
        <f t="shared" si="115"/>
        <v>Premium</v>
      </c>
      <c r="P2485" s="7">
        <v>45657</v>
      </c>
    </row>
    <row r="2486" spans="1:16" x14ac:dyDescent="0.3">
      <c r="A2486">
        <v>2485</v>
      </c>
      <c r="B2486" s="7">
        <v>45142</v>
      </c>
      <c r="C2486" t="s">
        <v>10</v>
      </c>
      <c r="D2486">
        <v>699</v>
      </c>
      <c r="E2486">
        <v>13.2</v>
      </c>
      <c r="F2486">
        <v>8</v>
      </c>
      <c r="G2486">
        <v>4</v>
      </c>
      <c r="H2486">
        <v>30</v>
      </c>
      <c r="I2486">
        <v>28</v>
      </c>
      <c r="J2486" t="s">
        <v>11</v>
      </c>
      <c r="K2486">
        <f>IF(J2486="Yes", 1, 0)</f>
        <v>1</v>
      </c>
      <c r="L2486" t="str">
        <f>IF(G2486=0,"0 Failures","1+ Failures")</f>
        <v>1+ Failures</v>
      </c>
      <c r="M2486" t="str">
        <f t="shared" si="116"/>
        <v>10-20hrs</v>
      </c>
      <c r="N2486" t="str">
        <f t="shared" si="114"/>
        <v>12+ months</v>
      </c>
      <c r="O2486" t="str">
        <f t="shared" si="115"/>
        <v>Premium</v>
      </c>
      <c r="P2486" s="7">
        <v>45657</v>
      </c>
    </row>
    <row r="2487" spans="1:16" x14ac:dyDescent="0.3">
      <c r="A2487">
        <v>2486</v>
      </c>
      <c r="B2487" s="7">
        <v>45330</v>
      </c>
      <c r="C2487" t="s">
        <v>10</v>
      </c>
      <c r="D2487">
        <v>699</v>
      </c>
      <c r="E2487">
        <v>16.899999999999999</v>
      </c>
      <c r="F2487">
        <v>5</v>
      </c>
      <c r="G2487">
        <v>1</v>
      </c>
      <c r="H2487">
        <v>24</v>
      </c>
      <c r="I2487">
        <v>15</v>
      </c>
      <c r="J2487" t="s">
        <v>13</v>
      </c>
      <c r="K2487">
        <f>IF(J2487="Yes", 1, 0)</f>
        <v>0</v>
      </c>
      <c r="L2487" t="str">
        <f>IF(G2487=0,"0 Failures","1+ Failures")</f>
        <v>1+ Failures</v>
      </c>
      <c r="M2487" t="str">
        <f t="shared" si="116"/>
        <v>10-20hrs</v>
      </c>
      <c r="N2487" t="str">
        <f t="shared" si="114"/>
        <v>12+ months</v>
      </c>
      <c r="O2487" t="str">
        <f t="shared" si="115"/>
        <v>Premium</v>
      </c>
      <c r="P2487" s="7">
        <v>45657</v>
      </c>
    </row>
    <row r="2488" spans="1:16" x14ac:dyDescent="0.3">
      <c r="A2488">
        <v>2487</v>
      </c>
      <c r="B2488" s="7">
        <v>45587</v>
      </c>
      <c r="C2488" t="s">
        <v>12</v>
      </c>
      <c r="D2488">
        <v>199</v>
      </c>
      <c r="E2488">
        <v>5.4</v>
      </c>
      <c r="F2488">
        <v>4</v>
      </c>
      <c r="G2488">
        <v>2</v>
      </c>
      <c r="H2488">
        <v>3</v>
      </c>
      <c r="I2488">
        <v>15</v>
      </c>
      <c r="J2488" t="s">
        <v>13</v>
      </c>
      <c r="K2488">
        <f>IF(J2488="Yes", 1, 0)</f>
        <v>0</v>
      </c>
      <c r="L2488" t="str">
        <f>IF(G2488=0,"0 Failures","1+ Failures")</f>
        <v>1+ Failures</v>
      </c>
      <c r="M2488" t="str">
        <f t="shared" si="116"/>
        <v>5-10 hrs</v>
      </c>
      <c r="N2488" t="str">
        <f t="shared" si="114"/>
        <v>0-3months</v>
      </c>
      <c r="O2488" t="str">
        <f t="shared" si="115"/>
        <v>Basic</v>
      </c>
      <c r="P2488" s="7">
        <v>45657</v>
      </c>
    </row>
    <row r="2489" spans="1:16" x14ac:dyDescent="0.3">
      <c r="A2489">
        <v>2488</v>
      </c>
      <c r="B2489" s="7">
        <v>45142</v>
      </c>
      <c r="C2489" t="s">
        <v>12</v>
      </c>
      <c r="D2489">
        <v>199</v>
      </c>
      <c r="E2489">
        <v>3.2</v>
      </c>
      <c r="F2489">
        <v>1</v>
      </c>
      <c r="G2489">
        <v>2</v>
      </c>
      <c r="H2489">
        <v>21</v>
      </c>
      <c r="I2489">
        <v>53</v>
      </c>
      <c r="J2489" t="s">
        <v>13</v>
      </c>
      <c r="K2489">
        <f>IF(J2489="Yes", 1, 0)</f>
        <v>0</v>
      </c>
      <c r="L2489" t="str">
        <f>IF(G2489=0,"0 Failures","1+ Failures")</f>
        <v>1+ Failures</v>
      </c>
      <c r="M2489" t="str">
        <f t="shared" si="116"/>
        <v>0-5 hrs</v>
      </c>
      <c r="N2489" t="str">
        <f t="shared" si="114"/>
        <v>12+ months</v>
      </c>
      <c r="O2489" t="str">
        <f t="shared" si="115"/>
        <v>Basic</v>
      </c>
      <c r="P2489" s="7">
        <v>45657</v>
      </c>
    </row>
    <row r="2490" spans="1:16" x14ac:dyDescent="0.3">
      <c r="A2490">
        <v>2489</v>
      </c>
      <c r="B2490" s="7">
        <v>45527</v>
      </c>
      <c r="C2490" t="s">
        <v>10</v>
      </c>
      <c r="D2490">
        <v>699</v>
      </c>
      <c r="E2490">
        <v>1.1000000000000001</v>
      </c>
      <c r="F2490">
        <v>2</v>
      </c>
      <c r="G2490">
        <v>5</v>
      </c>
      <c r="H2490">
        <v>6</v>
      </c>
      <c r="I2490">
        <v>36</v>
      </c>
      <c r="J2490" t="s">
        <v>11</v>
      </c>
      <c r="K2490">
        <f>IF(J2490="Yes", 1, 0)</f>
        <v>1</v>
      </c>
      <c r="L2490" t="str">
        <f>IF(G2490=0,"0 Failures","1+ Failures")</f>
        <v>1+ Failures</v>
      </c>
      <c r="M2490" t="str">
        <f t="shared" si="116"/>
        <v>0-5 hrs</v>
      </c>
      <c r="N2490" t="str">
        <f t="shared" si="114"/>
        <v>3-6months</v>
      </c>
      <c r="O2490" t="str">
        <f t="shared" si="115"/>
        <v>Premium</v>
      </c>
      <c r="P2490" s="7">
        <v>45657</v>
      </c>
    </row>
    <row r="2491" spans="1:16" x14ac:dyDescent="0.3">
      <c r="A2491">
        <v>2490</v>
      </c>
      <c r="B2491" s="7">
        <v>45596</v>
      </c>
      <c r="C2491" t="s">
        <v>10</v>
      </c>
      <c r="D2491">
        <v>699</v>
      </c>
      <c r="E2491">
        <v>16.8</v>
      </c>
      <c r="F2491">
        <v>1</v>
      </c>
      <c r="G2491">
        <v>2</v>
      </c>
      <c r="H2491">
        <v>23</v>
      </c>
      <c r="I2491">
        <v>12</v>
      </c>
      <c r="J2491" t="s">
        <v>13</v>
      </c>
      <c r="K2491">
        <f>IF(J2491="Yes", 1, 0)</f>
        <v>0</v>
      </c>
      <c r="L2491" t="str">
        <f>IF(G2491=0,"0 Failures","1+ Failures")</f>
        <v>1+ Failures</v>
      </c>
      <c r="M2491" t="str">
        <f t="shared" si="116"/>
        <v>10-20hrs</v>
      </c>
      <c r="N2491" t="str">
        <f t="shared" si="114"/>
        <v>12+ months</v>
      </c>
      <c r="O2491" t="str">
        <f t="shared" si="115"/>
        <v>Premium</v>
      </c>
      <c r="P2491" s="7">
        <v>45657</v>
      </c>
    </row>
    <row r="2492" spans="1:16" x14ac:dyDescent="0.3">
      <c r="A2492">
        <v>2491</v>
      </c>
      <c r="B2492" s="7">
        <v>45408</v>
      </c>
      <c r="C2492" t="s">
        <v>10</v>
      </c>
      <c r="D2492">
        <v>699</v>
      </c>
      <c r="E2492">
        <v>5.2</v>
      </c>
      <c r="F2492">
        <v>3</v>
      </c>
      <c r="G2492">
        <v>0</v>
      </c>
      <c r="H2492">
        <v>33</v>
      </c>
      <c r="I2492">
        <v>36</v>
      </c>
      <c r="J2492" t="s">
        <v>13</v>
      </c>
      <c r="K2492">
        <f>IF(J2492="Yes", 1, 0)</f>
        <v>0</v>
      </c>
      <c r="L2492" t="str">
        <f>IF(G2492=0,"0 Failures","1+ Failures")</f>
        <v>0 Failures</v>
      </c>
      <c r="M2492" t="str">
        <f t="shared" si="116"/>
        <v>5-10 hrs</v>
      </c>
      <c r="N2492" t="str">
        <f t="shared" si="114"/>
        <v>12+ months</v>
      </c>
      <c r="O2492" t="str">
        <f t="shared" si="115"/>
        <v>Premium</v>
      </c>
      <c r="P2492" s="7">
        <v>45657</v>
      </c>
    </row>
    <row r="2493" spans="1:16" x14ac:dyDescent="0.3">
      <c r="A2493">
        <v>2492</v>
      </c>
      <c r="B2493" s="7">
        <v>45075</v>
      </c>
      <c r="C2493" t="s">
        <v>12</v>
      </c>
      <c r="D2493">
        <v>199</v>
      </c>
      <c r="E2493">
        <v>17.3</v>
      </c>
      <c r="F2493">
        <v>7</v>
      </c>
      <c r="G2493">
        <v>0</v>
      </c>
      <c r="H2493">
        <v>14</v>
      </c>
      <c r="I2493">
        <v>38</v>
      </c>
      <c r="J2493" t="s">
        <v>13</v>
      </c>
      <c r="K2493">
        <f>IF(J2493="Yes", 1, 0)</f>
        <v>0</v>
      </c>
      <c r="L2493" t="str">
        <f>IF(G2493=0,"0 Failures","1+ Failures")</f>
        <v>0 Failures</v>
      </c>
      <c r="M2493" t="str">
        <f t="shared" si="116"/>
        <v>10-20hrs</v>
      </c>
      <c r="N2493" t="str">
        <f t="shared" si="114"/>
        <v>12+ months</v>
      </c>
      <c r="O2493" t="str">
        <f t="shared" si="115"/>
        <v>Basic</v>
      </c>
      <c r="P2493" s="7">
        <v>45657</v>
      </c>
    </row>
    <row r="2494" spans="1:16" x14ac:dyDescent="0.3">
      <c r="A2494">
        <v>2493</v>
      </c>
      <c r="B2494" s="7">
        <v>45630</v>
      </c>
      <c r="C2494" t="s">
        <v>14</v>
      </c>
      <c r="D2494">
        <v>399</v>
      </c>
      <c r="E2494">
        <v>16</v>
      </c>
      <c r="F2494">
        <v>2</v>
      </c>
      <c r="G2494">
        <v>0</v>
      </c>
      <c r="H2494">
        <v>4</v>
      </c>
      <c r="I2494">
        <v>13</v>
      </c>
      <c r="J2494" t="s">
        <v>13</v>
      </c>
      <c r="K2494">
        <f>IF(J2494="Yes", 1, 0)</f>
        <v>0</v>
      </c>
      <c r="L2494" t="str">
        <f>IF(G2494=0,"0 Failures","1+ Failures")</f>
        <v>0 Failures</v>
      </c>
      <c r="M2494" t="str">
        <f t="shared" si="116"/>
        <v>10-20hrs</v>
      </c>
      <c r="N2494" t="str">
        <f t="shared" si="114"/>
        <v>3-6months</v>
      </c>
      <c r="O2494" t="str">
        <f t="shared" si="115"/>
        <v>Basic</v>
      </c>
      <c r="P2494" s="7">
        <v>45657</v>
      </c>
    </row>
    <row r="2495" spans="1:16" x14ac:dyDescent="0.3">
      <c r="A2495">
        <v>2494</v>
      </c>
      <c r="B2495" s="7">
        <v>45616</v>
      </c>
      <c r="C2495" t="s">
        <v>10</v>
      </c>
      <c r="D2495">
        <v>699</v>
      </c>
      <c r="E2495">
        <v>10.5</v>
      </c>
      <c r="F2495">
        <v>2</v>
      </c>
      <c r="G2495">
        <v>0</v>
      </c>
      <c r="H2495">
        <v>30</v>
      </c>
      <c r="I2495">
        <v>7</v>
      </c>
      <c r="J2495" t="s">
        <v>13</v>
      </c>
      <c r="K2495">
        <f>IF(J2495="Yes", 1, 0)</f>
        <v>0</v>
      </c>
      <c r="L2495" t="str">
        <f>IF(G2495=0,"0 Failures","1+ Failures")</f>
        <v>0 Failures</v>
      </c>
      <c r="M2495" t="str">
        <f t="shared" si="116"/>
        <v>10-20hrs</v>
      </c>
      <c r="N2495" t="str">
        <f t="shared" si="114"/>
        <v>12+ months</v>
      </c>
      <c r="O2495" t="str">
        <f t="shared" si="115"/>
        <v>Premium</v>
      </c>
      <c r="P2495" s="7">
        <v>45657</v>
      </c>
    </row>
    <row r="2496" spans="1:16" x14ac:dyDescent="0.3">
      <c r="A2496">
        <v>2495</v>
      </c>
      <c r="B2496" s="7">
        <v>44969</v>
      </c>
      <c r="C2496" t="s">
        <v>12</v>
      </c>
      <c r="D2496">
        <v>199</v>
      </c>
      <c r="E2496">
        <v>3.3</v>
      </c>
      <c r="F2496">
        <v>6</v>
      </c>
      <c r="G2496">
        <v>0</v>
      </c>
      <c r="H2496">
        <v>8</v>
      </c>
      <c r="I2496">
        <v>8</v>
      </c>
      <c r="J2496" t="s">
        <v>13</v>
      </c>
      <c r="K2496">
        <f>IF(J2496="Yes", 1, 0)</f>
        <v>0</v>
      </c>
      <c r="L2496" t="str">
        <f>IF(G2496=0,"0 Failures","1+ Failures")</f>
        <v>0 Failures</v>
      </c>
      <c r="M2496" t="str">
        <f t="shared" si="116"/>
        <v>0-5 hrs</v>
      </c>
      <c r="N2496" t="str">
        <f t="shared" si="114"/>
        <v>6-12months</v>
      </c>
      <c r="O2496" t="str">
        <f t="shared" si="115"/>
        <v>Basic</v>
      </c>
      <c r="P2496" s="7">
        <v>45657</v>
      </c>
    </row>
    <row r="2497" spans="1:16" x14ac:dyDescent="0.3">
      <c r="A2497">
        <v>2496</v>
      </c>
      <c r="B2497" s="7">
        <v>45375</v>
      </c>
      <c r="C2497" t="s">
        <v>12</v>
      </c>
      <c r="D2497">
        <v>199</v>
      </c>
      <c r="E2497">
        <v>11.4</v>
      </c>
      <c r="F2497">
        <v>5</v>
      </c>
      <c r="G2497">
        <v>5</v>
      </c>
      <c r="H2497">
        <v>3</v>
      </c>
      <c r="I2497">
        <v>47</v>
      </c>
      <c r="J2497" t="s">
        <v>13</v>
      </c>
      <c r="K2497">
        <f>IF(J2497="Yes", 1, 0)</f>
        <v>0</v>
      </c>
      <c r="L2497" t="str">
        <f>IF(G2497=0,"0 Failures","1+ Failures")</f>
        <v>1+ Failures</v>
      </c>
      <c r="M2497" t="str">
        <f t="shared" si="116"/>
        <v>10-20hrs</v>
      </c>
      <c r="N2497" t="str">
        <f t="shared" si="114"/>
        <v>0-3months</v>
      </c>
      <c r="O2497" t="str">
        <f t="shared" si="115"/>
        <v>Basic</v>
      </c>
      <c r="P2497" s="7">
        <v>45657</v>
      </c>
    </row>
    <row r="2498" spans="1:16" x14ac:dyDescent="0.3">
      <c r="A2498">
        <v>2497</v>
      </c>
      <c r="B2498" s="7">
        <v>45368</v>
      </c>
      <c r="C2498" t="s">
        <v>12</v>
      </c>
      <c r="D2498">
        <v>199</v>
      </c>
      <c r="E2498">
        <v>23.2</v>
      </c>
      <c r="F2498">
        <v>3</v>
      </c>
      <c r="G2498">
        <v>0</v>
      </c>
      <c r="H2498">
        <v>13</v>
      </c>
      <c r="I2498">
        <v>18</v>
      </c>
      <c r="J2498" t="s">
        <v>13</v>
      </c>
      <c r="K2498">
        <f>IF(J2498="Yes", 1, 0)</f>
        <v>0</v>
      </c>
      <c r="L2498" t="str">
        <f>IF(G2498=0,"0 Failures","1+ Failures")</f>
        <v>0 Failures</v>
      </c>
      <c r="M2498" t="str">
        <f t="shared" si="116"/>
        <v>20+ hrs</v>
      </c>
      <c r="N2498" t="str">
        <f t="shared" si="114"/>
        <v>12+ months</v>
      </c>
      <c r="O2498" t="str">
        <f t="shared" si="115"/>
        <v>Basic</v>
      </c>
      <c r="P2498" s="7">
        <v>45657</v>
      </c>
    </row>
    <row r="2499" spans="1:16" x14ac:dyDescent="0.3">
      <c r="A2499">
        <v>2498</v>
      </c>
      <c r="B2499" s="7">
        <v>45608</v>
      </c>
      <c r="C2499" t="s">
        <v>14</v>
      </c>
      <c r="D2499">
        <v>399</v>
      </c>
      <c r="E2499">
        <v>5.6</v>
      </c>
      <c r="F2499">
        <v>0</v>
      </c>
      <c r="G2499">
        <v>5</v>
      </c>
      <c r="H2499">
        <v>22</v>
      </c>
      <c r="I2499">
        <v>11</v>
      </c>
      <c r="J2499" t="s">
        <v>13</v>
      </c>
      <c r="K2499">
        <f>IF(J2499="Yes", 1, 0)</f>
        <v>0</v>
      </c>
      <c r="L2499" t="str">
        <f>IF(G2499=0,"0 Failures","1+ Failures")</f>
        <v>1+ Failures</v>
      </c>
      <c r="M2499" t="str">
        <f t="shared" si="116"/>
        <v>5-10 hrs</v>
      </c>
      <c r="N2499" t="str">
        <f t="shared" ref="N2499:N2562" si="117">IF(H2499&lt;=3, "0-3months", IF(H2499&lt;=6, "3-6months", IF(H2499&lt;=12, "6-12months", "12+ months")))</f>
        <v>12+ months</v>
      </c>
      <c r="O2499" t="str">
        <f t="shared" ref="O2499:O2562" si="118">IF(C2499="premium", "Premium", "Basic")</f>
        <v>Basic</v>
      </c>
      <c r="P2499" s="7">
        <v>45657</v>
      </c>
    </row>
    <row r="2500" spans="1:16" x14ac:dyDescent="0.3">
      <c r="A2500">
        <v>2499</v>
      </c>
      <c r="B2500" s="7">
        <v>44950</v>
      </c>
      <c r="C2500" t="s">
        <v>14</v>
      </c>
      <c r="D2500">
        <v>399</v>
      </c>
      <c r="E2500">
        <v>3</v>
      </c>
      <c r="F2500">
        <v>4</v>
      </c>
      <c r="G2500">
        <v>1</v>
      </c>
      <c r="H2500">
        <v>34</v>
      </c>
      <c r="I2500">
        <v>6</v>
      </c>
      <c r="J2500" t="s">
        <v>11</v>
      </c>
      <c r="K2500">
        <f>IF(J2500="Yes", 1, 0)</f>
        <v>1</v>
      </c>
      <c r="L2500" t="str">
        <f>IF(G2500=0,"0 Failures","1+ Failures")</f>
        <v>1+ Failures</v>
      </c>
      <c r="M2500" t="str">
        <f t="shared" si="116"/>
        <v>0-5 hrs</v>
      </c>
      <c r="N2500" t="str">
        <f t="shared" si="117"/>
        <v>12+ months</v>
      </c>
      <c r="O2500" t="str">
        <f t="shared" si="118"/>
        <v>Basic</v>
      </c>
      <c r="P2500" s="7">
        <v>45657</v>
      </c>
    </row>
    <row r="2501" spans="1:16" x14ac:dyDescent="0.3">
      <c r="A2501">
        <v>2500</v>
      </c>
      <c r="B2501" s="7">
        <v>45607</v>
      </c>
      <c r="C2501" t="s">
        <v>10</v>
      </c>
      <c r="D2501">
        <v>699</v>
      </c>
      <c r="E2501">
        <v>15.8</v>
      </c>
      <c r="F2501">
        <v>2</v>
      </c>
      <c r="G2501">
        <v>2</v>
      </c>
      <c r="H2501">
        <v>26</v>
      </c>
      <c r="I2501">
        <v>55</v>
      </c>
      <c r="J2501" t="s">
        <v>11</v>
      </c>
      <c r="K2501">
        <f>IF(J2501="Yes", 1, 0)</f>
        <v>1</v>
      </c>
      <c r="L2501" t="str">
        <f>IF(G2501=0,"0 Failures","1+ Failures")</f>
        <v>1+ Failures</v>
      </c>
      <c r="M2501" t="str">
        <f t="shared" si="116"/>
        <v>10-20hrs</v>
      </c>
      <c r="N2501" t="str">
        <f t="shared" si="117"/>
        <v>12+ months</v>
      </c>
      <c r="O2501" t="str">
        <f t="shared" si="118"/>
        <v>Premium</v>
      </c>
      <c r="P2501" s="7">
        <v>45657</v>
      </c>
    </row>
    <row r="2502" spans="1:16" x14ac:dyDescent="0.3">
      <c r="A2502">
        <v>2501</v>
      </c>
      <c r="B2502" s="7">
        <v>45532</v>
      </c>
      <c r="C2502" t="s">
        <v>14</v>
      </c>
      <c r="D2502">
        <v>399</v>
      </c>
      <c r="E2502">
        <v>4.2</v>
      </c>
      <c r="F2502">
        <v>4</v>
      </c>
      <c r="G2502">
        <v>3</v>
      </c>
      <c r="H2502">
        <v>9</v>
      </c>
      <c r="I2502">
        <v>8</v>
      </c>
      <c r="J2502" t="s">
        <v>11</v>
      </c>
      <c r="K2502">
        <f>IF(J2502="Yes", 1, 0)</f>
        <v>1</v>
      </c>
      <c r="L2502" t="str">
        <f>IF(G2502=0,"0 Failures","1+ Failures")</f>
        <v>1+ Failures</v>
      </c>
      <c r="M2502" t="str">
        <f t="shared" si="116"/>
        <v>0-5 hrs</v>
      </c>
      <c r="N2502" t="str">
        <f t="shared" si="117"/>
        <v>6-12months</v>
      </c>
      <c r="O2502" t="str">
        <f t="shared" si="118"/>
        <v>Basic</v>
      </c>
      <c r="P2502" s="7">
        <v>45657</v>
      </c>
    </row>
    <row r="2503" spans="1:16" x14ac:dyDescent="0.3">
      <c r="A2503">
        <v>2502</v>
      </c>
      <c r="B2503" s="7">
        <v>44994</v>
      </c>
      <c r="C2503" t="s">
        <v>12</v>
      </c>
      <c r="D2503">
        <v>199</v>
      </c>
      <c r="E2503">
        <v>24.9</v>
      </c>
      <c r="F2503">
        <v>5</v>
      </c>
      <c r="G2503">
        <v>5</v>
      </c>
      <c r="H2503">
        <v>24</v>
      </c>
      <c r="I2503">
        <v>24</v>
      </c>
      <c r="J2503" t="s">
        <v>13</v>
      </c>
      <c r="K2503">
        <f>IF(J2503="Yes", 1, 0)</f>
        <v>0</v>
      </c>
      <c r="L2503" t="str">
        <f>IF(G2503=0,"0 Failures","1+ Failures")</f>
        <v>1+ Failures</v>
      </c>
      <c r="M2503" t="str">
        <f t="shared" si="116"/>
        <v>20+ hrs</v>
      </c>
      <c r="N2503" t="str">
        <f t="shared" si="117"/>
        <v>12+ months</v>
      </c>
      <c r="O2503" t="str">
        <f t="shared" si="118"/>
        <v>Basic</v>
      </c>
      <c r="P2503" s="7">
        <v>45657</v>
      </c>
    </row>
    <row r="2504" spans="1:16" x14ac:dyDescent="0.3">
      <c r="A2504">
        <v>2503</v>
      </c>
      <c r="B2504" s="7">
        <v>45280</v>
      </c>
      <c r="C2504" t="s">
        <v>10</v>
      </c>
      <c r="D2504">
        <v>699</v>
      </c>
      <c r="E2504">
        <v>20.2</v>
      </c>
      <c r="F2504">
        <v>3</v>
      </c>
      <c r="G2504">
        <v>5</v>
      </c>
      <c r="H2504">
        <v>1</v>
      </c>
      <c r="I2504">
        <v>42</v>
      </c>
      <c r="J2504" t="s">
        <v>11</v>
      </c>
      <c r="K2504">
        <f>IF(J2504="Yes", 1, 0)</f>
        <v>1</v>
      </c>
      <c r="L2504" t="str">
        <f>IF(G2504=0,"0 Failures","1+ Failures")</f>
        <v>1+ Failures</v>
      </c>
      <c r="M2504" t="str">
        <f t="shared" si="116"/>
        <v>20+ hrs</v>
      </c>
      <c r="N2504" t="str">
        <f t="shared" si="117"/>
        <v>0-3months</v>
      </c>
      <c r="O2504" t="str">
        <f t="shared" si="118"/>
        <v>Premium</v>
      </c>
      <c r="P2504" s="7">
        <v>45657</v>
      </c>
    </row>
    <row r="2505" spans="1:16" x14ac:dyDescent="0.3">
      <c r="A2505">
        <v>2504</v>
      </c>
      <c r="B2505" s="7">
        <v>45209</v>
      </c>
      <c r="C2505" t="s">
        <v>12</v>
      </c>
      <c r="D2505">
        <v>199</v>
      </c>
      <c r="E2505">
        <v>20.7</v>
      </c>
      <c r="F2505">
        <v>1</v>
      </c>
      <c r="G2505">
        <v>1</v>
      </c>
      <c r="H2505">
        <v>32</v>
      </c>
      <c r="I2505">
        <v>29</v>
      </c>
      <c r="J2505" t="s">
        <v>11</v>
      </c>
      <c r="K2505">
        <f>IF(J2505="Yes", 1, 0)</f>
        <v>1</v>
      </c>
      <c r="L2505" t="str">
        <f>IF(G2505=0,"0 Failures","1+ Failures")</f>
        <v>1+ Failures</v>
      </c>
      <c r="M2505" t="str">
        <f t="shared" si="116"/>
        <v>20+ hrs</v>
      </c>
      <c r="N2505" t="str">
        <f t="shared" si="117"/>
        <v>12+ months</v>
      </c>
      <c r="O2505" t="str">
        <f t="shared" si="118"/>
        <v>Basic</v>
      </c>
      <c r="P2505" s="7">
        <v>45657</v>
      </c>
    </row>
    <row r="2506" spans="1:16" x14ac:dyDescent="0.3">
      <c r="A2506">
        <v>2505</v>
      </c>
      <c r="B2506" s="7">
        <v>45241</v>
      </c>
      <c r="C2506" t="s">
        <v>12</v>
      </c>
      <c r="D2506">
        <v>199</v>
      </c>
      <c r="E2506">
        <v>23.4</v>
      </c>
      <c r="F2506">
        <v>8</v>
      </c>
      <c r="G2506">
        <v>2</v>
      </c>
      <c r="H2506">
        <v>28</v>
      </c>
      <c r="I2506">
        <v>34</v>
      </c>
      <c r="J2506" t="s">
        <v>11</v>
      </c>
      <c r="K2506">
        <f>IF(J2506="Yes", 1, 0)</f>
        <v>1</v>
      </c>
      <c r="L2506" t="str">
        <f>IF(G2506=0,"0 Failures","1+ Failures")</f>
        <v>1+ Failures</v>
      </c>
      <c r="M2506" t="str">
        <f t="shared" si="116"/>
        <v>20+ hrs</v>
      </c>
      <c r="N2506" t="str">
        <f t="shared" si="117"/>
        <v>12+ months</v>
      </c>
      <c r="O2506" t="str">
        <f t="shared" si="118"/>
        <v>Basic</v>
      </c>
      <c r="P2506" s="7">
        <v>45657</v>
      </c>
    </row>
    <row r="2507" spans="1:16" x14ac:dyDescent="0.3">
      <c r="A2507">
        <v>2506</v>
      </c>
      <c r="B2507" s="7">
        <v>45086</v>
      </c>
      <c r="C2507" t="s">
        <v>12</v>
      </c>
      <c r="D2507">
        <v>199</v>
      </c>
      <c r="E2507">
        <v>21.2</v>
      </c>
      <c r="F2507">
        <v>4</v>
      </c>
      <c r="G2507">
        <v>0</v>
      </c>
      <c r="H2507">
        <v>14</v>
      </c>
      <c r="I2507">
        <v>56</v>
      </c>
      <c r="J2507" t="s">
        <v>13</v>
      </c>
      <c r="K2507">
        <f>IF(J2507="Yes", 1, 0)</f>
        <v>0</v>
      </c>
      <c r="L2507" t="str">
        <f>IF(G2507=0,"0 Failures","1+ Failures")</f>
        <v>0 Failures</v>
      </c>
      <c r="M2507" t="str">
        <f t="shared" ref="M2507:M2570" si="119">IF(E2507&lt;=5, "0-5 hrs",    IF(E2507&lt;=10, "5-10 hrs",    IF(E2507&lt;=20, "10-20hrs", "20+ hrs")))</f>
        <v>20+ hrs</v>
      </c>
      <c r="N2507" t="str">
        <f t="shared" si="117"/>
        <v>12+ months</v>
      </c>
      <c r="O2507" t="str">
        <f t="shared" si="118"/>
        <v>Basic</v>
      </c>
      <c r="P2507" s="7">
        <v>45657</v>
      </c>
    </row>
    <row r="2508" spans="1:16" x14ac:dyDescent="0.3">
      <c r="A2508">
        <v>2507</v>
      </c>
      <c r="B2508" s="7">
        <v>45092</v>
      </c>
      <c r="C2508" t="s">
        <v>12</v>
      </c>
      <c r="D2508">
        <v>199</v>
      </c>
      <c r="E2508">
        <v>24.8</v>
      </c>
      <c r="F2508">
        <v>0</v>
      </c>
      <c r="G2508">
        <v>3</v>
      </c>
      <c r="H2508">
        <v>10</v>
      </c>
      <c r="I2508">
        <v>7</v>
      </c>
      <c r="J2508" t="s">
        <v>13</v>
      </c>
      <c r="K2508">
        <f>IF(J2508="Yes", 1, 0)</f>
        <v>0</v>
      </c>
      <c r="L2508" t="str">
        <f>IF(G2508=0,"0 Failures","1+ Failures")</f>
        <v>1+ Failures</v>
      </c>
      <c r="M2508" t="str">
        <f t="shared" si="119"/>
        <v>20+ hrs</v>
      </c>
      <c r="N2508" t="str">
        <f t="shared" si="117"/>
        <v>6-12months</v>
      </c>
      <c r="O2508" t="str">
        <f t="shared" si="118"/>
        <v>Basic</v>
      </c>
      <c r="P2508" s="7">
        <v>45657</v>
      </c>
    </row>
    <row r="2509" spans="1:16" x14ac:dyDescent="0.3">
      <c r="A2509">
        <v>2508</v>
      </c>
      <c r="B2509" s="7">
        <v>44989</v>
      </c>
      <c r="C2509" t="s">
        <v>14</v>
      </c>
      <c r="D2509">
        <v>399</v>
      </c>
      <c r="E2509">
        <v>14.2</v>
      </c>
      <c r="F2509">
        <v>4</v>
      </c>
      <c r="G2509">
        <v>0</v>
      </c>
      <c r="H2509">
        <v>15</v>
      </c>
      <c r="I2509">
        <v>10</v>
      </c>
      <c r="J2509" t="s">
        <v>13</v>
      </c>
      <c r="K2509">
        <f>IF(J2509="Yes", 1, 0)</f>
        <v>0</v>
      </c>
      <c r="L2509" t="str">
        <f>IF(G2509=0,"0 Failures","1+ Failures")</f>
        <v>0 Failures</v>
      </c>
      <c r="M2509" t="str">
        <f t="shared" si="119"/>
        <v>10-20hrs</v>
      </c>
      <c r="N2509" t="str">
        <f t="shared" si="117"/>
        <v>12+ months</v>
      </c>
      <c r="O2509" t="str">
        <f t="shared" si="118"/>
        <v>Basic</v>
      </c>
      <c r="P2509" s="7">
        <v>45657</v>
      </c>
    </row>
    <row r="2510" spans="1:16" x14ac:dyDescent="0.3">
      <c r="A2510">
        <v>2509</v>
      </c>
      <c r="B2510" s="7">
        <v>45215</v>
      </c>
      <c r="C2510" t="s">
        <v>14</v>
      </c>
      <c r="D2510">
        <v>399</v>
      </c>
      <c r="E2510">
        <v>11.1</v>
      </c>
      <c r="F2510">
        <v>0</v>
      </c>
      <c r="G2510">
        <v>3</v>
      </c>
      <c r="H2510">
        <v>6</v>
      </c>
      <c r="I2510">
        <v>14</v>
      </c>
      <c r="J2510" t="s">
        <v>11</v>
      </c>
      <c r="K2510">
        <f>IF(J2510="Yes", 1, 0)</f>
        <v>1</v>
      </c>
      <c r="L2510" t="str">
        <f>IF(G2510=0,"0 Failures","1+ Failures")</f>
        <v>1+ Failures</v>
      </c>
      <c r="M2510" t="str">
        <f t="shared" si="119"/>
        <v>10-20hrs</v>
      </c>
      <c r="N2510" t="str">
        <f t="shared" si="117"/>
        <v>3-6months</v>
      </c>
      <c r="O2510" t="str">
        <f t="shared" si="118"/>
        <v>Basic</v>
      </c>
      <c r="P2510" s="7">
        <v>45657</v>
      </c>
    </row>
    <row r="2511" spans="1:16" x14ac:dyDescent="0.3">
      <c r="A2511">
        <v>2510</v>
      </c>
      <c r="B2511" s="7">
        <v>45573</v>
      </c>
      <c r="C2511" t="s">
        <v>10</v>
      </c>
      <c r="D2511">
        <v>699</v>
      </c>
      <c r="E2511">
        <v>8.9</v>
      </c>
      <c r="F2511">
        <v>4</v>
      </c>
      <c r="G2511">
        <v>1</v>
      </c>
      <c r="H2511">
        <v>7</v>
      </c>
      <c r="I2511">
        <v>52</v>
      </c>
      <c r="J2511" t="s">
        <v>13</v>
      </c>
      <c r="K2511">
        <f>IF(J2511="Yes", 1, 0)</f>
        <v>0</v>
      </c>
      <c r="L2511" t="str">
        <f>IF(G2511=0,"0 Failures","1+ Failures")</f>
        <v>1+ Failures</v>
      </c>
      <c r="M2511" t="str">
        <f t="shared" si="119"/>
        <v>5-10 hrs</v>
      </c>
      <c r="N2511" t="str">
        <f t="shared" si="117"/>
        <v>6-12months</v>
      </c>
      <c r="O2511" t="str">
        <f t="shared" si="118"/>
        <v>Premium</v>
      </c>
      <c r="P2511" s="7">
        <v>45657</v>
      </c>
    </row>
    <row r="2512" spans="1:16" x14ac:dyDescent="0.3">
      <c r="A2512">
        <v>2511</v>
      </c>
      <c r="B2512" s="7">
        <v>44944</v>
      </c>
      <c r="C2512" t="s">
        <v>10</v>
      </c>
      <c r="D2512">
        <v>699</v>
      </c>
      <c r="E2512">
        <v>5.9</v>
      </c>
      <c r="F2512">
        <v>4</v>
      </c>
      <c r="G2512">
        <v>0</v>
      </c>
      <c r="H2512">
        <v>1</v>
      </c>
      <c r="I2512">
        <v>15</v>
      </c>
      <c r="J2512" t="s">
        <v>11</v>
      </c>
      <c r="K2512">
        <f>IF(J2512="Yes", 1, 0)</f>
        <v>1</v>
      </c>
      <c r="L2512" t="str">
        <f>IF(G2512=0,"0 Failures","1+ Failures")</f>
        <v>0 Failures</v>
      </c>
      <c r="M2512" t="str">
        <f t="shared" si="119"/>
        <v>5-10 hrs</v>
      </c>
      <c r="N2512" t="str">
        <f t="shared" si="117"/>
        <v>0-3months</v>
      </c>
      <c r="O2512" t="str">
        <f t="shared" si="118"/>
        <v>Premium</v>
      </c>
      <c r="P2512" s="7">
        <v>45657</v>
      </c>
    </row>
    <row r="2513" spans="1:16" x14ac:dyDescent="0.3">
      <c r="A2513">
        <v>2512</v>
      </c>
      <c r="B2513" s="7">
        <v>45582</v>
      </c>
      <c r="C2513" t="s">
        <v>10</v>
      </c>
      <c r="D2513">
        <v>699</v>
      </c>
      <c r="E2513">
        <v>22.7</v>
      </c>
      <c r="F2513">
        <v>6</v>
      </c>
      <c r="G2513">
        <v>3</v>
      </c>
      <c r="H2513">
        <v>24</v>
      </c>
      <c r="I2513">
        <v>36</v>
      </c>
      <c r="J2513" t="s">
        <v>13</v>
      </c>
      <c r="K2513">
        <f>IF(J2513="Yes", 1, 0)</f>
        <v>0</v>
      </c>
      <c r="L2513" t="str">
        <f>IF(G2513=0,"0 Failures","1+ Failures")</f>
        <v>1+ Failures</v>
      </c>
      <c r="M2513" t="str">
        <f t="shared" si="119"/>
        <v>20+ hrs</v>
      </c>
      <c r="N2513" t="str">
        <f t="shared" si="117"/>
        <v>12+ months</v>
      </c>
      <c r="O2513" t="str">
        <f t="shared" si="118"/>
        <v>Premium</v>
      </c>
      <c r="P2513" s="7">
        <v>45657</v>
      </c>
    </row>
    <row r="2514" spans="1:16" x14ac:dyDescent="0.3">
      <c r="A2514">
        <v>2513</v>
      </c>
      <c r="B2514" s="7">
        <v>45531</v>
      </c>
      <c r="C2514" t="s">
        <v>14</v>
      </c>
      <c r="D2514">
        <v>399</v>
      </c>
      <c r="E2514">
        <v>10.9</v>
      </c>
      <c r="F2514">
        <v>4</v>
      </c>
      <c r="G2514">
        <v>4</v>
      </c>
      <c r="H2514">
        <v>24</v>
      </c>
      <c r="I2514">
        <v>4</v>
      </c>
      <c r="J2514" t="s">
        <v>11</v>
      </c>
      <c r="K2514">
        <f>IF(J2514="Yes", 1, 0)</f>
        <v>1</v>
      </c>
      <c r="L2514" t="str">
        <f>IF(G2514=0,"0 Failures","1+ Failures")</f>
        <v>1+ Failures</v>
      </c>
      <c r="M2514" t="str">
        <f t="shared" si="119"/>
        <v>10-20hrs</v>
      </c>
      <c r="N2514" t="str">
        <f t="shared" si="117"/>
        <v>12+ months</v>
      </c>
      <c r="O2514" t="str">
        <f t="shared" si="118"/>
        <v>Basic</v>
      </c>
      <c r="P2514" s="7">
        <v>45657</v>
      </c>
    </row>
    <row r="2515" spans="1:16" x14ac:dyDescent="0.3">
      <c r="A2515">
        <v>2514</v>
      </c>
      <c r="B2515" s="7">
        <v>45418</v>
      </c>
      <c r="C2515" t="s">
        <v>10</v>
      </c>
      <c r="D2515">
        <v>699</v>
      </c>
      <c r="E2515">
        <v>9.6</v>
      </c>
      <c r="F2515">
        <v>6</v>
      </c>
      <c r="G2515">
        <v>1</v>
      </c>
      <c r="H2515">
        <v>23</v>
      </c>
      <c r="I2515">
        <v>60</v>
      </c>
      <c r="J2515" t="s">
        <v>11</v>
      </c>
      <c r="K2515">
        <f>IF(J2515="Yes", 1, 0)</f>
        <v>1</v>
      </c>
      <c r="L2515" t="str">
        <f>IF(G2515=0,"0 Failures","1+ Failures")</f>
        <v>1+ Failures</v>
      </c>
      <c r="M2515" t="str">
        <f t="shared" si="119"/>
        <v>5-10 hrs</v>
      </c>
      <c r="N2515" t="str">
        <f t="shared" si="117"/>
        <v>12+ months</v>
      </c>
      <c r="O2515" t="str">
        <f t="shared" si="118"/>
        <v>Premium</v>
      </c>
      <c r="P2515" s="7">
        <v>45657</v>
      </c>
    </row>
    <row r="2516" spans="1:16" x14ac:dyDescent="0.3">
      <c r="A2516">
        <v>2515</v>
      </c>
      <c r="B2516" s="7">
        <v>44972</v>
      </c>
      <c r="C2516" t="s">
        <v>12</v>
      </c>
      <c r="D2516">
        <v>199</v>
      </c>
      <c r="E2516">
        <v>21</v>
      </c>
      <c r="F2516">
        <v>4</v>
      </c>
      <c r="G2516">
        <v>3</v>
      </c>
      <c r="H2516">
        <v>9</v>
      </c>
      <c r="I2516">
        <v>27</v>
      </c>
      <c r="J2516" t="s">
        <v>11</v>
      </c>
      <c r="K2516">
        <f>IF(J2516="Yes", 1, 0)</f>
        <v>1</v>
      </c>
      <c r="L2516" t="str">
        <f>IF(G2516=0,"0 Failures","1+ Failures")</f>
        <v>1+ Failures</v>
      </c>
      <c r="M2516" t="str">
        <f t="shared" si="119"/>
        <v>20+ hrs</v>
      </c>
      <c r="N2516" t="str">
        <f t="shared" si="117"/>
        <v>6-12months</v>
      </c>
      <c r="O2516" t="str">
        <f t="shared" si="118"/>
        <v>Basic</v>
      </c>
      <c r="P2516" s="7">
        <v>45657</v>
      </c>
    </row>
    <row r="2517" spans="1:16" x14ac:dyDescent="0.3">
      <c r="A2517">
        <v>2516</v>
      </c>
      <c r="B2517" s="7">
        <v>45349</v>
      </c>
      <c r="C2517" t="s">
        <v>10</v>
      </c>
      <c r="D2517">
        <v>699</v>
      </c>
      <c r="E2517">
        <v>19.3</v>
      </c>
      <c r="F2517">
        <v>8</v>
      </c>
      <c r="G2517">
        <v>0</v>
      </c>
      <c r="H2517">
        <v>4</v>
      </c>
      <c r="I2517">
        <v>2</v>
      </c>
      <c r="J2517" t="s">
        <v>11</v>
      </c>
      <c r="K2517">
        <f>IF(J2517="Yes", 1, 0)</f>
        <v>1</v>
      </c>
      <c r="L2517" t="str">
        <f>IF(G2517=0,"0 Failures","1+ Failures")</f>
        <v>0 Failures</v>
      </c>
      <c r="M2517" t="str">
        <f t="shared" si="119"/>
        <v>10-20hrs</v>
      </c>
      <c r="N2517" t="str">
        <f t="shared" si="117"/>
        <v>3-6months</v>
      </c>
      <c r="O2517" t="str">
        <f t="shared" si="118"/>
        <v>Premium</v>
      </c>
      <c r="P2517" s="7">
        <v>45657</v>
      </c>
    </row>
    <row r="2518" spans="1:16" x14ac:dyDescent="0.3">
      <c r="A2518">
        <v>2517</v>
      </c>
      <c r="B2518" s="7">
        <v>45427</v>
      </c>
      <c r="C2518" t="s">
        <v>10</v>
      </c>
      <c r="D2518">
        <v>699</v>
      </c>
      <c r="E2518">
        <v>3</v>
      </c>
      <c r="F2518">
        <v>6</v>
      </c>
      <c r="G2518">
        <v>2</v>
      </c>
      <c r="H2518">
        <v>15</v>
      </c>
      <c r="I2518">
        <v>48</v>
      </c>
      <c r="J2518" t="s">
        <v>11</v>
      </c>
      <c r="K2518">
        <f>IF(J2518="Yes", 1, 0)</f>
        <v>1</v>
      </c>
      <c r="L2518" t="str">
        <f>IF(G2518=0,"0 Failures","1+ Failures")</f>
        <v>1+ Failures</v>
      </c>
      <c r="M2518" t="str">
        <f t="shared" si="119"/>
        <v>0-5 hrs</v>
      </c>
      <c r="N2518" t="str">
        <f t="shared" si="117"/>
        <v>12+ months</v>
      </c>
      <c r="O2518" t="str">
        <f t="shared" si="118"/>
        <v>Premium</v>
      </c>
      <c r="P2518" s="7">
        <v>45657</v>
      </c>
    </row>
    <row r="2519" spans="1:16" x14ac:dyDescent="0.3">
      <c r="A2519">
        <v>2518</v>
      </c>
      <c r="B2519" s="7">
        <v>45613</v>
      </c>
      <c r="C2519" t="s">
        <v>12</v>
      </c>
      <c r="D2519">
        <v>199</v>
      </c>
      <c r="E2519">
        <v>13.1</v>
      </c>
      <c r="F2519">
        <v>8</v>
      </c>
      <c r="G2519">
        <v>0</v>
      </c>
      <c r="H2519">
        <v>28</v>
      </c>
      <c r="I2519">
        <v>33</v>
      </c>
      <c r="J2519" t="s">
        <v>11</v>
      </c>
      <c r="K2519">
        <f>IF(J2519="Yes", 1, 0)</f>
        <v>1</v>
      </c>
      <c r="L2519" t="str">
        <f>IF(G2519=0,"0 Failures","1+ Failures")</f>
        <v>0 Failures</v>
      </c>
      <c r="M2519" t="str">
        <f t="shared" si="119"/>
        <v>10-20hrs</v>
      </c>
      <c r="N2519" t="str">
        <f t="shared" si="117"/>
        <v>12+ months</v>
      </c>
      <c r="O2519" t="str">
        <f t="shared" si="118"/>
        <v>Basic</v>
      </c>
      <c r="P2519" s="7">
        <v>45657</v>
      </c>
    </row>
    <row r="2520" spans="1:16" x14ac:dyDescent="0.3">
      <c r="A2520">
        <v>2519</v>
      </c>
      <c r="B2520" s="7">
        <v>45648</v>
      </c>
      <c r="C2520" t="s">
        <v>14</v>
      </c>
      <c r="D2520">
        <v>399</v>
      </c>
      <c r="E2520">
        <v>3.1</v>
      </c>
      <c r="F2520">
        <v>0</v>
      </c>
      <c r="G2520">
        <v>5</v>
      </c>
      <c r="H2520">
        <v>29</v>
      </c>
      <c r="I2520">
        <v>6</v>
      </c>
      <c r="J2520" t="s">
        <v>13</v>
      </c>
      <c r="K2520">
        <f>IF(J2520="Yes", 1, 0)</f>
        <v>0</v>
      </c>
      <c r="L2520" t="str">
        <f>IF(G2520=0,"0 Failures","1+ Failures")</f>
        <v>1+ Failures</v>
      </c>
      <c r="M2520" t="str">
        <f t="shared" si="119"/>
        <v>0-5 hrs</v>
      </c>
      <c r="N2520" t="str">
        <f t="shared" si="117"/>
        <v>12+ months</v>
      </c>
      <c r="O2520" t="str">
        <f t="shared" si="118"/>
        <v>Basic</v>
      </c>
      <c r="P2520" s="7">
        <v>45657</v>
      </c>
    </row>
    <row r="2521" spans="1:16" x14ac:dyDescent="0.3">
      <c r="A2521">
        <v>2520</v>
      </c>
      <c r="B2521" s="7">
        <v>45179</v>
      </c>
      <c r="C2521" t="s">
        <v>12</v>
      </c>
      <c r="D2521">
        <v>199</v>
      </c>
      <c r="E2521">
        <v>2.6</v>
      </c>
      <c r="F2521">
        <v>8</v>
      </c>
      <c r="G2521">
        <v>0</v>
      </c>
      <c r="H2521">
        <v>30</v>
      </c>
      <c r="I2521">
        <v>26</v>
      </c>
      <c r="J2521" t="s">
        <v>11</v>
      </c>
      <c r="K2521">
        <f>IF(J2521="Yes", 1, 0)</f>
        <v>1</v>
      </c>
      <c r="L2521" t="str">
        <f>IF(G2521=0,"0 Failures","1+ Failures")</f>
        <v>0 Failures</v>
      </c>
      <c r="M2521" t="str">
        <f t="shared" si="119"/>
        <v>0-5 hrs</v>
      </c>
      <c r="N2521" t="str">
        <f t="shared" si="117"/>
        <v>12+ months</v>
      </c>
      <c r="O2521" t="str">
        <f t="shared" si="118"/>
        <v>Basic</v>
      </c>
      <c r="P2521" s="7">
        <v>45657</v>
      </c>
    </row>
    <row r="2522" spans="1:16" x14ac:dyDescent="0.3">
      <c r="A2522">
        <v>2521</v>
      </c>
      <c r="B2522" s="7">
        <v>45221</v>
      </c>
      <c r="C2522" t="s">
        <v>12</v>
      </c>
      <c r="D2522">
        <v>199</v>
      </c>
      <c r="E2522">
        <v>18</v>
      </c>
      <c r="F2522">
        <v>5</v>
      </c>
      <c r="G2522">
        <v>0</v>
      </c>
      <c r="H2522">
        <v>30</v>
      </c>
      <c r="I2522">
        <v>3</v>
      </c>
      <c r="J2522" t="s">
        <v>13</v>
      </c>
      <c r="K2522">
        <f>IF(J2522="Yes", 1, 0)</f>
        <v>0</v>
      </c>
      <c r="L2522" t="str">
        <f>IF(G2522=0,"0 Failures","1+ Failures")</f>
        <v>0 Failures</v>
      </c>
      <c r="M2522" t="str">
        <f t="shared" si="119"/>
        <v>10-20hrs</v>
      </c>
      <c r="N2522" t="str">
        <f t="shared" si="117"/>
        <v>12+ months</v>
      </c>
      <c r="O2522" t="str">
        <f t="shared" si="118"/>
        <v>Basic</v>
      </c>
      <c r="P2522" s="7">
        <v>45657</v>
      </c>
    </row>
    <row r="2523" spans="1:16" x14ac:dyDescent="0.3">
      <c r="A2523">
        <v>2522</v>
      </c>
      <c r="B2523" s="7">
        <v>45106</v>
      </c>
      <c r="C2523" t="s">
        <v>14</v>
      </c>
      <c r="D2523">
        <v>399</v>
      </c>
      <c r="E2523">
        <v>23.9</v>
      </c>
      <c r="F2523">
        <v>7</v>
      </c>
      <c r="G2523">
        <v>2</v>
      </c>
      <c r="H2523">
        <v>34</v>
      </c>
      <c r="I2523">
        <v>12</v>
      </c>
      <c r="J2523" t="s">
        <v>13</v>
      </c>
      <c r="K2523">
        <f>IF(J2523="Yes", 1, 0)</f>
        <v>0</v>
      </c>
      <c r="L2523" t="str">
        <f>IF(G2523=0,"0 Failures","1+ Failures")</f>
        <v>1+ Failures</v>
      </c>
      <c r="M2523" t="str">
        <f t="shared" si="119"/>
        <v>20+ hrs</v>
      </c>
      <c r="N2523" t="str">
        <f t="shared" si="117"/>
        <v>12+ months</v>
      </c>
      <c r="O2523" t="str">
        <f t="shared" si="118"/>
        <v>Basic</v>
      </c>
      <c r="P2523" s="7">
        <v>45657</v>
      </c>
    </row>
    <row r="2524" spans="1:16" x14ac:dyDescent="0.3">
      <c r="A2524">
        <v>2523</v>
      </c>
      <c r="B2524" s="7">
        <v>45467</v>
      </c>
      <c r="C2524" t="s">
        <v>12</v>
      </c>
      <c r="D2524">
        <v>199</v>
      </c>
      <c r="E2524">
        <v>1.1000000000000001</v>
      </c>
      <c r="F2524">
        <v>6</v>
      </c>
      <c r="G2524">
        <v>1</v>
      </c>
      <c r="H2524">
        <v>13</v>
      </c>
      <c r="I2524">
        <v>22</v>
      </c>
      <c r="J2524" t="s">
        <v>11</v>
      </c>
      <c r="K2524">
        <f>IF(J2524="Yes", 1, 0)</f>
        <v>1</v>
      </c>
      <c r="L2524" t="str">
        <f>IF(G2524=0,"0 Failures","1+ Failures")</f>
        <v>1+ Failures</v>
      </c>
      <c r="M2524" t="str">
        <f t="shared" si="119"/>
        <v>0-5 hrs</v>
      </c>
      <c r="N2524" t="str">
        <f t="shared" si="117"/>
        <v>12+ months</v>
      </c>
      <c r="O2524" t="str">
        <f t="shared" si="118"/>
        <v>Basic</v>
      </c>
      <c r="P2524" s="7">
        <v>45657</v>
      </c>
    </row>
    <row r="2525" spans="1:16" x14ac:dyDescent="0.3">
      <c r="A2525">
        <v>2524</v>
      </c>
      <c r="B2525" s="7">
        <v>45136</v>
      </c>
      <c r="C2525" t="s">
        <v>10</v>
      </c>
      <c r="D2525">
        <v>699</v>
      </c>
      <c r="E2525">
        <v>11.4</v>
      </c>
      <c r="F2525">
        <v>6</v>
      </c>
      <c r="G2525">
        <v>4</v>
      </c>
      <c r="H2525">
        <v>23</v>
      </c>
      <c r="I2525">
        <v>16</v>
      </c>
      <c r="J2525" t="s">
        <v>11</v>
      </c>
      <c r="K2525">
        <f>IF(J2525="Yes", 1, 0)</f>
        <v>1</v>
      </c>
      <c r="L2525" t="str">
        <f>IF(G2525=0,"0 Failures","1+ Failures")</f>
        <v>1+ Failures</v>
      </c>
      <c r="M2525" t="str">
        <f t="shared" si="119"/>
        <v>10-20hrs</v>
      </c>
      <c r="N2525" t="str">
        <f t="shared" si="117"/>
        <v>12+ months</v>
      </c>
      <c r="O2525" t="str">
        <f t="shared" si="118"/>
        <v>Premium</v>
      </c>
      <c r="P2525" s="7">
        <v>45657</v>
      </c>
    </row>
    <row r="2526" spans="1:16" x14ac:dyDescent="0.3">
      <c r="A2526">
        <v>2525</v>
      </c>
      <c r="B2526" s="7">
        <v>45132</v>
      </c>
      <c r="C2526" t="s">
        <v>12</v>
      </c>
      <c r="D2526">
        <v>199</v>
      </c>
      <c r="E2526">
        <v>0.6</v>
      </c>
      <c r="F2526">
        <v>3</v>
      </c>
      <c r="G2526">
        <v>5</v>
      </c>
      <c r="H2526">
        <v>36</v>
      </c>
      <c r="I2526">
        <v>51</v>
      </c>
      <c r="J2526" t="s">
        <v>13</v>
      </c>
      <c r="K2526">
        <f>IF(J2526="Yes", 1, 0)</f>
        <v>0</v>
      </c>
      <c r="L2526" t="str">
        <f>IF(G2526=0,"0 Failures","1+ Failures")</f>
        <v>1+ Failures</v>
      </c>
      <c r="M2526" t="str">
        <f t="shared" si="119"/>
        <v>0-5 hrs</v>
      </c>
      <c r="N2526" t="str">
        <f t="shared" si="117"/>
        <v>12+ months</v>
      </c>
      <c r="O2526" t="str">
        <f t="shared" si="118"/>
        <v>Basic</v>
      </c>
      <c r="P2526" s="7">
        <v>45657</v>
      </c>
    </row>
    <row r="2527" spans="1:16" x14ac:dyDescent="0.3">
      <c r="A2527">
        <v>2526</v>
      </c>
      <c r="B2527" s="7">
        <v>45330</v>
      </c>
      <c r="C2527" t="s">
        <v>10</v>
      </c>
      <c r="D2527">
        <v>699</v>
      </c>
      <c r="E2527">
        <v>4.3</v>
      </c>
      <c r="F2527">
        <v>7</v>
      </c>
      <c r="G2527">
        <v>2</v>
      </c>
      <c r="H2527">
        <v>26</v>
      </c>
      <c r="I2527">
        <v>53</v>
      </c>
      <c r="J2527" t="s">
        <v>11</v>
      </c>
      <c r="K2527">
        <f>IF(J2527="Yes", 1, 0)</f>
        <v>1</v>
      </c>
      <c r="L2527" t="str">
        <f>IF(G2527=0,"0 Failures","1+ Failures")</f>
        <v>1+ Failures</v>
      </c>
      <c r="M2527" t="str">
        <f t="shared" si="119"/>
        <v>0-5 hrs</v>
      </c>
      <c r="N2527" t="str">
        <f t="shared" si="117"/>
        <v>12+ months</v>
      </c>
      <c r="O2527" t="str">
        <f t="shared" si="118"/>
        <v>Premium</v>
      </c>
      <c r="P2527" s="7">
        <v>45657</v>
      </c>
    </row>
    <row r="2528" spans="1:16" x14ac:dyDescent="0.3">
      <c r="A2528">
        <v>2527</v>
      </c>
      <c r="B2528" s="7">
        <v>45643</v>
      </c>
      <c r="C2528" t="s">
        <v>14</v>
      </c>
      <c r="D2528">
        <v>399</v>
      </c>
      <c r="E2528">
        <v>2.4</v>
      </c>
      <c r="F2528">
        <v>1</v>
      </c>
      <c r="G2528">
        <v>4</v>
      </c>
      <c r="H2528">
        <v>10</v>
      </c>
      <c r="I2528">
        <v>15</v>
      </c>
      <c r="J2528" t="s">
        <v>13</v>
      </c>
      <c r="K2528">
        <f>IF(J2528="Yes", 1, 0)</f>
        <v>0</v>
      </c>
      <c r="L2528" t="str">
        <f>IF(G2528=0,"0 Failures","1+ Failures")</f>
        <v>1+ Failures</v>
      </c>
      <c r="M2528" t="str">
        <f t="shared" si="119"/>
        <v>0-5 hrs</v>
      </c>
      <c r="N2528" t="str">
        <f t="shared" si="117"/>
        <v>6-12months</v>
      </c>
      <c r="O2528" t="str">
        <f t="shared" si="118"/>
        <v>Basic</v>
      </c>
      <c r="P2528" s="7">
        <v>45657</v>
      </c>
    </row>
    <row r="2529" spans="1:16" x14ac:dyDescent="0.3">
      <c r="A2529">
        <v>2528</v>
      </c>
      <c r="B2529" s="7">
        <v>45245</v>
      </c>
      <c r="C2529" t="s">
        <v>14</v>
      </c>
      <c r="D2529">
        <v>399</v>
      </c>
      <c r="E2529">
        <v>1.3</v>
      </c>
      <c r="F2529">
        <v>4</v>
      </c>
      <c r="G2529">
        <v>3</v>
      </c>
      <c r="H2529">
        <v>2</v>
      </c>
      <c r="I2529">
        <v>26</v>
      </c>
      <c r="J2529" t="s">
        <v>11</v>
      </c>
      <c r="K2529">
        <f>IF(J2529="Yes", 1, 0)</f>
        <v>1</v>
      </c>
      <c r="L2529" t="str">
        <f>IF(G2529=0,"0 Failures","1+ Failures")</f>
        <v>1+ Failures</v>
      </c>
      <c r="M2529" t="str">
        <f t="shared" si="119"/>
        <v>0-5 hrs</v>
      </c>
      <c r="N2529" t="str">
        <f t="shared" si="117"/>
        <v>0-3months</v>
      </c>
      <c r="O2529" t="str">
        <f t="shared" si="118"/>
        <v>Basic</v>
      </c>
      <c r="P2529" s="7">
        <v>45657</v>
      </c>
    </row>
    <row r="2530" spans="1:16" x14ac:dyDescent="0.3">
      <c r="A2530">
        <v>2529</v>
      </c>
      <c r="B2530" s="7">
        <v>45609</v>
      </c>
      <c r="C2530" t="s">
        <v>14</v>
      </c>
      <c r="D2530">
        <v>399</v>
      </c>
      <c r="E2530">
        <v>19</v>
      </c>
      <c r="F2530">
        <v>1</v>
      </c>
      <c r="G2530">
        <v>0</v>
      </c>
      <c r="H2530">
        <v>2</v>
      </c>
      <c r="I2530">
        <v>28</v>
      </c>
      <c r="J2530" t="s">
        <v>13</v>
      </c>
      <c r="K2530">
        <f>IF(J2530="Yes", 1, 0)</f>
        <v>0</v>
      </c>
      <c r="L2530" t="str">
        <f>IF(G2530=0,"0 Failures","1+ Failures")</f>
        <v>0 Failures</v>
      </c>
      <c r="M2530" t="str">
        <f t="shared" si="119"/>
        <v>10-20hrs</v>
      </c>
      <c r="N2530" t="str">
        <f t="shared" si="117"/>
        <v>0-3months</v>
      </c>
      <c r="O2530" t="str">
        <f t="shared" si="118"/>
        <v>Basic</v>
      </c>
      <c r="P2530" s="7">
        <v>45657</v>
      </c>
    </row>
    <row r="2531" spans="1:16" x14ac:dyDescent="0.3">
      <c r="A2531">
        <v>2530</v>
      </c>
      <c r="B2531" s="7">
        <v>45526</v>
      </c>
      <c r="C2531" t="s">
        <v>14</v>
      </c>
      <c r="D2531">
        <v>399</v>
      </c>
      <c r="E2531">
        <v>22.9</v>
      </c>
      <c r="F2531">
        <v>0</v>
      </c>
      <c r="G2531">
        <v>0</v>
      </c>
      <c r="H2531">
        <v>8</v>
      </c>
      <c r="I2531">
        <v>47</v>
      </c>
      <c r="J2531" t="s">
        <v>13</v>
      </c>
      <c r="K2531">
        <f>IF(J2531="Yes", 1, 0)</f>
        <v>0</v>
      </c>
      <c r="L2531" t="str">
        <f>IF(G2531=0,"0 Failures","1+ Failures")</f>
        <v>0 Failures</v>
      </c>
      <c r="M2531" t="str">
        <f t="shared" si="119"/>
        <v>20+ hrs</v>
      </c>
      <c r="N2531" t="str">
        <f t="shared" si="117"/>
        <v>6-12months</v>
      </c>
      <c r="O2531" t="str">
        <f t="shared" si="118"/>
        <v>Basic</v>
      </c>
      <c r="P2531" s="7">
        <v>45657</v>
      </c>
    </row>
    <row r="2532" spans="1:16" x14ac:dyDescent="0.3">
      <c r="A2532">
        <v>2531</v>
      </c>
      <c r="B2532" s="7">
        <v>45643</v>
      </c>
      <c r="C2532" t="s">
        <v>12</v>
      </c>
      <c r="D2532">
        <v>199</v>
      </c>
      <c r="E2532">
        <v>19.3</v>
      </c>
      <c r="F2532">
        <v>8</v>
      </c>
      <c r="G2532">
        <v>0</v>
      </c>
      <c r="H2532">
        <v>35</v>
      </c>
      <c r="I2532">
        <v>52</v>
      </c>
      <c r="J2532" t="s">
        <v>13</v>
      </c>
      <c r="K2532">
        <f>IF(J2532="Yes", 1, 0)</f>
        <v>0</v>
      </c>
      <c r="L2532" t="str">
        <f>IF(G2532=0,"0 Failures","1+ Failures")</f>
        <v>0 Failures</v>
      </c>
      <c r="M2532" t="str">
        <f t="shared" si="119"/>
        <v>10-20hrs</v>
      </c>
      <c r="N2532" t="str">
        <f t="shared" si="117"/>
        <v>12+ months</v>
      </c>
      <c r="O2532" t="str">
        <f t="shared" si="118"/>
        <v>Basic</v>
      </c>
      <c r="P2532" s="7">
        <v>45657</v>
      </c>
    </row>
    <row r="2533" spans="1:16" x14ac:dyDescent="0.3">
      <c r="A2533">
        <v>2532</v>
      </c>
      <c r="B2533" s="7">
        <v>44994</v>
      </c>
      <c r="C2533" t="s">
        <v>10</v>
      </c>
      <c r="D2533">
        <v>699</v>
      </c>
      <c r="E2533">
        <v>14.6</v>
      </c>
      <c r="F2533">
        <v>5</v>
      </c>
      <c r="G2533">
        <v>1</v>
      </c>
      <c r="H2533">
        <v>18</v>
      </c>
      <c r="I2533">
        <v>42</v>
      </c>
      <c r="J2533" t="s">
        <v>13</v>
      </c>
      <c r="K2533">
        <f>IF(J2533="Yes", 1, 0)</f>
        <v>0</v>
      </c>
      <c r="L2533" t="str">
        <f>IF(G2533=0,"0 Failures","1+ Failures")</f>
        <v>1+ Failures</v>
      </c>
      <c r="M2533" t="str">
        <f t="shared" si="119"/>
        <v>10-20hrs</v>
      </c>
      <c r="N2533" t="str">
        <f t="shared" si="117"/>
        <v>12+ months</v>
      </c>
      <c r="O2533" t="str">
        <f t="shared" si="118"/>
        <v>Premium</v>
      </c>
      <c r="P2533" s="7">
        <v>45657</v>
      </c>
    </row>
    <row r="2534" spans="1:16" x14ac:dyDescent="0.3">
      <c r="A2534">
        <v>2533</v>
      </c>
      <c r="B2534" s="7">
        <v>45589</v>
      </c>
      <c r="C2534" t="s">
        <v>14</v>
      </c>
      <c r="D2534">
        <v>399</v>
      </c>
      <c r="E2534">
        <v>1.5</v>
      </c>
      <c r="F2534">
        <v>8</v>
      </c>
      <c r="G2534">
        <v>0</v>
      </c>
      <c r="H2534">
        <v>12</v>
      </c>
      <c r="I2534">
        <v>51</v>
      </c>
      <c r="J2534" t="s">
        <v>11</v>
      </c>
      <c r="K2534">
        <f>IF(J2534="Yes", 1, 0)</f>
        <v>1</v>
      </c>
      <c r="L2534" t="str">
        <f>IF(G2534=0,"0 Failures","1+ Failures")</f>
        <v>0 Failures</v>
      </c>
      <c r="M2534" t="str">
        <f t="shared" si="119"/>
        <v>0-5 hrs</v>
      </c>
      <c r="N2534" t="str">
        <f t="shared" si="117"/>
        <v>6-12months</v>
      </c>
      <c r="O2534" t="str">
        <f t="shared" si="118"/>
        <v>Basic</v>
      </c>
      <c r="P2534" s="7">
        <v>45657</v>
      </c>
    </row>
    <row r="2535" spans="1:16" x14ac:dyDescent="0.3">
      <c r="A2535">
        <v>2534</v>
      </c>
      <c r="B2535" s="7">
        <v>45581</v>
      </c>
      <c r="C2535" t="s">
        <v>10</v>
      </c>
      <c r="D2535">
        <v>699</v>
      </c>
      <c r="E2535">
        <v>23.3</v>
      </c>
      <c r="F2535">
        <v>6</v>
      </c>
      <c r="G2535">
        <v>4</v>
      </c>
      <c r="H2535">
        <v>32</v>
      </c>
      <c r="I2535">
        <v>33</v>
      </c>
      <c r="J2535" t="s">
        <v>13</v>
      </c>
      <c r="K2535">
        <f>IF(J2535="Yes", 1, 0)</f>
        <v>0</v>
      </c>
      <c r="L2535" t="str">
        <f>IF(G2535=0,"0 Failures","1+ Failures")</f>
        <v>1+ Failures</v>
      </c>
      <c r="M2535" t="str">
        <f t="shared" si="119"/>
        <v>20+ hrs</v>
      </c>
      <c r="N2535" t="str">
        <f t="shared" si="117"/>
        <v>12+ months</v>
      </c>
      <c r="O2535" t="str">
        <f t="shared" si="118"/>
        <v>Premium</v>
      </c>
      <c r="P2535" s="7">
        <v>45657</v>
      </c>
    </row>
    <row r="2536" spans="1:16" x14ac:dyDescent="0.3">
      <c r="A2536">
        <v>2535</v>
      </c>
      <c r="B2536" s="7">
        <v>45318</v>
      </c>
      <c r="C2536" t="s">
        <v>12</v>
      </c>
      <c r="D2536">
        <v>199</v>
      </c>
      <c r="E2536">
        <v>5.4</v>
      </c>
      <c r="F2536">
        <v>7</v>
      </c>
      <c r="G2536">
        <v>5</v>
      </c>
      <c r="H2536">
        <v>5</v>
      </c>
      <c r="I2536">
        <v>7</v>
      </c>
      <c r="J2536" t="s">
        <v>13</v>
      </c>
      <c r="K2536">
        <f>IF(J2536="Yes", 1, 0)</f>
        <v>0</v>
      </c>
      <c r="L2536" t="str">
        <f>IF(G2536=0,"0 Failures","1+ Failures")</f>
        <v>1+ Failures</v>
      </c>
      <c r="M2536" t="str">
        <f t="shared" si="119"/>
        <v>5-10 hrs</v>
      </c>
      <c r="N2536" t="str">
        <f t="shared" si="117"/>
        <v>3-6months</v>
      </c>
      <c r="O2536" t="str">
        <f t="shared" si="118"/>
        <v>Basic</v>
      </c>
      <c r="P2536" s="7">
        <v>45657</v>
      </c>
    </row>
    <row r="2537" spans="1:16" x14ac:dyDescent="0.3">
      <c r="A2537">
        <v>2536</v>
      </c>
      <c r="B2537" s="7">
        <v>45028</v>
      </c>
      <c r="C2537" t="s">
        <v>10</v>
      </c>
      <c r="D2537">
        <v>699</v>
      </c>
      <c r="E2537">
        <v>18.899999999999999</v>
      </c>
      <c r="F2537">
        <v>1</v>
      </c>
      <c r="G2537">
        <v>3</v>
      </c>
      <c r="H2537">
        <v>36</v>
      </c>
      <c r="I2537">
        <v>58</v>
      </c>
      <c r="J2537" t="s">
        <v>11</v>
      </c>
      <c r="K2537">
        <f>IF(J2537="Yes", 1, 0)</f>
        <v>1</v>
      </c>
      <c r="L2537" t="str">
        <f>IF(G2537=0,"0 Failures","1+ Failures")</f>
        <v>1+ Failures</v>
      </c>
      <c r="M2537" t="str">
        <f t="shared" si="119"/>
        <v>10-20hrs</v>
      </c>
      <c r="N2537" t="str">
        <f t="shared" si="117"/>
        <v>12+ months</v>
      </c>
      <c r="O2537" t="str">
        <f t="shared" si="118"/>
        <v>Premium</v>
      </c>
      <c r="P2537" s="7">
        <v>45657</v>
      </c>
    </row>
    <row r="2538" spans="1:16" x14ac:dyDescent="0.3">
      <c r="A2538">
        <v>2537</v>
      </c>
      <c r="B2538" s="7">
        <v>45181</v>
      </c>
      <c r="C2538" t="s">
        <v>12</v>
      </c>
      <c r="D2538">
        <v>199</v>
      </c>
      <c r="E2538">
        <v>12.4</v>
      </c>
      <c r="F2538">
        <v>0</v>
      </c>
      <c r="G2538">
        <v>3</v>
      </c>
      <c r="H2538">
        <v>14</v>
      </c>
      <c r="I2538">
        <v>30</v>
      </c>
      <c r="J2538" t="s">
        <v>11</v>
      </c>
      <c r="K2538">
        <f>IF(J2538="Yes", 1, 0)</f>
        <v>1</v>
      </c>
      <c r="L2538" t="str">
        <f>IF(G2538=0,"0 Failures","1+ Failures")</f>
        <v>1+ Failures</v>
      </c>
      <c r="M2538" t="str">
        <f t="shared" si="119"/>
        <v>10-20hrs</v>
      </c>
      <c r="N2538" t="str">
        <f t="shared" si="117"/>
        <v>12+ months</v>
      </c>
      <c r="O2538" t="str">
        <f t="shared" si="118"/>
        <v>Basic</v>
      </c>
      <c r="P2538" s="7">
        <v>45657</v>
      </c>
    </row>
    <row r="2539" spans="1:16" x14ac:dyDescent="0.3">
      <c r="A2539">
        <v>2538</v>
      </c>
      <c r="B2539" s="7">
        <v>45454</v>
      </c>
      <c r="C2539" t="s">
        <v>12</v>
      </c>
      <c r="D2539">
        <v>199</v>
      </c>
      <c r="E2539">
        <v>19.2</v>
      </c>
      <c r="F2539">
        <v>6</v>
      </c>
      <c r="G2539">
        <v>1</v>
      </c>
      <c r="H2539">
        <v>12</v>
      </c>
      <c r="I2539">
        <v>13</v>
      </c>
      <c r="J2539" t="s">
        <v>13</v>
      </c>
      <c r="K2539">
        <f>IF(J2539="Yes", 1, 0)</f>
        <v>0</v>
      </c>
      <c r="L2539" t="str">
        <f>IF(G2539=0,"0 Failures","1+ Failures")</f>
        <v>1+ Failures</v>
      </c>
      <c r="M2539" t="str">
        <f t="shared" si="119"/>
        <v>10-20hrs</v>
      </c>
      <c r="N2539" t="str">
        <f t="shared" si="117"/>
        <v>6-12months</v>
      </c>
      <c r="O2539" t="str">
        <f t="shared" si="118"/>
        <v>Basic</v>
      </c>
      <c r="P2539" s="7">
        <v>45657</v>
      </c>
    </row>
    <row r="2540" spans="1:16" x14ac:dyDescent="0.3">
      <c r="A2540">
        <v>2539</v>
      </c>
      <c r="B2540" s="7">
        <v>44995</v>
      </c>
      <c r="C2540" t="s">
        <v>10</v>
      </c>
      <c r="D2540">
        <v>699</v>
      </c>
      <c r="E2540">
        <v>14.8</v>
      </c>
      <c r="F2540">
        <v>1</v>
      </c>
      <c r="G2540">
        <v>4</v>
      </c>
      <c r="H2540">
        <v>19</v>
      </c>
      <c r="I2540">
        <v>28</v>
      </c>
      <c r="J2540" t="s">
        <v>13</v>
      </c>
      <c r="K2540">
        <f>IF(J2540="Yes", 1, 0)</f>
        <v>0</v>
      </c>
      <c r="L2540" t="str">
        <f>IF(G2540=0,"0 Failures","1+ Failures")</f>
        <v>1+ Failures</v>
      </c>
      <c r="M2540" t="str">
        <f t="shared" si="119"/>
        <v>10-20hrs</v>
      </c>
      <c r="N2540" t="str">
        <f t="shared" si="117"/>
        <v>12+ months</v>
      </c>
      <c r="O2540" t="str">
        <f t="shared" si="118"/>
        <v>Premium</v>
      </c>
      <c r="P2540" s="7">
        <v>45657</v>
      </c>
    </row>
    <row r="2541" spans="1:16" x14ac:dyDescent="0.3">
      <c r="A2541">
        <v>2540</v>
      </c>
      <c r="B2541" s="7">
        <v>45405</v>
      </c>
      <c r="C2541" t="s">
        <v>10</v>
      </c>
      <c r="D2541">
        <v>699</v>
      </c>
      <c r="E2541">
        <v>4.5</v>
      </c>
      <c r="F2541">
        <v>6</v>
      </c>
      <c r="G2541">
        <v>5</v>
      </c>
      <c r="H2541">
        <v>17</v>
      </c>
      <c r="I2541">
        <v>8</v>
      </c>
      <c r="J2541" t="s">
        <v>11</v>
      </c>
      <c r="K2541">
        <f>IF(J2541="Yes", 1, 0)</f>
        <v>1</v>
      </c>
      <c r="L2541" t="str">
        <f>IF(G2541=0,"0 Failures","1+ Failures")</f>
        <v>1+ Failures</v>
      </c>
      <c r="M2541" t="str">
        <f t="shared" si="119"/>
        <v>0-5 hrs</v>
      </c>
      <c r="N2541" t="str">
        <f t="shared" si="117"/>
        <v>12+ months</v>
      </c>
      <c r="O2541" t="str">
        <f t="shared" si="118"/>
        <v>Premium</v>
      </c>
      <c r="P2541" s="7">
        <v>45657</v>
      </c>
    </row>
    <row r="2542" spans="1:16" x14ac:dyDescent="0.3">
      <c r="A2542">
        <v>2541</v>
      </c>
      <c r="B2542" s="7">
        <v>44983</v>
      </c>
      <c r="C2542" t="s">
        <v>12</v>
      </c>
      <c r="D2542">
        <v>199</v>
      </c>
      <c r="E2542">
        <v>11.8</v>
      </c>
      <c r="F2542">
        <v>8</v>
      </c>
      <c r="G2542">
        <v>1</v>
      </c>
      <c r="H2542">
        <v>33</v>
      </c>
      <c r="I2542">
        <v>6</v>
      </c>
      <c r="J2542" t="s">
        <v>11</v>
      </c>
      <c r="K2542">
        <f>IF(J2542="Yes", 1, 0)</f>
        <v>1</v>
      </c>
      <c r="L2542" t="str">
        <f>IF(G2542=0,"0 Failures","1+ Failures")</f>
        <v>1+ Failures</v>
      </c>
      <c r="M2542" t="str">
        <f t="shared" si="119"/>
        <v>10-20hrs</v>
      </c>
      <c r="N2542" t="str">
        <f t="shared" si="117"/>
        <v>12+ months</v>
      </c>
      <c r="O2542" t="str">
        <f t="shared" si="118"/>
        <v>Basic</v>
      </c>
      <c r="P2542" s="7">
        <v>45657</v>
      </c>
    </row>
    <row r="2543" spans="1:16" x14ac:dyDescent="0.3">
      <c r="A2543">
        <v>2542</v>
      </c>
      <c r="B2543" s="7">
        <v>45485</v>
      </c>
      <c r="C2543" t="s">
        <v>12</v>
      </c>
      <c r="D2543">
        <v>199</v>
      </c>
      <c r="E2543">
        <v>16</v>
      </c>
      <c r="F2543">
        <v>4</v>
      </c>
      <c r="G2543">
        <v>0</v>
      </c>
      <c r="H2543">
        <v>2</v>
      </c>
      <c r="I2543">
        <v>54</v>
      </c>
      <c r="J2543" t="s">
        <v>13</v>
      </c>
      <c r="K2543">
        <f>IF(J2543="Yes", 1, 0)</f>
        <v>0</v>
      </c>
      <c r="L2543" t="str">
        <f>IF(G2543=0,"0 Failures","1+ Failures")</f>
        <v>0 Failures</v>
      </c>
      <c r="M2543" t="str">
        <f t="shared" si="119"/>
        <v>10-20hrs</v>
      </c>
      <c r="N2543" t="str">
        <f t="shared" si="117"/>
        <v>0-3months</v>
      </c>
      <c r="O2543" t="str">
        <f t="shared" si="118"/>
        <v>Basic</v>
      </c>
      <c r="P2543" s="7">
        <v>45657</v>
      </c>
    </row>
    <row r="2544" spans="1:16" x14ac:dyDescent="0.3">
      <c r="A2544">
        <v>2543</v>
      </c>
      <c r="B2544" s="7">
        <v>45525</v>
      </c>
      <c r="C2544" t="s">
        <v>12</v>
      </c>
      <c r="D2544">
        <v>199</v>
      </c>
      <c r="E2544">
        <v>9.5</v>
      </c>
      <c r="F2544">
        <v>8</v>
      </c>
      <c r="G2544">
        <v>4</v>
      </c>
      <c r="H2544">
        <v>16</v>
      </c>
      <c r="I2544">
        <v>32</v>
      </c>
      <c r="J2544" t="s">
        <v>13</v>
      </c>
      <c r="K2544">
        <f>IF(J2544="Yes", 1, 0)</f>
        <v>0</v>
      </c>
      <c r="L2544" t="str">
        <f>IF(G2544=0,"0 Failures","1+ Failures")</f>
        <v>1+ Failures</v>
      </c>
      <c r="M2544" t="str">
        <f t="shared" si="119"/>
        <v>5-10 hrs</v>
      </c>
      <c r="N2544" t="str">
        <f t="shared" si="117"/>
        <v>12+ months</v>
      </c>
      <c r="O2544" t="str">
        <f t="shared" si="118"/>
        <v>Basic</v>
      </c>
      <c r="P2544" s="7">
        <v>45657</v>
      </c>
    </row>
    <row r="2545" spans="1:16" x14ac:dyDescent="0.3">
      <c r="A2545">
        <v>2544</v>
      </c>
      <c r="B2545" s="7">
        <v>45477</v>
      </c>
      <c r="C2545" t="s">
        <v>14</v>
      </c>
      <c r="D2545">
        <v>399</v>
      </c>
      <c r="E2545">
        <v>22.5</v>
      </c>
      <c r="F2545">
        <v>1</v>
      </c>
      <c r="G2545">
        <v>3</v>
      </c>
      <c r="H2545">
        <v>10</v>
      </c>
      <c r="I2545">
        <v>1</v>
      </c>
      <c r="J2545" t="s">
        <v>13</v>
      </c>
      <c r="K2545">
        <f>IF(J2545="Yes", 1, 0)</f>
        <v>0</v>
      </c>
      <c r="L2545" t="str">
        <f>IF(G2545=0,"0 Failures","1+ Failures")</f>
        <v>1+ Failures</v>
      </c>
      <c r="M2545" t="str">
        <f t="shared" si="119"/>
        <v>20+ hrs</v>
      </c>
      <c r="N2545" t="str">
        <f t="shared" si="117"/>
        <v>6-12months</v>
      </c>
      <c r="O2545" t="str">
        <f t="shared" si="118"/>
        <v>Basic</v>
      </c>
      <c r="P2545" s="7">
        <v>45657</v>
      </c>
    </row>
    <row r="2546" spans="1:16" x14ac:dyDescent="0.3">
      <c r="A2546">
        <v>2545</v>
      </c>
      <c r="B2546" s="7">
        <v>44999</v>
      </c>
      <c r="C2546" t="s">
        <v>10</v>
      </c>
      <c r="D2546">
        <v>699</v>
      </c>
      <c r="E2546">
        <v>23.2</v>
      </c>
      <c r="F2546">
        <v>8</v>
      </c>
      <c r="G2546">
        <v>0</v>
      </c>
      <c r="H2546">
        <v>19</v>
      </c>
      <c r="I2546">
        <v>52</v>
      </c>
      <c r="J2546" t="s">
        <v>13</v>
      </c>
      <c r="K2546">
        <f>IF(J2546="Yes", 1, 0)</f>
        <v>0</v>
      </c>
      <c r="L2546" t="str">
        <f>IF(G2546=0,"0 Failures","1+ Failures")</f>
        <v>0 Failures</v>
      </c>
      <c r="M2546" t="str">
        <f t="shared" si="119"/>
        <v>20+ hrs</v>
      </c>
      <c r="N2546" t="str">
        <f t="shared" si="117"/>
        <v>12+ months</v>
      </c>
      <c r="O2546" t="str">
        <f t="shared" si="118"/>
        <v>Premium</v>
      </c>
      <c r="P2546" s="7">
        <v>45657</v>
      </c>
    </row>
    <row r="2547" spans="1:16" x14ac:dyDescent="0.3">
      <c r="A2547">
        <v>2546</v>
      </c>
      <c r="B2547" s="7">
        <v>45050</v>
      </c>
      <c r="C2547" t="s">
        <v>10</v>
      </c>
      <c r="D2547">
        <v>699</v>
      </c>
      <c r="E2547">
        <v>22.4</v>
      </c>
      <c r="F2547">
        <v>4</v>
      </c>
      <c r="G2547">
        <v>4</v>
      </c>
      <c r="H2547">
        <v>26</v>
      </c>
      <c r="I2547">
        <v>8</v>
      </c>
      <c r="J2547" t="s">
        <v>11</v>
      </c>
      <c r="K2547">
        <f>IF(J2547="Yes", 1, 0)</f>
        <v>1</v>
      </c>
      <c r="L2547" t="str">
        <f>IF(G2547=0,"0 Failures","1+ Failures")</f>
        <v>1+ Failures</v>
      </c>
      <c r="M2547" t="str">
        <f t="shared" si="119"/>
        <v>20+ hrs</v>
      </c>
      <c r="N2547" t="str">
        <f t="shared" si="117"/>
        <v>12+ months</v>
      </c>
      <c r="O2547" t="str">
        <f t="shared" si="118"/>
        <v>Premium</v>
      </c>
      <c r="P2547" s="7">
        <v>45657</v>
      </c>
    </row>
    <row r="2548" spans="1:16" x14ac:dyDescent="0.3">
      <c r="A2548">
        <v>2547</v>
      </c>
      <c r="B2548" s="7">
        <v>45309</v>
      </c>
      <c r="C2548" t="s">
        <v>14</v>
      </c>
      <c r="D2548">
        <v>399</v>
      </c>
      <c r="E2548">
        <v>13.3</v>
      </c>
      <c r="F2548">
        <v>3</v>
      </c>
      <c r="G2548">
        <v>4</v>
      </c>
      <c r="H2548">
        <v>23</v>
      </c>
      <c r="I2548">
        <v>28</v>
      </c>
      <c r="J2548" t="s">
        <v>13</v>
      </c>
      <c r="K2548">
        <f>IF(J2548="Yes", 1, 0)</f>
        <v>0</v>
      </c>
      <c r="L2548" t="str">
        <f>IF(G2548=0,"0 Failures","1+ Failures")</f>
        <v>1+ Failures</v>
      </c>
      <c r="M2548" t="str">
        <f t="shared" si="119"/>
        <v>10-20hrs</v>
      </c>
      <c r="N2548" t="str">
        <f t="shared" si="117"/>
        <v>12+ months</v>
      </c>
      <c r="O2548" t="str">
        <f t="shared" si="118"/>
        <v>Basic</v>
      </c>
      <c r="P2548" s="7">
        <v>45657</v>
      </c>
    </row>
    <row r="2549" spans="1:16" x14ac:dyDescent="0.3">
      <c r="A2549">
        <v>2548</v>
      </c>
      <c r="B2549" s="7">
        <v>45355</v>
      </c>
      <c r="C2549" t="s">
        <v>14</v>
      </c>
      <c r="D2549">
        <v>399</v>
      </c>
      <c r="E2549">
        <v>13.7</v>
      </c>
      <c r="F2549">
        <v>0</v>
      </c>
      <c r="G2549">
        <v>0</v>
      </c>
      <c r="H2549">
        <v>1</v>
      </c>
      <c r="I2549">
        <v>16</v>
      </c>
      <c r="J2549" t="s">
        <v>13</v>
      </c>
      <c r="K2549">
        <f>IF(J2549="Yes", 1, 0)</f>
        <v>0</v>
      </c>
      <c r="L2549" t="str">
        <f>IF(G2549=0,"0 Failures","1+ Failures")</f>
        <v>0 Failures</v>
      </c>
      <c r="M2549" t="str">
        <f t="shared" si="119"/>
        <v>10-20hrs</v>
      </c>
      <c r="N2549" t="str">
        <f t="shared" si="117"/>
        <v>0-3months</v>
      </c>
      <c r="O2549" t="str">
        <f t="shared" si="118"/>
        <v>Basic</v>
      </c>
      <c r="P2549" s="7">
        <v>45657</v>
      </c>
    </row>
    <row r="2550" spans="1:16" x14ac:dyDescent="0.3">
      <c r="A2550">
        <v>2549</v>
      </c>
      <c r="B2550" s="7">
        <v>45503</v>
      </c>
      <c r="C2550" t="s">
        <v>14</v>
      </c>
      <c r="D2550">
        <v>399</v>
      </c>
      <c r="E2550">
        <v>12.1</v>
      </c>
      <c r="F2550">
        <v>1</v>
      </c>
      <c r="G2550">
        <v>1</v>
      </c>
      <c r="H2550">
        <v>21</v>
      </c>
      <c r="I2550">
        <v>53</v>
      </c>
      <c r="J2550" t="s">
        <v>11</v>
      </c>
      <c r="K2550">
        <f>IF(J2550="Yes", 1, 0)</f>
        <v>1</v>
      </c>
      <c r="L2550" t="str">
        <f>IF(G2550=0,"0 Failures","1+ Failures")</f>
        <v>1+ Failures</v>
      </c>
      <c r="M2550" t="str">
        <f t="shared" si="119"/>
        <v>10-20hrs</v>
      </c>
      <c r="N2550" t="str">
        <f t="shared" si="117"/>
        <v>12+ months</v>
      </c>
      <c r="O2550" t="str">
        <f t="shared" si="118"/>
        <v>Basic</v>
      </c>
      <c r="P2550" s="7">
        <v>45657</v>
      </c>
    </row>
    <row r="2551" spans="1:16" x14ac:dyDescent="0.3">
      <c r="A2551">
        <v>2550</v>
      </c>
      <c r="B2551" s="7">
        <v>45088</v>
      </c>
      <c r="C2551" t="s">
        <v>12</v>
      </c>
      <c r="D2551">
        <v>199</v>
      </c>
      <c r="E2551">
        <v>15.1</v>
      </c>
      <c r="F2551">
        <v>1</v>
      </c>
      <c r="G2551">
        <v>5</v>
      </c>
      <c r="H2551">
        <v>20</v>
      </c>
      <c r="I2551">
        <v>42</v>
      </c>
      <c r="J2551" t="s">
        <v>11</v>
      </c>
      <c r="K2551">
        <f>IF(J2551="Yes", 1, 0)</f>
        <v>1</v>
      </c>
      <c r="L2551" t="str">
        <f>IF(G2551=0,"0 Failures","1+ Failures")</f>
        <v>1+ Failures</v>
      </c>
      <c r="M2551" t="str">
        <f t="shared" si="119"/>
        <v>10-20hrs</v>
      </c>
      <c r="N2551" t="str">
        <f t="shared" si="117"/>
        <v>12+ months</v>
      </c>
      <c r="O2551" t="str">
        <f t="shared" si="118"/>
        <v>Basic</v>
      </c>
      <c r="P2551" s="7">
        <v>45657</v>
      </c>
    </row>
    <row r="2552" spans="1:16" x14ac:dyDescent="0.3">
      <c r="A2552">
        <v>2551</v>
      </c>
      <c r="B2552" s="7">
        <v>45500</v>
      </c>
      <c r="C2552" t="s">
        <v>10</v>
      </c>
      <c r="D2552">
        <v>699</v>
      </c>
      <c r="E2552">
        <v>17</v>
      </c>
      <c r="F2552">
        <v>4</v>
      </c>
      <c r="G2552">
        <v>1</v>
      </c>
      <c r="H2552">
        <v>32</v>
      </c>
      <c r="I2552">
        <v>38</v>
      </c>
      <c r="J2552" t="s">
        <v>13</v>
      </c>
      <c r="K2552">
        <f>IF(J2552="Yes", 1, 0)</f>
        <v>0</v>
      </c>
      <c r="L2552" t="str">
        <f>IF(G2552=0,"0 Failures","1+ Failures")</f>
        <v>1+ Failures</v>
      </c>
      <c r="M2552" t="str">
        <f t="shared" si="119"/>
        <v>10-20hrs</v>
      </c>
      <c r="N2552" t="str">
        <f t="shared" si="117"/>
        <v>12+ months</v>
      </c>
      <c r="O2552" t="str">
        <f t="shared" si="118"/>
        <v>Premium</v>
      </c>
      <c r="P2552" s="7">
        <v>45657</v>
      </c>
    </row>
    <row r="2553" spans="1:16" x14ac:dyDescent="0.3">
      <c r="A2553">
        <v>2552</v>
      </c>
      <c r="B2553" s="7">
        <v>45415</v>
      </c>
      <c r="C2553" t="s">
        <v>10</v>
      </c>
      <c r="D2553">
        <v>699</v>
      </c>
      <c r="E2553">
        <v>11.9</v>
      </c>
      <c r="F2553">
        <v>6</v>
      </c>
      <c r="G2553">
        <v>4</v>
      </c>
      <c r="H2553">
        <v>10</v>
      </c>
      <c r="I2553">
        <v>60</v>
      </c>
      <c r="J2553" t="s">
        <v>13</v>
      </c>
      <c r="K2553">
        <f>IF(J2553="Yes", 1, 0)</f>
        <v>0</v>
      </c>
      <c r="L2553" t="str">
        <f>IF(G2553=0,"0 Failures","1+ Failures")</f>
        <v>1+ Failures</v>
      </c>
      <c r="M2553" t="str">
        <f t="shared" si="119"/>
        <v>10-20hrs</v>
      </c>
      <c r="N2553" t="str">
        <f t="shared" si="117"/>
        <v>6-12months</v>
      </c>
      <c r="O2553" t="str">
        <f t="shared" si="118"/>
        <v>Premium</v>
      </c>
      <c r="P2553" s="7">
        <v>45657</v>
      </c>
    </row>
    <row r="2554" spans="1:16" x14ac:dyDescent="0.3">
      <c r="A2554">
        <v>2553</v>
      </c>
      <c r="B2554" s="7">
        <v>45017</v>
      </c>
      <c r="C2554" t="s">
        <v>10</v>
      </c>
      <c r="D2554">
        <v>699</v>
      </c>
      <c r="E2554">
        <v>7</v>
      </c>
      <c r="F2554">
        <v>5</v>
      </c>
      <c r="G2554">
        <v>1</v>
      </c>
      <c r="H2554">
        <v>4</v>
      </c>
      <c r="I2554">
        <v>45</v>
      </c>
      <c r="J2554" t="s">
        <v>11</v>
      </c>
      <c r="K2554">
        <f>IF(J2554="Yes", 1, 0)</f>
        <v>1</v>
      </c>
      <c r="L2554" t="str">
        <f>IF(G2554=0,"0 Failures","1+ Failures")</f>
        <v>1+ Failures</v>
      </c>
      <c r="M2554" t="str">
        <f t="shared" si="119"/>
        <v>5-10 hrs</v>
      </c>
      <c r="N2554" t="str">
        <f t="shared" si="117"/>
        <v>3-6months</v>
      </c>
      <c r="O2554" t="str">
        <f t="shared" si="118"/>
        <v>Premium</v>
      </c>
      <c r="P2554" s="7">
        <v>45657</v>
      </c>
    </row>
    <row r="2555" spans="1:16" x14ac:dyDescent="0.3">
      <c r="A2555">
        <v>2554</v>
      </c>
      <c r="B2555" s="7">
        <v>45584</v>
      </c>
      <c r="C2555" t="s">
        <v>10</v>
      </c>
      <c r="D2555">
        <v>699</v>
      </c>
      <c r="E2555">
        <v>3.3</v>
      </c>
      <c r="F2555">
        <v>6</v>
      </c>
      <c r="G2555">
        <v>0</v>
      </c>
      <c r="H2555">
        <v>28</v>
      </c>
      <c r="I2555">
        <v>31</v>
      </c>
      <c r="J2555" t="s">
        <v>13</v>
      </c>
      <c r="K2555">
        <f>IF(J2555="Yes", 1, 0)</f>
        <v>0</v>
      </c>
      <c r="L2555" t="str">
        <f>IF(G2555=0,"0 Failures","1+ Failures")</f>
        <v>0 Failures</v>
      </c>
      <c r="M2555" t="str">
        <f t="shared" si="119"/>
        <v>0-5 hrs</v>
      </c>
      <c r="N2555" t="str">
        <f t="shared" si="117"/>
        <v>12+ months</v>
      </c>
      <c r="O2555" t="str">
        <f t="shared" si="118"/>
        <v>Premium</v>
      </c>
      <c r="P2555" s="7">
        <v>45657</v>
      </c>
    </row>
    <row r="2556" spans="1:16" x14ac:dyDescent="0.3">
      <c r="A2556">
        <v>2555</v>
      </c>
      <c r="B2556" s="7">
        <v>45313</v>
      </c>
      <c r="C2556" t="s">
        <v>12</v>
      </c>
      <c r="D2556">
        <v>199</v>
      </c>
      <c r="E2556">
        <v>12.4</v>
      </c>
      <c r="F2556">
        <v>8</v>
      </c>
      <c r="G2556">
        <v>4</v>
      </c>
      <c r="H2556">
        <v>12</v>
      </c>
      <c r="I2556">
        <v>14</v>
      </c>
      <c r="J2556" t="s">
        <v>11</v>
      </c>
      <c r="K2556">
        <f>IF(J2556="Yes", 1, 0)</f>
        <v>1</v>
      </c>
      <c r="L2556" t="str">
        <f>IF(G2556=0,"0 Failures","1+ Failures")</f>
        <v>1+ Failures</v>
      </c>
      <c r="M2556" t="str">
        <f t="shared" si="119"/>
        <v>10-20hrs</v>
      </c>
      <c r="N2556" t="str">
        <f t="shared" si="117"/>
        <v>6-12months</v>
      </c>
      <c r="O2556" t="str">
        <f t="shared" si="118"/>
        <v>Basic</v>
      </c>
      <c r="P2556" s="7">
        <v>45657</v>
      </c>
    </row>
    <row r="2557" spans="1:16" x14ac:dyDescent="0.3">
      <c r="A2557">
        <v>2556</v>
      </c>
      <c r="B2557" s="7">
        <v>45601</v>
      </c>
      <c r="C2557" t="s">
        <v>14</v>
      </c>
      <c r="D2557">
        <v>399</v>
      </c>
      <c r="E2557">
        <v>19.600000000000001</v>
      </c>
      <c r="F2557">
        <v>7</v>
      </c>
      <c r="G2557">
        <v>4</v>
      </c>
      <c r="H2557">
        <v>7</v>
      </c>
      <c r="I2557">
        <v>51</v>
      </c>
      <c r="J2557" t="s">
        <v>13</v>
      </c>
      <c r="K2557">
        <f>IF(J2557="Yes", 1, 0)</f>
        <v>0</v>
      </c>
      <c r="L2557" t="str">
        <f>IF(G2557=0,"0 Failures","1+ Failures")</f>
        <v>1+ Failures</v>
      </c>
      <c r="M2557" t="str">
        <f t="shared" si="119"/>
        <v>10-20hrs</v>
      </c>
      <c r="N2557" t="str">
        <f t="shared" si="117"/>
        <v>6-12months</v>
      </c>
      <c r="O2557" t="str">
        <f t="shared" si="118"/>
        <v>Basic</v>
      </c>
      <c r="P2557" s="7">
        <v>45657</v>
      </c>
    </row>
    <row r="2558" spans="1:16" x14ac:dyDescent="0.3">
      <c r="A2558">
        <v>2557</v>
      </c>
      <c r="B2558" s="7">
        <v>45582</v>
      </c>
      <c r="C2558" t="s">
        <v>10</v>
      </c>
      <c r="D2558">
        <v>699</v>
      </c>
      <c r="E2558">
        <v>5</v>
      </c>
      <c r="F2558">
        <v>0</v>
      </c>
      <c r="G2558">
        <v>4</v>
      </c>
      <c r="H2558">
        <v>26</v>
      </c>
      <c r="I2558">
        <v>59</v>
      </c>
      <c r="J2558" t="s">
        <v>11</v>
      </c>
      <c r="K2558">
        <f>IF(J2558="Yes", 1, 0)</f>
        <v>1</v>
      </c>
      <c r="L2558" t="str">
        <f>IF(G2558=0,"0 Failures","1+ Failures")</f>
        <v>1+ Failures</v>
      </c>
      <c r="M2558" t="str">
        <f t="shared" si="119"/>
        <v>0-5 hrs</v>
      </c>
      <c r="N2558" t="str">
        <f t="shared" si="117"/>
        <v>12+ months</v>
      </c>
      <c r="O2558" t="str">
        <f t="shared" si="118"/>
        <v>Premium</v>
      </c>
      <c r="P2558" s="7">
        <v>45657</v>
      </c>
    </row>
    <row r="2559" spans="1:16" x14ac:dyDescent="0.3">
      <c r="A2559">
        <v>2558</v>
      </c>
      <c r="B2559" s="7">
        <v>45366</v>
      </c>
      <c r="C2559" t="s">
        <v>14</v>
      </c>
      <c r="D2559">
        <v>399</v>
      </c>
      <c r="E2559">
        <v>9.9</v>
      </c>
      <c r="F2559">
        <v>3</v>
      </c>
      <c r="G2559">
        <v>5</v>
      </c>
      <c r="H2559">
        <v>25</v>
      </c>
      <c r="I2559">
        <v>16</v>
      </c>
      <c r="J2559" t="s">
        <v>13</v>
      </c>
      <c r="K2559">
        <f>IF(J2559="Yes", 1, 0)</f>
        <v>0</v>
      </c>
      <c r="L2559" t="str">
        <f>IF(G2559=0,"0 Failures","1+ Failures")</f>
        <v>1+ Failures</v>
      </c>
      <c r="M2559" t="str">
        <f t="shared" si="119"/>
        <v>5-10 hrs</v>
      </c>
      <c r="N2559" t="str">
        <f t="shared" si="117"/>
        <v>12+ months</v>
      </c>
      <c r="O2559" t="str">
        <f t="shared" si="118"/>
        <v>Basic</v>
      </c>
      <c r="P2559" s="7">
        <v>45657</v>
      </c>
    </row>
    <row r="2560" spans="1:16" x14ac:dyDescent="0.3">
      <c r="A2560">
        <v>2559</v>
      </c>
      <c r="B2560" s="7">
        <v>45083</v>
      </c>
      <c r="C2560" t="s">
        <v>12</v>
      </c>
      <c r="D2560">
        <v>199</v>
      </c>
      <c r="E2560">
        <v>11.6</v>
      </c>
      <c r="F2560">
        <v>4</v>
      </c>
      <c r="G2560">
        <v>1</v>
      </c>
      <c r="H2560">
        <v>18</v>
      </c>
      <c r="I2560">
        <v>4</v>
      </c>
      <c r="J2560" t="s">
        <v>13</v>
      </c>
      <c r="K2560">
        <f>IF(J2560="Yes", 1, 0)</f>
        <v>0</v>
      </c>
      <c r="L2560" t="str">
        <f>IF(G2560=0,"0 Failures","1+ Failures")</f>
        <v>1+ Failures</v>
      </c>
      <c r="M2560" t="str">
        <f t="shared" si="119"/>
        <v>10-20hrs</v>
      </c>
      <c r="N2560" t="str">
        <f t="shared" si="117"/>
        <v>12+ months</v>
      </c>
      <c r="O2560" t="str">
        <f t="shared" si="118"/>
        <v>Basic</v>
      </c>
      <c r="P2560" s="7">
        <v>45657</v>
      </c>
    </row>
    <row r="2561" spans="1:16" x14ac:dyDescent="0.3">
      <c r="A2561">
        <v>2560</v>
      </c>
      <c r="B2561" s="7">
        <v>45175</v>
      </c>
      <c r="C2561" t="s">
        <v>10</v>
      </c>
      <c r="D2561">
        <v>699</v>
      </c>
      <c r="E2561">
        <v>3</v>
      </c>
      <c r="F2561">
        <v>2</v>
      </c>
      <c r="G2561">
        <v>1</v>
      </c>
      <c r="H2561">
        <v>22</v>
      </c>
      <c r="I2561">
        <v>59</v>
      </c>
      <c r="J2561" t="s">
        <v>11</v>
      </c>
      <c r="K2561">
        <f>IF(J2561="Yes", 1, 0)</f>
        <v>1</v>
      </c>
      <c r="L2561" t="str">
        <f>IF(G2561=0,"0 Failures","1+ Failures")</f>
        <v>1+ Failures</v>
      </c>
      <c r="M2561" t="str">
        <f t="shared" si="119"/>
        <v>0-5 hrs</v>
      </c>
      <c r="N2561" t="str">
        <f t="shared" si="117"/>
        <v>12+ months</v>
      </c>
      <c r="O2561" t="str">
        <f t="shared" si="118"/>
        <v>Premium</v>
      </c>
      <c r="P2561" s="7">
        <v>45657</v>
      </c>
    </row>
    <row r="2562" spans="1:16" x14ac:dyDescent="0.3">
      <c r="A2562">
        <v>2561</v>
      </c>
      <c r="B2562" s="7">
        <v>45514</v>
      </c>
      <c r="C2562" t="s">
        <v>10</v>
      </c>
      <c r="D2562">
        <v>699</v>
      </c>
      <c r="E2562">
        <v>7.2</v>
      </c>
      <c r="F2562">
        <v>8</v>
      </c>
      <c r="G2562">
        <v>1</v>
      </c>
      <c r="H2562">
        <v>27</v>
      </c>
      <c r="I2562">
        <v>0</v>
      </c>
      <c r="J2562" t="s">
        <v>13</v>
      </c>
      <c r="K2562">
        <f>IF(J2562="Yes", 1, 0)</f>
        <v>0</v>
      </c>
      <c r="L2562" t="str">
        <f>IF(G2562=0,"0 Failures","1+ Failures")</f>
        <v>1+ Failures</v>
      </c>
      <c r="M2562" t="str">
        <f t="shared" si="119"/>
        <v>5-10 hrs</v>
      </c>
      <c r="N2562" t="str">
        <f t="shared" si="117"/>
        <v>12+ months</v>
      </c>
      <c r="O2562" t="str">
        <f t="shared" si="118"/>
        <v>Premium</v>
      </c>
      <c r="P2562" s="7">
        <v>45657</v>
      </c>
    </row>
    <row r="2563" spans="1:16" x14ac:dyDescent="0.3">
      <c r="A2563">
        <v>2562</v>
      </c>
      <c r="B2563" s="7">
        <v>44969</v>
      </c>
      <c r="C2563" t="s">
        <v>12</v>
      </c>
      <c r="D2563">
        <v>199</v>
      </c>
      <c r="E2563">
        <v>13.6</v>
      </c>
      <c r="F2563">
        <v>8</v>
      </c>
      <c r="G2563">
        <v>5</v>
      </c>
      <c r="H2563">
        <v>18</v>
      </c>
      <c r="I2563">
        <v>32</v>
      </c>
      <c r="J2563" t="s">
        <v>11</v>
      </c>
      <c r="K2563">
        <f>IF(J2563="Yes", 1, 0)</f>
        <v>1</v>
      </c>
      <c r="L2563" t="str">
        <f>IF(G2563=0,"0 Failures","1+ Failures")</f>
        <v>1+ Failures</v>
      </c>
      <c r="M2563" t="str">
        <f t="shared" si="119"/>
        <v>10-20hrs</v>
      </c>
      <c r="N2563" t="str">
        <f t="shared" ref="N2563:N2626" si="120">IF(H2563&lt;=3, "0-3months", IF(H2563&lt;=6, "3-6months", IF(H2563&lt;=12, "6-12months", "12+ months")))</f>
        <v>12+ months</v>
      </c>
      <c r="O2563" t="str">
        <f t="shared" ref="O2563:O2626" si="121">IF(C2563="premium", "Premium", "Basic")</f>
        <v>Basic</v>
      </c>
      <c r="P2563" s="7">
        <v>45657</v>
      </c>
    </row>
    <row r="2564" spans="1:16" x14ac:dyDescent="0.3">
      <c r="A2564">
        <v>2563</v>
      </c>
      <c r="B2564" s="7">
        <v>45466</v>
      </c>
      <c r="C2564" t="s">
        <v>14</v>
      </c>
      <c r="D2564">
        <v>399</v>
      </c>
      <c r="E2564">
        <v>24.6</v>
      </c>
      <c r="F2564">
        <v>6</v>
      </c>
      <c r="G2564">
        <v>3</v>
      </c>
      <c r="H2564">
        <v>9</v>
      </c>
      <c r="I2564">
        <v>9</v>
      </c>
      <c r="J2564" t="s">
        <v>13</v>
      </c>
      <c r="K2564">
        <f>IF(J2564="Yes", 1, 0)</f>
        <v>0</v>
      </c>
      <c r="L2564" t="str">
        <f>IF(G2564=0,"0 Failures","1+ Failures")</f>
        <v>1+ Failures</v>
      </c>
      <c r="M2564" t="str">
        <f t="shared" si="119"/>
        <v>20+ hrs</v>
      </c>
      <c r="N2564" t="str">
        <f t="shared" si="120"/>
        <v>6-12months</v>
      </c>
      <c r="O2564" t="str">
        <f t="shared" si="121"/>
        <v>Basic</v>
      </c>
      <c r="P2564" s="7">
        <v>45657</v>
      </c>
    </row>
    <row r="2565" spans="1:16" x14ac:dyDescent="0.3">
      <c r="A2565">
        <v>2564</v>
      </c>
      <c r="B2565" s="7">
        <v>45042</v>
      </c>
      <c r="C2565" t="s">
        <v>14</v>
      </c>
      <c r="D2565">
        <v>399</v>
      </c>
      <c r="E2565">
        <v>10.9</v>
      </c>
      <c r="F2565">
        <v>1</v>
      </c>
      <c r="G2565">
        <v>0</v>
      </c>
      <c r="H2565">
        <v>5</v>
      </c>
      <c r="I2565">
        <v>19</v>
      </c>
      <c r="J2565" t="s">
        <v>11</v>
      </c>
      <c r="K2565">
        <f>IF(J2565="Yes", 1, 0)</f>
        <v>1</v>
      </c>
      <c r="L2565" t="str">
        <f>IF(G2565=0,"0 Failures","1+ Failures")</f>
        <v>0 Failures</v>
      </c>
      <c r="M2565" t="str">
        <f t="shared" si="119"/>
        <v>10-20hrs</v>
      </c>
      <c r="N2565" t="str">
        <f t="shared" si="120"/>
        <v>3-6months</v>
      </c>
      <c r="O2565" t="str">
        <f t="shared" si="121"/>
        <v>Basic</v>
      </c>
      <c r="P2565" s="7">
        <v>45657</v>
      </c>
    </row>
    <row r="2566" spans="1:16" x14ac:dyDescent="0.3">
      <c r="A2566">
        <v>2565</v>
      </c>
      <c r="B2566" s="7">
        <v>45165</v>
      </c>
      <c r="C2566" t="s">
        <v>10</v>
      </c>
      <c r="D2566">
        <v>699</v>
      </c>
      <c r="E2566">
        <v>9.3000000000000007</v>
      </c>
      <c r="F2566">
        <v>2</v>
      </c>
      <c r="G2566">
        <v>1</v>
      </c>
      <c r="H2566">
        <v>16</v>
      </c>
      <c r="I2566">
        <v>45</v>
      </c>
      <c r="J2566" t="s">
        <v>13</v>
      </c>
      <c r="K2566">
        <f>IF(J2566="Yes", 1, 0)</f>
        <v>0</v>
      </c>
      <c r="L2566" t="str">
        <f>IF(G2566=0,"0 Failures","1+ Failures")</f>
        <v>1+ Failures</v>
      </c>
      <c r="M2566" t="str">
        <f t="shared" si="119"/>
        <v>5-10 hrs</v>
      </c>
      <c r="N2566" t="str">
        <f t="shared" si="120"/>
        <v>12+ months</v>
      </c>
      <c r="O2566" t="str">
        <f t="shared" si="121"/>
        <v>Premium</v>
      </c>
      <c r="P2566" s="7">
        <v>45657</v>
      </c>
    </row>
    <row r="2567" spans="1:16" x14ac:dyDescent="0.3">
      <c r="A2567">
        <v>2566</v>
      </c>
      <c r="B2567" s="7">
        <v>44971</v>
      </c>
      <c r="C2567" t="s">
        <v>12</v>
      </c>
      <c r="D2567">
        <v>199</v>
      </c>
      <c r="E2567">
        <v>18.100000000000001</v>
      </c>
      <c r="F2567">
        <v>0</v>
      </c>
      <c r="G2567">
        <v>2</v>
      </c>
      <c r="H2567">
        <v>31</v>
      </c>
      <c r="I2567">
        <v>11</v>
      </c>
      <c r="J2567" t="s">
        <v>13</v>
      </c>
      <c r="K2567">
        <f>IF(J2567="Yes", 1, 0)</f>
        <v>0</v>
      </c>
      <c r="L2567" t="str">
        <f>IF(G2567=0,"0 Failures","1+ Failures")</f>
        <v>1+ Failures</v>
      </c>
      <c r="M2567" t="str">
        <f t="shared" si="119"/>
        <v>10-20hrs</v>
      </c>
      <c r="N2567" t="str">
        <f t="shared" si="120"/>
        <v>12+ months</v>
      </c>
      <c r="O2567" t="str">
        <f t="shared" si="121"/>
        <v>Basic</v>
      </c>
      <c r="P2567" s="7">
        <v>45657</v>
      </c>
    </row>
    <row r="2568" spans="1:16" x14ac:dyDescent="0.3">
      <c r="A2568">
        <v>2567</v>
      </c>
      <c r="B2568" s="7">
        <v>45644</v>
      </c>
      <c r="C2568" t="s">
        <v>14</v>
      </c>
      <c r="D2568">
        <v>399</v>
      </c>
      <c r="E2568">
        <v>14.1</v>
      </c>
      <c r="F2568">
        <v>1</v>
      </c>
      <c r="G2568">
        <v>3</v>
      </c>
      <c r="H2568">
        <v>21</v>
      </c>
      <c r="I2568">
        <v>21</v>
      </c>
      <c r="J2568" t="s">
        <v>13</v>
      </c>
      <c r="K2568">
        <f>IF(J2568="Yes", 1, 0)</f>
        <v>0</v>
      </c>
      <c r="L2568" t="str">
        <f>IF(G2568=0,"0 Failures","1+ Failures")</f>
        <v>1+ Failures</v>
      </c>
      <c r="M2568" t="str">
        <f t="shared" si="119"/>
        <v>10-20hrs</v>
      </c>
      <c r="N2568" t="str">
        <f t="shared" si="120"/>
        <v>12+ months</v>
      </c>
      <c r="O2568" t="str">
        <f t="shared" si="121"/>
        <v>Basic</v>
      </c>
      <c r="P2568" s="7">
        <v>45657</v>
      </c>
    </row>
    <row r="2569" spans="1:16" x14ac:dyDescent="0.3">
      <c r="A2569">
        <v>2568</v>
      </c>
      <c r="B2569" s="7">
        <v>45054</v>
      </c>
      <c r="C2569" t="s">
        <v>12</v>
      </c>
      <c r="D2569">
        <v>199</v>
      </c>
      <c r="E2569">
        <v>9.3000000000000007</v>
      </c>
      <c r="F2569">
        <v>4</v>
      </c>
      <c r="G2569">
        <v>2</v>
      </c>
      <c r="H2569">
        <v>11</v>
      </c>
      <c r="I2569">
        <v>31</v>
      </c>
      <c r="J2569" t="s">
        <v>11</v>
      </c>
      <c r="K2569">
        <f>IF(J2569="Yes", 1, 0)</f>
        <v>1</v>
      </c>
      <c r="L2569" t="str">
        <f>IF(G2569=0,"0 Failures","1+ Failures")</f>
        <v>1+ Failures</v>
      </c>
      <c r="M2569" t="str">
        <f t="shared" si="119"/>
        <v>5-10 hrs</v>
      </c>
      <c r="N2569" t="str">
        <f t="shared" si="120"/>
        <v>6-12months</v>
      </c>
      <c r="O2569" t="str">
        <f t="shared" si="121"/>
        <v>Basic</v>
      </c>
      <c r="P2569" s="7">
        <v>45657</v>
      </c>
    </row>
    <row r="2570" spans="1:16" x14ac:dyDescent="0.3">
      <c r="A2570">
        <v>2569</v>
      </c>
      <c r="B2570" s="7">
        <v>44955</v>
      </c>
      <c r="C2570" t="s">
        <v>10</v>
      </c>
      <c r="D2570">
        <v>699</v>
      </c>
      <c r="E2570">
        <v>11</v>
      </c>
      <c r="F2570">
        <v>0</v>
      </c>
      <c r="G2570">
        <v>1</v>
      </c>
      <c r="H2570">
        <v>7</v>
      </c>
      <c r="I2570">
        <v>44</v>
      </c>
      <c r="J2570" t="s">
        <v>11</v>
      </c>
      <c r="K2570">
        <f>IF(J2570="Yes", 1, 0)</f>
        <v>1</v>
      </c>
      <c r="L2570" t="str">
        <f>IF(G2570=0,"0 Failures","1+ Failures")</f>
        <v>1+ Failures</v>
      </c>
      <c r="M2570" t="str">
        <f t="shared" si="119"/>
        <v>10-20hrs</v>
      </c>
      <c r="N2570" t="str">
        <f t="shared" si="120"/>
        <v>6-12months</v>
      </c>
      <c r="O2570" t="str">
        <f t="shared" si="121"/>
        <v>Premium</v>
      </c>
      <c r="P2570" s="7">
        <v>45657</v>
      </c>
    </row>
    <row r="2571" spans="1:16" x14ac:dyDescent="0.3">
      <c r="A2571">
        <v>2570</v>
      </c>
      <c r="B2571" s="7">
        <v>44993</v>
      </c>
      <c r="C2571" t="s">
        <v>10</v>
      </c>
      <c r="D2571">
        <v>699</v>
      </c>
      <c r="E2571">
        <v>10.4</v>
      </c>
      <c r="F2571">
        <v>1</v>
      </c>
      <c r="G2571">
        <v>3</v>
      </c>
      <c r="H2571">
        <v>27</v>
      </c>
      <c r="I2571">
        <v>48</v>
      </c>
      <c r="J2571" t="s">
        <v>13</v>
      </c>
      <c r="K2571">
        <f>IF(J2571="Yes", 1, 0)</f>
        <v>0</v>
      </c>
      <c r="L2571" t="str">
        <f>IF(G2571=0,"0 Failures","1+ Failures")</f>
        <v>1+ Failures</v>
      </c>
      <c r="M2571" t="str">
        <f t="shared" ref="M2571:M2634" si="122">IF(E2571&lt;=5, "0-5 hrs",    IF(E2571&lt;=10, "5-10 hrs",    IF(E2571&lt;=20, "10-20hrs", "20+ hrs")))</f>
        <v>10-20hrs</v>
      </c>
      <c r="N2571" t="str">
        <f t="shared" si="120"/>
        <v>12+ months</v>
      </c>
      <c r="O2571" t="str">
        <f t="shared" si="121"/>
        <v>Premium</v>
      </c>
      <c r="P2571" s="7">
        <v>45657</v>
      </c>
    </row>
    <row r="2572" spans="1:16" x14ac:dyDescent="0.3">
      <c r="A2572">
        <v>2571</v>
      </c>
      <c r="B2572" s="7">
        <v>44969</v>
      </c>
      <c r="C2572" t="s">
        <v>10</v>
      </c>
      <c r="D2572">
        <v>699</v>
      </c>
      <c r="E2572">
        <v>17.7</v>
      </c>
      <c r="F2572">
        <v>8</v>
      </c>
      <c r="G2572">
        <v>4</v>
      </c>
      <c r="H2572">
        <v>9</v>
      </c>
      <c r="I2572">
        <v>48</v>
      </c>
      <c r="J2572" t="s">
        <v>11</v>
      </c>
      <c r="K2572">
        <f>IF(J2572="Yes", 1, 0)</f>
        <v>1</v>
      </c>
      <c r="L2572" t="str">
        <f>IF(G2572=0,"0 Failures","1+ Failures")</f>
        <v>1+ Failures</v>
      </c>
      <c r="M2572" t="str">
        <f t="shared" si="122"/>
        <v>10-20hrs</v>
      </c>
      <c r="N2572" t="str">
        <f t="shared" si="120"/>
        <v>6-12months</v>
      </c>
      <c r="O2572" t="str">
        <f t="shared" si="121"/>
        <v>Premium</v>
      </c>
      <c r="P2572" s="7">
        <v>45657</v>
      </c>
    </row>
    <row r="2573" spans="1:16" x14ac:dyDescent="0.3">
      <c r="A2573">
        <v>2572</v>
      </c>
      <c r="B2573" s="7">
        <v>45075</v>
      </c>
      <c r="C2573" t="s">
        <v>10</v>
      </c>
      <c r="D2573">
        <v>699</v>
      </c>
      <c r="E2573">
        <v>23.9</v>
      </c>
      <c r="F2573">
        <v>0</v>
      </c>
      <c r="G2573">
        <v>3</v>
      </c>
      <c r="H2573">
        <v>35</v>
      </c>
      <c r="I2573">
        <v>29</v>
      </c>
      <c r="J2573" t="s">
        <v>13</v>
      </c>
      <c r="K2573">
        <f>IF(J2573="Yes", 1, 0)</f>
        <v>0</v>
      </c>
      <c r="L2573" t="str">
        <f>IF(G2573=0,"0 Failures","1+ Failures")</f>
        <v>1+ Failures</v>
      </c>
      <c r="M2573" t="str">
        <f t="shared" si="122"/>
        <v>20+ hrs</v>
      </c>
      <c r="N2573" t="str">
        <f t="shared" si="120"/>
        <v>12+ months</v>
      </c>
      <c r="O2573" t="str">
        <f t="shared" si="121"/>
        <v>Premium</v>
      </c>
      <c r="P2573" s="7">
        <v>45657</v>
      </c>
    </row>
    <row r="2574" spans="1:16" x14ac:dyDescent="0.3">
      <c r="A2574">
        <v>2573</v>
      </c>
      <c r="B2574" s="7">
        <v>45034</v>
      </c>
      <c r="C2574" t="s">
        <v>12</v>
      </c>
      <c r="D2574">
        <v>199</v>
      </c>
      <c r="E2574">
        <v>2.5</v>
      </c>
      <c r="F2574">
        <v>4</v>
      </c>
      <c r="G2574">
        <v>3</v>
      </c>
      <c r="H2574">
        <v>18</v>
      </c>
      <c r="I2574">
        <v>33</v>
      </c>
      <c r="J2574" t="s">
        <v>11</v>
      </c>
      <c r="K2574">
        <f>IF(J2574="Yes", 1, 0)</f>
        <v>1</v>
      </c>
      <c r="L2574" t="str">
        <f>IF(G2574=0,"0 Failures","1+ Failures")</f>
        <v>1+ Failures</v>
      </c>
      <c r="M2574" t="str">
        <f t="shared" si="122"/>
        <v>0-5 hrs</v>
      </c>
      <c r="N2574" t="str">
        <f t="shared" si="120"/>
        <v>12+ months</v>
      </c>
      <c r="O2574" t="str">
        <f t="shared" si="121"/>
        <v>Basic</v>
      </c>
      <c r="P2574" s="7">
        <v>45657</v>
      </c>
    </row>
    <row r="2575" spans="1:16" x14ac:dyDescent="0.3">
      <c r="A2575">
        <v>2574</v>
      </c>
      <c r="B2575" s="7">
        <v>45486</v>
      </c>
      <c r="C2575" t="s">
        <v>12</v>
      </c>
      <c r="D2575">
        <v>199</v>
      </c>
      <c r="E2575">
        <v>15.8</v>
      </c>
      <c r="F2575">
        <v>6</v>
      </c>
      <c r="G2575">
        <v>5</v>
      </c>
      <c r="H2575">
        <v>21</v>
      </c>
      <c r="I2575">
        <v>24</v>
      </c>
      <c r="J2575" t="s">
        <v>13</v>
      </c>
      <c r="K2575">
        <f>IF(J2575="Yes", 1, 0)</f>
        <v>0</v>
      </c>
      <c r="L2575" t="str">
        <f>IF(G2575=0,"0 Failures","1+ Failures")</f>
        <v>1+ Failures</v>
      </c>
      <c r="M2575" t="str">
        <f t="shared" si="122"/>
        <v>10-20hrs</v>
      </c>
      <c r="N2575" t="str">
        <f t="shared" si="120"/>
        <v>12+ months</v>
      </c>
      <c r="O2575" t="str">
        <f t="shared" si="121"/>
        <v>Basic</v>
      </c>
      <c r="P2575" s="7">
        <v>45657</v>
      </c>
    </row>
    <row r="2576" spans="1:16" x14ac:dyDescent="0.3">
      <c r="A2576">
        <v>2575</v>
      </c>
      <c r="B2576" s="7">
        <v>45560</v>
      </c>
      <c r="C2576" t="s">
        <v>14</v>
      </c>
      <c r="D2576">
        <v>399</v>
      </c>
      <c r="E2576">
        <v>15.6</v>
      </c>
      <c r="F2576">
        <v>3</v>
      </c>
      <c r="G2576">
        <v>5</v>
      </c>
      <c r="H2576">
        <v>35</v>
      </c>
      <c r="I2576">
        <v>37</v>
      </c>
      <c r="J2576" t="s">
        <v>11</v>
      </c>
      <c r="K2576">
        <f>IF(J2576="Yes", 1, 0)</f>
        <v>1</v>
      </c>
      <c r="L2576" t="str">
        <f>IF(G2576=0,"0 Failures","1+ Failures")</f>
        <v>1+ Failures</v>
      </c>
      <c r="M2576" t="str">
        <f t="shared" si="122"/>
        <v>10-20hrs</v>
      </c>
      <c r="N2576" t="str">
        <f t="shared" si="120"/>
        <v>12+ months</v>
      </c>
      <c r="O2576" t="str">
        <f t="shared" si="121"/>
        <v>Basic</v>
      </c>
      <c r="P2576" s="7">
        <v>45657</v>
      </c>
    </row>
    <row r="2577" spans="1:16" x14ac:dyDescent="0.3">
      <c r="A2577">
        <v>2576</v>
      </c>
      <c r="B2577" s="7">
        <v>45019</v>
      </c>
      <c r="C2577" t="s">
        <v>10</v>
      </c>
      <c r="D2577">
        <v>699</v>
      </c>
      <c r="E2577">
        <v>8.1</v>
      </c>
      <c r="F2577">
        <v>8</v>
      </c>
      <c r="G2577">
        <v>3</v>
      </c>
      <c r="H2577">
        <v>29</v>
      </c>
      <c r="I2577">
        <v>36</v>
      </c>
      <c r="J2577" t="s">
        <v>11</v>
      </c>
      <c r="K2577">
        <f>IF(J2577="Yes", 1, 0)</f>
        <v>1</v>
      </c>
      <c r="L2577" t="str">
        <f>IF(G2577=0,"0 Failures","1+ Failures")</f>
        <v>1+ Failures</v>
      </c>
      <c r="M2577" t="str">
        <f t="shared" si="122"/>
        <v>5-10 hrs</v>
      </c>
      <c r="N2577" t="str">
        <f t="shared" si="120"/>
        <v>12+ months</v>
      </c>
      <c r="O2577" t="str">
        <f t="shared" si="121"/>
        <v>Premium</v>
      </c>
      <c r="P2577" s="7">
        <v>45657</v>
      </c>
    </row>
    <row r="2578" spans="1:16" x14ac:dyDescent="0.3">
      <c r="A2578">
        <v>2577</v>
      </c>
      <c r="B2578" s="7">
        <v>45555</v>
      </c>
      <c r="C2578" t="s">
        <v>14</v>
      </c>
      <c r="D2578">
        <v>399</v>
      </c>
      <c r="E2578">
        <v>14.9</v>
      </c>
      <c r="F2578">
        <v>5</v>
      </c>
      <c r="G2578">
        <v>5</v>
      </c>
      <c r="H2578">
        <v>22</v>
      </c>
      <c r="I2578">
        <v>3</v>
      </c>
      <c r="J2578" t="s">
        <v>11</v>
      </c>
      <c r="K2578">
        <f>IF(J2578="Yes", 1, 0)</f>
        <v>1</v>
      </c>
      <c r="L2578" t="str">
        <f>IF(G2578=0,"0 Failures","1+ Failures")</f>
        <v>1+ Failures</v>
      </c>
      <c r="M2578" t="str">
        <f t="shared" si="122"/>
        <v>10-20hrs</v>
      </c>
      <c r="N2578" t="str">
        <f t="shared" si="120"/>
        <v>12+ months</v>
      </c>
      <c r="O2578" t="str">
        <f t="shared" si="121"/>
        <v>Basic</v>
      </c>
      <c r="P2578" s="7">
        <v>45657</v>
      </c>
    </row>
    <row r="2579" spans="1:16" x14ac:dyDescent="0.3">
      <c r="A2579">
        <v>2578</v>
      </c>
      <c r="B2579" s="7">
        <v>45317</v>
      </c>
      <c r="C2579" t="s">
        <v>12</v>
      </c>
      <c r="D2579">
        <v>199</v>
      </c>
      <c r="E2579">
        <v>1.9</v>
      </c>
      <c r="F2579">
        <v>7</v>
      </c>
      <c r="G2579">
        <v>2</v>
      </c>
      <c r="H2579">
        <v>12</v>
      </c>
      <c r="I2579">
        <v>15</v>
      </c>
      <c r="J2579" t="s">
        <v>11</v>
      </c>
      <c r="K2579">
        <f>IF(J2579="Yes", 1, 0)</f>
        <v>1</v>
      </c>
      <c r="L2579" t="str">
        <f>IF(G2579=0,"0 Failures","1+ Failures")</f>
        <v>1+ Failures</v>
      </c>
      <c r="M2579" t="str">
        <f t="shared" si="122"/>
        <v>0-5 hrs</v>
      </c>
      <c r="N2579" t="str">
        <f t="shared" si="120"/>
        <v>6-12months</v>
      </c>
      <c r="O2579" t="str">
        <f t="shared" si="121"/>
        <v>Basic</v>
      </c>
      <c r="P2579" s="7">
        <v>45657</v>
      </c>
    </row>
    <row r="2580" spans="1:16" x14ac:dyDescent="0.3">
      <c r="A2580">
        <v>2579</v>
      </c>
      <c r="B2580" s="7">
        <v>44990</v>
      </c>
      <c r="C2580" t="s">
        <v>10</v>
      </c>
      <c r="D2580">
        <v>699</v>
      </c>
      <c r="E2580">
        <v>9.1</v>
      </c>
      <c r="F2580">
        <v>1</v>
      </c>
      <c r="G2580">
        <v>3</v>
      </c>
      <c r="H2580">
        <v>3</v>
      </c>
      <c r="I2580">
        <v>5</v>
      </c>
      <c r="J2580" t="s">
        <v>13</v>
      </c>
      <c r="K2580">
        <f>IF(J2580="Yes", 1, 0)</f>
        <v>0</v>
      </c>
      <c r="L2580" t="str">
        <f>IF(G2580=0,"0 Failures","1+ Failures")</f>
        <v>1+ Failures</v>
      </c>
      <c r="M2580" t="str">
        <f t="shared" si="122"/>
        <v>5-10 hrs</v>
      </c>
      <c r="N2580" t="str">
        <f t="shared" si="120"/>
        <v>0-3months</v>
      </c>
      <c r="O2580" t="str">
        <f t="shared" si="121"/>
        <v>Premium</v>
      </c>
      <c r="P2580" s="7">
        <v>45657</v>
      </c>
    </row>
    <row r="2581" spans="1:16" x14ac:dyDescent="0.3">
      <c r="A2581">
        <v>2580</v>
      </c>
      <c r="B2581" s="7">
        <v>45181</v>
      </c>
      <c r="C2581" t="s">
        <v>12</v>
      </c>
      <c r="D2581">
        <v>199</v>
      </c>
      <c r="E2581">
        <v>18.899999999999999</v>
      </c>
      <c r="F2581">
        <v>8</v>
      </c>
      <c r="G2581">
        <v>3</v>
      </c>
      <c r="H2581">
        <v>35</v>
      </c>
      <c r="I2581">
        <v>13</v>
      </c>
      <c r="J2581" t="s">
        <v>11</v>
      </c>
      <c r="K2581">
        <f>IF(J2581="Yes", 1, 0)</f>
        <v>1</v>
      </c>
      <c r="L2581" t="str">
        <f>IF(G2581=0,"0 Failures","1+ Failures")</f>
        <v>1+ Failures</v>
      </c>
      <c r="M2581" t="str">
        <f t="shared" si="122"/>
        <v>10-20hrs</v>
      </c>
      <c r="N2581" t="str">
        <f t="shared" si="120"/>
        <v>12+ months</v>
      </c>
      <c r="O2581" t="str">
        <f t="shared" si="121"/>
        <v>Basic</v>
      </c>
      <c r="P2581" s="7">
        <v>45657</v>
      </c>
    </row>
    <row r="2582" spans="1:16" x14ac:dyDescent="0.3">
      <c r="A2582">
        <v>2581</v>
      </c>
      <c r="B2582" s="7">
        <v>45315</v>
      </c>
      <c r="C2582" t="s">
        <v>14</v>
      </c>
      <c r="D2582">
        <v>399</v>
      </c>
      <c r="E2582">
        <v>3</v>
      </c>
      <c r="F2582">
        <v>4</v>
      </c>
      <c r="G2582">
        <v>2</v>
      </c>
      <c r="H2582">
        <v>9</v>
      </c>
      <c r="I2582">
        <v>23</v>
      </c>
      <c r="J2582" t="s">
        <v>11</v>
      </c>
      <c r="K2582">
        <f>IF(J2582="Yes", 1, 0)</f>
        <v>1</v>
      </c>
      <c r="L2582" t="str">
        <f>IF(G2582=0,"0 Failures","1+ Failures")</f>
        <v>1+ Failures</v>
      </c>
      <c r="M2582" t="str">
        <f t="shared" si="122"/>
        <v>0-5 hrs</v>
      </c>
      <c r="N2582" t="str">
        <f t="shared" si="120"/>
        <v>6-12months</v>
      </c>
      <c r="O2582" t="str">
        <f t="shared" si="121"/>
        <v>Basic</v>
      </c>
      <c r="P2582" s="7">
        <v>45657</v>
      </c>
    </row>
    <row r="2583" spans="1:16" x14ac:dyDescent="0.3">
      <c r="A2583">
        <v>2582</v>
      </c>
      <c r="B2583" s="7">
        <v>45521</v>
      </c>
      <c r="C2583" t="s">
        <v>14</v>
      </c>
      <c r="D2583">
        <v>399</v>
      </c>
      <c r="E2583">
        <v>1.7</v>
      </c>
      <c r="F2583">
        <v>4</v>
      </c>
      <c r="G2583">
        <v>1</v>
      </c>
      <c r="H2583">
        <v>1</v>
      </c>
      <c r="I2583">
        <v>19</v>
      </c>
      <c r="J2583" t="s">
        <v>13</v>
      </c>
      <c r="K2583">
        <f>IF(J2583="Yes", 1, 0)</f>
        <v>0</v>
      </c>
      <c r="L2583" t="str">
        <f>IF(G2583=0,"0 Failures","1+ Failures")</f>
        <v>1+ Failures</v>
      </c>
      <c r="M2583" t="str">
        <f t="shared" si="122"/>
        <v>0-5 hrs</v>
      </c>
      <c r="N2583" t="str">
        <f t="shared" si="120"/>
        <v>0-3months</v>
      </c>
      <c r="O2583" t="str">
        <f t="shared" si="121"/>
        <v>Basic</v>
      </c>
      <c r="P2583" s="7">
        <v>45657</v>
      </c>
    </row>
    <row r="2584" spans="1:16" x14ac:dyDescent="0.3">
      <c r="A2584">
        <v>2583</v>
      </c>
      <c r="B2584" s="7">
        <v>45497</v>
      </c>
      <c r="C2584" t="s">
        <v>14</v>
      </c>
      <c r="D2584">
        <v>399</v>
      </c>
      <c r="E2584">
        <v>1.7</v>
      </c>
      <c r="F2584">
        <v>6</v>
      </c>
      <c r="G2584">
        <v>3</v>
      </c>
      <c r="H2584">
        <v>12</v>
      </c>
      <c r="I2584">
        <v>43</v>
      </c>
      <c r="J2584" t="s">
        <v>11</v>
      </c>
      <c r="K2584">
        <f>IF(J2584="Yes", 1, 0)</f>
        <v>1</v>
      </c>
      <c r="L2584" t="str">
        <f>IF(G2584=0,"0 Failures","1+ Failures")</f>
        <v>1+ Failures</v>
      </c>
      <c r="M2584" t="str">
        <f t="shared" si="122"/>
        <v>0-5 hrs</v>
      </c>
      <c r="N2584" t="str">
        <f t="shared" si="120"/>
        <v>6-12months</v>
      </c>
      <c r="O2584" t="str">
        <f t="shared" si="121"/>
        <v>Basic</v>
      </c>
      <c r="P2584" s="7">
        <v>45657</v>
      </c>
    </row>
    <row r="2585" spans="1:16" x14ac:dyDescent="0.3">
      <c r="A2585">
        <v>2584</v>
      </c>
      <c r="B2585" s="7">
        <v>45195</v>
      </c>
      <c r="C2585" t="s">
        <v>10</v>
      </c>
      <c r="D2585">
        <v>699</v>
      </c>
      <c r="E2585">
        <v>11.1</v>
      </c>
      <c r="F2585">
        <v>6</v>
      </c>
      <c r="G2585">
        <v>0</v>
      </c>
      <c r="H2585">
        <v>28</v>
      </c>
      <c r="I2585">
        <v>20</v>
      </c>
      <c r="J2585" t="s">
        <v>13</v>
      </c>
      <c r="K2585">
        <f>IF(J2585="Yes", 1, 0)</f>
        <v>0</v>
      </c>
      <c r="L2585" t="str">
        <f>IF(G2585=0,"0 Failures","1+ Failures")</f>
        <v>0 Failures</v>
      </c>
      <c r="M2585" t="str">
        <f t="shared" si="122"/>
        <v>10-20hrs</v>
      </c>
      <c r="N2585" t="str">
        <f t="shared" si="120"/>
        <v>12+ months</v>
      </c>
      <c r="O2585" t="str">
        <f t="shared" si="121"/>
        <v>Premium</v>
      </c>
      <c r="P2585" s="7">
        <v>45657</v>
      </c>
    </row>
    <row r="2586" spans="1:16" x14ac:dyDescent="0.3">
      <c r="A2586">
        <v>2585</v>
      </c>
      <c r="B2586" s="7">
        <v>45428</v>
      </c>
      <c r="C2586" t="s">
        <v>12</v>
      </c>
      <c r="D2586">
        <v>199</v>
      </c>
      <c r="E2586">
        <v>20.6</v>
      </c>
      <c r="F2586">
        <v>4</v>
      </c>
      <c r="G2586">
        <v>2</v>
      </c>
      <c r="H2586">
        <v>1</v>
      </c>
      <c r="I2586">
        <v>27</v>
      </c>
      <c r="J2586" t="s">
        <v>13</v>
      </c>
      <c r="K2586">
        <f>IF(J2586="Yes", 1, 0)</f>
        <v>0</v>
      </c>
      <c r="L2586" t="str">
        <f>IF(G2586=0,"0 Failures","1+ Failures")</f>
        <v>1+ Failures</v>
      </c>
      <c r="M2586" t="str">
        <f t="shared" si="122"/>
        <v>20+ hrs</v>
      </c>
      <c r="N2586" t="str">
        <f t="shared" si="120"/>
        <v>0-3months</v>
      </c>
      <c r="O2586" t="str">
        <f t="shared" si="121"/>
        <v>Basic</v>
      </c>
      <c r="P2586" s="7">
        <v>45657</v>
      </c>
    </row>
    <row r="2587" spans="1:16" x14ac:dyDescent="0.3">
      <c r="A2587">
        <v>2586</v>
      </c>
      <c r="B2587" s="7">
        <v>45242</v>
      </c>
      <c r="C2587" t="s">
        <v>14</v>
      </c>
      <c r="D2587">
        <v>399</v>
      </c>
      <c r="E2587">
        <v>13.7</v>
      </c>
      <c r="F2587">
        <v>0</v>
      </c>
      <c r="G2587">
        <v>4</v>
      </c>
      <c r="H2587">
        <v>22</v>
      </c>
      <c r="I2587">
        <v>28</v>
      </c>
      <c r="J2587" t="s">
        <v>13</v>
      </c>
      <c r="K2587">
        <f>IF(J2587="Yes", 1, 0)</f>
        <v>0</v>
      </c>
      <c r="L2587" t="str">
        <f>IF(G2587=0,"0 Failures","1+ Failures")</f>
        <v>1+ Failures</v>
      </c>
      <c r="M2587" t="str">
        <f t="shared" si="122"/>
        <v>10-20hrs</v>
      </c>
      <c r="N2587" t="str">
        <f t="shared" si="120"/>
        <v>12+ months</v>
      </c>
      <c r="O2587" t="str">
        <f t="shared" si="121"/>
        <v>Basic</v>
      </c>
      <c r="P2587" s="7">
        <v>45657</v>
      </c>
    </row>
    <row r="2588" spans="1:16" x14ac:dyDescent="0.3">
      <c r="A2588">
        <v>2587</v>
      </c>
      <c r="B2588" s="7">
        <v>45175</v>
      </c>
      <c r="C2588" t="s">
        <v>14</v>
      </c>
      <c r="D2588">
        <v>399</v>
      </c>
      <c r="E2588">
        <v>5.2</v>
      </c>
      <c r="F2588">
        <v>8</v>
      </c>
      <c r="G2588">
        <v>4</v>
      </c>
      <c r="H2588">
        <v>15</v>
      </c>
      <c r="I2588">
        <v>1</v>
      </c>
      <c r="J2588" t="s">
        <v>11</v>
      </c>
      <c r="K2588">
        <f>IF(J2588="Yes", 1, 0)</f>
        <v>1</v>
      </c>
      <c r="L2588" t="str">
        <f>IF(G2588=0,"0 Failures","1+ Failures")</f>
        <v>1+ Failures</v>
      </c>
      <c r="M2588" t="str">
        <f t="shared" si="122"/>
        <v>5-10 hrs</v>
      </c>
      <c r="N2588" t="str">
        <f t="shared" si="120"/>
        <v>12+ months</v>
      </c>
      <c r="O2588" t="str">
        <f t="shared" si="121"/>
        <v>Basic</v>
      </c>
      <c r="P2588" s="7">
        <v>45657</v>
      </c>
    </row>
    <row r="2589" spans="1:16" x14ac:dyDescent="0.3">
      <c r="A2589">
        <v>2588</v>
      </c>
      <c r="B2589" s="7">
        <v>45355</v>
      </c>
      <c r="C2589" t="s">
        <v>14</v>
      </c>
      <c r="D2589">
        <v>399</v>
      </c>
      <c r="E2589">
        <v>20.100000000000001</v>
      </c>
      <c r="F2589">
        <v>6</v>
      </c>
      <c r="G2589">
        <v>1</v>
      </c>
      <c r="H2589">
        <v>17</v>
      </c>
      <c r="I2589">
        <v>54</v>
      </c>
      <c r="J2589" t="s">
        <v>13</v>
      </c>
      <c r="K2589">
        <f>IF(J2589="Yes", 1, 0)</f>
        <v>0</v>
      </c>
      <c r="L2589" t="str">
        <f>IF(G2589=0,"0 Failures","1+ Failures")</f>
        <v>1+ Failures</v>
      </c>
      <c r="M2589" t="str">
        <f t="shared" si="122"/>
        <v>20+ hrs</v>
      </c>
      <c r="N2589" t="str">
        <f t="shared" si="120"/>
        <v>12+ months</v>
      </c>
      <c r="O2589" t="str">
        <f t="shared" si="121"/>
        <v>Basic</v>
      </c>
      <c r="P2589" s="7">
        <v>45657</v>
      </c>
    </row>
    <row r="2590" spans="1:16" x14ac:dyDescent="0.3">
      <c r="A2590">
        <v>2589</v>
      </c>
      <c r="B2590" s="7">
        <v>45282</v>
      </c>
      <c r="C2590" t="s">
        <v>14</v>
      </c>
      <c r="D2590">
        <v>399</v>
      </c>
      <c r="E2590">
        <v>1.8</v>
      </c>
      <c r="F2590">
        <v>6</v>
      </c>
      <c r="G2590">
        <v>5</v>
      </c>
      <c r="H2590">
        <v>19</v>
      </c>
      <c r="I2590">
        <v>21</v>
      </c>
      <c r="J2590" t="s">
        <v>11</v>
      </c>
      <c r="K2590">
        <f>IF(J2590="Yes", 1, 0)</f>
        <v>1</v>
      </c>
      <c r="L2590" t="str">
        <f>IF(G2590=0,"0 Failures","1+ Failures")</f>
        <v>1+ Failures</v>
      </c>
      <c r="M2590" t="str">
        <f t="shared" si="122"/>
        <v>0-5 hrs</v>
      </c>
      <c r="N2590" t="str">
        <f t="shared" si="120"/>
        <v>12+ months</v>
      </c>
      <c r="O2590" t="str">
        <f t="shared" si="121"/>
        <v>Basic</v>
      </c>
      <c r="P2590" s="7">
        <v>45657</v>
      </c>
    </row>
    <row r="2591" spans="1:16" x14ac:dyDescent="0.3">
      <c r="A2591">
        <v>2590</v>
      </c>
      <c r="B2591" s="7">
        <v>45106</v>
      </c>
      <c r="C2591" t="s">
        <v>12</v>
      </c>
      <c r="D2591">
        <v>199</v>
      </c>
      <c r="E2591">
        <v>0.7</v>
      </c>
      <c r="F2591">
        <v>6</v>
      </c>
      <c r="G2591">
        <v>1</v>
      </c>
      <c r="H2591">
        <v>4</v>
      </c>
      <c r="I2591">
        <v>54</v>
      </c>
      <c r="J2591" t="s">
        <v>11</v>
      </c>
      <c r="K2591">
        <f>IF(J2591="Yes", 1, 0)</f>
        <v>1</v>
      </c>
      <c r="L2591" t="str">
        <f>IF(G2591=0,"0 Failures","1+ Failures")</f>
        <v>1+ Failures</v>
      </c>
      <c r="M2591" t="str">
        <f t="shared" si="122"/>
        <v>0-5 hrs</v>
      </c>
      <c r="N2591" t="str">
        <f t="shared" si="120"/>
        <v>3-6months</v>
      </c>
      <c r="O2591" t="str">
        <f t="shared" si="121"/>
        <v>Basic</v>
      </c>
      <c r="P2591" s="7">
        <v>45657</v>
      </c>
    </row>
    <row r="2592" spans="1:16" x14ac:dyDescent="0.3">
      <c r="A2592">
        <v>2591</v>
      </c>
      <c r="B2592" s="7">
        <v>45599</v>
      </c>
      <c r="C2592" t="s">
        <v>12</v>
      </c>
      <c r="D2592">
        <v>199</v>
      </c>
      <c r="E2592">
        <v>4.9000000000000004</v>
      </c>
      <c r="F2592">
        <v>7</v>
      </c>
      <c r="G2592">
        <v>3</v>
      </c>
      <c r="H2592">
        <v>19</v>
      </c>
      <c r="I2592">
        <v>56</v>
      </c>
      <c r="J2592" t="s">
        <v>11</v>
      </c>
      <c r="K2592">
        <f>IF(J2592="Yes", 1, 0)</f>
        <v>1</v>
      </c>
      <c r="L2592" t="str">
        <f>IF(G2592=0,"0 Failures","1+ Failures")</f>
        <v>1+ Failures</v>
      </c>
      <c r="M2592" t="str">
        <f t="shared" si="122"/>
        <v>0-5 hrs</v>
      </c>
      <c r="N2592" t="str">
        <f t="shared" si="120"/>
        <v>12+ months</v>
      </c>
      <c r="O2592" t="str">
        <f t="shared" si="121"/>
        <v>Basic</v>
      </c>
      <c r="P2592" s="7">
        <v>45657</v>
      </c>
    </row>
    <row r="2593" spans="1:16" x14ac:dyDescent="0.3">
      <c r="A2593">
        <v>2592</v>
      </c>
      <c r="B2593" s="7">
        <v>45033</v>
      </c>
      <c r="C2593" t="s">
        <v>14</v>
      </c>
      <c r="D2593">
        <v>399</v>
      </c>
      <c r="E2593">
        <v>10.3</v>
      </c>
      <c r="F2593">
        <v>5</v>
      </c>
      <c r="G2593">
        <v>4</v>
      </c>
      <c r="H2593">
        <v>20</v>
      </c>
      <c r="I2593">
        <v>4</v>
      </c>
      <c r="J2593" t="s">
        <v>11</v>
      </c>
      <c r="K2593">
        <f>IF(J2593="Yes", 1, 0)</f>
        <v>1</v>
      </c>
      <c r="L2593" t="str">
        <f>IF(G2593=0,"0 Failures","1+ Failures")</f>
        <v>1+ Failures</v>
      </c>
      <c r="M2593" t="str">
        <f t="shared" si="122"/>
        <v>10-20hrs</v>
      </c>
      <c r="N2593" t="str">
        <f t="shared" si="120"/>
        <v>12+ months</v>
      </c>
      <c r="O2593" t="str">
        <f t="shared" si="121"/>
        <v>Basic</v>
      </c>
      <c r="P2593" s="7">
        <v>45657</v>
      </c>
    </row>
    <row r="2594" spans="1:16" x14ac:dyDescent="0.3">
      <c r="A2594">
        <v>2593</v>
      </c>
      <c r="B2594" s="7">
        <v>45442</v>
      </c>
      <c r="C2594" t="s">
        <v>12</v>
      </c>
      <c r="D2594">
        <v>199</v>
      </c>
      <c r="E2594">
        <v>7.4</v>
      </c>
      <c r="F2594">
        <v>1</v>
      </c>
      <c r="G2594">
        <v>0</v>
      </c>
      <c r="H2594">
        <v>12</v>
      </c>
      <c r="I2594">
        <v>23</v>
      </c>
      <c r="J2594" t="s">
        <v>13</v>
      </c>
      <c r="K2594">
        <f>IF(J2594="Yes", 1, 0)</f>
        <v>0</v>
      </c>
      <c r="L2594" t="str">
        <f>IF(G2594=0,"0 Failures","1+ Failures")</f>
        <v>0 Failures</v>
      </c>
      <c r="M2594" t="str">
        <f t="shared" si="122"/>
        <v>5-10 hrs</v>
      </c>
      <c r="N2594" t="str">
        <f t="shared" si="120"/>
        <v>6-12months</v>
      </c>
      <c r="O2594" t="str">
        <f t="shared" si="121"/>
        <v>Basic</v>
      </c>
      <c r="P2594" s="7">
        <v>45657</v>
      </c>
    </row>
    <row r="2595" spans="1:16" x14ac:dyDescent="0.3">
      <c r="A2595">
        <v>2594</v>
      </c>
      <c r="B2595" s="7">
        <v>45476</v>
      </c>
      <c r="C2595" t="s">
        <v>14</v>
      </c>
      <c r="D2595">
        <v>399</v>
      </c>
      <c r="E2595">
        <v>20</v>
      </c>
      <c r="F2595">
        <v>6</v>
      </c>
      <c r="G2595">
        <v>0</v>
      </c>
      <c r="H2595">
        <v>35</v>
      </c>
      <c r="I2595">
        <v>0</v>
      </c>
      <c r="J2595" t="s">
        <v>13</v>
      </c>
      <c r="K2595">
        <f>IF(J2595="Yes", 1, 0)</f>
        <v>0</v>
      </c>
      <c r="L2595" t="str">
        <f>IF(G2595=0,"0 Failures","1+ Failures")</f>
        <v>0 Failures</v>
      </c>
      <c r="M2595" t="str">
        <f t="shared" si="122"/>
        <v>10-20hrs</v>
      </c>
      <c r="N2595" t="str">
        <f t="shared" si="120"/>
        <v>12+ months</v>
      </c>
      <c r="O2595" t="str">
        <f t="shared" si="121"/>
        <v>Basic</v>
      </c>
      <c r="P2595" s="7">
        <v>45657</v>
      </c>
    </row>
    <row r="2596" spans="1:16" x14ac:dyDescent="0.3">
      <c r="A2596">
        <v>2595</v>
      </c>
      <c r="B2596" s="7">
        <v>45499</v>
      </c>
      <c r="C2596" t="s">
        <v>12</v>
      </c>
      <c r="D2596">
        <v>199</v>
      </c>
      <c r="E2596">
        <v>12.1</v>
      </c>
      <c r="F2596">
        <v>8</v>
      </c>
      <c r="G2596">
        <v>3</v>
      </c>
      <c r="H2596">
        <v>7</v>
      </c>
      <c r="I2596">
        <v>30</v>
      </c>
      <c r="J2596" t="s">
        <v>11</v>
      </c>
      <c r="K2596">
        <f>IF(J2596="Yes", 1, 0)</f>
        <v>1</v>
      </c>
      <c r="L2596" t="str">
        <f>IF(G2596=0,"0 Failures","1+ Failures")</f>
        <v>1+ Failures</v>
      </c>
      <c r="M2596" t="str">
        <f t="shared" si="122"/>
        <v>10-20hrs</v>
      </c>
      <c r="N2596" t="str">
        <f t="shared" si="120"/>
        <v>6-12months</v>
      </c>
      <c r="O2596" t="str">
        <f t="shared" si="121"/>
        <v>Basic</v>
      </c>
      <c r="P2596" s="7">
        <v>45657</v>
      </c>
    </row>
    <row r="2597" spans="1:16" x14ac:dyDescent="0.3">
      <c r="A2597">
        <v>2596</v>
      </c>
      <c r="B2597" s="7">
        <v>45293</v>
      </c>
      <c r="C2597" t="s">
        <v>12</v>
      </c>
      <c r="D2597">
        <v>199</v>
      </c>
      <c r="E2597">
        <v>21.9</v>
      </c>
      <c r="F2597">
        <v>2</v>
      </c>
      <c r="G2597">
        <v>4</v>
      </c>
      <c r="H2597">
        <v>13</v>
      </c>
      <c r="I2597">
        <v>38</v>
      </c>
      <c r="J2597" t="s">
        <v>13</v>
      </c>
      <c r="K2597">
        <f>IF(J2597="Yes", 1, 0)</f>
        <v>0</v>
      </c>
      <c r="L2597" t="str">
        <f>IF(G2597=0,"0 Failures","1+ Failures")</f>
        <v>1+ Failures</v>
      </c>
      <c r="M2597" t="str">
        <f t="shared" si="122"/>
        <v>20+ hrs</v>
      </c>
      <c r="N2597" t="str">
        <f t="shared" si="120"/>
        <v>12+ months</v>
      </c>
      <c r="O2597" t="str">
        <f t="shared" si="121"/>
        <v>Basic</v>
      </c>
      <c r="P2597" s="7">
        <v>45657</v>
      </c>
    </row>
    <row r="2598" spans="1:16" x14ac:dyDescent="0.3">
      <c r="A2598">
        <v>2597</v>
      </c>
      <c r="B2598" s="7">
        <v>45345</v>
      </c>
      <c r="C2598" t="s">
        <v>14</v>
      </c>
      <c r="D2598">
        <v>399</v>
      </c>
      <c r="E2598">
        <v>23.3</v>
      </c>
      <c r="F2598">
        <v>4</v>
      </c>
      <c r="G2598">
        <v>3</v>
      </c>
      <c r="H2598">
        <v>1</v>
      </c>
      <c r="I2598">
        <v>8</v>
      </c>
      <c r="J2598" t="s">
        <v>13</v>
      </c>
      <c r="K2598">
        <f>IF(J2598="Yes", 1, 0)</f>
        <v>0</v>
      </c>
      <c r="L2598" t="str">
        <f>IF(G2598=0,"0 Failures","1+ Failures")</f>
        <v>1+ Failures</v>
      </c>
      <c r="M2598" t="str">
        <f t="shared" si="122"/>
        <v>20+ hrs</v>
      </c>
      <c r="N2598" t="str">
        <f t="shared" si="120"/>
        <v>0-3months</v>
      </c>
      <c r="O2598" t="str">
        <f t="shared" si="121"/>
        <v>Basic</v>
      </c>
      <c r="P2598" s="7">
        <v>45657</v>
      </c>
    </row>
    <row r="2599" spans="1:16" x14ac:dyDescent="0.3">
      <c r="A2599">
        <v>2598</v>
      </c>
      <c r="B2599" s="7">
        <v>45095</v>
      </c>
      <c r="C2599" t="s">
        <v>14</v>
      </c>
      <c r="D2599">
        <v>399</v>
      </c>
      <c r="E2599">
        <v>16.100000000000001</v>
      </c>
      <c r="F2599">
        <v>6</v>
      </c>
      <c r="G2599">
        <v>0</v>
      </c>
      <c r="H2599">
        <v>11</v>
      </c>
      <c r="I2599">
        <v>9</v>
      </c>
      <c r="J2599" t="s">
        <v>13</v>
      </c>
      <c r="K2599">
        <f>IF(J2599="Yes", 1, 0)</f>
        <v>0</v>
      </c>
      <c r="L2599" t="str">
        <f>IF(G2599=0,"0 Failures","1+ Failures")</f>
        <v>0 Failures</v>
      </c>
      <c r="M2599" t="str">
        <f t="shared" si="122"/>
        <v>10-20hrs</v>
      </c>
      <c r="N2599" t="str">
        <f t="shared" si="120"/>
        <v>6-12months</v>
      </c>
      <c r="O2599" t="str">
        <f t="shared" si="121"/>
        <v>Basic</v>
      </c>
      <c r="P2599" s="7">
        <v>45657</v>
      </c>
    </row>
    <row r="2600" spans="1:16" x14ac:dyDescent="0.3">
      <c r="A2600">
        <v>2599</v>
      </c>
      <c r="B2600" s="7">
        <v>45277</v>
      </c>
      <c r="C2600" t="s">
        <v>12</v>
      </c>
      <c r="D2600">
        <v>199</v>
      </c>
      <c r="E2600">
        <v>13.5</v>
      </c>
      <c r="F2600">
        <v>3</v>
      </c>
      <c r="G2600">
        <v>5</v>
      </c>
      <c r="H2600">
        <v>14</v>
      </c>
      <c r="I2600">
        <v>48</v>
      </c>
      <c r="J2600" t="s">
        <v>13</v>
      </c>
      <c r="K2600">
        <f>IF(J2600="Yes", 1, 0)</f>
        <v>0</v>
      </c>
      <c r="L2600" t="str">
        <f>IF(G2600=0,"0 Failures","1+ Failures")</f>
        <v>1+ Failures</v>
      </c>
      <c r="M2600" t="str">
        <f t="shared" si="122"/>
        <v>10-20hrs</v>
      </c>
      <c r="N2600" t="str">
        <f t="shared" si="120"/>
        <v>12+ months</v>
      </c>
      <c r="O2600" t="str">
        <f t="shared" si="121"/>
        <v>Basic</v>
      </c>
      <c r="P2600" s="7">
        <v>45657</v>
      </c>
    </row>
    <row r="2601" spans="1:16" x14ac:dyDescent="0.3">
      <c r="A2601">
        <v>2600</v>
      </c>
      <c r="B2601" s="7">
        <v>45285</v>
      </c>
      <c r="C2601" t="s">
        <v>12</v>
      </c>
      <c r="D2601">
        <v>199</v>
      </c>
      <c r="E2601">
        <v>9</v>
      </c>
      <c r="F2601">
        <v>6</v>
      </c>
      <c r="G2601">
        <v>4</v>
      </c>
      <c r="H2601">
        <v>28</v>
      </c>
      <c r="I2601">
        <v>3</v>
      </c>
      <c r="J2601" t="s">
        <v>11</v>
      </c>
      <c r="K2601">
        <f>IF(J2601="Yes", 1, 0)</f>
        <v>1</v>
      </c>
      <c r="L2601" t="str">
        <f>IF(G2601=0,"0 Failures","1+ Failures")</f>
        <v>1+ Failures</v>
      </c>
      <c r="M2601" t="str">
        <f t="shared" si="122"/>
        <v>5-10 hrs</v>
      </c>
      <c r="N2601" t="str">
        <f t="shared" si="120"/>
        <v>12+ months</v>
      </c>
      <c r="O2601" t="str">
        <f t="shared" si="121"/>
        <v>Basic</v>
      </c>
      <c r="P2601" s="7">
        <v>45657</v>
      </c>
    </row>
    <row r="2602" spans="1:16" x14ac:dyDescent="0.3">
      <c r="A2602">
        <v>2601</v>
      </c>
      <c r="B2602" s="7">
        <v>45053</v>
      </c>
      <c r="C2602" t="s">
        <v>10</v>
      </c>
      <c r="D2602">
        <v>699</v>
      </c>
      <c r="E2602">
        <v>9.5</v>
      </c>
      <c r="F2602">
        <v>4</v>
      </c>
      <c r="G2602">
        <v>4</v>
      </c>
      <c r="H2602">
        <v>11</v>
      </c>
      <c r="I2602">
        <v>11</v>
      </c>
      <c r="J2602" t="s">
        <v>11</v>
      </c>
      <c r="K2602">
        <f>IF(J2602="Yes", 1, 0)</f>
        <v>1</v>
      </c>
      <c r="L2602" t="str">
        <f>IF(G2602=0,"0 Failures","1+ Failures")</f>
        <v>1+ Failures</v>
      </c>
      <c r="M2602" t="str">
        <f t="shared" si="122"/>
        <v>5-10 hrs</v>
      </c>
      <c r="N2602" t="str">
        <f t="shared" si="120"/>
        <v>6-12months</v>
      </c>
      <c r="O2602" t="str">
        <f t="shared" si="121"/>
        <v>Premium</v>
      </c>
      <c r="P2602" s="7">
        <v>45657</v>
      </c>
    </row>
    <row r="2603" spans="1:16" x14ac:dyDescent="0.3">
      <c r="A2603">
        <v>2602</v>
      </c>
      <c r="B2603" s="7">
        <v>45297</v>
      </c>
      <c r="C2603" t="s">
        <v>10</v>
      </c>
      <c r="D2603">
        <v>699</v>
      </c>
      <c r="E2603">
        <v>17.5</v>
      </c>
      <c r="F2603">
        <v>3</v>
      </c>
      <c r="G2603">
        <v>4</v>
      </c>
      <c r="H2603">
        <v>36</v>
      </c>
      <c r="I2603">
        <v>20</v>
      </c>
      <c r="J2603" t="s">
        <v>13</v>
      </c>
      <c r="K2603">
        <f>IF(J2603="Yes", 1, 0)</f>
        <v>0</v>
      </c>
      <c r="L2603" t="str">
        <f>IF(G2603=0,"0 Failures","1+ Failures")</f>
        <v>1+ Failures</v>
      </c>
      <c r="M2603" t="str">
        <f t="shared" si="122"/>
        <v>10-20hrs</v>
      </c>
      <c r="N2603" t="str">
        <f t="shared" si="120"/>
        <v>12+ months</v>
      </c>
      <c r="O2603" t="str">
        <f t="shared" si="121"/>
        <v>Premium</v>
      </c>
      <c r="P2603" s="7">
        <v>45657</v>
      </c>
    </row>
    <row r="2604" spans="1:16" x14ac:dyDescent="0.3">
      <c r="A2604">
        <v>2603</v>
      </c>
      <c r="B2604" s="7">
        <v>45219</v>
      </c>
      <c r="C2604" t="s">
        <v>14</v>
      </c>
      <c r="D2604">
        <v>399</v>
      </c>
      <c r="E2604">
        <v>1.3</v>
      </c>
      <c r="F2604">
        <v>6</v>
      </c>
      <c r="G2604">
        <v>2</v>
      </c>
      <c r="H2604">
        <v>4</v>
      </c>
      <c r="I2604">
        <v>19</v>
      </c>
      <c r="J2604" t="s">
        <v>11</v>
      </c>
      <c r="K2604">
        <f>IF(J2604="Yes", 1, 0)</f>
        <v>1</v>
      </c>
      <c r="L2604" t="str">
        <f>IF(G2604=0,"0 Failures","1+ Failures")</f>
        <v>1+ Failures</v>
      </c>
      <c r="M2604" t="str">
        <f t="shared" si="122"/>
        <v>0-5 hrs</v>
      </c>
      <c r="N2604" t="str">
        <f t="shared" si="120"/>
        <v>3-6months</v>
      </c>
      <c r="O2604" t="str">
        <f t="shared" si="121"/>
        <v>Basic</v>
      </c>
      <c r="P2604" s="7">
        <v>45657</v>
      </c>
    </row>
    <row r="2605" spans="1:16" x14ac:dyDescent="0.3">
      <c r="A2605">
        <v>2604</v>
      </c>
      <c r="B2605" s="7">
        <v>45041</v>
      </c>
      <c r="C2605" t="s">
        <v>10</v>
      </c>
      <c r="D2605">
        <v>699</v>
      </c>
      <c r="E2605">
        <v>8.8000000000000007</v>
      </c>
      <c r="F2605">
        <v>2</v>
      </c>
      <c r="G2605">
        <v>1</v>
      </c>
      <c r="H2605">
        <v>30</v>
      </c>
      <c r="I2605">
        <v>54</v>
      </c>
      <c r="J2605" t="s">
        <v>13</v>
      </c>
      <c r="K2605">
        <f>IF(J2605="Yes", 1, 0)</f>
        <v>0</v>
      </c>
      <c r="L2605" t="str">
        <f>IF(G2605=0,"0 Failures","1+ Failures")</f>
        <v>1+ Failures</v>
      </c>
      <c r="M2605" t="str">
        <f t="shared" si="122"/>
        <v>5-10 hrs</v>
      </c>
      <c r="N2605" t="str">
        <f t="shared" si="120"/>
        <v>12+ months</v>
      </c>
      <c r="O2605" t="str">
        <f t="shared" si="121"/>
        <v>Premium</v>
      </c>
      <c r="P2605" s="7">
        <v>45657</v>
      </c>
    </row>
    <row r="2606" spans="1:16" x14ac:dyDescent="0.3">
      <c r="A2606">
        <v>2605</v>
      </c>
      <c r="B2606" s="7">
        <v>45430</v>
      </c>
      <c r="C2606" t="s">
        <v>12</v>
      </c>
      <c r="D2606">
        <v>199</v>
      </c>
      <c r="E2606">
        <v>4.3</v>
      </c>
      <c r="F2606">
        <v>7</v>
      </c>
      <c r="G2606">
        <v>2</v>
      </c>
      <c r="H2606">
        <v>13</v>
      </c>
      <c r="I2606">
        <v>49</v>
      </c>
      <c r="J2606" t="s">
        <v>11</v>
      </c>
      <c r="K2606">
        <f>IF(J2606="Yes", 1, 0)</f>
        <v>1</v>
      </c>
      <c r="L2606" t="str">
        <f>IF(G2606=0,"0 Failures","1+ Failures")</f>
        <v>1+ Failures</v>
      </c>
      <c r="M2606" t="str">
        <f t="shared" si="122"/>
        <v>0-5 hrs</v>
      </c>
      <c r="N2606" t="str">
        <f t="shared" si="120"/>
        <v>12+ months</v>
      </c>
      <c r="O2606" t="str">
        <f t="shared" si="121"/>
        <v>Basic</v>
      </c>
      <c r="P2606" s="7">
        <v>45657</v>
      </c>
    </row>
    <row r="2607" spans="1:16" x14ac:dyDescent="0.3">
      <c r="A2607">
        <v>2606</v>
      </c>
      <c r="B2607" s="7">
        <v>45587</v>
      </c>
      <c r="C2607" t="s">
        <v>10</v>
      </c>
      <c r="D2607">
        <v>699</v>
      </c>
      <c r="E2607">
        <v>11.5</v>
      </c>
      <c r="F2607">
        <v>6</v>
      </c>
      <c r="G2607">
        <v>1</v>
      </c>
      <c r="H2607">
        <v>6</v>
      </c>
      <c r="I2607">
        <v>15</v>
      </c>
      <c r="J2607" t="s">
        <v>13</v>
      </c>
      <c r="K2607">
        <f>IF(J2607="Yes", 1, 0)</f>
        <v>0</v>
      </c>
      <c r="L2607" t="str">
        <f>IF(G2607=0,"0 Failures","1+ Failures")</f>
        <v>1+ Failures</v>
      </c>
      <c r="M2607" t="str">
        <f t="shared" si="122"/>
        <v>10-20hrs</v>
      </c>
      <c r="N2607" t="str">
        <f t="shared" si="120"/>
        <v>3-6months</v>
      </c>
      <c r="O2607" t="str">
        <f t="shared" si="121"/>
        <v>Premium</v>
      </c>
      <c r="P2607" s="7">
        <v>45657</v>
      </c>
    </row>
    <row r="2608" spans="1:16" x14ac:dyDescent="0.3">
      <c r="A2608">
        <v>2607</v>
      </c>
      <c r="B2608" s="7">
        <v>45478</v>
      </c>
      <c r="C2608" t="s">
        <v>10</v>
      </c>
      <c r="D2608">
        <v>699</v>
      </c>
      <c r="E2608">
        <v>12.5</v>
      </c>
      <c r="F2608">
        <v>0</v>
      </c>
      <c r="G2608">
        <v>1</v>
      </c>
      <c r="H2608">
        <v>11</v>
      </c>
      <c r="I2608">
        <v>55</v>
      </c>
      <c r="J2608" t="s">
        <v>13</v>
      </c>
      <c r="K2608">
        <f>IF(J2608="Yes", 1, 0)</f>
        <v>0</v>
      </c>
      <c r="L2608" t="str">
        <f>IF(G2608=0,"0 Failures","1+ Failures")</f>
        <v>1+ Failures</v>
      </c>
      <c r="M2608" t="str">
        <f t="shared" si="122"/>
        <v>10-20hrs</v>
      </c>
      <c r="N2608" t="str">
        <f t="shared" si="120"/>
        <v>6-12months</v>
      </c>
      <c r="O2608" t="str">
        <f t="shared" si="121"/>
        <v>Premium</v>
      </c>
      <c r="P2608" s="7">
        <v>45657</v>
      </c>
    </row>
    <row r="2609" spans="1:16" x14ac:dyDescent="0.3">
      <c r="A2609">
        <v>2608</v>
      </c>
      <c r="B2609" s="7">
        <v>45482</v>
      </c>
      <c r="C2609" t="s">
        <v>14</v>
      </c>
      <c r="D2609">
        <v>399</v>
      </c>
      <c r="E2609">
        <v>20.6</v>
      </c>
      <c r="F2609">
        <v>7</v>
      </c>
      <c r="G2609">
        <v>2</v>
      </c>
      <c r="H2609">
        <v>11</v>
      </c>
      <c r="I2609">
        <v>45</v>
      </c>
      <c r="J2609" t="s">
        <v>11</v>
      </c>
      <c r="K2609">
        <f>IF(J2609="Yes", 1, 0)</f>
        <v>1</v>
      </c>
      <c r="L2609" t="str">
        <f>IF(G2609=0,"0 Failures","1+ Failures")</f>
        <v>1+ Failures</v>
      </c>
      <c r="M2609" t="str">
        <f t="shared" si="122"/>
        <v>20+ hrs</v>
      </c>
      <c r="N2609" t="str">
        <f t="shared" si="120"/>
        <v>6-12months</v>
      </c>
      <c r="O2609" t="str">
        <f t="shared" si="121"/>
        <v>Basic</v>
      </c>
      <c r="P2609" s="7">
        <v>45657</v>
      </c>
    </row>
    <row r="2610" spans="1:16" x14ac:dyDescent="0.3">
      <c r="A2610">
        <v>2609</v>
      </c>
      <c r="B2610" s="7">
        <v>45263</v>
      </c>
      <c r="C2610" t="s">
        <v>12</v>
      </c>
      <c r="D2610">
        <v>199</v>
      </c>
      <c r="E2610">
        <v>15.4</v>
      </c>
      <c r="F2610">
        <v>6</v>
      </c>
      <c r="G2610">
        <v>1</v>
      </c>
      <c r="H2610">
        <v>5</v>
      </c>
      <c r="I2610">
        <v>52</v>
      </c>
      <c r="J2610" t="s">
        <v>11</v>
      </c>
      <c r="K2610">
        <f>IF(J2610="Yes", 1, 0)</f>
        <v>1</v>
      </c>
      <c r="L2610" t="str">
        <f>IF(G2610=0,"0 Failures","1+ Failures")</f>
        <v>1+ Failures</v>
      </c>
      <c r="M2610" t="str">
        <f t="shared" si="122"/>
        <v>10-20hrs</v>
      </c>
      <c r="N2610" t="str">
        <f t="shared" si="120"/>
        <v>3-6months</v>
      </c>
      <c r="O2610" t="str">
        <f t="shared" si="121"/>
        <v>Basic</v>
      </c>
      <c r="P2610" s="7">
        <v>45657</v>
      </c>
    </row>
    <row r="2611" spans="1:16" x14ac:dyDescent="0.3">
      <c r="A2611">
        <v>2610</v>
      </c>
      <c r="B2611" s="7">
        <v>45075</v>
      </c>
      <c r="C2611" t="s">
        <v>10</v>
      </c>
      <c r="D2611">
        <v>699</v>
      </c>
      <c r="E2611">
        <v>1.3</v>
      </c>
      <c r="F2611">
        <v>3</v>
      </c>
      <c r="G2611">
        <v>2</v>
      </c>
      <c r="H2611">
        <v>13</v>
      </c>
      <c r="I2611">
        <v>46</v>
      </c>
      <c r="J2611" t="s">
        <v>11</v>
      </c>
      <c r="K2611">
        <f>IF(J2611="Yes", 1, 0)</f>
        <v>1</v>
      </c>
      <c r="L2611" t="str">
        <f>IF(G2611=0,"0 Failures","1+ Failures")</f>
        <v>1+ Failures</v>
      </c>
      <c r="M2611" t="str">
        <f t="shared" si="122"/>
        <v>0-5 hrs</v>
      </c>
      <c r="N2611" t="str">
        <f t="shared" si="120"/>
        <v>12+ months</v>
      </c>
      <c r="O2611" t="str">
        <f t="shared" si="121"/>
        <v>Premium</v>
      </c>
      <c r="P2611" s="7">
        <v>45657</v>
      </c>
    </row>
    <row r="2612" spans="1:16" x14ac:dyDescent="0.3">
      <c r="A2612">
        <v>2611</v>
      </c>
      <c r="B2612" s="7">
        <v>45643</v>
      </c>
      <c r="C2612" t="s">
        <v>14</v>
      </c>
      <c r="D2612">
        <v>399</v>
      </c>
      <c r="E2612">
        <v>8.6</v>
      </c>
      <c r="F2612">
        <v>3</v>
      </c>
      <c r="G2612">
        <v>2</v>
      </c>
      <c r="H2612">
        <v>15</v>
      </c>
      <c r="I2612">
        <v>0</v>
      </c>
      <c r="J2612" t="s">
        <v>11</v>
      </c>
      <c r="K2612">
        <f>IF(J2612="Yes", 1, 0)</f>
        <v>1</v>
      </c>
      <c r="L2612" t="str">
        <f>IF(G2612=0,"0 Failures","1+ Failures")</f>
        <v>1+ Failures</v>
      </c>
      <c r="M2612" t="str">
        <f t="shared" si="122"/>
        <v>5-10 hrs</v>
      </c>
      <c r="N2612" t="str">
        <f t="shared" si="120"/>
        <v>12+ months</v>
      </c>
      <c r="O2612" t="str">
        <f t="shared" si="121"/>
        <v>Basic</v>
      </c>
      <c r="P2612" s="7">
        <v>45657</v>
      </c>
    </row>
    <row r="2613" spans="1:16" x14ac:dyDescent="0.3">
      <c r="A2613">
        <v>2612</v>
      </c>
      <c r="B2613" s="7">
        <v>45453</v>
      </c>
      <c r="C2613" t="s">
        <v>10</v>
      </c>
      <c r="D2613">
        <v>699</v>
      </c>
      <c r="E2613">
        <v>13.1</v>
      </c>
      <c r="F2613">
        <v>6</v>
      </c>
      <c r="G2613">
        <v>3</v>
      </c>
      <c r="H2613">
        <v>7</v>
      </c>
      <c r="I2613">
        <v>30</v>
      </c>
      <c r="J2613" t="s">
        <v>11</v>
      </c>
      <c r="K2613">
        <f>IF(J2613="Yes", 1, 0)</f>
        <v>1</v>
      </c>
      <c r="L2613" t="str">
        <f>IF(G2613=0,"0 Failures","1+ Failures")</f>
        <v>1+ Failures</v>
      </c>
      <c r="M2613" t="str">
        <f t="shared" si="122"/>
        <v>10-20hrs</v>
      </c>
      <c r="N2613" t="str">
        <f t="shared" si="120"/>
        <v>6-12months</v>
      </c>
      <c r="O2613" t="str">
        <f t="shared" si="121"/>
        <v>Premium</v>
      </c>
      <c r="P2613" s="7">
        <v>45657</v>
      </c>
    </row>
    <row r="2614" spans="1:16" x14ac:dyDescent="0.3">
      <c r="A2614">
        <v>2613</v>
      </c>
      <c r="B2614" s="7">
        <v>45613</v>
      </c>
      <c r="C2614" t="s">
        <v>12</v>
      </c>
      <c r="D2614">
        <v>199</v>
      </c>
      <c r="E2614">
        <v>9</v>
      </c>
      <c r="F2614">
        <v>2</v>
      </c>
      <c r="G2614">
        <v>2</v>
      </c>
      <c r="H2614">
        <v>28</v>
      </c>
      <c r="I2614">
        <v>16</v>
      </c>
      <c r="J2614" t="s">
        <v>11</v>
      </c>
      <c r="K2614">
        <f>IF(J2614="Yes", 1, 0)</f>
        <v>1</v>
      </c>
      <c r="L2614" t="str">
        <f>IF(G2614=0,"0 Failures","1+ Failures")</f>
        <v>1+ Failures</v>
      </c>
      <c r="M2614" t="str">
        <f t="shared" si="122"/>
        <v>5-10 hrs</v>
      </c>
      <c r="N2614" t="str">
        <f t="shared" si="120"/>
        <v>12+ months</v>
      </c>
      <c r="O2614" t="str">
        <f t="shared" si="121"/>
        <v>Basic</v>
      </c>
      <c r="P2614" s="7">
        <v>45657</v>
      </c>
    </row>
    <row r="2615" spans="1:16" x14ac:dyDescent="0.3">
      <c r="A2615">
        <v>2614</v>
      </c>
      <c r="B2615" s="7">
        <v>45297</v>
      </c>
      <c r="C2615" t="s">
        <v>14</v>
      </c>
      <c r="D2615">
        <v>399</v>
      </c>
      <c r="E2615">
        <v>6.9</v>
      </c>
      <c r="F2615">
        <v>0</v>
      </c>
      <c r="G2615">
        <v>4</v>
      </c>
      <c r="H2615">
        <v>17</v>
      </c>
      <c r="I2615">
        <v>13</v>
      </c>
      <c r="J2615" t="s">
        <v>13</v>
      </c>
      <c r="K2615">
        <f>IF(J2615="Yes", 1, 0)</f>
        <v>0</v>
      </c>
      <c r="L2615" t="str">
        <f>IF(G2615=0,"0 Failures","1+ Failures")</f>
        <v>1+ Failures</v>
      </c>
      <c r="M2615" t="str">
        <f t="shared" si="122"/>
        <v>5-10 hrs</v>
      </c>
      <c r="N2615" t="str">
        <f t="shared" si="120"/>
        <v>12+ months</v>
      </c>
      <c r="O2615" t="str">
        <f t="shared" si="121"/>
        <v>Basic</v>
      </c>
      <c r="P2615" s="7">
        <v>45657</v>
      </c>
    </row>
    <row r="2616" spans="1:16" x14ac:dyDescent="0.3">
      <c r="A2616">
        <v>2615</v>
      </c>
      <c r="B2616" s="7">
        <v>45036</v>
      </c>
      <c r="C2616" t="s">
        <v>10</v>
      </c>
      <c r="D2616">
        <v>699</v>
      </c>
      <c r="E2616">
        <v>12.1</v>
      </c>
      <c r="F2616">
        <v>3</v>
      </c>
      <c r="G2616">
        <v>3</v>
      </c>
      <c r="H2616">
        <v>5</v>
      </c>
      <c r="I2616">
        <v>45</v>
      </c>
      <c r="J2616" t="s">
        <v>13</v>
      </c>
      <c r="K2616">
        <f>IF(J2616="Yes", 1, 0)</f>
        <v>0</v>
      </c>
      <c r="L2616" t="str">
        <f>IF(G2616=0,"0 Failures","1+ Failures")</f>
        <v>1+ Failures</v>
      </c>
      <c r="M2616" t="str">
        <f t="shared" si="122"/>
        <v>10-20hrs</v>
      </c>
      <c r="N2616" t="str">
        <f t="shared" si="120"/>
        <v>3-6months</v>
      </c>
      <c r="O2616" t="str">
        <f t="shared" si="121"/>
        <v>Premium</v>
      </c>
      <c r="P2616" s="7">
        <v>45657</v>
      </c>
    </row>
    <row r="2617" spans="1:16" x14ac:dyDescent="0.3">
      <c r="A2617">
        <v>2616</v>
      </c>
      <c r="B2617" s="7">
        <v>45441</v>
      </c>
      <c r="C2617" t="s">
        <v>12</v>
      </c>
      <c r="D2617">
        <v>199</v>
      </c>
      <c r="E2617">
        <v>6.4</v>
      </c>
      <c r="F2617">
        <v>1</v>
      </c>
      <c r="G2617">
        <v>1</v>
      </c>
      <c r="H2617">
        <v>21</v>
      </c>
      <c r="I2617">
        <v>34</v>
      </c>
      <c r="J2617" t="s">
        <v>13</v>
      </c>
      <c r="K2617">
        <f>IF(J2617="Yes", 1, 0)</f>
        <v>0</v>
      </c>
      <c r="L2617" t="str">
        <f>IF(G2617=0,"0 Failures","1+ Failures")</f>
        <v>1+ Failures</v>
      </c>
      <c r="M2617" t="str">
        <f t="shared" si="122"/>
        <v>5-10 hrs</v>
      </c>
      <c r="N2617" t="str">
        <f t="shared" si="120"/>
        <v>12+ months</v>
      </c>
      <c r="O2617" t="str">
        <f t="shared" si="121"/>
        <v>Basic</v>
      </c>
      <c r="P2617" s="7">
        <v>45657</v>
      </c>
    </row>
    <row r="2618" spans="1:16" x14ac:dyDescent="0.3">
      <c r="A2618">
        <v>2617</v>
      </c>
      <c r="B2618" s="7">
        <v>45527</v>
      </c>
      <c r="C2618" t="s">
        <v>10</v>
      </c>
      <c r="D2618">
        <v>699</v>
      </c>
      <c r="E2618">
        <v>21.9</v>
      </c>
      <c r="F2618">
        <v>6</v>
      </c>
      <c r="G2618">
        <v>4</v>
      </c>
      <c r="H2618">
        <v>17</v>
      </c>
      <c r="I2618">
        <v>36</v>
      </c>
      <c r="J2618" t="s">
        <v>11</v>
      </c>
      <c r="K2618">
        <f>IF(J2618="Yes", 1, 0)</f>
        <v>1</v>
      </c>
      <c r="L2618" t="str">
        <f>IF(G2618=0,"0 Failures","1+ Failures")</f>
        <v>1+ Failures</v>
      </c>
      <c r="M2618" t="str">
        <f t="shared" si="122"/>
        <v>20+ hrs</v>
      </c>
      <c r="N2618" t="str">
        <f t="shared" si="120"/>
        <v>12+ months</v>
      </c>
      <c r="O2618" t="str">
        <f t="shared" si="121"/>
        <v>Premium</v>
      </c>
      <c r="P2618" s="7">
        <v>45657</v>
      </c>
    </row>
    <row r="2619" spans="1:16" x14ac:dyDescent="0.3">
      <c r="A2619">
        <v>2618</v>
      </c>
      <c r="B2619" s="7">
        <v>45646</v>
      </c>
      <c r="C2619" t="s">
        <v>10</v>
      </c>
      <c r="D2619">
        <v>699</v>
      </c>
      <c r="E2619">
        <v>19.5</v>
      </c>
      <c r="F2619">
        <v>0</v>
      </c>
      <c r="G2619">
        <v>2</v>
      </c>
      <c r="H2619">
        <v>33</v>
      </c>
      <c r="I2619">
        <v>20</v>
      </c>
      <c r="J2619" t="s">
        <v>13</v>
      </c>
      <c r="K2619">
        <f>IF(J2619="Yes", 1, 0)</f>
        <v>0</v>
      </c>
      <c r="L2619" t="str">
        <f>IF(G2619=0,"0 Failures","1+ Failures")</f>
        <v>1+ Failures</v>
      </c>
      <c r="M2619" t="str">
        <f t="shared" si="122"/>
        <v>10-20hrs</v>
      </c>
      <c r="N2619" t="str">
        <f t="shared" si="120"/>
        <v>12+ months</v>
      </c>
      <c r="O2619" t="str">
        <f t="shared" si="121"/>
        <v>Premium</v>
      </c>
      <c r="P2619" s="7">
        <v>45657</v>
      </c>
    </row>
    <row r="2620" spans="1:16" x14ac:dyDescent="0.3">
      <c r="A2620">
        <v>2619</v>
      </c>
      <c r="B2620" s="7">
        <v>45165</v>
      </c>
      <c r="C2620" t="s">
        <v>12</v>
      </c>
      <c r="D2620">
        <v>199</v>
      </c>
      <c r="E2620">
        <v>3.1</v>
      </c>
      <c r="F2620">
        <v>7</v>
      </c>
      <c r="G2620">
        <v>5</v>
      </c>
      <c r="H2620">
        <v>31</v>
      </c>
      <c r="I2620">
        <v>8</v>
      </c>
      <c r="J2620" t="s">
        <v>11</v>
      </c>
      <c r="K2620">
        <f>IF(J2620="Yes", 1, 0)</f>
        <v>1</v>
      </c>
      <c r="L2620" t="str">
        <f>IF(G2620=0,"0 Failures","1+ Failures")</f>
        <v>1+ Failures</v>
      </c>
      <c r="M2620" t="str">
        <f t="shared" si="122"/>
        <v>0-5 hrs</v>
      </c>
      <c r="N2620" t="str">
        <f t="shared" si="120"/>
        <v>12+ months</v>
      </c>
      <c r="O2620" t="str">
        <f t="shared" si="121"/>
        <v>Basic</v>
      </c>
      <c r="P2620" s="7">
        <v>45657</v>
      </c>
    </row>
    <row r="2621" spans="1:16" x14ac:dyDescent="0.3">
      <c r="A2621">
        <v>2620</v>
      </c>
      <c r="B2621" s="7">
        <v>45106</v>
      </c>
      <c r="C2621" t="s">
        <v>12</v>
      </c>
      <c r="D2621">
        <v>199</v>
      </c>
      <c r="E2621">
        <v>21.6</v>
      </c>
      <c r="F2621">
        <v>8</v>
      </c>
      <c r="G2621">
        <v>5</v>
      </c>
      <c r="H2621">
        <v>6</v>
      </c>
      <c r="I2621">
        <v>24</v>
      </c>
      <c r="J2621" t="s">
        <v>11</v>
      </c>
      <c r="K2621">
        <f>IF(J2621="Yes", 1, 0)</f>
        <v>1</v>
      </c>
      <c r="L2621" t="str">
        <f>IF(G2621=0,"0 Failures","1+ Failures")</f>
        <v>1+ Failures</v>
      </c>
      <c r="M2621" t="str">
        <f t="shared" si="122"/>
        <v>20+ hrs</v>
      </c>
      <c r="N2621" t="str">
        <f t="shared" si="120"/>
        <v>3-6months</v>
      </c>
      <c r="O2621" t="str">
        <f t="shared" si="121"/>
        <v>Basic</v>
      </c>
      <c r="P2621" s="7">
        <v>45657</v>
      </c>
    </row>
    <row r="2622" spans="1:16" x14ac:dyDescent="0.3">
      <c r="A2622">
        <v>2621</v>
      </c>
      <c r="B2622" s="7">
        <v>45093</v>
      </c>
      <c r="C2622" t="s">
        <v>14</v>
      </c>
      <c r="D2622">
        <v>399</v>
      </c>
      <c r="E2622">
        <v>22.7</v>
      </c>
      <c r="F2622">
        <v>8</v>
      </c>
      <c r="G2622">
        <v>5</v>
      </c>
      <c r="H2622">
        <v>9</v>
      </c>
      <c r="I2622">
        <v>14</v>
      </c>
      <c r="J2622" t="s">
        <v>13</v>
      </c>
      <c r="K2622">
        <f>IF(J2622="Yes", 1, 0)</f>
        <v>0</v>
      </c>
      <c r="L2622" t="str">
        <f>IF(G2622=0,"0 Failures","1+ Failures")</f>
        <v>1+ Failures</v>
      </c>
      <c r="M2622" t="str">
        <f t="shared" si="122"/>
        <v>20+ hrs</v>
      </c>
      <c r="N2622" t="str">
        <f t="shared" si="120"/>
        <v>6-12months</v>
      </c>
      <c r="O2622" t="str">
        <f t="shared" si="121"/>
        <v>Basic</v>
      </c>
      <c r="P2622" s="7">
        <v>45657</v>
      </c>
    </row>
    <row r="2623" spans="1:16" x14ac:dyDescent="0.3">
      <c r="A2623">
        <v>2622</v>
      </c>
      <c r="B2623" s="7">
        <v>45602</v>
      </c>
      <c r="C2623" t="s">
        <v>10</v>
      </c>
      <c r="D2623">
        <v>699</v>
      </c>
      <c r="E2623">
        <v>6.3</v>
      </c>
      <c r="F2623">
        <v>1</v>
      </c>
      <c r="G2623">
        <v>1</v>
      </c>
      <c r="H2623">
        <v>16</v>
      </c>
      <c r="I2623">
        <v>7</v>
      </c>
      <c r="J2623" t="s">
        <v>13</v>
      </c>
      <c r="K2623">
        <f>IF(J2623="Yes", 1, 0)</f>
        <v>0</v>
      </c>
      <c r="L2623" t="str">
        <f>IF(G2623=0,"0 Failures","1+ Failures")</f>
        <v>1+ Failures</v>
      </c>
      <c r="M2623" t="str">
        <f t="shared" si="122"/>
        <v>5-10 hrs</v>
      </c>
      <c r="N2623" t="str">
        <f t="shared" si="120"/>
        <v>12+ months</v>
      </c>
      <c r="O2623" t="str">
        <f t="shared" si="121"/>
        <v>Premium</v>
      </c>
      <c r="P2623" s="7">
        <v>45657</v>
      </c>
    </row>
    <row r="2624" spans="1:16" x14ac:dyDescent="0.3">
      <c r="A2624">
        <v>2623</v>
      </c>
      <c r="B2624" s="7">
        <v>45456</v>
      </c>
      <c r="C2624" t="s">
        <v>10</v>
      </c>
      <c r="D2624">
        <v>699</v>
      </c>
      <c r="E2624">
        <v>1.2</v>
      </c>
      <c r="F2624">
        <v>2</v>
      </c>
      <c r="G2624">
        <v>4</v>
      </c>
      <c r="H2624">
        <v>32</v>
      </c>
      <c r="I2624">
        <v>13</v>
      </c>
      <c r="J2624" t="s">
        <v>13</v>
      </c>
      <c r="K2624">
        <f>IF(J2624="Yes", 1, 0)</f>
        <v>0</v>
      </c>
      <c r="L2624" t="str">
        <f>IF(G2624=0,"0 Failures","1+ Failures")</f>
        <v>1+ Failures</v>
      </c>
      <c r="M2624" t="str">
        <f t="shared" si="122"/>
        <v>0-5 hrs</v>
      </c>
      <c r="N2624" t="str">
        <f t="shared" si="120"/>
        <v>12+ months</v>
      </c>
      <c r="O2624" t="str">
        <f t="shared" si="121"/>
        <v>Premium</v>
      </c>
      <c r="P2624" s="7">
        <v>45657</v>
      </c>
    </row>
    <row r="2625" spans="1:16" x14ac:dyDescent="0.3">
      <c r="A2625">
        <v>2624</v>
      </c>
      <c r="B2625" s="7">
        <v>44972</v>
      </c>
      <c r="C2625" t="s">
        <v>10</v>
      </c>
      <c r="D2625">
        <v>699</v>
      </c>
      <c r="E2625">
        <v>17.899999999999999</v>
      </c>
      <c r="F2625">
        <v>8</v>
      </c>
      <c r="G2625">
        <v>1</v>
      </c>
      <c r="H2625">
        <v>4</v>
      </c>
      <c r="I2625">
        <v>10</v>
      </c>
      <c r="J2625" t="s">
        <v>11</v>
      </c>
      <c r="K2625">
        <f>IF(J2625="Yes", 1, 0)</f>
        <v>1</v>
      </c>
      <c r="L2625" t="str">
        <f>IF(G2625=0,"0 Failures","1+ Failures")</f>
        <v>1+ Failures</v>
      </c>
      <c r="M2625" t="str">
        <f t="shared" si="122"/>
        <v>10-20hrs</v>
      </c>
      <c r="N2625" t="str">
        <f t="shared" si="120"/>
        <v>3-6months</v>
      </c>
      <c r="O2625" t="str">
        <f t="shared" si="121"/>
        <v>Premium</v>
      </c>
      <c r="P2625" s="7">
        <v>45657</v>
      </c>
    </row>
    <row r="2626" spans="1:16" x14ac:dyDescent="0.3">
      <c r="A2626">
        <v>2625</v>
      </c>
      <c r="B2626" s="7">
        <v>45461</v>
      </c>
      <c r="C2626" t="s">
        <v>12</v>
      </c>
      <c r="D2626">
        <v>199</v>
      </c>
      <c r="E2626">
        <v>5</v>
      </c>
      <c r="F2626">
        <v>2</v>
      </c>
      <c r="G2626">
        <v>0</v>
      </c>
      <c r="H2626">
        <v>1</v>
      </c>
      <c r="I2626">
        <v>1</v>
      </c>
      <c r="J2626" t="s">
        <v>11</v>
      </c>
      <c r="K2626">
        <f>IF(J2626="Yes", 1, 0)</f>
        <v>1</v>
      </c>
      <c r="L2626" t="str">
        <f>IF(G2626=0,"0 Failures","1+ Failures")</f>
        <v>0 Failures</v>
      </c>
      <c r="M2626" t="str">
        <f t="shared" si="122"/>
        <v>0-5 hrs</v>
      </c>
      <c r="N2626" t="str">
        <f t="shared" si="120"/>
        <v>0-3months</v>
      </c>
      <c r="O2626" t="str">
        <f t="shared" si="121"/>
        <v>Basic</v>
      </c>
      <c r="P2626" s="7">
        <v>45657</v>
      </c>
    </row>
    <row r="2627" spans="1:16" x14ac:dyDescent="0.3">
      <c r="A2627">
        <v>2626</v>
      </c>
      <c r="B2627" s="7">
        <v>45573</v>
      </c>
      <c r="C2627" t="s">
        <v>14</v>
      </c>
      <c r="D2627">
        <v>399</v>
      </c>
      <c r="E2627">
        <v>11.1</v>
      </c>
      <c r="F2627">
        <v>1</v>
      </c>
      <c r="G2627">
        <v>0</v>
      </c>
      <c r="H2627">
        <v>30</v>
      </c>
      <c r="I2627">
        <v>58</v>
      </c>
      <c r="J2627" t="s">
        <v>11</v>
      </c>
      <c r="K2627">
        <f>IF(J2627="Yes", 1, 0)</f>
        <v>1</v>
      </c>
      <c r="L2627" t="str">
        <f>IF(G2627=0,"0 Failures","1+ Failures")</f>
        <v>0 Failures</v>
      </c>
      <c r="M2627" t="str">
        <f t="shared" si="122"/>
        <v>10-20hrs</v>
      </c>
      <c r="N2627" t="str">
        <f t="shared" ref="N2627:N2690" si="123">IF(H2627&lt;=3, "0-3months", IF(H2627&lt;=6, "3-6months", IF(H2627&lt;=12, "6-12months", "12+ months")))</f>
        <v>12+ months</v>
      </c>
      <c r="O2627" t="str">
        <f t="shared" ref="O2627:O2690" si="124">IF(C2627="premium", "Premium", "Basic")</f>
        <v>Basic</v>
      </c>
      <c r="P2627" s="7">
        <v>45657</v>
      </c>
    </row>
    <row r="2628" spans="1:16" x14ac:dyDescent="0.3">
      <c r="A2628">
        <v>2627</v>
      </c>
      <c r="B2628" s="7">
        <v>45487</v>
      </c>
      <c r="C2628" t="s">
        <v>10</v>
      </c>
      <c r="D2628">
        <v>699</v>
      </c>
      <c r="E2628">
        <v>23</v>
      </c>
      <c r="F2628">
        <v>7</v>
      </c>
      <c r="G2628">
        <v>5</v>
      </c>
      <c r="H2628">
        <v>36</v>
      </c>
      <c r="I2628">
        <v>24</v>
      </c>
      <c r="J2628" t="s">
        <v>11</v>
      </c>
      <c r="K2628">
        <f>IF(J2628="Yes", 1, 0)</f>
        <v>1</v>
      </c>
      <c r="L2628" t="str">
        <f>IF(G2628=0,"0 Failures","1+ Failures")</f>
        <v>1+ Failures</v>
      </c>
      <c r="M2628" t="str">
        <f t="shared" si="122"/>
        <v>20+ hrs</v>
      </c>
      <c r="N2628" t="str">
        <f t="shared" si="123"/>
        <v>12+ months</v>
      </c>
      <c r="O2628" t="str">
        <f t="shared" si="124"/>
        <v>Premium</v>
      </c>
      <c r="P2628" s="7">
        <v>45657</v>
      </c>
    </row>
    <row r="2629" spans="1:16" x14ac:dyDescent="0.3">
      <c r="A2629">
        <v>2628</v>
      </c>
      <c r="B2629" s="7">
        <v>45167</v>
      </c>
      <c r="C2629" t="s">
        <v>12</v>
      </c>
      <c r="D2629">
        <v>199</v>
      </c>
      <c r="E2629">
        <v>5.0999999999999996</v>
      </c>
      <c r="F2629">
        <v>6</v>
      </c>
      <c r="G2629">
        <v>0</v>
      </c>
      <c r="H2629">
        <v>19</v>
      </c>
      <c r="I2629">
        <v>18</v>
      </c>
      <c r="J2629" t="s">
        <v>11</v>
      </c>
      <c r="K2629">
        <f>IF(J2629="Yes", 1, 0)</f>
        <v>1</v>
      </c>
      <c r="L2629" t="str">
        <f>IF(G2629=0,"0 Failures","1+ Failures")</f>
        <v>0 Failures</v>
      </c>
      <c r="M2629" t="str">
        <f t="shared" si="122"/>
        <v>5-10 hrs</v>
      </c>
      <c r="N2629" t="str">
        <f t="shared" si="123"/>
        <v>12+ months</v>
      </c>
      <c r="O2629" t="str">
        <f t="shared" si="124"/>
        <v>Basic</v>
      </c>
      <c r="P2629" s="7">
        <v>45657</v>
      </c>
    </row>
    <row r="2630" spans="1:16" x14ac:dyDescent="0.3">
      <c r="A2630">
        <v>2629</v>
      </c>
      <c r="B2630" s="7">
        <v>45449</v>
      </c>
      <c r="C2630" t="s">
        <v>10</v>
      </c>
      <c r="D2630">
        <v>699</v>
      </c>
      <c r="E2630">
        <v>23.2</v>
      </c>
      <c r="F2630">
        <v>3</v>
      </c>
      <c r="G2630">
        <v>5</v>
      </c>
      <c r="H2630">
        <v>19</v>
      </c>
      <c r="I2630">
        <v>60</v>
      </c>
      <c r="J2630" t="s">
        <v>11</v>
      </c>
      <c r="K2630">
        <f>IF(J2630="Yes", 1, 0)</f>
        <v>1</v>
      </c>
      <c r="L2630" t="str">
        <f>IF(G2630=0,"0 Failures","1+ Failures")</f>
        <v>1+ Failures</v>
      </c>
      <c r="M2630" t="str">
        <f t="shared" si="122"/>
        <v>20+ hrs</v>
      </c>
      <c r="N2630" t="str">
        <f t="shared" si="123"/>
        <v>12+ months</v>
      </c>
      <c r="O2630" t="str">
        <f t="shared" si="124"/>
        <v>Premium</v>
      </c>
      <c r="P2630" s="7">
        <v>45657</v>
      </c>
    </row>
    <row r="2631" spans="1:16" x14ac:dyDescent="0.3">
      <c r="A2631">
        <v>2630</v>
      </c>
      <c r="B2631" s="7">
        <v>45243</v>
      </c>
      <c r="C2631" t="s">
        <v>12</v>
      </c>
      <c r="D2631">
        <v>199</v>
      </c>
      <c r="E2631">
        <v>7.3</v>
      </c>
      <c r="F2631">
        <v>8</v>
      </c>
      <c r="G2631">
        <v>5</v>
      </c>
      <c r="H2631">
        <v>31</v>
      </c>
      <c r="I2631">
        <v>8</v>
      </c>
      <c r="J2631" t="s">
        <v>11</v>
      </c>
      <c r="K2631">
        <f>IF(J2631="Yes", 1, 0)</f>
        <v>1</v>
      </c>
      <c r="L2631" t="str">
        <f>IF(G2631=0,"0 Failures","1+ Failures")</f>
        <v>1+ Failures</v>
      </c>
      <c r="M2631" t="str">
        <f t="shared" si="122"/>
        <v>5-10 hrs</v>
      </c>
      <c r="N2631" t="str">
        <f t="shared" si="123"/>
        <v>12+ months</v>
      </c>
      <c r="O2631" t="str">
        <f t="shared" si="124"/>
        <v>Basic</v>
      </c>
      <c r="P2631" s="7">
        <v>45657</v>
      </c>
    </row>
    <row r="2632" spans="1:16" x14ac:dyDescent="0.3">
      <c r="A2632">
        <v>2631</v>
      </c>
      <c r="B2632" s="7">
        <v>44944</v>
      </c>
      <c r="C2632" t="s">
        <v>14</v>
      </c>
      <c r="D2632">
        <v>399</v>
      </c>
      <c r="E2632">
        <v>20.9</v>
      </c>
      <c r="F2632">
        <v>1</v>
      </c>
      <c r="G2632">
        <v>0</v>
      </c>
      <c r="H2632">
        <v>21</v>
      </c>
      <c r="I2632">
        <v>0</v>
      </c>
      <c r="J2632" t="s">
        <v>13</v>
      </c>
      <c r="K2632">
        <f>IF(J2632="Yes", 1, 0)</f>
        <v>0</v>
      </c>
      <c r="L2632" t="str">
        <f>IF(G2632=0,"0 Failures","1+ Failures")</f>
        <v>0 Failures</v>
      </c>
      <c r="M2632" t="str">
        <f t="shared" si="122"/>
        <v>20+ hrs</v>
      </c>
      <c r="N2632" t="str">
        <f t="shared" si="123"/>
        <v>12+ months</v>
      </c>
      <c r="O2632" t="str">
        <f t="shared" si="124"/>
        <v>Basic</v>
      </c>
      <c r="P2632" s="7">
        <v>45657</v>
      </c>
    </row>
    <row r="2633" spans="1:16" x14ac:dyDescent="0.3">
      <c r="A2633">
        <v>2632</v>
      </c>
      <c r="B2633" s="7">
        <v>45264</v>
      </c>
      <c r="C2633" t="s">
        <v>14</v>
      </c>
      <c r="D2633">
        <v>399</v>
      </c>
      <c r="E2633">
        <v>22.9</v>
      </c>
      <c r="F2633">
        <v>0</v>
      </c>
      <c r="G2633">
        <v>2</v>
      </c>
      <c r="H2633">
        <v>26</v>
      </c>
      <c r="I2633">
        <v>52</v>
      </c>
      <c r="J2633" t="s">
        <v>13</v>
      </c>
      <c r="K2633">
        <f>IF(J2633="Yes", 1, 0)</f>
        <v>0</v>
      </c>
      <c r="L2633" t="str">
        <f>IF(G2633=0,"0 Failures","1+ Failures")</f>
        <v>1+ Failures</v>
      </c>
      <c r="M2633" t="str">
        <f t="shared" si="122"/>
        <v>20+ hrs</v>
      </c>
      <c r="N2633" t="str">
        <f t="shared" si="123"/>
        <v>12+ months</v>
      </c>
      <c r="O2633" t="str">
        <f t="shared" si="124"/>
        <v>Basic</v>
      </c>
      <c r="P2633" s="7">
        <v>45657</v>
      </c>
    </row>
    <row r="2634" spans="1:16" x14ac:dyDescent="0.3">
      <c r="A2634">
        <v>2633</v>
      </c>
      <c r="B2634" s="7">
        <v>44974</v>
      </c>
      <c r="C2634" t="s">
        <v>10</v>
      </c>
      <c r="D2634">
        <v>699</v>
      </c>
      <c r="E2634">
        <v>11.2</v>
      </c>
      <c r="F2634">
        <v>1</v>
      </c>
      <c r="G2634">
        <v>2</v>
      </c>
      <c r="H2634">
        <v>25</v>
      </c>
      <c r="I2634">
        <v>1</v>
      </c>
      <c r="J2634" t="s">
        <v>13</v>
      </c>
      <c r="K2634">
        <f>IF(J2634="Yes", 1, 0)</f>
        <v>0</v>
      </c>
      <c r="L2634" t="str">
        <f>IF(G2634=0,"0 Failures","1+ Failures")</f>
        <v>1+ Failures</v>
      </c>
      <c r="M2634" t="str">
        <f t="shared" si="122"/>
        <v>10-20hrs</v>
      </c>
      <c r="N2634" t="str">
        <f t="shared" si="123"/>
        <v>12+ months</v>
      </c>
      <c r="O2634" t="str">
        <f t="shared" si="124"/>
        <v>Premium</v>
      </c>
      <c r="P2634" s="7">
        <v>45657</v>
      </c>
    </row>
    <row r="2635" spans="1:16" x14ac:dyDescent="0.3">
      <c r="A2635">
        <v>2634</v>
      </c>
      <c r="B2635" s="7">
        <v>44940</v>
      </c>
      <c r="C2635" t="s">
        <v>14</v>
      </c>
      <c r="D2635">
        <v>399</v>
      </c>
      <c r="E2635">
        <v>24.3</v>
      </c>
      <c r="F2635">
        <v>6</v>
      </c>
      <c r="G2635">
        <v>3</v>
      </c>
      <c r="H2635">
        <v>28</v>
      </c>
      <c r="I2635">
        <v>17</v>
      </c>
      <c r="J2635" t="s">
        <v>11</v>
      </c>
      <c r="K2635">
        <f>IF(J2635="Yes", 1, 0)</f>
        <v>1</v>
      </c>
      <c r="L2635" t="str">
        <f>IF(G2635=0,"0 Failures","1+ Failures")</f>
        <v>1+ Failures</v>
      </c>
      <c r="M2635" t="str">
        <f t="shared" ref="M2635:M2698" si="125">IF(E2635&lt;=5, "0-5 hrs",    IF(E2635&lt;=10, "5-10 hrs",    IF(E2635&lt;=20, "10-20hrs", "20+ hrs")))</f>
        <v>20+ hrs</v>
      </c>
      <c r="N2635" t="str">
        <f t="shared" si="123"/>
        <v>12+ months</v>
      </c>
      <c r="O2635" t="str">
        <f t="shared" si="124"/>
        <v>Basic</v>
      </c>
      <c r="P2635" s="7">
        <v>45657</v>
      </c>
    </row>
    <row r="2636" spans="1:16" x14ac:dyDescent="0.3">
      <c r="A2636">
        <v>2635</v>
      </c>
      <c r="B2636" s="7">
        <v>45157</v>
      </c>
      <c r="C2636" t="s">
        <v>10</v>
      </c>
      <c r="D2636">
        <v>699</v>
      </c>
      <c r="E2636">
        <v>22.9</v>
      </c>
      <c r="F2636">
        <v>4</v>
      </c>
      <c r="G2636">
        <v>0</v>
      </c>
      <c r="H2636">
        <v>26</v>
      </c>
      <c r="I2636">
        <v>45</v>
      </c>
      <c r="J2636" t="s">
        <v>11</v>
      </c>
      <c r="K2636">
        <f>IF(J2636="Yes", 1, 0)</f>
        <v>1</v>
      </c>
      <c r="L2636" t="str">
        <f>IF(G2636=0,"0 Failures","1+ Failures")</f>
        <v>0 Failures</v>
      </c>
      <c r="M2636" t="str">
        <f t="shared" si="125"/>
        <v>20+ hrs</v>
      </c>
      <c r="N2636" t="str">
        <f t="shared" si="123"/>
        <v>12+ months</v>
      </c>
      <c r="O2636" t="str">
        <f t="shared" si="124"/>
        <v>Premium</v>
      </c>
      <c r="P2636" s="7">
        <v>45657</v>
      </c>
    </row>
    <row r="2637" spans="1:16" x14ac:dyDescent="0.3">
      <c r="A2637">
        <v>2636</v>
      </c>
      <c r="B2637" s="7">
        <v>45532</v>
      </c>
      <c r="C2637" t="s">
        <v>14</v>
      </c>
      <c r="D2637">
        <v>399</v>
      </c>
      <c r="E2637">
        <v>20.3</v>
      </c>
      <c r="F2637">
        <v>8</v>
      </c>
      <c r="G2637">
        <v>2</v>
      </c>
      <c r="H2637">
        <v>1</v>
      </c>
      <c r="I2637">
        <v>6</v>
      </c>
      <c r="J2637" t="s">
        <v>11</v>
      </c>
      <c r="K2637">
        <f>IF(J2637="Yes", 1, 0)</f>
        <v>1</v>
      </c>
      <c r="L2637" t="str">
        <f>IF(G2637=0,"0 Failures","1+ Failures")</f>
        <v>1+ Failures</v>
      </c>
      <c r="M2637" t="str">
        <f t="shared" si="125"/>
        <v>20+ hrs</v>
      </c>
      <c r="N2637" t="str">
        <f t="shared" si="123"/>
        <v>0-3months</v>
      </c>
      <c r="O2637" t="str">
        <f t="shared" si="124"/>
        <v>Basic</v>
      </c>
      <c r="P2637" s="7">
        <v>45657</v>
      </c>
    </row>
    <row r="2638" spans="1:16" x14ac:dyDescent="0.3">
      <c r="A2638">
        <v>2637</v>
      </c>
      <c r="B2638" s="7">
        <v>45126</v>
      </c>
      <c r="C2638" t="s">
        <v>14</v>
      </c>
      <c r="D2638">
        <v>399</v>
      </c>
      <c r="E2638">
        <v>1.5</v>
      </c>
      <c r="F2638">
        <v>0</v>
      </c>
      <c r="G2638">
        <v>2</v>
      </c>
      <c r="H2638">
        <v>31</v>
      </c>
      <c r="I2638">
        <v>49</v>
      </c>
      <c r="J2638" t="s">
        <v>11</v>
      </c>
      <c r="K2638">
        <f>IF(J2638="Yes", 1, 0)</f>
        <v>1</v>
      </c>
      <c r="L2638" t="str">
        <f>IF(G2638=0,"0 Failures","1+ Failures")</f>
        <v>1+ Failures</v>
      </c>
      <c r="M2638" t="str">
        <f t="shared" si="125"/>
        <v>0-5 hrs</v>
      </c>
      <c r="N2638" t="str">
        <f t="shared" si="123"/>
        <v>12+ months</v>
      </c>
      <c r="O2638" t="str">
        <f t="shared" si="124"/>
        <v>Basic</v>
      </c>
      <c r="P2638" s="7">
        <v>45657</v>
      </c>
    </row>
    <row r="2639" spans="1:16" x14ac:dyDescent="0.3">
      <c r="A2639">
        <v>2638</v>
      </c>
      <c r="B2639" s="7">
        <v>45508</v>
      </c>
      <c r="C2639" t="s">
        <v>14</v>
      </c>
      <c r="D2639">
        <v>399</v>
      </c>
      <c r="E2639">
        <v>13.9</v>
      </c>
      <c r="F2639">
        <v>4</v>
      </c>
      <c r="G2639">
        <v>4</v>
      </c>
      <c r="H2639">
        <v>27</v>
      </c>
      <c r="I2639">
        <v>9</v>
      </c>
      <c r="J2639" t="s">
        <v>11</v>
      </c>
      <c r="K2639">
        <f>IF(J2639="Yes", 1, 0)</f>
        <v>1</v>
      </c>
      <c r="L2639" t="str">
        <f>IF(G2639=0,"0 Failures","1+ Failures")</f>
        <v>1+ Failures</v>
      </c>
      <c r="M2639" t="str">
        <f t="shared" si="125"/>
        <v>10-20hrs</v>
      </c>
      <c r="N2639" t="str">
        <f t="shared" si="123"/>
        <v>12+ months</v>
      </c>
      <c r="O2639" t="str">
        <f t="shared" si="124"/>
        <v>Basic</v>
      </c>
      <c r="P2639" s="7">
        <v>45657</v>
      </c>
    </row>
    <row r="2640" spans="1:16" x14ac:dyDescent="0.3">
      <c r="A2640">
        <v>2639</v>
      </c>
      <c r="B2640" s="7">
        <v>45370</v>
      </c>
      <c r="C2640" t="s">
        <v>10</v>
      </c>
      <c r="D2640">
        <v>699</v>
      </c>
      <c r="E2640">
        <v>4.4000000000000004</v>
      </c>
      <c r="F2640">
        <v>7</v>
      </c>
      <c r="G2640">
        <v>0</v>
      </c>
      <c r="H2640">
        <v>26</v>
      </c>
      <c r="I2640">
        <v>33</v>
      </c>
      <c r="J2640" t="s">
        <v>11</v>
      </c>
      <c r="K2640">
        <f>IF(J2640="Yes", 1, 0)</f>
        <v>1</v>
      </c>
      <c r="L2640" t="str">
        <f>IF(G2640=0,"0 Failures","1+ Failures")</f>
        <v>0 Failures</v>
      </c>
      <c r="M2640" t="str">
        <f t="shared" si="125"/>
        <v>0-5 hrs</v>
      </c>
      <c r="N2640" t="str">
        <f t="shared" si="123"/>
        <v>12+ months</v>
      </c>
      <c r="O2640" t="str">
        <f t="shared" si="124"/>
        <v>Premium</v>
      </c>
      <c r="P2640" s="7">
        <v>45657</v>
      </c>
    </row>
    <row r="2641" spans="1:16" x14ac:dyDescent="0.3">
      <c r="A2641">
        <v>2640</v>
      </c>
      <c r="B2641" s="7">
        <v>45603</v>
      </c>
      <c r="C2641" t="s">
        <v>10</v>
      </c>
      <c r="D2641">
        <v>699</v>
      </c>
      <c r="E2641">
        <v>13.2</v>
      </c>
      <c r="F2641">
        <v>1</v>
      </c>
      <c r="G2641">
        <v>3</v>
      </c>
      <c r="H2641">
        <v>36</v>
      </c>
      <c r="I2641">
        <v>33</v>
      </c>
      <c r="J2641" t="s">
        <v>13</v>
      </c>
      <c r="K2641">
        <f>IF(J2641="Yes", 1, 0)</f>
        <v>0</v>
      </c>
      <c r="L2641" t="str">
        <f>IF(G2641=0,"0 Failures","1+ Failures")</f>
        <v>1+ Failures</v>
      </c>
      <c r="M2641" t="str">
        <f t="shared" si="125"/>
        <v>10-20hrs</v>
      </c>
      <c r="N2641" t="str">
        <f t="shared" si="123"/>
        <v>12+ months</v>
      </c>
      <c r="O2641" t="str">
        <f t="shared" si="124"/>
        <v>Premium</v>
      </c>
      <c r="P2641" s="7">
        <v>45657</v>
      </c>
    </row>
    <row r="2642" spans="1:16" x14ac:dyDescent="0.3">
      <c r="A2642">
        <v>2641</v>
      </c>
      <c r="B2642" s="7">
        <v>45532</v>
      </c>
      <c r="C2642" t="s">
        <v>10</v>
      </c>
      <c r="D2642">
        <v>699</v>
      </c>
      <c r="E2642">
        <v>19.600000000000001</v>
      </c>
      <c r="F2642">
        <v>1</v>
      </c>
      <c r="G2642">
        <v>2</v>
      </c>
      <c r="H2642">
        <v>32</v>
      </c>
      <c r="I2642">
        <v>1</v>
      </c>
      <c r="J2642" t="s">
        <v>13</v>
      </c>
      <c r="K2642">
        <f>IF(J2642="Yes", 1, 0)</f>
        <v>0</v>
      </c>
      <c r="L2642" t="str">
        <f>IF(G2642=0,"0 Failures","1+ Failures")</f>
        <v>1+ Failures</v>
      </c>
      <c r="M2642" t="str">
        <f t="shared" si="125"/>
        <v>10-20hrs</v>
      </c>
      <c r="N2642" t="str">
        <f t="shared" si="123"/>
        <v>12+ months</v>
      </c>
      <c r="O2642" t="str">
        <f t="shared" si="124"/>
        <v>Premium</v>
      </c>
      <c r="P2642" s="7">
        <v>45657</v>
      </c>
    </row>
    <row r="2643" spans="1:16" x14ac:dyDescent="0.3">
      <c r="A2643">
        <v>2642</v>
      </c>
      <c r="B2643" s="7">
        <v>44950</v>
      </c>
      <c r="C2643" t="s">
        <v>14</v>
      </c>
      <c r="D2643">
        <v>399</v>
      </c>
      <c r="E2643">
        <v>9.4</v>
      </c>
      <c r="F2643">
        <v>1</v>
      </c>
      <c r="G2643">
        <v>4</v>
      </c>
      <c r="H2643">
        <v>12</v>
      </c>
      <c r="I2643">
        <v>29</v>
      </c>
      <c r="J2643" t="s">
        <v>13</v>
      </c>
      <c r="K2643">
        <f>IF(J2643="Yes", 1, 0)</f>
        <v>0</v>
      </c>
      <c r="L2643" t="str">
        <f>IF(G2643=0,"0 Failures","1+ Failures")</f>
        <v>1+ Failures</v>
      </c>
      <c r="M2643" t="str">
        <f t="shared" si="125"/>
        <v>5-10 hrs</v>
      </c>
      <c r="N2643" t="str">
        <f t="shared" si="123"/>
        <v>6-12months</v>
      </c>
      <c r="O2643" t="str">
        <f t="shared" si="124"/>
        <v>Basic</v>
      </c>
      <c r="P2643" s="7">
        <v>45657</v>
      </c>
    </row>
    <row r="2644" spans="1:16" x14ac:dyDescent="0.3">
      <c r="A2644">
        <v>2643</v>
      </c>
      <c r="B2644" s="7">
        <v>45294</v>
      </c>
      <c r="C2644" t="s">
        <v>10</v>
      </c>
      <c r="D2644">
        <v>699</v>
      </c>
      <c r="E2644">
        <v>3.6</v>
      </c>
      <c r="F2644">
        <v>1</v>
      </c>
      <c r="G2644">
        <v>1</v>
      </c>
      <c r="H2644">
        <v>16</v>
      </c>
      <c r="I2644">
        <v>27</v>
      </c>
      <c r="J2644" t="s">
        <v>13</v>
      </c>
      <c r="K2644">
        <f>IF(J2644="Yes", 1, 0)</f>
        <v>0</v>
      </c>
      <c r="L2644" t="str">
        <f>IF(G2644=0,"0 Failures","1+ Failures")</f>
        <v>1+ Failures</v>
      </c>
      <c r="M2644" t="str">
        <f t="shared" si="125"/>
        <v>0-5 hrs</v>
      </c>
      <c r="N2644" t="str">
        <f t="shared" si="123"/>
        <v>12+ months</v>
      </c>
      <c r="O2644" t="str">
        <f t="shared" si="124"/>
        <v>Premium</v>
      </c>
      <c r="P2644" s="7">
        <v>45657</v>
      </c>
    </row>
    <row r="2645" spans="1:16" x14ac:dyDescent="0.3">
      <c r="A2645">
        <v>2644</v>
      </c>
      <c r="B2645" s="7">
        <v>45007</v>
      </c>
      <c r="C2645" t="s">
        <v>14</v>
      </c>
      <c r="D2645">
        <v>399</v>
      </c>
      <c r="E2645">
        <v>14.6</v>
      </c>
      <c r="F2645">
        <v>2</v>
      </c>
      <c r="G2645">
        <v>3</v>
      </c>
      <c r="H2645">
        <v>34</v>
      </c>
      <c r="I2645">
        <v>0</v>
      </c>
      <c r="J2645" t="s">
        <v>11</v>
      </c>
      <c r="K2645">
        <f>IF(J2645="Yes", 1, 0)</f>
        <v>1</v>
      </c>
      <c r="L2645" t="str">
        <f>IF(G2645=0,"0 Failures","1+ Failures")</f>
        <v>1+ Failures</v>
      </c>
      <c r="M2645" t="str">
        <f t="shared" si="125"/>
        <v>10-20hrs</v>
      </c>
      <c r="N2645" t="str">
        <f t="shared" si="123"/>
        <v>12+ months</v>
      </c>
      <c r="O2645" t="str">
        <f t="shared" si="124"/>
        <v>Basic</v>
      </c>
      <c r="P2645" s="7">
        <v>45657</v>
      </c>
    </row>
    <row r="2646" spans="1:16" x14ac:dyDescent="0.3">
      <c r="A2646">
        <v>2645</v>
      </c>
      <c r="B2646" s="7">
        <v>45399</v>
      </c>
      <c r="C2646" t="s">
        <v>10</v>
      </c>
      <c r="D2646">
        <v>699</v>
      </c>
      <c r="E2646">
        <v>19.100000000000001</v>
      </c>
      <c r="F2646">
        <v>5</v>
      </c>
      <c r="G2646">
        <v>1</v>
      </c>
      <c r="H2646">
        <v>1</v>
      </c>
      <c r="I2646">
        <v>60</v>
      </c>
      <c r="J2646" t="s">
        <v>11</v>
      </c>
      <c r="K2646">
        <f>IF(J2646="Yes", 1, 0)</f>
        <v>1</v>
      </c>
      <c r="L2646" t="str">
        <f>IF(G2646=0,"0 Failures","1+ Failures")</f>
        <v>1+ Failures</v>
      </c>
      <c r="M2646" t="str">
        <f t="shared" si="125"/>
        <v>10-20hrs</v>
      </c>
      <c r="N2646" t="str">
        <f t="shared" si="123"/>
        <v>0-3months</v>
      </c>
      <c r="O2646" t="str">
        <f t="shared" si="124"/>
        <v>Premium</v>
      </c>
      <c r="P2646" s="7">
        <v>45657</v>
      </c>
    </row>
    <row r="2647" spans="1:16" x14ac:dyDescent="0.3">
      <c r="A2647">
        <v>2646</v>
      </c>
      <c r="B2647" s="7">
        <v>45650</v>
      </c>
      <c r="C2647" t="s">
        <v>14</v>
      </c>
      <c r="D2647">
        <v>399</v>
      </c>
      <c r="E2647">
        <v>13</v>
      </c>
      <c r="F2647">
        <v>1</v>
      </c>
      <c r="G2647">
        <v>3</v>
      </c>
      <c r="H2647">
        <v>22</v>
      </c>
      <c r="I2647">
        <v>31</v>
      </c>
      <c r="J2647" t="s">
        <v>11</v>
      </c>
      <c r="K2647">
        <f>IF(J2647="Yes", 1, 0)</f>
        <v>1</v>
      </c>
      <c r="L2647" t="str">
        <f>IF(G2647=0,"0 Failures","1+ Failures")</f>
        <v>1+ Failures</v>
      </c>
      <c r="M2647" t="str">
        <f t="shared" si="125"/>
        <v>10-20hrs</v>
      </c>
      <c r="N2647" t="str">
        <f t="shared" si="123"/>
        <v>12+ months</v>
      </c>
      <c r="O2647" t="str">
        <f t="shared" si="124"/>
        <v>Basic</v>
      </c>
      <c r="P2647" s="7">
        <v>45657</v>
      </c>
    </row>
    <row r="2648" spans="1:16" x14ac:dyDescent="0.3">
      <c r="A2648">
        <v>2647</v>
      </c>
      <c r="B2648" s="7">
        <v>45025</v>
      </c>
      <c r="C2648" t="s">
        <v>12</v>
      </c>
      <c r="D2648">
        <v>199</v>
      </c>
      <c r="E2648">
        <v>12.5</v>
      </c>
      <c r="F2648">
        <v>6</v>
      </c>
      <c r="G2648">
        <v>4</v>
      </c>
      <c r="H2648">
        <v>9</v>
      </c>
      <c r="I2648">
        <v>11</v>
      </c>
      <c r="J2648" t="s">
        <v>13</v>
      </c>
      <c r="K2648">
        <f>IF(J2648="Yes", 1, 0)</f>
        <v>0</v>
      </c>
      <c r="L2648" t="str">
        <f>IF(G2648=0,"0 Failures","1+ Failures")</f>
        <v>1+ Failures</v>
      </c>
      <c r="M2648" t="str">
        <f t="shared" si="125"/>
        <v>10-20hrs</v>
      </c>
      <c r="N2648" t="str">
        <f t="shared" si="123"/>
        <v>6-12months</v>
      </c>
      <c r="O2648" t="str">
        <f t="shared" si="124"/>
        <v>Basic</v>
      </c>
      <c r="P2648" s="7">
        <v>45657</v>
      </c>
    </row>
    <row r="2649" spans="1:16" x14ac:dyDescent="0.3">
      <c r="A2649">
        <v>2648</v>
      </c>
      <c r="B2649" s="7">
        <v>45068</v>
      </c>
      <c r="C2649" t="s">
        <v>10</v>
      </c>
      <c r="D2649">
        <v>699</v>
      </c>
      <c r="E2649">
        <v>4</v>
      </c>
      <c r="F2649">
        <v>1</v>
      </c>
      <c r="G2649">
        <v>4</v>
      </c>
      <c r="H2649">
        <v>36</v>
      </c>
      <c r="I2649">
        <v>45</v>
      </c>
      <c r="J2649" t="s">
        <v>11</v>
      </c>
      <c r="K2649">
        <f>IF(J2649="Yes", 1, 0)</f>
        <v>1</v>
      </c>
      <c r="L2649" t="str">
        <f>IF(G2649=0,"0 Failures","1+ Failures")</f>
        <v>1+ Failures</v>
      </c>
      <c r="M2649" t="str">
        <f t="shared" si="125"/>
        <v>0-5 hrs</v>
      </c>
      <c r="N2649" t="str">
        <f t="shared" si="123"/>
        <v>12+ months</v>
      </c>
      <c r="O2649" t="str">
        <f t="shared" si="124"/>
        <v>Premium</v>
      </c>
      <c r="P2649" s="7">
        <v>45657</v>
      </c>
    </row>
    <row r="2650" spans="1:16" x14ac:dyDescent="0.3">
      <c r="A2650">
        <v>2649</v>
      </c>
      <c r="B2650" s="7">
        <v>45451</v>
      </c>
      <c r="C2650" t="s">
        <v>14</v>
      </c>
      <c r="D2650">
        <v>399</v>
      </c>
      <c r="E2650">
        <v>4.8</v>
      </c>
      <c r="F2650">
        <v>2</v>
      </c>
      <c r="G2650">
        <v>4</v>
      </c>
      <c r="H2650">
        <v>18</v>
      </c>
      <c r="I2650">
        <v>60</v>
      </c>
      <c r="J2650" t="s">
        <v>11</v>
      </c>
      <c r="K2650">
        <f>IF(J2650="Yes", 1, 0)</f>
        <v>1</v>
      </c>
      <c r="L2650" t="str">
        <f>IF(G2650=0,"0 Failures","1+ Failures")</f>
        <v>1+ Failures</v>
      </c>
      <c r="M2650" t="str">
        <f t="shared" si="125"/>
        <v>0-5 hrs</v>
      </c>
      <c r="N2650" t="str">
        <f t="shared" si="123"/>
        <v>12+ months</v>
      </c>
      <c r="O2650" t="str">
        <f t="shared" si="124"/>
        <v>Basic</v>
      </c>
      <c r="P2650" s="7">
        <v>45657</v>
      </c>
    </row>
    <row r="2651" spans="1:16" x14ac:dyDescent="0.3">
      <c r="A2651">
        <v>2650</v>
      </c>
      <c r="B2651" s="7">
        <v>45062</v>
      </c>
      <c r="C2651" t="s">
        <v>10</v>
      </c>
      <c r="D2651">
        <v>699</v>
      </c>
      <c r="E2651">
        <v>11.5</v>
      </c>
      <c r="F2651">
        <v>4</v>
      </c>
      <c r="G2651">
        <v>5</v>
      </c>
      <c r="H2651">
        <v>5</v>
      </c>
      <c r="I2651">
        <v>46</v>
      </c>
      <c r="J2651" t="s">
        <v>11</v>
      </c>
      <c r="K2651">
        <f>IF(J2651="Yes", 1, 0)</f>
        <v>1</v>
      </c>
      <c r="L2651" t="str">
        <f>IF(G2651=0,"0 Failures","1+ Failures")</f>
        <v>1+ Failures</v>
      </c>
      <c r="M2651" t="str">
        <f t="shared" si="125"/>
        <v>10-20hrs</v>
      </c>
      <c r="N2651" t="str">
        <f t="shared" si="123"/>
        <v>3-6months</v>
      </c>
      <c r="O2651" t="str">
        <f t="shared" si="124"/>
        <v>Premium</v>
      </c>
      <c r="P2651" s="7">
        <v>45657</v>
      </c>
    </row>
    <row r="2652" spans="1:16" x14ac:dyDescent="0.3">
      <c r="A2652">
        <v>2651</v>
      </c>
      <c r="B2652" s="7">
        <v>44973</v>
      </c>
      <c r="C2652" t="s">
        <v>12</v>
      </c>
      <c r="D2652">
        <v>199</v>
      </c>
      <c r="E2652">
        <v>9</v>
      </c>
      <c r="F2652">
        <v>4</v>
      </c>
      <c r="G2652">
        <v>2</v>
      </c>
      <c r="H2652">
        <v>36</v>
      </c>
      <c r="I2652">
        <v>31</v>
      </c>
      <c r="J2652" t="s">
        <v>13</v>
      </c>
      <c r="K2652">
        <f>IF(J2652="Yes", 1, 0)</f>
        <v>0</v>
      </c>
      <c r="L2652" t="str">
        <f>IF(G2652=0,"0 Failures","1+ Failures")</f>
        <v>1+ Failures</v>
      </c>
      <c r="M2652" t="str">
        <f t="shared" si="125"/>
        <v>5-10 hrs</v>
      </c>
      <c r="N2652" t="str">
        <f t="shared" si="123"/>
        <v>12+ months</v>
      </c>
      <c r="O2652" t="str">
        <f t="shared" si="124"/>
        <v>Basic</v>
      </c>
      <c r="P2652" s="7">
        <v>45657</v>
      </c>
    </row>
    <row r="2653" spans="1:16" x14ac:dyDescent="0.3">
      <c r="A2653">
        <v>2652</v>
      </c>
      <c r="B2653" s="7">
        <v>45056</v>
      </c>
      <c r="C2653" t="s">
        <v>14</v>
      </c>
      <c r="D2653">
        <v>399</v>
      </c>
      <c r="E2653">
        <v>19.600000000000001</v>
      </c>
      <c r="F2653">
        <v>2</v>
      </c>
      <c r="G2653">
        <v>0</v>
      </c>
      <c r="H2653">
        <v>28</v>
      </c>
      <c r="I2653">
        <v>54</v>
      </c>
      <c r="J2653" t="s">
        <v>13</v>
      </c>
      <c r="K2653">
        <f>IF(J2653="Yes", 1, 0)</f>
        <v>0</v>
      </c>
      <c r="L2653" t="str">
        <f>IF(G2653=0,"0 Failures","1+ Failures")</f>
        <v>0 Failures</v>
      </c>
      <c r="M2653" t="str">
        <f t="shared" si="125"/>
        <v>10-20hrs</v>
      </c>
      <c r="N2653" t="str">
        <f t="shared" si="123"/>
        <v>12+ months</v>
      </c>
      <c r="O2653" t="str">
        <f t="shared" si="124"/>
        <v>Basic</v>
      </c>
      <c r="P2653" s="7">
        <v>45657</v>
      </c>
    </row>
    <row r="2654" spans="1:16" x14ac:dyDescent="0.3">
      <c r="A2654">
        <v>2653</v>
      </c>
      <c r="B2654" s="7">
        <v>45335</v>
      </c>
      <c r="C2654" t="s">
        <v>14</v>
      </c>
      <c r="D2654">
        <v>399</v>
      </c>
      <c r="E2654">
        <v>20.8</v>
      </c>
      <c r="F2654">
        <v>0</v>
      </c>
      <c r="G2654">
        <v>5</v>
      </c>
      <c r="H2654">
        <v>32</v>
      </c>
      <c r="I2654">
        <v>3</v>
      </c>
      <c r="J2654" t="s">
        <v>11</v>
      </c>
      <c r="K2654">
        <f>IF(J2654="Yes", 1, 0)</f>
        <v>1</v>
      </c>
      <c r="L2654" t="str">
        <f>IF(G2654=0,"0 Failures","1+ Failures")</f>
        <v>1+ Failures</v>
      </c>
      <c r="M2654" t="str">
        <f t="shared" si="125"/>
        <v>20+ hrs</v>
      </c>
      <c r="N2654" t="str">
        <f t="shared" si="123"/>
        <v>12+ months</v>
      </c>
      <c r="O2654" t="str">
        <f t="shared" si="124"/>
        <v>Basic</v>
      </c>
      <c r="P2654" s="7">
        <v>45657</v>
      </c>
    </row>
    <row r="2655" spans="1:16" x14ac:dyDescent="0.3">
      <c r="A2655">
        <v>2654</v>
      </c>
      <c r="B2655" s="7">
        <v>45066</v>
      </c>
      <c r="C2655" t="s">
        <v>12</v>
      </c>
      <c r="D2655">
        <v>199</v>
      </c>
      <c r="E2655">
        <v>10.5</v>
      </c>
      <c r="F2655">
        <v>0</v>
      </c>
      <c r="G2655">
        <v>3</v>
      </c>
      <c r="H2655">
        <v>22</v>
      </c>
      <c r="I2655">
        <v>10</v>
      </c>
      <c r="J2655" t="s">
        <v>11</v>
      </c>
      <c r="K2655">
        <f>IF(J2655="Yes", 1, 0)</f>
        <v>1</v>
      </c>
      <c r="L2655" t="str">
        <f>IF(G2655=0,"0 Failures","1+ Failures")</f>
        <v>1+ Failures</v>
      </c>
      <c r="M2655" t="str">
        <f t="shared" si="125"/>
        <v>10-20hrs</v>
      </c>
      <c r="N2655" t="str">
        <f t="shared" si="123"/>
        <v>12+ months</v>
      </c>
      <c r="O2655" t="str">
        <f t="shared" si="124"/>
        <v>Basic</v>
      </c>
      <c r="P2655" s="7">
        <v>45657</v>
      </c>
    </row>
    <row r="2656" spans="1:16" x14ac:dyDescent="0.3">
      <c r="A2656">
        <v>2655</v>
      </c>
      <c r="B2656" s="7">
        <v>45262</v>
      </c>
      <c r="C2656" t="s">
        <v>14</v>
      </c>
      <c r="D2656">
        <v>399</v>
      </c>
      <c r="E2656">
        <v>24.8</v>
      </c>
      <c r="F2656">
        <v>8</v>
      </c>
      <c r="G2656">
        <v>1</v>
      </c>
      <c r="H2656">
        <v>31</v>
      </c>
      <c r="I2656">
        <v>58</v>
      </c>
      <c r="J2656" t="s">
        <v>13</v>
      </c>
      <c r="K2656">
        <f>IF(J2656="Yes", 1, 0)</f>
        <v>0</v>
      </c>
      <c r="L2656" t="str">
        <f>IF(G2656=0,"0 Failures","1+ Failures")</f>
        <v>1+ Failures</v>
      </c>
      <c r="M2656" t="str">
        <f t="shared" si="125"/>
        <v>20+ hrs</v>
      </c>
      <c r="N2656" t="str">
        <f t="shared" si="123"/>
        <v>12+ months</v>
      </c>
      <c r="O2656" t="str">
        <f t="shared" si="124"/>
        <v>Basic</v>
      </c>
      <c r="P2656" s="7">
        <v>45657</v>
      </c>
    </row>
    <row r="2657" spans="1:16" x14ac:dyDescent="0.3">
      <c r="A2657">
        <v>2656</v>
      </c>
      <c r="B2657" s="7">
        <v>45456</v>
      </c>
      <c r="C2657" t="s">
        <v>10</v>
      </c>
      <c r="D2657">
        <v>699</v>
      </c>
      <c r="E2657">
        <v>0.6</v>
      </c>
      <c r="F2657">
        <v>1</v>
      </c>
      <c r="G2657">
        <v>3</v>
      </c>
      <c r="H2657">
        <v>18</v>
      </c>
      <c r="I2657">
        <v>33</v>
      </c>
      <c r="J2657" t="s">
        <v>11</v>
      </c>
      <c r="K2657">
        <f>IF(J2657="Yes", 1, 0)</f>
        <v>1</v>
      </c>
      <c r="L2657" t="str">
        <f>IF(G2657=0,"0 Failures","1+ Failures")</f>
        <v>1+ Failures</v>
      </c>
      <c r="M2657" t="str">
        <f t="shared" si="125"/>
        <v>0-5 hrs</v>
      </c>
      <c r="N2657" t="str">
        <f t="shared" si="123"/>
        <v>12+ months</v>
      </c>
      <c r="O2657" t="str">
        <f t="shared" si="124"/>
        <v>Premium</v>
      </c>
      <c r="P2657" s="7">
        <v>45657</v>
      </c>
    </row>
    <row r="2658" spans="1:16" x14ac:dyDescent="0.3">
      <c r="A2658">
        <v>2657</v>
      </c>
      <c r="B2658" s="7">
        <v>45356</v>
      </c>
      <c r="C2658" t="s">
        <v>12</v>
      </c>
      <c r="D2658">
        <v>199</v>
      </c>
      <c r="E2658">
        <v>17.399999999999999</v>
      </c>
      <c r="F2658">
        <v>7</v>
      </c>
      <c r="G2658">
        <v>1</v>
      </c>
      <c r="H2658">
        <v>11</v>
      </c>
      <c r="I2658">
        <v>5</v>
      </c>
      <c r="J2658" t="s">
        <v>11</v>
      </c>
      <c r="K2658">
        <f>IF(J2658="Yes", 1, 0)</f>
        <v>1</v>
      </c>
      <c r="L2658" t="str">
        <f>IF(G2658=0,"0 Failures","1+ Failures")</f>
        <v>1+ Failures</v>
      </c>
      <c r="M2658" t="str">
        <f t="shared" si="125"/>
        <v>10-20hrs</v>
      </c>
      <c r="N2658" t="str">
        <f t="shared" si="123"/>
        <v>6-12months</v>
      </c>
      <c r="O2658" t="str">
        <f t="shared" si="124"/>
        <v>Basic</v>
      </c>
      <c r="P2658" s="7">
        <v>45657</v>
      </c>
    </row>
    <row r="2659" spans="1:16" x14ac:dyDescent="0.3">
      <c r="A2659">
        <v>2658</v>
      </c>
      <c r="B2659" s="7">
        <v>44987</v>
      </c>
      <c r="C2659" t="s">
        <v>12</v>
      </c>
      <c r="D2659">
        <v>199</v>
      </c>
      <c r="E2659">
        <v>23.6</v>
      </c>
      <c r="F2659">
        <v>8</v>
      </c>
      <c r="G2659">
        <v>2</v>
      </c>
      <c r="H2659">
        <v>25</v>
      </c>
      <c r="I2659">
        <v>0</v>
      </c>
      <c r="J2659" t="s">
        <v>11</v>
      </c>
      <c r="K2659">
        <f>IF(J2659="Yes", 1, 0)</f>
        <v>1</v>
      </c>
      <c r="L2659" t="str">
        <f>IF(G2659=0,"0 Failures","1+ Failures")</f>
        <v>1+ Failures</v>
      </c>
      <c r="M2659" t="str">
        <f t="shared" si="125"/>
        <v>20+ hrs</v>
      </c>
      <c r="N2659" t="str">
        <f t="shared" si="123"/>
        <v>12+ months</v>
      </c>
      <c r="O2659" t="str">
        <f t="shared" si="124"/>
        <v>Basic</v>
      </c>
      <c r="P2659" s="7">
        <v>45657</v>
      </c>
    </row>
    <row r="2660" spans="1:16" x14ac:dyDescent="0.3">
      <c r="A2660">
        <v>2659</v>
      </c>
      <c r="B2660" s="7">
        <v>44928</v>
      </c>
      <c r="C2660" t="s">
        <v>14</v>
      </c>
      <c r="D2660">
        <v>399</v>
      </c>
      <c r="E2660">
        <v>16.2</v>
      </c>
      <c r="F2660">
        <v>0</v>
      </c>
      <c r="G2660">
        <v>0</v>
      </c>
      <c r="H2660">
        <v>36</v>
      </c>
      <c r="I2660">
        <v>7</v>
      </c>
      <c r="J2660" t="s">
        <v>13</v>
      </c>
      <c r="K2660">
        <f>IF(J2660="Yes", 1, 0)</f>
        <v>0</v>
      </c>
      <c r="L2660" t="str">
        <f>IF(G2660=0,"0 Failures","1+ Failures")</f>
        <v>0 Failures</v>
      </c>
      <c r="M2660" t="str">
        <f t="shared" si="125"/>
        <v>10-20hrs</v>
      </c>
      <c r="N2660" t="str">
        <f t="shared" si="123"/>
        <v>12+ months</v>
      </c>
      <c r="O2660" t="str">
        <f t="shared" si="124"/>
        <v>Basic</v>
      </c>
      <c r="P2660" s="7">
        <v>45657</v>
      </c>
    </row>
    <row r="2661" spans="1:16" x14ac:dyDescent="0.3">
      <c r="A2661">
        <v>2660</v>
      </c>
      <c r="B2661" s="7">
        <v>45364</v>
      </c>
      <c r="C2661" t="s">
        <v>10</v>
      </c>
      <c r="D2661">
        <v>699</v>
      </c>
      <c r="E2661">
        <v>21.2</v>
      </c>
      <c r="F2661">
        <v>1</v>
      </c>
      <c r="G2661">
        <v>5</v>
      </c>
      <c r="H2661">
        <v>12</v>
      </c>
      <c r="I2661">
        <v>5</v>
      </c>
      <c r="J2661" t="s">
        <v>11</v>
      </c>
      <c r="K2661">
        <f>IF(J2661="Yes", 1, 0)</f>
        <v>1</v>
      </c>
      <c r="L2661" t="str">
        <f>IF(G2661=0,"0 Failures","1+ Failures")</f>
        <v>1+ Failures</v>
      </c>
      <c r="M2661" t="str">
        <f t="shared" si="125"/>
        <v>20+ hrs</v>
      </c>
      <c r="N2661" t="str">
        <f t="shared" si="123"/>
        <v>6-12months</v>
      </c>
      <c r="O2661" t="str">
        <f t="shared" si="124"/>
        <v>Premium</v>
      </c>
      <c r="P2661" s="7">
        <v>45657</v>
      </c>
    </row>
    <row r="2662" spans="1:16" x14ac:dyDescent="0.3">
      <c r="A2662">
        <v>2661</v>
      </c>
      <c r="B2662" s="7">
        <v>45066</v>
      </c>
      <c r="C2662" t="s">
        <v>12</v>
      </c>
      <c r="D2662">
        <v>199</v>
      </c>
      <c r="E2662">
        <v>18.7</v>
      </c>
      <c r="F2662">
        <v>3</v>
      </c>
      <c r="G2662">
        <v>3</v>
      </c>
      <c r="H2662">
        <v>3</v>
      </c>
      <c r="I2662">
        <v>3</v>
      </c>
      <c r="J2662" t="s">
        <v>13</v>
      </c>
      <c r="K2662">
        <f>IF(J2662="Yes", 1, 0)</f>
        <v>0</v>
      </c>
      <c r="L2662" t="str">
        <f>IF(G2662=0,"0 Failures","1+ Failures")</f>
        <v>1+ Failures</v>
      </c>
      <c r="M2662" t="str">
        <f t="shared" si="125"/>
        <v>10-20hrs</v>
      </c>
      <c r="N2662" t="str">
        <f t="shared" si="123"/>
        <v>0-3months</v>
      </c>
      <c r="O2662" t="str">
        <f t="shared" si="124"/>
        <v>Basic</v>
      </c>
      <c r="P2662" s="7">
        <v>45657</v>
      </c>
    </row>
    <row r="2663" spans="1:16" x14ac:dyDescent="0.3">
      <c r="A2663">
        <v>2662</v>
      </c>
      <c r="B2663" s="7">
        <v>44942</v>
      </c>
      <c r="C2663" t="s">
        <v>12</v>
      </c>
      <c r="D2663">
        <v>199</v>
      </c>
      <c r="E2663">
        <v>1.3</v>
      </c>
      <c r="F2663">
        <v>1</v>
      </c>
      <c r="G2663">
        <v>3</v>
      </c>
      <c r="H2663">
        <v>3</v>
      </c>
      <c r="I2663">
        <v>37</v>
      </c>
      <c r="J2663" t="s">
        <v>11</v>
      </c>
      <c r="K2663">
        <f>IF(J2663="Yes", 1, 0)</f>
        <v>1</v>
      </c>
      <c r="L2663" t="str">
        <f>IF(G2663=0,"0 Failures","1+ Failures")</f>
        <v>1+ Failures</v>
      </c>
      <c r="M2663" t="str">
        <f t="shared" si="125"/>
        <v>0-5 hrs</v>
      </c>
      <c r="N2663" t="str">
        <f t="shared" si="123"/>
        <v>0-3months</v>
      </c>
      <c r="O2663" t="str">
        <f t="shared" si="124"/>
        <v>Basic</v>
      </c>
      <c r="P2663" s="7">
        <v>45657</v>
      </c>
    </row>
    <row r="2664" spans="1:16" x14ac:dyDescent="0.3">
      <c r="A2664">
        <v>2663</v>
      </c>
      <c r="B2664" s="7">
        <v>45502</v>
      </c>
      <c r="C2664" t="s">
        <v>12</v>
      </c>
      <c r="D2664">
        <v>199</v>
      </c>
      <c r="E2664">
        <v>6.8</v>
      </c>
      <c r="F2664">
        <v>1</v>
      </c>
      <c r="G2664">
        <v>4</v>
      </c>
      <c r="H2664">
        <v>31</v>
      </c>
      <c r="I2664">
        <v>36</v>
      </c>
      <c r="J2664" t="s">
        <v>13</v>
      </c>
      <c r="K2664">
        <f>IF(J2664="Yes", 1, 0)</f>
        <v>0</v>
      </c>
      <c r="L2664" t="str">
        <f>IF(G2664=0,"0 Failures","1+ Failures")</f>
        <v>1+ Failures</v>
      </c>
      <c r="M2664" t="str">
        <f t="shared" si="125"/>
        <v>5-10 hrs</v>
      </c>
      <c r="N2664" t="str">
        <f t="shared" si="123"/>
        <v>12+ months</v>
      </c>
      <c r="O2664" t="str">
        <f t="shared" si="124"/>
        <v>Basic</v>
      </c>
      <c r="P2664" s="7">
        <v>45657</v>
      </c>
    </row>
    <row r="2665" spans="1:16" x14ac:dyDescent="0.3">
      <c r="A2665">
        <v>2664</v>
      </c>
      <c r="B2665" s="7">
        <v>45461</v>
      </c>
      <c r="C2665" t="s">
        <v>10</v>
      </c>
      <c r="D2665">
        <v>699</v>
      </c>
      <c r="E2665">
        <v>17.600000000000001</v>
      </c>
      <c r="F2665">
        <v>3</v>
      </c>
      <c r="G2665">
        <v>5</v>
      </c>
      <c r="H2665">
        <v>21</v>
      </c>
      <c r="I2665">
        <v>9</v>
      </c>
      <c r="J2665" t="s">
        <v>13</v>
      </c>
      <c r="K2665">
        <f>IF(J2665="Yes", 1, 0)</f>
        <v>0</v>
      </c>
      <c r="L2665" t="str">
        <f>IF(G2665=0,"0 Failures","1+ Failures")</f>
        <v>1+ Failures</v>
      </c>
      <c r="M2665" t="str">
        <f t="shared" si="125"/>
        <v>10-20hrs</v>
      </c>
      <c r="N2665" t="str">
        <f t="shared" si="123"/>
        <v>12+ months</v>
      </c>
      <c r="O2665" t="str">
        <f t="shared" si="124"/>
        <v>Premium</v>
      </c>
      <c r="P2665" s="7">
        <v>45657</v>
      </c>
    </row>
    <row r="2666" spans="1:16" x14ac:dyDescent="0.3">
      <c r="A2666">
        <v>2665</v>
      </c>
      <c r="B2666" s="7">
        <v>45190</v>
      </c>
      <c r="C2666" t="s">
        <v>14</v>
      </c>
      <c r="D2666">
        <v>399</v>
      </c>
      <c r="E2666">
        <v>15</v>
      </c>
      <c r="F2666">
        <v>3</v>
      </c>
      <c r="G2666">
        <v>3</v>
      </c>
      <c r="H2666">
        <v>27</v>
      </c>
      <c r="I2666">
        <v>22</v>
      </c>
      <c r="J2666" t="s">
        <v>11</v>
      </c>
      <c r="K2666">
        <f>IF(J2666="Yes", 1, 0)</f>
        <v>1</v>
      </c>
      <c r="L2666" t="str">
        <f>IF(G2666=0,"0 Failures","1+ Failures")</f>
        <v>1+ Failures</v>
      </c>
      <c r="M2666" t="str">
        <f t="shared" si="125"/>
        <v>10-20hrs</v>
      </c>
      <c r="N2666" t="str">
        <f t="shared" si="123"/>
        <v>12+ months</v>
      </c>
      <c r="O2666" t="str">
        <f t="shared" si="124"/>
        <v>Basic</v>
      </c>
      <c r="P2666" s="7">
        <v>45657</v>
      </c>
    </row>
    <row r="2667" spans="1:16" x14ac:dyDescent="0.3">
      <c r="A2667">
        <v>2666</v>
      </c>
      <c r="B2667" s="7">
        <v>45454</v>
      </c>
      <c r="C2667" t="s">
        <v>14</v>
      </c>
      <c r="D2667">
        <v>399</v>
      </c>
      <c r="E2667">
        <v>19.3</v>
      </c>
      <c r="F2667">
        <v>6</v>
      </c>
      <c r="G2667">
        <v>5</v>
      </c>
      <c r="H2667">
        <v>31</v>
      </c>
      <c r="I2667">
        <v>5</v>
      </c>
      <c r="J2667" t="s">
        <v>13</v>
      </c>
      <c r="K2667">
        <f>IF(J2667="Yes", 1, 0)</f>
        <v>0</v>
      </c>
      <c r="L2667" t="str">
        <f>IF(G2667=0,"0 Failures","1+ Failures")</f>
        <v>1+ Failures</v>
      </c>
      <c r="M2667" t="str">
        <f t="shared" si="125"/>
        <v>10-20hrs</v>
      </c>
      <c r="N2667" t="str">
        <f t="shared" si="123"/>
        <v>12+ months</v>
      </c>
      <c r="O2667" t="str">
        <f t="shared" si="124"/>
        <v>Basic</v>
      </c>
      <c r="P2667" s="7">
        <v>45657</v>
      </c>
    </row>
    <row r="2668" spans="1:16" x14ac:dyDescent="0.3">
      <c r="A2668">
        <v>2667</v>
      </c>
      <c r="B2668" s="7">
        <v>44999</v>
      </c>
      <c r="C2668" t="s">
        <v>12</v>
      </c>
      <c r="D2668">
        <v>199</v>
      </c>
      <c r="E2668">
        <v>5.5</v>
      </c>
      <c r="F2668">
        <v>4</v>
      </c>
      <c r="G2668">
        <v>4</v>
      </c>
      <c r="H2668">
        <v>31</v>
      </c>
      <c r="I2668">
        <v>5</v>
      </c>
      <c r="J2668" t="s">
        <v>11</v>
      </c>
      <c r="K2668">
        <f>IF(J2668="Yes", 1, 0)</f>
        <v>1</v>
      </c>
      <c r="L2668" t="str">
        <f>IF(G2668=0,"0 Failures","1+ Failures")</f>
        <v>1+ Failures</v>
      </c>
      <c r="M2668" t="str">
        <f t="shared" si="125"/>
        <v>5-10 hrs</v>
      </c>
      <c r="N2668" t="str">
        <f t="shared" si="123"/>
        <v>12+ months</v>
      </c>
      <c r="O2668" t="str">
        <f t="shared" si="124"/>
        <v>Basic</v>
      </c>
      <c r="P2668" s="7">
        <v>45657</v>
      </c>
    </row>
    <row r="2669" spans="1:16" x14ac:dyDescent="0.3">
      <c r="A2669">
        <v>2668</v>
      </c>
      <c r="B2669" s="7">
        <v>45552</v>
      </c>
      <c r="C2669" t="s">
        <v>12</v>
      </c>
      <c r="D2669">
        <v>199</v>
      </c>
      <c r="E2669">
        <v>8.6</v>
      </c>
      <c r="F2669">
        <v>2</v>
      </c>
      <c r="G2669">
        <v>2</v>
      </c>
      <c r="H2669">
        <v>17</v>
      </c>
      <c r="I2669">
        <v>49</v>
      </c>
      <c r="J2669" t="s">
        <v>11</v>
      </c>
      <c r="K2669">
        <f>IF(J2669="Yes", 1, 0)</f>
        <v>1</v>
      </c>
      <c r="L2669" t="str">
        <f>IF(G2669=0,"0 Failures","1+ Failures")</f>
        <v>1+ Failures</v>
      </c>
      <c r="M2669" t="str">
        <f t="shared" si="125"/>
        <v>5-10 hrs</v>
      </c>
      <c r="N2669" t="str">
        <f t="shared" si="123"/>
        <v>12+ months</v>
      </c>
      <c r="O2669" t="str">
        <f t="shared" si="124"/>
        <v>Basic</v>
      </c>
      <c r="P2669" s="7">
        <v>45657</v>
      </c>
    </row>
    <row r="2670" spans="1:16" x14ac:dyDescent="0.3">
      <c r="A2670">
        <v>2669</v>
      </c>
      <c r="B2670" s="7">
        <v>45295</v>
      </c>
      <c r="C2670" t="s">
        <v>14</v>
      </c>
      <c r="D2670">
        <v>399</v>
      </c>
      <c r="E2670">
        <v>17.3</v>
      </c>
      <c r="F2670">
        <v>1</v>
      </c>
      <c r="G2670">
        <v>3</v>
      </c>
      <c r="H2670">
        <v>15</v>
      </c>
      <c r="I2670">
        <v>57</v>
      </c>
      <c r="J2670" t="s">
        <v>11</v>
      </c>
      <c r="K2670">
        <f>IF(J2670="Yes", 1, 0)</f>
        <v>1</v>
      </c>
      <c r="L2670" t="str">
        <f>IF(G2670=0,"0 Failures","1+ Failures")</f>
        <v>1+ Failures</v>
      </c>
      <c r="M2670" t="str">
        <f t="shared" si="125"/>
        <v>10-20hrs</v>
      </c>
      <c r="N2670" t="str">
        <f t="shared" si="123"/>
        <v>12+ months</v>
      </c>
      <c r="O2670" t="str">
        <f t="shared" si="124"/>
        <v>Basic</v>
      </c>
      <c r="P2670" s="7">
        <v>45657</v>
      </c>
    </row>
    <row r="2671" spans="1:16" x14ac:dyDescent="0.3">
      <c r="A2671">
        <v>2670</v>
      </c>
      <c r="B2671" s="7">
        <v>45357</v>
      </c>
      <c r="C2671" t="s">
        <v>14</v>
      </c>
      <c r="D2671">
        <v>399</v>
      </c>
      <c r="E2671">
        <v>13.3</v>
      </c>
      <c r="F2671">
        <v>3</v>
      </c>
      <c r="G2671">
        <v>2</v>
      </c>
      <c r="H2671">
        <v>17</v>
      </c>
      <c r="I2671">
        <v>55</v>
      </c>
      <c r="J2671" t="s">
        <v>13</v>
      </c>
      <c r="K2671">
        <f>IF(J2671="Yes", 1, 0)</f>
        <v>0</v>
      </c>
      <c r="L2671" t="str">
        <f>IF(G2671=0,"0 Failures","1+ Failures")</f>
        <v>1+ Failures</v>
      </c>
      <c r="M2671" t="str">
        <f t="shared" si="125"/>
        <v>10-20hrs</v>
      </c>
      <c r="N2671" t="str">
        <f t="shared" si="123"/>
        <v>12+ months</v>
      </c>
      <c r="O2671" t="str">
        <f t="shared" si="124"/>
        <v>Basic</v>
      </c>
      <c r="P2671" s="7">
        <v>45657</v>
      </c>
    </row>
    <row r="2672" spans="1:16" x14ac:dyDescent="0.3">
      <c r="A2672">
        <v>2671</v>
      </c>
      <c r="B2672" s="7">
        <v>45366</v>
      </c>
      <c r="C2672" t="s">
        <v>10</v>
      </c>
      <c r="D2672">
        <v>699</v>
      </c>
      <c r="E2672">
        <v>10.4</v>
      </c>
      <c r="F2672">
        <v>4</v>
      </c>
      <c r="G2672">
        <v>4</v>
      </c>
      <c r="H2672">
        <v>4</v>
      </c>
      <c r="I2672">
        <v>27</v>
      </c>
      <c r="J2672" t="s">
        <v>11</v>
      </c>
      <c r="K2672">
        <f>IF(J2672="Yes", 1, 0)</f>
        <v>1</v>
      </c>
      <c r="L2672" t="str">
        <f>IF(G2672=0,"0 Failures","1+ Failures")</f>
        <v>1+ Failures</v>
      </c>
      <c r="M2672" t="str">
        <f t="shared" si="125"/>
        <v>10-20hrs</v>
      </c>
      <c r="N2672" t="str">
        <f t="shared" si="123"/>
        <v>3-6months</v>
      </c>
      <c r="O2672" t="str">
        <f t="shared" si="124"/>
        <v>Premium</v>
      </c>
      <c r="P2672" s="7">
        <v>45657</v>
      </c>
    </row>
    <row r="2673" spans="1:16" x14ac:dyDescent="0.3">
      <c r="A2673">
        <v>2672</v>
      </c>
      <c r="B2673" s="7">
        <v>45481</v>
      </c>
      <c r="C2673" t="s">
        <v>14</v>
      </c>
      <c r="D2673">
        <v>399</v>
      </c>
      <c r="E2673">
        <v>14.9</v>
      </c>
      <c r="F2673">
        <v>3</v>
      </c>
      <c r="G2673">
        <v>5</v>
      </c>
      <c r="H2673">
        <v>13</v>
      </c>
      <c r="I2673">
        <v>16</v>
      </c>
      <c r="J2673" t="s">
        <v>13</v>
      </c>
      <c r="K2673">
        <f>IF(J2673="Yes", 1, 0)</f>
        <v>0</v>
      </c>
      <c r="L2673" t="str">
        <f>IF(G2673=0,"0 Failures","1+ Failures")</f>
        <v>1+ Failures</v>
      </c>
      <c r="M2673" t="str">
        <f t="shared" si="125"/>
        <v>10-20hrs</v>
      </c>
      <c r="N2673" t="str">
        <f t="shared" si="123"/>
        <v>12+ months</v>
      </c>
      <c r="O2673" t="str">
        <f t="shared" si="124"/>
        <v>Basic</v>
      </c>
      <c r="P2673" s="7">
        <v>45657</v>
      </c>
    </row>
    <row r="2674" spans="1:16" x14ac:dyDescent="0.3">
      <c r="A2674">
        <v>2673</v>
      </c>
      <c r="B2674" s="7">
        <v>45572</v>
      </c>
      <c r="C2674" t="s">
        <v>10</v>
      </c>
      <c r="D2674">
        <v>699</v>
      </c>
      <c r="E2674">
        <v>13.9</v>
      </c>
      <c r="F2674">
        <v>2</v>
      </c>
      <c r="G2674">
        <v>2</v>
      </c>
      <c r="H2674">
        <v>13</v>
      </c>
      <c r="I2674">
        <v>51</v>
      </c>
      <c r="J2674" t="s">
        <v>11</v>
      </c>
      <c r="K2674">
        <f>IF(J2674="Yes", 1, 0)</f>
        <v>1</v>
      </c>
      <c r="L2674" t="str">
        <f>IF(G2674=0,"0 Failures","1+ Failures")</f>
        <v>1+ Failures</v>
      </c>
      <c r="M2674" t="str">
        <f t="shared" si="125"/>
        <v>10-20hrs</v>
      </c>
      <c r="N2674" t="str">
        <f t="shared" si="123"/>
        <v>12+ months</v>
      </c>
      <c r="O2674" t="str">
        <f t="shared" si="124"/>
        <v>Premium</v>
      </c>
      <c r="P2674" s="7">
        <v>45657</v>
      </c>
    </row>
    <row r="2675" spans="1:16" x14ac:dyDescent="0.3">
      <c r="A2675">
        <v>2674</v>
      </c>
      <c r="B2675" s="7">
        <v>45383</v>
      </c>
      <c r="C2675" t="s">
        <v>14</v>
      </c>
      <c r="D2675">
        <v>399</v>
      </c>
      <c r="E2675">
        <v>22.9</v>
      </c>
      <c r="F2675">
        <v>8</v>
      </c>
      <c r="G2675">
        <v>0</v>
      </c>
      <c r="H2675">
        <v>26</v>
      </c>
      <c r="I2675">
        <v>21</v>
      </c>
      <c r="J2675" t="s">
        <v>11</v>
      </c>
      <c r="K2675">
        <f>IF(J2675="Yes", 1, 0)</f>
        <v>1</v>
      </c>
      <c r="L2675" t="str">
        <f>IF(G2675=0,"0 Failures","1+ Failures")</f>
        <v>0 Failures</v>
      </c>
      <c r="M2675" t="str">
        <f t="shared" si="125"/>
        <v>20+ hrs</v>
      </c>
      <c r="N2675" t="str">
        <f t="shared" si="123"/>
        <v>12+ months</v>
      </c>
      <c r="O2675" t="str">
        <f t="shared" si="124"/>
        <v>Basic</v>
      </c>
      <c r="P2675" s="7">
        <v>45657</v>
      </c>
    </row>
    <row r="2676" spans="1:16" x14ac:dyDescent="0.3">
      <c r="A2676">
        <v>2675</v>
      </c>
      <c r="B2676" s="7">
        <v>45287</v>
      </c>
      <c r="C2676" t="s">
        <v>14</v>
      </c>
      <c r="D2676">
        <v>399</v>
      </c>
      <c r="E2676">
        <v>17.8</v>
      </c>
      <c r="F2676">
        <v>6</v>
      </c>
      <c r="G2676">
        <v>2</v>
      </c>
      <c r="H2676">
        <v>18</v>
      </c>
      <c r="I2676">
        <v>28</v>
      </c>
      <c r="J2676" t="s">
        <v>11</v>
      </c>
      <c r="K2676">
        <f>IF(J2676="Yes", 1, 0)</f>
        <v>1</v>
      </c>
      <c r="L2676" t="str">
        <f>IF(G2676=0,"0 Failures","1+ Failures")</f>
        <v>1+ Failures</v>
      </c>
      <c r="M2676" t="str">
        <f t="shared" si="125"/>
        <v>10-20hrs</v>
      </c>
      <c r="N2676" t="str">
        <f t="shared" si="123"/>
        <v>12+ months</v>
      </c>
      <c r="O2676" t="str">
        <f t="shared" si="124"/>
        <v>Basic</v>
      </c>
      <c r="P2676" s="7">
        <v>45657</v>
      </c>
    </row>
    <row r="2677" spans="1:16" x14ac:dyDescent="0.3">
      <c r="A2677">
        <v>2676</v>
      </c>
      <c r="B2677" s="7">
        <v>44936</v>
      </c>
      <c r="C2677" t="s">
        <v>12</v>
      </c>
      <c r="D2677">
        <v>199</v>
      </c>
      <c r="E2677">
        <v>24</v>
      </c>
      <c r="F2677">
        <v>2</v>
      </c>
      <c r="G2677">
        <v>1</v>
      </c>
      <c r="H2677">
        <v>24</v>
      </c>
      <c r="I2677">
        <v>36</v>
      </c>
      <c r="J2677" t="s">
        <v>11</v>
      </c>
      <c r="K2677">
        <f>IF(J2677="Yes", 1, 0)</f>
        <v>1</v>
      </c>
      <c r="L2677" t="str">
        <f>IF(G2677=0,"0 Failures","1+ Failures")</f>
        <v>1+ Failures</v>
      </c>
      <c r="M2677" t="str">
        <f t="shared" si="125"/>
        <v>20+ hrs</v>
      </c>
      <c r="N2677" t="str">
        <f t="shared" si="123"/>
        <v>12+ months</v>
      </c>
      <c r="O2677" t="str">
        <f t="shared" si="124"/>
        <v>Basic</v>
      </c>
      <c r="P2677" s="7">
        <v>45657</v>
      </c>
    </row>
    <row r="2678" spans="1:16" x14ac:dyDescent="0.3">
      <c r="A2678">
        <v>2677</v>
      </c>
      <c r="B2678" s="7">
        <v>45571</v>
      </c>
      <c r="C2678" t="s">
        <v>10</v>
      </c>
      <c r="D2678">
        <v>699</v>
      </c>
      <c r="E2678">
        <v>13.8</v>
      </c>
      <c r="F2678">
        <v>5</v>
      </c>
      <c r="G2678">
        <v>2</v>
      </c>
      <c r="H2678">
        <v>3</v>
      </c>
      <c r="I2678">
        <v>6</v>
      </c>
      <c r="J2678" t="s">
        <v>11</v>
      </c>
      <c r="K2678">
        <f>IF(J2678="Yes", 1, 0)</f>
        <v>1</v>
      </c>
      <c r="L2678" t="str">
        <f>IF(G2678=0,"0 Failures","1+ Failures")</f>
        <v>1+ Failures</v>
      </c>
      <c r="M2678" t="str">
        <f t="shared" si="125"/>
        <v>10-20hrs</v>
      </c>
      <c r="N2678" t="str">
        <f t="shared" si="123"/>
        <v>0-3months</v>
      </c>
      <c r="O2678" t="str">
        <f t="shared" si="124"/>
        <v>Premium</v>
      </c>
      <c r="P2678" s="7">
        <v>45657</v>
      </c>
    </row>
    <row r="2679" spans="1:16" x14ac:dyDescent="0.3">
      <c r="A2679">
        <v>2678</v>
      </c>
      <c r="B2679" s="7">
        <v>45029</v>
      </c>
      <c r="C2679" t="s">
        <v>10</v>
      </c>
      <c r="D2679">
        <v>699</v>
      </c>
      <c r="E2679">
        <v>18.399999999999999</v>
      </c>
      <c r="F2679">
        <v>1</v>
      </c>
      <c r="G2679">
        <v>1</v>
      </c>
      <c r="H2679">
        <v>20</v>
      </c>
      <c r="I2679">
        <v>6</v>
      </c>
      <c r="J2679" t="s">
        <v>13</v>
      </c>
      <c r="K2679">
        <f>IF(J2679="Yes", 1, 0)</f>
        <v>0</v>
      </c>
      <c r="L2679" t="str">
        <f>IF(G2679=0,"0 Failures","1+ Failures")</f>
        <v>1+ Failures</v>
      </c>
      <c r="M2679" t="str">
        <f t="shared" si="125"/>
        <v>10-20hrs</v>
      </c>
      <c r="N2679" t="str">
        <f t="shared" si="123"/>
        <v>12+ months</v>
      </c>
      <c r="O2679" t="str">
        <f t="shared" si="124"/>
        <v>Premium</v>
      </c>
      <c r="P2679" s="7">
        <v>45657</v>
      </c>
    </row>
    <row r="2680" spans="1:16" x14ac:dyDescent="0.3">
      <c r="A2680">
        <v>2679</v>
      </c>
      <c r="B2680" s="7">
        <v>45263</v>
      </c>
      <c r="C2680" t="s">
        <v>14</v>
      </c>
      <c r="D2680">
        <v>399</v>
      </c>
      <c r="E2680">
        <v>23.6</v>
      </c>
      <c r="F2680">
        <v>1</v>
      </c>
      <c r="G2680">
        <v>4</v>
      </c>
      <c r="H2680">
        <v>33</v>
      </c>
      <c r="I2680">
        <v>43</v>
      </c>
      <c r="J2680" t="s">
        <v>11</v>
      </c>
      <c r="K2680">
        <f>IF(J2680="Yes", 1, 0)</f>
        <v>1</v>
      </c>
      <c r="L2680" t="str">
        <f>IF(G2680=0,"0 Failures","1+ Failures")</f>
        <v>1+ Failures</v>
      </c>
      <c r="M2680" t="str">
        <f t="shared" si="125"/>
        <v>20+ hrs</v>
      </c>
      <c r="N2680" t="str">
        <f t="shared" si="123"/>
        <v>12+ months</v>
      </c>
      <c r="O2680" t="str">
        <f t="shared" si="124"/>
        <v>Basic</v>
      </c>
      <c r="P2680" s="7">
        <v>45657</v>
      </c>
    </row>
    <row r="2681" spans="1:16" x14ac:dyDescent="0.3">
      <c r="A2681">
        <v>2680</v>
      </c>
      <c r="B2681" s="7">
        <v>45576</v>
      </c>
      <c r="C2681" t="s">
        <v>14</v>
      </c>
      <c r="D2681">
        <v>399</v>
      </c>
      <c r="E2681">
        <v>17.2</v>
      </c>
      <c r="F2681">
        <v>0</v>
      </c>
      <c r="G2681">
        <v>5</v>
      </c>
      <c r="H2681">
        <v>29</v>
      </c>
      <c r="I2681">
        <v>44</v>
      </c>
      <c r="J2681" t="s">
        <v>11</v>
      </c>
      <c r="K2681">
        <f>IF(J2681="Yes", 1, 0)</f>
        <v>1</v>
      </c>
      <c r="L2681" t="str">
        <f>IF(G2681=0,"0 Failures","1+ Failures")</f>
        <v>1+ Failures</v>
      </c>
      <c r="M2681" t="str">
        <f t="shared" si="125"/>
        <v>10-20hrs</v>
      </c>
      <c r="N2681" t="str">
        <f t="shared" si="123"/>
        <v>12+ months</v>
      </c>
      <c r="O2681" t="str">
        <f t="shared" si="124"/>
        <v>Basic</v>
      </c>
      <c r="P2681" s="7">
        <v>45657</v>
      </c>
    </row>
    <row r="2682" spans="1:16" x14ac:dyDescent="0.3">
      <c r="A2682">
        <v>2681</v>
      </c>
      <c r="B2682" s="7">
        <v>45201</v>
      </c>
      <c r="C2682" t="s">
        <v>12</v>
      </c>
      <c r="D2682">
        <v>199</v>
      </c>
      <c r="E2682">
        <v>18.100000000000001</v>
      </c>
      <c r="F2682">
        <v>5</v>
      </c>
      <c r="G2682">
        <v>1</v>
      </c>
      <c r="H2682">
        <v>26</v>
      </c>
      <c r="I2682">
        <v>20</v>
      </c>
      <c r="J2682" t="s">
        <v>13</v>
      </c>
      <c r="K2682">
        <f>IF(J2682="Yes", 1, 0)</f>
        <v>0</v>
      </c>
      <c r="L2682" t="str">
        <f>IF(G2682=0,"0 Failures","1+ Failures")</f>
        <v>1+ Failures</v>
      </c>
      <c r="M2682" t="str">
        <f t="shared" si="125"/>
        <v>10-20hrs</v>
      </c>
      <c r="N2682" t="str">
        <f t="shared" si="123"/>
        <v>12+ months</v>
      </c>
      <c r="O2682" t="str">
        <f t="shared" si="124"/>
        <v>Basic</v>
      </c>
      <c r="P2682" s="7">
        <v>45657</v>
      </c>
    </row>
    <row r="2683" spans="1:16" x14ac:dyDescent="0.3">
      <c r="A2683">
        <v>2682</v>
      </c>
      <c r="B2683" s="7">
        <v>45375</v>
      </c>
      <c r="C2683" t="s">
        <v>10</v>
      </c>
      <c r="D2683">
        <v>699</v>
      </c>
      <c r="E2683">
        <v>17.2</v>
      </c>
      <c r="F2683">
        <v>0</v>
      </c>
      <c r="G2683">
        <v>0</v>
      </c>
      <c r="H2683">
        <v>6</v>
      </c>
      <c r="I2683">
        <v>42</v>
      </c>
      <c r="J2683" t="s">
        <v>11</v>
      </c>
      <c r="K2683">
        <f>IF(J2683="Yes", 1, 0)</f>
        <v>1</v>
      </c>
      <c r="L2683" t="str">
        <f>IF(G2683=0,"0 Failures","1+ Failures")</f>
        <v>0 Failures</v>
      </c>
      <c r="M2683" t="str">
        <f t="shared" si="125"/>
        <v>10-20hrs</v>
      </c>
      <c r="N2683" t="str">
        <f t="shared" si="123"/>
        <v>3-6months</v>
      </c>
      <c r="O2683" t="str">
        <f t="shared" si="124"/>
        <v>Premium</v>
      </c>
      <c r="P2683" s="7">
        <v>45657</v>
      </c>
    </row>
    <row r="2684" spans="1:16" x14ac:dyDescent="0.3">
      <c r="A2684">
        <v>2683</v>
      </c>
      <c r="B2684" s="7">
        <v>45643</v>
      </c>
      <c r="C2684" t="s">
        <v>14</v>
      </c>
      <c r="D2684">
        <v>399</v>
      </c>
      <c r="E2684">
        <v>21.9</v>
      </c>
      <c r="F2684">
        <v>0</v>
      </c>
      <c r="G2684">
        <v>0</v>
      </c>
      <c r="H2684">
        <v>23</v>
      </c>
      <c r="I2684">
        <v>10</v>
      </c>
      <c r="J2684" t="s">
        <v>13</v>
      </c>
      <c r="K2684">
        <f>IF(J2684="Yes", 1, 0)</f>
        <v>0</v>
      </c>
      <c r="L2684" t="str">
        <f>IF(G2684=0,"0 Failures","1+ Failures")</f>
        <v>0 Failures</v>
      </c>
      <c r="M2684" t="str">
        <f t="shared" si="125"/>
        <v>20+ hrs</v>
      </c>
      <c r="N2684" t="str">
        <f t="shared" si="123"/>
        <v>12+ months</v>
      </c>
      <c r="O2684" t="str">
        <f t="shared" si="124"/>
        <v>Basic</v>
      </c>
      <c r="P2684" s="7">
        <v>45657</v>
      </c>
    </row>
    <row r="2685" spans="1:16" x14ac:dyDescent="0.3">
      <c r="A2685">
        <v>2684</v>
      </c>
      <c r="B2685" s="7">
        <v>45114</v>
      </c>
      <c r="C2685" t="s">
        <v>12</v>
      </c>
      <c r="D2685">
        <v>199</v>
      </c>
      <c r="E2685">
        <v>8.3000000000000007</v>
      </c>
      <c r="F2685">
        <v>5</v>
      </c>
      <c r="G2685">
        <v>1</v>
      </c>
      <c r="H2685">
        <v>6</v>
      </c>
      <c r="I2685">
        <v>55</v>
      </c>
      <c r="J2685" t="s">
        <v>13</v>
      </c>
      <c r="K2685">
        <f>IF(J2685="Yes", 1, 0)</f>
        <v>0</v>
      </c>
      <c r="L2685" t="str">
        <f>IF(G2685=0,"0 Failures","1+ Failures")</f>
        <v>1+ Failures</v>
      </c>
      <c r="M2685" t="str">
        <f t="shared" si="125"/>
        <v>5-10 hrs</v>
      </c>
      <c r="N2685" t="str">
        <f t="shared" si="123"/>
        <v>3-6months</v>
      </c>
      <c r="O2685" t="str">
        <f t="shared" si="124"/>
        <v>Basic</v>
      </c>
      <c r="P2685" s="7">
        <v>45657</v>
      </c>
    </row>
    <row r="2686" spans="1:16" x14ac:dyDescent="0.3">
      <c r="A2686">
        <v>2685</v>
      </c>
      <c r="B2686" s="7">
        <v>45431</v>
      </c>
      <c r="C2686" t="s">
        <v>14</v>
      </c>
      <c r="D2686">
        <v>399</v>
      </c>
      <c r="E2686">
        <v>11.3</v>
      </c>
      <c r="F2686">
        <v>5</v>
      </c>
      <c r="G2686">
        <v>0</v>
      </c>
      <c r="H2686">
        <v>17</v>
      </c>
      <c r="I2686">
        <v>28</v>
      </c>
      <c r="J2686" t="s">
        <v>11</v>
      </c>
      <c r="K2686">
        <f>IF(J2686="Yes", 1, 0)</f>
        <v>1</v>
      </c>
      <c r="L2686" t="str">
        <f>IF(G2686=0,"0 Failures","1+ Failures")</f>
        <v>0 Failures</v>
      </c>
      <c r="M2686" t="str">
        <f t="shared" si="125"/>
        <v>10-20hrs</v>
      </c>
      <c r="N2686" t="str">
        <f t="shared" si="123"/>
        <v>12+ months</v>
      </c>
      <c r="O2686" t="str">
        <f t="shared" si="124"/>
        <v>Basic</v>
      </c>
      <c r="P2686" s="7">
        <v>45657</v>
      </c>
    </row>
    <row r="2687" spans="1:16" x14ac:dyDescent="0.3">
      <c r="A2687">
        <v>2686</v>
      </c>
      <c r="B2687" s="7">
        <v>45289</v>
      </c>
      <c r="C2687" t="s">
        <v>12</v>
      </c>
      <c r="D2687">
        <v>199</v>
      </c>
      <c r="E2687">
        <v>17.8</v>
      </c>
      <c r="F2687">
        <v>2</v>
      </c>
      <c r="G2687">
        <v>3</v>
      </c>
      <c r="H2687">
        <v>29</v>
      </c>
      <c r="I2687">
        <v>38</v>
      </c>
      <c r="J2687" t="s">
        <v>11</v>
      </c>
      <c r="K2687">
        <f>IF(J2687="Yes", 1, 0)</f>
        <v>1</v>
      </c>
      <c r="L2687" t="str">
        <f>IF(G2687=0,"0 Failures","1+ Failures")</f>
        <v>1+ Failures</v>
      </c>
      <c r="M2687" t="str">
        <f t="shared" si="125"/>
        <v>10-20hrs</v>
      </c>
      <c r="N2687" t="str">
        <f t="shared" si="123"/>
        <v>12+ months</v>
      </c>
      <c r="O2687" t="str">
        <f t="shared" si="124"/>
        <v>Basic</v>
      </c>
      <c r="P2687" s="7">
        <v>45657</v>
      </c>
    </row>
    <row r="2688" spans="1:16" x14ac:dyDescent="0.3">
      <c r="A2688">
        <v>2687</v>
      </c>
      <c r="B2688" s="7">
        <v>44976</v>
      </c>
      <c r="C2688" t="s">
        <v>10</v>
      </c>
      <c r="D2688">
        <v>699</v>
      </c>
      <c r="E2688">
        <v>16.3</v>
      </c>
      <c r="F2688">
        <v>3</v>
      </c>
      <c r="G2688">
        <v>5</v>
      </c>
      <c r="H2688">
        <v>24</v>
      </c>
      <c r="I2688">
        <v>48</v>
      </c>
      <c r="J2688" t="s">
        <v>13</v>
      </c>
      <c r="K2688">
        <f>IF(J2688="Yes", 1, 0)</f>
        <v>0</v>
      </c>
      <c r="L2688" t="str">
        <f>IF(G2688=0,"0 Failures","1+ Failures")</f>
        <v>1+ Failures</v>
      </c>
      <c r="M2688" t="str">
        <f t="shared" si="125"/>
        <v>10-20hrs</v>
      </c>
      <c r="N2688" t="str">
        <f t="shared" si="123"/>
        <v>12+ months</v>
      </c>
      <c r="O2688" t="str">
        <f t="shared" si="124"/>
        <v>Premium</v>
      </c>
      <c r="P2688" s="7">
        <v>45657</v>
      </c>
    </row>
    <row r="2689" spans="1:16" x14ac:dyDescent="0.3">
      <c r="A2689">
        <v>2688</v>
      </c>
      <c r="B2689" s="7">
        <v>45135</v>
      </c>
      <c r="C2689" t="s">
        <v>12</v>
      </c>
      <c r="D2689">
        <v>199</v>
      </c>
      <c r="E2689">
        <v>7.6</v>
      </c>
      <c r="F2689">
        <v>3</v>
      </c>
      <c r="G2689">
        <v>2</v>
      </c>
      <c r="H2689">
        <v>26</v>
      </c>
      <c r="I2689">
        <v>49</v>
      </c>
      <c r="J2689" t="s">
        <v>13</v>
      </c>
      <c r="K2689">
        <f>IF(J2689="Yes", 1, 0)</f>
        <v>0</v>
      </c>
      <c r="L2689" t="str">
        <f>IF(G2689=0,"0 Failures","1+ Failures")</f>
        <v>1+ Failures</v>
      </c>
      <c r="M2689" t="str">
        <f t="shared" si="125"/>
        <v>5-10 hrs</v>
      </c>
      <c r="N2689" t="str">
        <f t="shared" si="123"/>
        <v>12+ months</v>
      </c>
      <c r="O2689" t="str">
        <f t="shared" si="124"/>
        <v>Basic</v>
      </c>
      <c r="P2689" s="7">
        <v>45657</v>
      </c>
    </row>
    <row r="2690" spans="1:16" x14ac:dyDescent="0.3">
      <c r="A2690">
        <v>2689</v>
      </c>
      <c r="B2690" s="7">
        <v>45146</v>
      </c>
      <c r="C2690" t="s">
        <v>10</v>
      </c>
      <c r="D2690">
        <v>699</v>
      </c>
      <c r="E2690">
        <v>0.6</v>
      </c>
      <c r="F2690">
        <v>5</v>
      </c>
      <c r="G2690">
        <v>1</v>
      </c>
      <c r="H2690">
        <v>8</v>
      </c>
      <c r="I2690">
        <v>60</v>
      </c>
      <c r="J2690" t="s">
        <v>11</v>
      </c>
      <c r="K2690">
        <f>IF(J2690="Yes", 1, 0)</f>
        <v>1</v>
      </c>
      <c r="L2690" t="str">
        <f>IF(G2690=0,"0 Failures","1+ Failures")</f>
        <v>1+ Failures</v>
      </c>
      <c r="M2690" t="str">
        <f t="shared" si="125"/>
        <v>0-5 hrs</v>
      </c>
      <c r="N2690" t="str">
        <f t="shared" si="123"/>
        <v>6-12months</v>
      </c>
      <c r="O2690" t="str">
        <f t="shared" si="124"/>
        <v>Premium</v>
      </c>
      <c r="P2690" s="7">
        <v>45657</v>
      </c>
    </row>
    <row r="2691" spans="1:16" x14ac:dyDescent="0.3">
      <c r="A2691">
        <v>2690</v>
      </c>
      <c r="B2691" s="7">
        <v>45568</v>
      </c>
      <c r="C2691" t="s">
        <v>14</v>
      </c>
      <c r="D2691">
        <v>399</v>
      </c>
      <c r="E2691">
        <v>12.9</v>
      </c>
      <c r="F2691">
        <v>4</v>
      </c>
      <c r="G2691">
        <v>0</v>
      </c>
      <c r="H2691">
        <v>3</v>
      </c>
      <c r="I2691">
        <v>4</v>
      </c>
      <c r="J2691" t="s">
        <v>13</v>
      </c>
      <c r="K2691">
        <f>IF(J2691="Yes", 1, 0)</f>
        <v>0</v>
      </c>
      <c r="L2691" t="str">
        <f>IF(G2691=0,"0 Failures","1+ Failures")</f>
        <v>0 Failures</v>
      </c>
      <c r="M2691" t="str">
        <f t="shared" si="125"/>
        <v>10-20hrs</v>
      </c>
      <c r="N2691" t="str">
        <f t="shared" ref="N2691:N2754" si="126">IF(H2691&lt;=3, "0-3months", IF(H2691&lt;=6, "3-6months", IF(H2691&lt;=12, "6-12months", "12+ months")))</f>
        <v>0-3months</v>
      </c>
      <c r="O2691" t="str">
        <f t="shared" ref="O2691:O2754" si="127">IF(C2691="premium", "Premium", "Basic")</f>
        <v>Basic</v>
      </c>
      <c r="P2691" s="7">
        <v>45657</v>
      </c>
    </row>
    <row r="2692" spans="1:16" x14ac:dyDescent="0.3">
      <c r="A2692">
        <v>2691</v>
      </c>
      <c r="B2692" s="7">
        <v>45485</v>
      </c>
      <c r="C2692" t="s">
        <v>10</v>
      </c>
      <c r="D2692">
        <v>699</v>
      </c>
      <c r="E2692">
        <v>23.9</v>
      </c>
      <c r="F2692">
        <v>5</v>
      </c>
      <c r="G2692">
        <v>4</v>
      </c>
      <c r="H2692">
        <v>7</v>
      </c>
      <c r="I2692">
        <v>39</v>
      </c>
      <c r="J2692" t="s">
        <v>13</v>
      </c>
      <c r="K2692">
        <f>IF(J2692="Yes", 1, 0)</f>
        <v>0</v>
      </c>
      <c r="L2692" t="str">
        <f>IF(G2692=0,"0 Failures","1+ Failures")</f>
        <v>1+ Failures</v>
      </c>
      <c r="M2692" t="str">
        <f t="shared" si="125"/>
        <v>20+ hrs</v>
      </c>
      <c r="N2692" t="str">
        <f t="shared" si="126"/>
        <v>6-12months</v>
      </c>
      <c r="O2692" t="str">
        <f t="shared" si="127"/>
        <v>Premium</v>
      </c>
      <c r="P2692" s="7">
        <v>45657</v>
      </c>
    </row>
    <row r="2693" spans="1:16" x14ac:dyDescent="0.3">
      <c r="A2693">
        <v>2692</v>
      </c>
      <c r="B2693" s="7">
        <v>45077</v>
      </c>
      <c r="C2693" t="s">
        <v>14</v>
      </c>
      <c r="D2693">
        <v>399</v>
      </c>
      <c r="E2693">
        <v>19.100000000000001</v>
      </c>
      <c r="F2693">
        <v>3</v>
      </c>
      <c r="G2693">
        <v>2</v>
      </c>
      <c r="H2693">
        <v>23</v>
      </c>
      <c r="I2693">
        <v>43</v>
      </c>
      <c r="J2693" t="s">
        <v>11</v>
      </c>
      <c r="K2693">
        <f>IF(J2693="Yes", 1, 0)</f>
        <v>1</v>
      </c>
      <c r="L2693" t="str">
        <f>IF(G2693=0,"0 Failures","1+ Failures")</f>
        <v>1+ Failures</v>
      </c>
      <c r="M2693" t="str">
        <f t="shared" si="125"/>
        <v>10-20hrs</v>
      </c>
      <c r="N2693" t="str">
        <f t="shared" si="126"/>
        <v>12+ months</v>
      </c>
      <c r="O2693" t="str">
        <f t="shared" si="127"/>
        <v>Basic</v>
      </c>
      <c r="P2693" s="7">
        <v>45657</v>
      </c>
    </row>
    <row r="2694" spans="1:16" x14ac:dyDescent="0.3">
      <c r="A2694">
        <v>2693</v>
      </c>
      <c r="B2694" s="7">
        <v>45510</v>
      </c>
      <c r="C2694" t="s">
        <v>12</v>
      </c>
      <c r="D2694">
        <v>199</v>
      </c>
      <c r="E2694">
        <v>10</v>
      </c>
      <c r="F2694">
        <v>0</v>
      </c>
      <c r="G2694">
        <v>0</v>
      </c>
      <c r="H2694">
        <v>24</v>
      </c>
      <c r="I2694">
        <v>26</v>
      </c>
      <c r="J2694" t="s">
        <v>13</v>
      </c>
      <c r="K2694">
        <f>IF(J2694="Yes", 1, 0)</f>
        <v>0</v>
      </c>
      <c r="L2694" t="str">
        <f>IF(G2694=0,"0 Failures","1+ Failures")</f>
        <v>0 Failures</v>
      </c>
      <c r="M2694" t="str">
        <f t="shared" si="125"/>
        <v>5-10 hrs</v>
      </c>
      <c r="N2694" t="str">
        <f t="shared" si="126"/>
        <v>12+ months</v>
      </c>
      <c r="O2694" t="str">
        <f t="shared" si="127"/>
        <v>Basic</v>
      </c>
      <c r="P2694" s="7">
        <v>45657</v>
      </c>
    </row>
    <row r="2695" spans="1:16" x14ac:dyDescent="0.3">
      <c r="A2695">
        <v>2694</v>
      </c>
      <c r="B2695" s="7">
        <v>45487</v>
      </c>
      <c r="C2695" t="s">
        <v>10</v>
      </c>
      <c r="D2695">
        <v>699</v>
      </c>
      <c r="E2695">
        <v>16.3</v>
      </c>
      <c r="F2695">
        <v>6</v>
      </c>
      <c r="G2695">
        <v>4</v>
      </c>
      <c r="H2695">
        <v>1</v>
      </c>
      <c r="I2695">
        <v>27</v>
      </c>
      <c r="J2695" t="s">
        <v>13</v>
      </c>
      <c r="K2695">
        <f>IF(J2695="Yes", 1, 0)</f>
        <v>0</v>
      </c>
      <c r="L2695" t="str">
        <f>IF(G2695=0,"0 Failures","1+ Failures")</f>
        <v>1+ Failures</v>
      </c>
      <c r="M2695" t="str">
        <f t="shared" si="125"/>
        <v>10-20hrs</v>
      </c>
      <c r="N2695" t="str">
        <f t="shared" si="126"/>
        <v>0-3months</v>
      </c>
      <c r="O2695" t="str">
        <f t="shared" si="127"/>
        <v>Premium</v>
      </c>
      <c r="P2695" s="7">
        <v>45657</v>
      </c>
    </row>
    <row r="2696" spans="1:16" x14ac:dyDescent="0.3">
      <c r="A2696">
        <v>2695</v>
      </c>
      <c r="B2696" s="7">
        <v>45639</v>
      </c>
      <c r="C2696" t="s">
        <v>12</v>
      </c>
      <c r="D2696">
        <v>199</v>
      </c>
      <c r="E2696">
        <v>13.9</v>
      </c>
      <c r="F2696">
        <v>7</v>
      </c>
      <c r="G2696">
        <v>3</v>
      </c>
      <c r="H2696">
        <v>5</v>
      </c>
      <c r="I2696">
        <v>16</v>
      </c>
      <c r="J2696" t="s">
        <v>11</v>
      </c>
      <c r="K2696">
        <f>IF(J2696="Yes", 1, 0)</f>
        <v>1</v>
      </c>
      <c r="L2696" t="str">
        <f>IF(G2696=0,"0 Failures","1+ Failures")</f>
        <v>1+ Failures</v>
      </c>
      <c r="M2696" t="str">
        <f t="shared" si="125"/>
        <v>10-20hrs</v>
      </c>
      <c r="N2696" t="str">
        <f t="shared" si="126"/>
        <v>3-6months</v>
      </c>
      <c r="O2696" t="str">
        <f t="shared" si="127"/>
        <v>Basic</v>
      </c>
      <c r="P2696" s="7">
        <v>45657</v>
      </c>
    </row>
    <row r="2697" spans="1:16" x14ac:dyDescent="0.3">
      <c r="A2697">
        <v>2696</v>
      </c>
      <c r="B2697" s="7">
        <v>45605</v>
      </c>
      <c r="C2697" t="s">
        <v>12</v>
      </c>
      <c r="D2697">
        <v>199</v>
      </c>
      <c r="E2697">
        <v>12.8</v>
      </c>
      <c r="F2697">
        <v>2</v>
      </c>
      <c r="G2697">
        <v>5</v>
      </c>
      <c r="H2697">
        <v>31</v>
      </c>
      <c r="I2697">
        <v>56</v>
      </c>
      <c r="J2697" t="s">
        <v>13</v>
      </c>
      <c r="K2697">
        <f>IF(J2697="Yes", 1, 0)</f>
        <v>0</v>
      </c>
      <c r="L2697" t="str">
        <f>IF(G2697=0,"0 Failures","1+ Failures")</f>
        <v>1+ Failures</v>
      </c>
      <c r="M2697" t="str">
        <f t="shared" si="125"/>
        <v>10-20hrs</v>
      </c>
      <c r="N2697" t="str">
        <f t="shared" si="126"/>
        <v>12+ months</v>
      </c>
      <c r="O2697" t="str">
        <f t="shared" si="127"/>
        <v>Basic</v>
      </c>
      <c r="P2697" s="7">
        <v>45657</v>
      </c>
    </row>
    <row r="2698" spans="1:16" x14ac:dyDescent="0.3">
      <c r="A2698">
        <v>2697</v>
      </c>
      <c r="B2698" s="7">
        <v>45429</v>
      </c>
      <c r="C2698" t="s">
        <v>12</v>
      </c>
      <c r="D2698">
        <v>199</v>
      </c>
      <c r="E2698">
        <v>8</v>
      </c>
      <c r="F2698">
        <v>5</v>
      </c>
      <c r="G2698">
        <v>1</v>
      </c>
      <c r="H2698">
        <v>19</v>
      </c>
      <c r="I2698">
        <v>1</v>
      </c>
      <c r="J2698" t="s">
        <v>11</v>
      </c>
      <c r="K2698">
        <f>IF(J2698="Yes", 1, 0)</f>
        <v>1</v>
      </c>
      <c r="L2698" t="str">
        <f>IF(G2698=0,"0 Failures","1+ Failures")</f>
        <v>1+ Failures</v>
      </c>
      <c r="M2698" t="str">
        <f t="shared" si="125"/>
        <v>5-10 hrs</v>
      </c>
      <c r="N2698" t="str">
        <f t="shared" si="126"/>
        <v>12+ months</v>
      </c>
      <c r="O2698" t="str">
        <f t="shared" si="127"/>
        <v>Basic</v>
      </c>
      <c r="P2698" s="7">
        <v>45657</v>
      </c>
    </row>
    <row r="2699" spans="1:16" x14ac:dyDescent="0.3">
      <c r="A2699">
        <v>2698</v>
      </c>
      <c r="B2699" s="7">
        <v>45091</v>
      </c>
      <c r="C2699" t="s">
        <v>14</v>
      </c>
      <c r="D2699">
        <v>399</v>
      </c>
      <c r="E2699">
        <v>19.100000000000001</v>
      </c>
      <c r="F2699">
        <v>2</v>
      </c>
      <c r="G2699">
        <v>2</v>
      </c>
      <c r="H2699">
        <v>25</v>
      </c>
      <c r="I2699">
        <v>20</v>
      </c>
      <c r="J2699" t="s">
        <v>11</v>
      </c>
      <c r="K2699">
        <f>IF(J2699="Yes", 1, 0)</f>
        <v>1</v>
      </c>
      <c r="L2699" t="str">
        <f>IF(G2699=0,"0 Failures","1+ Failures")</f>
        <v>1+ Failures</v>
      </c>
      <c r="M2699" t="str">
        <f t="shared" ref="M2699:M2762" si="128">IF(E2699&lt;=5, "0-5 hrs",    IF(E2699&lt;=10, "5-10 hrs",    IF(E2699&lt;=20, "10-20hrs", "20+ hrs")))</f>
        <v>10-20hrs</v>
      </c>
      <c r="N2699" t="str">
        <f t="shared" si="126"/>
        <v>12+ months</v>
      </c>
      <c r="O2699" t="str">
        <f t="shared" si="127"/>
        <v>Basic</v>
      </c>
      <c r="P2699" s="7">
        <v>45657</v>
      </c>
    </row>
    <row r="2700" spans="1:16" x14ac:dyDescent="0.3">
      <c r="A2700">
        <v>2699</v>
      </c>
      <c r="B2700" s="7">
        <v>45247</v>
      </c>
      <c r="C2700" t="s">
        <v>10</v>
      </c>
      <c r="D2700">
        <v>699</v>
      </c>
      <c r="E2700">
        <v>20.8</v>
      </c>
      <c r="F2700">
        <v>1</v>
      </c>
      <c r="G2700">
        <v>3</v>
      </c>
      <c r="H2700">
        <v>23</v>
      </c>
      <c r="I2700">
        <v>13</v>
      </c>
      <c r="J2700" t="s">
        <v>13</v>
      </c>
      <c r="K2700">
        <f>IF(J2700="Yes", 1, 0)</f>
        <v>0</v>
      </c>
      <c r="L2700" t="str">
        <f>IF(G2700=0,"0 Failures","1+ Failures")</f>
        <v>1+ Failures</v>
      </c>
      <c r="M2700" t="str">
        <f t="shared" si="128"/>
        <v>20+ hrs</v>
      </c>
      <c r="N2700" t="str">
        <f t="shared" si="126"/>
        <v>12+ months</v>
      </c>
      <c r="O2700" t="str">
        <f t="shared" si="127"/>
        <v>Premium</v>
      </c>
      <c r="P2700" s="7">
        <v>45657</v>
      </c>
    </row>
    <row r="2701" spans="1:16" x14ac:dyDescent="0.3">
      <c r="A2701">
        <v>2700</v>
      </c>
      <c r="B2701" s="7">
        <v>45187</v>
      </c>
      <c r="C2701" t="s">
        <v>14</v>
      </c>
      <c r="D2701">
        <v>399</v>
      </c>
      <c r="E2701">
        <v>22.5</v>
      </c>
      <c r="F2701">
        <v>2</v>
      </c>
      <c r="G2701">
        <v>2</v>
      </c>
      <c r="H2701">
        <v>9</v>
      </c>
      <c r="I2701">
        <v>6</v>
      </c>
      <c r="J2701" t="s">
        <v>13</v>
      </c>
      <c r="K2701">
        <f>IF(J2701="Yes", 1, 0)</f>
        <v>0</v>
      </c>
      <c r="L2701" t="str">
        <f>IF(G2701=0,"0 Failures","1+ Failures")</f>
        <v>1+ Failures</v>
      </c>
      <c r="M2701" t="str">
        <f t="shared" si="128"/>
        <v>20+ hrs</v>
      </c>
      <c r="N2701" t="str">
        <f t="shared" si="126"/>
        <v>6-12months</v>
      </c>
      <c r="O2701" t="str">
        <f t="shared" si="127"/>
        <v>Basic</v>
      </c>
      <c r="P2701" s="7">
        <v>45657</v>
      </c>
    </row>
    <row r="2702" spans="1:16" x14ac:dyDescent="0.3">
      <c r="A2702">
        <v>2701</v>
      </c>
      <c r="B2702" s="7">
        <v>45265</v>
      </c>
      <c r="C2702" t="s">
        <v>12</v>
      </c>
      <c r="D2702">
        <v>199</v>
      </c>
      <c r="E2702">
        <v>15.9</v>
      </c>
      <c r="F2702">
        <v>2</v>
      </c>
      <c r="G2702">
        <v>1</v>
      </c>
      <c r="H2702">
        <v>4</v>
      </c>
      <c r="I2702">
        <v>50</v>
      </c>
      <c r="J2702" t="s">
        <v>11</v>
      </c>
      <c r="K2702">
        <f>IF(J2702="Yes", 1, 0)</f>
        <v>1</v>
      </c>
      <c r="L2702" t="str">
        <f>IF(G2702=0,"0 Failures","1+ Failures")</f>
        <v>1+ Failures</v>
      </c>
      <c r="M2702" t="str">
        <f t="shared" si="128"/>
        <v>10-20hrs</v>
      </c>
      <c r="N2702" t="str">
        <f t="shared" si="126"/>
        <v>3-6months</v>
      </c>
      <c r="O2702" t="str">
        <f t="shared" si="127"/>
        <v>Basic</v>
      </c>
      <c r="P2702" s="7">
        <v>45657</v>
      </c>
    </row>
    <row r="2703" spans="1:16" x14ac:dyDescent="0.3">
      <c r="A2703">
        <v>2702</v>
      </c>
      <c r="B2703" s="7">
        <v>45358</v>
      </c>
      <c r="C2703" t="s">
        <v>12</v>
      </c>
      <c r="D2703">
        <v>199</v>
      </c>
      <c r="E2703">
        <v>0.9</v>
      </c>
      <c r="F2703">
        <v>0</v>
      </c>
      <c r="G2703">
        <v>4</v>
      </c>
      <c r="H2703">
        <v>5</v>
      </c>
      <c r="I2703">
        <v>2</v>
      </c>
      <c r="J2703" t="s">
        <v>13</v>
      </c>
      <c r="K2703">
        <f>IF(J2703="Yes", 1, 0)</f>
        <v>0</v>
      </c>
      <c r="L2703" t="str">
        <f>IF(G2703=0,"0 Failures","1+ Failures")</f>
        <v>1+ Failures</v>
      </c>
      <c r="M2703" t="str">
        <f t="shared" si="128"/>
        <v>0-5 hrs</v>
      </c>
      <c r="N2703" t="str">
        <f t="shared" si="126"/>
        <v>3-6months</v>
      </c>
      <c r="O2703" t="str">
        <f t="shared" si="127"/>
        <v>Basic</v>
      </c>
      <c r="P2703" s="7">
        <v>45657</v>
      </c>
    </row>
    <row r="2704" spans="1:16" x14ac:dyDescent="0.3">
      <c r="A2704">
        <v>2703</v>
      </c>
      <c r="B2704" s="7">
        <v>45496</v>
      </c>
      <c r="C2704" t="s">
        <v>10</v>
      </c>
      <c r="D2704">
        <v>699</v>
      </c>
      <c r="E2704">
        <v>9.1999999999999993</v>
      </c>
      <c r="F2704">
        <v>0</v>
      </c>
      <c r="G2704">
        <v>5</v>
      </c>
      <c r="H2704">
        <v>3</v>
      </c>
      <c r="I2704">
        <v>48</v>
      </c>
      <c r="J2704" t="s">
        <v>13</v>
      </c>
      <c r="K2704">
        <f>IF(J2704="Yes", 1, 0)</f>
        <v>0</v>
      </c>
      <c r="L2704" t="str">
        <f>IF(G2704=0,"0 Failures","1+ Failures")</f>
        <v>1+ Failures</v>
      </c>
      <c r="M2704" t="str">
        <f t="shared" si="128"/>
        <v>5-10 hrs</v>
      </c>
      <c r="N2704" t="str">
        <f t="shared" si="126"/>
        <v>0-3months</v>
      </c>
      <c r="O2704" t="str">
        <f t="shared" si="127"/>
        <v>Premium</v>
      </c>
      <c r="P2704" s="7">
        <v>45657</v>
      </c>
    </row>
    <row r="2705" spans="1:16" x14ac:dyDescent="0.3">
      <c r="A2705">
        <v>2704</v>
      </c>
      <c r="B2705" s="7">
        <v>45017</v>
      </c>
      <c r="C2705" t="s">
        <v>14</v>
      </c>
      <c r="D2705">
        <v>399</v>
      </c>
      <c r="E2705">
        <v>6.7</v>
      </c>
      <c r="F2705">
        <v>0</v>
      </c>
      <c r="G2705">
        <v>1</v>
      </c>
      <c r="H2705">
        <v>33</v>
      </c>
      <c r="I2705">
        <v>56</v>
      </c>
      <c r="J2705" t="s">
        <v>13</v>
      </c>
      <c r="K2705">
        <f>IF(J2705="Yes", 1, 0)</f>
        <v>0</v>
      </c>
      <c r="L2705" t="str">
        <f>IF(G2705=0,"0 Failures","1+ Failures")</f>
        <v>1+ Failures</v>
      </c>
      <c r="M2705" t="str">
        <f t="shared" si="128"/>
        <v>5-10 hrs</v>
      </c>
      <c r="N2705" t="str">
        <f t="shared" si="126"/>
        <v>12+ months</v>
      </c>
      <c r="O2705" t="str">
        <f t="shared" si="127"/>
        <v>Basic</v>
      </c>
      <c r="P2705" s="7">
        <v>45657</v>
      </c>
    </row>
    <row r="2706" spans="1:16" x14ac:dyDescent="0.3">
      <c r="A2706">
        <v>2705</v>
      </c>
      <c r="B2706" s="7">
        <v>45621</v>
      </c>
      <c r="C2706" t="s">
        <v>14</v>
      </c>
      <c r="D2706">
        <v>399</v>
      </c>
      <c r="E2706">
        <v>11.4</v>
      </c>
      <c r="F2706">
        <v>2</v>
      </c>
      <c r="G2706">
        <v>4</v>
      </c>
      <c r="H2706">
        <v>26</v>
      </c>
      <c r="I2706">
        <v>59</v>
      </c>
      <c r="J2706" t="s">
        <v>11</v>
      </c>
      <c r="K2706">
        <f>IF(J2706="Yes", 1, 0)</f>
        <v>1</v>
      </c>
      <c r="L2706" t="str">
        <f>IF(G2706=0,"0 Failures","1+ Failures")</f>
        <v>1+ Failures</v>
      </c>
      <c r="M2706" t="str">
        <f t="shared" si="128"/>
        <v>10-20hrs</v>
      </c>
      <c r="N2706" t="str">
        <f t="shared" si="126"/>
        <v>12+ months</v>
      </c>
      <c r="O2706" t="str">
        <f t="shared" si="127"/>
        <v>Basic</v>
      </c>
      <c r="P2706" s="7">
        <v>45657</v>
      </c>
    </row>
    <row r="2707" spans="1:16" x14ac:dyDescent="0.3">
      <c r="A2707">
        <v>2706</v>
      </c>
      <c r="B2707" s="7">
        <v>45506</v>
      </c>
      <c r="C2707" t="s">
        <v>14</v>
      </c>
      <c r="D2707">
        <v>399</v>
      </c>
      <c r="E2707">
        <v>8.6999999999999993</v>
      </c>
      <c r="F2707">
        <v>8</v>
      </c>
      <c r="G2707">
        <v>4</v>
      </c>
      <c r="H2707">
        <v>30</v>
      </c>
      <c r="I2707">
        <v>28</v>
      </c>
      <c r="J2707" t="s">
        <v>11</v>
      </c>
      <c r="K2707">
        <f>IF(J2707="Yes", 1, 0)</f>
        <v>1</v>
      </c>
      <c r="L2707" t="str">
        <f>IF(G2707=0,"0 Failures","1+ Failures")</f>
        <v>1+ Failures</v>
      </c>
      <c r="M2707" t="str">
        <f t="shared" si="128"/>
        <v>5-10 hrs</v>
      </c>
      <c r="N2707" t="str">
        <f t="shared" si="126"/>
        <v>12+ months</v>
      </c>
      <c r="O2707" t="str">
        <f t="shared" si="127"/>
        <v>Basic</v>
      </c>
      <c r="P2707" s="7">
        <v>45657</v>
      </c>
    </row>
    <row r="2708" spans="1:16" x14ac:dyDescent="0.3">
      <c r="A2708">
        <v>2707</v>
      </c>
      <c r="B2708" s="7">
        <v>45163</v>
      </c>
      <c r="C2708" t="s">
        <v>12</v>
      </c>
      <c r="D2708">
        <v>199</v>
      </c>
      <c r="E2708">
        <v>4.7</v>
      </c>
      <c r="F2708">
        <v>6</v>
      </c>
      <c r="G2708">
        <v>2</v>
      </c>
      <c r="H2708">
        <v>6</v>
      </c>
      <c r="I2708">
        <v>10</v>
      </c>
      <c r="J2708" t="s">
        <v>11</v>
      </c>
      <c r="K2708">
        <f>IF(J2708="Yes", 1, 0)</f>
        <v>1</v>
      </c>
      <c r="L2708" t="str">
        <f>IF(G2708=0,"0 Failures","1+ Failures")</f>
        <v>1+ Failures</v>
      </c>
      <c r="M2708" t="str">
        <f t="shared" si="128"/>
        <v>0-5 hrs</v>
      </c>
      <c r="N2708" t="str">
        <f t="shared" si="126"/>
        <v>3-6months</v>
      </c>
      <c r="O2708" t="str">
        <f t="shared" si="127"/>
        <v>Basic</v>
      </c>
      <c r="P2708" s="7">
        <v>45657</v>
      </c>
    </row>
    <row r="2709" spans="1:16" x14ac:dyDescent="0.3">
      <c r="A2709">
        <v>2708</v>
      </c>
      <c r="B2709" s="7">
        <v>45395</v>
      </c>
      <c r="C2709" t="s">
        <v>12</v>
      </c>
      <c r="D2709">
        <v>199</v>
      </c>
      <c r="E2709">
        <v>16.899999999999999</v>
      </c>
      <c r="F2709">
        <v>2</v>
      </c>
      <c r="G2709">
        <v>0</v>
      </c>
      <c r="H2709">
        <v>27</v>
      </c>
      <c r="I2709">
        <v>56</v>
      </c>
      <c r="J2709" t="s">
        <v>13</v>
      </c>
      <c r="K2709">
        <f>IF(J2709="Yes", 1, 0)</f>
        <v>0</v>
      </c>
      <c r="L2709" t="str">
        <f>IF(G2709=0,"0 Failures","1+ Failures")</f>
        <v>0 Failures</v>
      </c>
      <c r="M2709" t="str">
        <f t="shared" si="128"/>
        <v>10-20hrs</v>
      </c>
      <c r="N2709" t="str">
        <f t="shared" si="126"/>
        <v>12+ months</v>
      </c>
      <c r="O2709" t="str">
        <f t="shared" si="127"/>
        <v>Basic</v>
      </c>
      <c r="P2709" s="7">
        <v>45657</v>
      </c>
    </row>
    <row r="2710" spans="1:16" x14ac:dyDescent="0.3">
      <c r="A2710">
        <v>2709</v>
      </c>
      <c r="B2710" s="7">
        <v>44952</v>
      </c>
      <c r="C2710" t="s">
        <v>14</v>
      </c>
      <c r="D2710">
        <v>399</v>
      </c>
      <c r="E2710">
        <v>13.3</v>
      </c>
      <c r="F2710">
        <v>1</v>
      </c>
      <c r="G2710">
        <v>2</v>
      </c>
      <c r="H2710">
        <v>23</v>
      </c>
      <c r="I2710">
        <v>29</v>
      </c>
      <c r="J2710" t="s">
        <v>13</v>
      </c>
      <c r="K2710">
        <f>IF(J2710="Yes", 1, 0)</f>
        <v>0</v>
      </c>
      <c r="L2710" t="str">
        <f>IF(G2710=0,"0 Failures","1+ Failures")</f>
        <v>1+ Failures</v>
      </c>
      <c r="M2710" t="str">
        <f t="shared" si="128"/>
        <v>10-20hrs</v>
      </c>
      <c r="N2710" t="str">
        <f t="shared" si="126"/>
        <v>12+ months</v>
      </c>
      <c r="O2710" t="str">
        <f t="shared" si="127"/>
        <v>Basic</v>
      </c>
      <c r="P2710" s="7">
        <v>45657</v>
      </c>
    </row>
    <row r="2711" spans="1:16" x14ac:dyDescent="0.3">
      <c r="A2711">
        <v>2710</v>
      </c>
      <c r="B2711" s="7">
        <v>45092</v>
      </c>
      <c r="C2711" t="s">
        <v>10</v>
      </c>
      <c r="D2711">
        <v>699</v>
      </c>
      <c r="E2711">
        <v>0.5</v>
      </c>
      <c r="F2711">
        <v>7</v>
      </c>
      <c r="G2711">
        <v>0</v>
      </c>
      <c r="H2711">
        <v>9</v>
      </c>
      <c r="I2711">
        <v>5</v>
      </c>
      <c r="J2711" t="s">
        <v>13</v>
      </c>
      <c r="K2711">
        <f>IF(J2711="Yes", 1, 0)</f>
        <v>0</v>
      </c>
      <c r="L2711" t="str">
        <f>IF(G2711=0,"0 Failures","1+ Failures")</f>
        <v>0 Failures</v>
      </c>
      <c r="M2711" t="str">
        <f t="shared" si="128"/>
        <v>0-5 hrs</v>
      </c>
      <c r="N2711" t="str">
        <f t="shared" si="126"/>
        <v>6-12months</v>
      </c>
      <c r="O2711" t="str">
        <f t="shared" si="127"/>
        <v>Premium</v>
      </c>
      <c r="P2711" s="7">
        <v>45657</v>
      </c>
    </row>
    <row r="2712" spans="1:16" x14ac:dyDescent="0.3">
      <c r="A2712">
        <v>2711</v>
      </c>
      <c r="B2712" s="7">
        <v>45028</v>
      </c>
      <c r="C2712" t="s">
        <v>12</v>
      </c>
      <c r="D2712">
        <v>199</v>
      </c>
      <c r="E2712">
        <v>0.6</v>
      </c>
      <c r="F2712">
        <v>3</v>
      </c>
      <c r="G2712">
        <v>3</v>
      </c>
      <c r="H2712">
        <v>36</v>
      </c>
      <c r="I2712">
        <v>44</v>
      </c>
      <c r="J2712" t="s">
        <v>13</v>
      </c>
      <c r="K2712">
        <f>IF(J2712="Yes", 1, 0)</f>
        <v>0</v>
      </c>
      <c r="L2712" t="str">
        <f>IF(G2712=0,"0 Failures","1+ Failures")</f>
        <v>1+ Failures</v>
      </c>
      <c r="M2712" t="str">
        <f t="shared" si="128"/>
        <v>0-5 hrs</v>
      </c>
      <c r="N2712" t="str">
        <f t="shared" si="126"/>
        <v>12+ months</v>
      </c>
      <c r="O2712" t="str">
        <f t="shared" si="127"/>
        <v>Basic</v>
      </c>
      <c r="P2712" s="7">
        <v>45657</v>
      </c>
    </row>
    <row r="2713" spans="1:16" x14ac:dyDescent="0.3">
      <c r="A2713">
        <v>2712</v>
      </c>
      <c r="B2713" s="7">
        <v>45427</v>
      </c>
      <c r="C2713" t="s">
        <v>10</v>
      </c>
      <c r="D2713">
        <v>699</v>
      </c>
      <c r="E2713">
        <v>2.2000000000000002</v>
      </c>
      <c r="F2713">
        <v>8</v>
      </c>
      <c r="G2713">
        <v>0</v>
      </c>
      <c r="H2713">
        <v>11</v>
      </c>
      <c r="I2713">
        <v>33</v>
      </c>
      <c r="J2713" t="s">
        <v>11</v>
      </c>
      <c r="K2713">
        <f>IF(J2713="Yes", 1, 0)</f>
        <v>1</v>
      </c>
      <c r="L2713" t="str">
        <f>IF(G2713=0,"0 Failures","1+ Failures")</f>
        <v>0 Failures</v>
      </c>
      <c r="M2713" t="str">
        <f t="shared" si="128"/>
        <v>0-5 hrs</v>
      </c>
      <c r="N2713" t="str">
        <f t="shared" si="126"/>
        <v>6-12months</v>
      </c>
      <c r="O2713" t="str">
        <f t="shared" si="127"/>
        <v>Premium</v>
      </c>
      <c r="P2713" s="7">
        <v>45657</v>
      </c>
    </row>
    <row r="2714" spans="1:16" x14ac:dyDescent="0.3">
      <c r="A2714">
        <v>2713</v>
      </c>
      <c r="B2714" s="7">
        <v>45442</v>
      </c>
      <c r="C2714" t="s">
        <v>10</v>
      </c>
      <c r="D2714">
        <v>699</v>
      </c>
      <c r="E2714">
        <v>17.3</v>
      </c>
      <c r="F2714">
        <v>1</v>
      </c>
      <c r="G2714">
        <v>3</v>
      </c>
      <c r="H2714">
        <v>1</v>
      </c>
      <c r="I2714">
        <v>6</v>
      </c>
      <c r="J2714" t="s">
        <v>13</v>
      </c>
      <c r="K2714">
        <f>IF(J2714="Yes", 1, 0)</f>
        <v>0</v>
      </c>
      <c r="L2714" t="str">
        <f>IF(G2714=0,"0 Failures","1+ Failures")</f>
        <v>1+ Failures</v>
      </c>
      <c r="M2714" t="str">
        <f t="shared" si="128"/>
        <v>10-20hrs</v>
      </c>
      <c r="N2714" t="str">
        <f t="shared" si="126"/>
        <v>0-3months</v>
      </c>
      <c r="O2714" t="str">
        <f t="shared" si="127"/>
        <v>Premium</v>
      </c>
      <c r="P2714" s="7">
        <v>45657</v>
      </c>
    </row>
    <row r="2715" spans="1:16" x14ac:dyDescent="0.3">
      <c r="A2715">
        <v>2714</v>
      </c>
      <c r="B2715" s="7">
        <v>45529</v>
      </c>
      <c r="C2715" t="s">
        <v>14</v>
      </c>
      <c r="D2715">
        <v>399</v>
      </c>
      <c r="E2715">
        <v>13.6</v>
      </c>
      <c r="F2715">
        <v>5</v>
      </c>
      <c r="G2715">
        <v>4</v>
      </c>
      <c r="H2715">
        <v>14</v>
      </c>
      <c r="I2715">
        <v>35</v>
      </c>
      <c r="J2715" t="s">
        <v>11</v>
      </c>
      <c r="K2715">
        <f>IF(J2715="Yes", 1, 0)</f>
        <v>1</v>
      </c>
      <c r="L2715" t="str">
        <f>IF(G2715=0,"0 Failures","1+ Failures")</f>
        <v>1+ Failures</v>
      </c>
      <c r="M2715" t="str">
        <f t="shared" si="128"/>
        <v>10-20hrs</v>
      </c>
      <c r="N2715" t="str">
        <f t="shared" si="126"/>
        <v>12+ months</v>
      </c>
      <c r="O2715" t="str">
        <f t="shared" si="127"/>
        <v>Basic</v>
      </c>
      <c r="P2715" s="7">
        <v>45657</v>
      </c>
    </row>
    <row r="2716" spans="1:16" x14ac:dyDescent="0.3">
      <c r="A2716">
        <v>2715</v>
      </c>
      <c r="B2716" s="7">
        <v>45317</v>
      </c>
      <c r="C2716" t="s">
        <v>14</v>
      </c>
      <c r="D2716">
        <v>399</v>
      </c>
      <c r="E2716">
        <v>17.399999999999999</v>
      </c>
      <c r="F2716">
        <v>7</v>
      </c>
      <c r="G2716">
        <v>1</v>
      </c>
      <c r="H2716">
        <v>30</v>
      </c>
      <c r="I2716">
        <v>45</v>
      </c>
      <c r="J2716" t="s">
        <v>13</v>
      </c>
      <c r="K2716">
        <f>IF(J2716="Yes", 1, 0)</f>
        <v>0</v>
      </c>
      <c r="L2716" t="str">
        <f>IF(G2716=0,"0 Failures","1+ Failures")</f>
        <v>1+ Failures</v>
      </c>
      <c r="M2716" t="str">
        <f t="shared" si="128"/>
        <v>10-20hrs</v>
      </c>
      <c r="N2716" t="str">
        <f t="shared" si="126"/>
        <v>12+ months</v>
      </c>
      <c r="O2716" t="str">
        <f t="shared" si="127"/>
        <v>Basic</v>
      </c>
      <c r="P2716" s="7">
        <v>45657</v>
      </c>
    </row>
    <row r="2717" spans="1:16" x14ac:dyDescent="0.3">
      <c r="A2717">
        <v>2716</v>
      </c>
      <c r="B2717" s="7">
        <v>45474</v>
      </c>
      <c r="C2717" t="s">
        <v>10</v>
      </c>
      <c r="D2717">
        <v>699</v>
      </c>
      <c r="E2717">
        <v>1.6</v>
      </c>
      <c r="F2717">
        <v>0</v>
      </c>
      <c r="G2717">
        <v>2</v>
      </c>
      <c r="H2717">
        <v>34</v>
      </c>
      <c r="I2717">
        <v>58</v>
      </c>
      <c r="J2717" t="s">
        <v>11</v>
      </c>
      <c r="K2717">
        <f>IF(J2717="Yes", 1, 0)</f>
        <v>1</v>
      </c>
      <c r="L2717" t="str">
        <f>IF(G2717=0,"0 Failures","1+ Failures")</f>
        <v>1+ Failures</v>
      </c>
      <c r="M2717" t="str">
        <f t="shared" si="128"/>
        <v>0-5 hrs</v>
      </c>
      <c r="N2717" t="str">
        <f t="shared" si="126"/>
        <v>12+ months</v>
      </c>
      <c r="O2717" t="str">
        <f t="shared" si="127"/>
        <v>Premium</v>
      </c>
      <c r="P2717" s="7">
        <v>45657</v>
      </c>
    </row>
    <row r="2718" spans="1:16" x14ac:dyDescent="0.3">
      <c r="A2718">
        <v>2717</v>
      </c>
      <c r="B2718" s="7">
        <v>45522</v>
      </c>
      <c r="C2718" t="s">
        <v>10</v>
      </c>
      <c r="D2718">
        <v>699</v>
      </c>
      <c r="E2718">
        <v>2.1</v>
      </c>
      <c r="F2718">
        <v>6</v>
      </c>
      <c r="G2718">
        <v>4</v>
      </c>
      <c r="H2718">
        <v>14</v>
      </c>
      <c r="I2718">
        <v>60</v>
      </c>
      <c r="J2718" t="s">
        <v>11</v>
      </c>
      <c r="K2718">
        <f>IF(J2718="Yes", 1, 0)</f>
        <v>1</v>
      </c>
      <c r="L2718" t="str">
        <f>IF(G2718=0,"0 Failures","1+ Failures")</f>
        <v>1+ Failures</v>
      </c>
      <c r="M2718" t="str">
        <f t="shared" si="128"/>
        <v>0-5 hrs</v>
      </c>
      <c r="N2718" t="str">
        <f t="shared" si="126"/>
        <v>12+ months</v>
      </c>
      <c r="O2718" t="str">
        <f t="shared" si="127"/>
        <v>Premium</v>
      </c>
      <c r="P2718" s="7">
        <v>45657</v>
      </c>
    </row>
    <row r="2719" spans="1:16" x14ac:dyDescent="0.3">
      <c r="A2719">
        <v>2718</v>
      </c>
      <c r="B2719" s="7">
        <v>44981</v>
      </c>
      <c r="C2719" t="s">
        <v>14</v>
      </c>
      <c r="D2719">
        <v>399</v>
      </c>
      <c r="E2719">
        <v>20.2</v>
      </c>
      <c r="F2719">
        <v>4</v>
      </c>
      <c r="G2719">
        <v>2</v>
      </c>
      <c r="H2719">
        <v>12</v>
      </c>
      <c r="I2719">
        <v>56</v>
      </c>
      <c r="J2719" t="s">
        <v>11</v>
      </c>
      <c r="K2719">
        <f>IF(J2719="Yes", 1, 0)</f>
        <v>1</v>
      </c>
      <c r="L2719" t="str">
        <f>IF(G2719=0,"0 Failures","1+ Failures")</f>
        <v>1+ Failures</v>
      </c>
      <c r="M2719" t="str">
        <f t="shared" si="128"/>
        <v>20+ hrs</v>
      </c>
      <c r="N2719" t="str">
        <f t="shared" si="126"/>
        <v>6-12months</v>
      </c>
      <c r="O2719" t="str">
        <f t="shared" si="127"/>
        <v>Basic</v>
      </c>
      <c r="P2719" s="7">
        <v>45657</v>
      </c>
    </row>
    <row r="2720" spans="1:16" x14ac:dyDescent="0.3">
      <c r="A2720">
        <v>2719</v>
      </c>
      <c r="B2720" s="7">
        <v>45093</v>
      </c>
      <c r="C2720" t="s">
        <v>10</v>
      </c>
      <c r="D2720">
        <v>699</v>
      </c>
      <c r="E2720">
        <v>24.9</v>
      </c>
      <c r="F2720">
        <v>2</v>
      </c>
      <c r="G2720">
        <v>1</v>
      </c>
      <c r="H2720">
        <v>7</v>
      </c>
      <c r="I2720">
        <v>46</v>
      </c>
      <c r="J2720" t="s">
        <v>13</v>
      </c>
      <c r="K2720">
        <f>IF(J2720="Yes", 1, 0)</f>
        <v>0</v>
      </c>
      <c r="L2720" t="str">
        <f>IF(G2720=0,"0 Failures","1+ Failures")</f>
        <v>1+ Failures</v>
      </c>
      <c r="M2720" t="str">
        <f t="shared" si="128"/>
        <v>20+ hrs</v>
      </c>
      <c r="N2720" t="str">
        <f t="shared" si="126"/>
        <v>6-12months</v>
      </c>
      <c r="O2720" t="str">
        <f t="shared" si="127"/>
        <v>Premium</v>
      </c>
      <c r="P2720" s="7">
        <v>45657</v>
      </c>
    </row>
    <row r="2721" spans="1:16" x14ac:dyDescent="0.3">
      <c r="A2721">
        <v>2720</v>
      </c>
      <c r="B2721" s="7">
        <v>45567</v>
      </c>
      <c r="C2721" t="s">
        <v>12</v>
      </c>
      <c r="D2721">
        <v>199</v>
      </c>
      <c r="E2721">
        <v>4.9000000000000004</v>
      </c>
      <c r="F2721">
        <v>3</v>
      </c>
      <c r="G2721">
        <v>4</v>
      </c>
      <c r="H2721">
        <v>4</v>
      </c>
      <c r="I2721">
        <v>18</v>
      </c>
      <c r="J2721" t="s">
        <v>11</v>
      </c>
      <c r="K2721">
        <f>IF(J2721="Yes", 1, 0)</f>
        <v>1</v>
      </c>
      <c r="L2721" t="str">
        <f>IF(G2721=0,"0 Failures","1+ Failures")</f>
        <v>1+ Failures</v>
      </c>
      <c r="M2721" t="str">
        <f t="shared" si="128"/>
        <v>0-5 hrs</v>
      </c>
      <c r="N2721" t="str">
        <f t="shared" si="126"/>
        <v>3-6months</v>
      </c>
      <c r="O2721" t="str">
        <f t="shared" si="127"/>
        <v>Basic</v>
      </c>
      <c r="P2721" s="7">
        <v>45657</v>
      </c>
    </row>
    <row r="2722" spans="1:16" x14ac:dyDescent="0.3">
      <c r="A2722">
        <v>2721</v>
      </c>
      <c r="B2722" s="7">
        <v>45212</v>
      </c>
      <c r="C2722" t="s">
        <v>12</v>
      </c>
      <c r="D2722">
        <v>199</v>
      </c>
      <c r="E2722">
        <v>16.7</v>
      </c>
      <c r="F2722">
        <v>2</v>
      </c>
      <c r="G2722">
        <v>0</v>
      </c>
      <c r="H2722">
        <v>9</v>
      </c>
      <c r="I2722">
        <v>16</v>
      </c>
      <c r="J2722" t="s">
        <v>11</v>
      </c>
      <c r="K2722">
        <f>IF(J2722="Yes", 1, 0)</f>
        <v>1</v>
      </c>
      <c r="L2722" t="str">
        <f>IF(G2722=0,"0 Failures","1+ Failures")</f>
        <v>0 Failures</v>
      </c>
      <c r="M2722" t="str">
        <f t="shared" si="128"/>
        <v>10-20hrs</v>
      </c>
      <c r="N2722" t="str">
        <f t="shared" si="126"/>
        <v>6-12months</v>
      </c>
      <c r="O2722" t="str">
        <f t="shared" si="127"/>
        <v>Basic</v>
      </c>
      <c r="P2722" s="7">
        <v>45657</v>
      </c>
    </row>
    <row r="2723" spans="1:16" x14ac:dyDescent="0.3">
      <c r="A2723">
        <v>2722</v>
      </c>
      <c r="B2723" s="7">
        <v>45039</v>
      </c>
      <c r="C2723" t="s">
        <v>14</v>
      </c>
      <c r="D2723">
        <v>399</v>
      </c>
      <c r="E2723">
        <v>16.5</v>
      </c>
      <c r="F2723">
        <v>2</v>
      </c>
      <c r="G2723">
        <v>5</v>
      </c>
      <c r="H2723">
        <v>18</v>
      </c>
      <c r="I2723">
        <v>55</v>
      </c>
      <c r="J2723" t="s">
        <v>11</v>
      </c>
      <c r="K2723">
        <f>IF(J2723="Yes", 1, 0)</f>
        <v>1</v>
      </c>
      <c r="L2723" t="str">
        <f>IF(G2723=0,"0 Failures","1+ Failures")</f>
        <v>1+ Failures</v>
      </c>
      <c r="M2723" t="str">
        <f t="shared" si="128"/>
        <v>10-20hrs</v>
      </c>
      <c r="N2723" t="str">
        <f t="shared" si="126"/>
        <v>12+ months</v>
      </c>
      <c r="O2723" t="str">
        <f t="shared" si="127"/>
        <v>Basic</v>
      </c>
      <c r="P2723" s="7">
        <v>45657</v>
      </c>
    </row>
    <row r="2724" spans="1:16" x14ac:dyDescent="0.3">
      <c r="A2724">
        <v>2723</v>
      </c>
      <c r="B2724" s="7">
        <v>45644</v>
      </c>
      <c r="C2724" t="s">
        <v>12</v>
      </c>
      <c r="D2724">
        <v>199</v>
      </c>
      <c r="E2724">
        <v>24.4</v>
      </c>
      <c r="F2724">
        <v>5</v>
      </c>
      <c r="G2724">
        <v>4</v>
      </c>
      <c r="H2724">
        <v>27</v>
      </c>
      <c r="I2724">
        <v>38</v>
      </c>
      <c r="J2724" t="s">
        <v>11</v>
      </c>
      <c r="K2724">
        <f>IF(J2724="Yes", 1, 0)</f>
        <v>1</v>
      </c>
      <c r="L2724" t="str">
        <f>IF(G2724=0,"0 Failures","1+ Failures")</f>
        <v>1+ Failures</v>
      </c>
      <c r="M2724" t="str">
        <f t="shared" si="128"/>
        <v>20+ hrs</v>
      </c>
      <c r="N2724" t="str">
        <f t="shared" si="126"/>
        <v>12+ months</v>
      </c>
      <c r="O2724" t="str">
        <f t="shared" si="127"/>
        <v>Basic</v>
      </c>
      <c r="P2724" s="7">
        <v>45657</v>
      </c>
    </row>
    <row r="2725" spans="1:16" x14ac:dyDescent="0.3">
      <c r="A2725">
        <v>2724</v>
      </c>
      <c r="B2725" s="7">
        <v>44978</v>
      </c>
      <c r="C2725" t="s">
        <v>12</v>
      </c>
      <c r="D2725">
        <v>199</v>
      </c>
      <c r="E2725">
        <v>18.5</v>
      </c>
      <c r="F2725">
        <v>0</v>
      </c>
      <c r="G2725">
        <v>1</v>
      </c>
      <c r="H2725">
        <v>9</v>
      </c>
      <c r="I2725">
        <v>2</v>
      </c>
      <c r="J2725" t="s">
        <v>13</v>
      </c>
      <c r="K2725">
        <f>IF(J2725="Yes", 1, 0)</f>
        <v>0</v>
      </c>
      <c r="L2725" t="str">
        <f>IF(G2725=0,"0 Failures","1+ Failures")</f>
        <v>1+ Failures</v>
      </c>
      <c r="M2725" t="str">
        <f t="shared" si="128"/>
        <v>10-20hrs</v>
      </c>
      <c r="N2725" t="str">
        <f t="shared" si="126"/>
        <v>6-12months</v>
      </c>
      <c r="O2725" t="str">
        <f t="shared" si="127"/>
        <v>Basic</v>
      </c>
      <c r="P2725" s="7">
        <v>45657</v>
      </c>
    </row>
    <row r="2726" spans="1:16" x14ac:dyDescent="0.3">
      <c r="A2726">
        <v>2725</v>
      </c>
      <c r="B2726" s="7">
        <v>45294</v>
      </c>
      <c r="C2726" t="s">
        <v>14</v>
      </c>
      <c r="D2726">
        <v>399</v>
      </c>
      <c r="E2726">
        <v>5.9</v>
      </c>
      <c r="F2726">
        <v>2</v>
      </c>
      <c r="G2726">
        <v>1</v>
      </c>
      <c r="H2726">
        <v>10</v>
      </c>
      <c r="I2726">
        <v>45</v>
      </c>
      <c r="J2726" t="s">
        <v>13</v>
      </c>
      <c r="K2726">
        <f>IF(J2726="Yes", 1, 0)</f>
        <v>0</v>
      </c>
      <c r="L2726" t="str">
        <f>IF(G2726=0,"0 Failures","1+ Failures")</f>
        <v>1+ Failures</v>
      </c>
      <c r="M2726" t="str">
        <f t="shared" si="128"/>
        <v>5-10 hrs</v>
      </c>
      <c r="N2726" t="str">
        <f t="shared" si="126"/>
        <v>6-12months</v>
      </c>
      <c r="O2726" t="str">
        <f t="shared" si="127"/>
        <v>Basic</v>
      </c>
      <c r="P2726" s="7">
        <v>45657</v>
      </c>
    </row>
    <row r="2727" spans="1:16" x14ac:dyDescent="0.3">
      <c r="A2727">
        <v>2726</v>
      </c>
      <c r="B2727" s="7">
        <v>45060</v>
      </c>
      <c r="C2727" t="s">
        <v>12</v>
      </c>
      <c r="D2727">
        <v>199</v>
      </c>
      <c r="E2727">
        <v>6.5</v>
      </c>
      <c r="F2727">
        <v>3</v>
      </c>
      <c r="G2727">
        <v>0</v>
      </c>
      <c r="H2727">
        <v>7</v>
      </c>
      <c r="I2727">
        <v>57</v>
      </c>
      <c r="J2727" t="s">
        <v>13</v>
      </c>
      <c r="K2727">
        <f>IF(J2727="Yes", 1, 0)</f>
        <v>0</v>
      </c>
      <c r="L2727" t="str">
        <f>IF(G2727=0,"0 Failures","1+ Failures")</f>
        <v>0 Failures</v>
      </c>
      <c r="M2727" t="str">
        <f t="shared" si="128"/>
        <v>5-10 hrs</v>
      </c>
      <c r="N2727" t="str">
        <f t="shared" si="126"/>
        <v>6-12months</v>
      </c>
      <c r="O2727" t="str">
        <f t="shared" si="127"/>
        <v>Basic</v>
      </c>
      <c r="P2727" s="7">
        <v>45657</v>
      </c>
    </row>
    <row r="2728" spans="1:16" x14ac:dyDescent="0.3">
      <c r="A2728">
        <v>2727</v>
      </c>
      <c r="B2728" s="7">
        <v>44929</v>
      </c>
      <c r="C2728" t="s">
        <v>10</v>
      </c>
      <c r="D2728">
        <v>699</v>
      </c>
      <c r="E2728">
        <v>10.7</v>
      </c>
      <c r="F2728">
        <v>0</v>
      </c>
      <c r="G2728">
        <v>3</v>
      </c>
      <c r="H2728">
        <v>6</v>
      </c>
      <c r="I2728">
        <v>16</v>
      </c>
      <c r="J2728" t="s">
        <v>13</v>
      </c>
      <c r="K2728">
        <f>IF(J2728="Yes", 1, 0)</f>
        <v>0</v>
      </c>
      <c r="L2728" t="str">
        <f>IF(G2728=0,"0 Failures","1+ Failures")</f>
        <v>1+ Failures</v>
      </c>
      <c r="M2728" t="str">
        <f t="shared" si="128"/>
        <v>10-20hrs</v>
      </c>
      <c r="N2728" t="str">
        <f t="shared" si="126"/>
        <v>3-6months</v>
      </c>
      <c r="O2728" t="str">
        <f t="shared" si="127"/>
        <v>Premium</v>
      </c>
      <c r="P2728" s="7">
        <v>45657</v>
      </c>
    </row>
    <row r="2729" spans="1:16" x14ac:dyDescent="0.3">
      <c r="A2729">
        <v>2728</v>
      </c>
      <c r="B2729" s="7">
        <v>45334</v>
      </c>
      <c r="C2729" t="s">
        <v>10</v>
      </c>
      <c r="D2729">
        <v>699</v>
      </c>
      <c r="E2729">
        <v>8.9</v>
      </c>
      <c r="F2729">
        <v>3</v>
      </c>
      <c r="G2729">
        <v>3</v>
      </c>
      <c r="H2729">
        <v>4</v>
      </c>
      <c r="I2729">
        <v>29</v>
      </c>
      <c r="J2729" t="s">
        <v>11</v>
      </c>
      <c r="K2729">
        <f>IF(J2729="Yes", 1, 0)</f>
        <v>1</v>
      </c>
      <c r="L2729" t="str">
        <f>IF(G2729=0,"0 Failures","1+ Failures")</f>
        <v>1+ Failures</v>
      </c>
      <c r="M2729" t="str">
        <f t="shared" si="128"/>
        <v>5-10 hrs</v>
      </c>
      <c r="N2729" t="str">
        <f t="shared" si="126"/>
        <v>3-6months</v>
      </c>
      <c r="O2729" t="str">
        <f t="shared" si="127"/>
        <v>Premium</v>
      </c>
      <c r="P2729" s="7">
        <v>45657</v>
      </c>
    </row>
    <row r="2730" spans="1:16" x14ac:dyDescent="0.3">
      <c r="A2730">
        <v>2729</v>
      </c>
      <c r="B2730" s="7">
        <v>44950</v>
      </c>
      <c r="C2730" t="s">
        <v>10</v>
      </c>
      <c r="D2730">
        <v>699</v>
      </c>
      <c r="E2730">
        <v>15.5</v>
      </c>
      <c r="F2730">
        <v>3</v>
      </c>
      <c r="G2730">
        <v>1</v>
      </c>
      <c r="H2730">
        <v>7</v>
      </c>
      <c r="I2730">
        <v>49</v>
      </c>
      <c r="J2730" t="s">
        <v>11</v>
      </c>
      <c r="K2730">
        <f>IF(J2730="Yes", 1, 0)</f>
        <v>1</v>
      </c>
      <c r="L2730" t="str">
        <f>IF(G2730=0,"0 Failures","1+ Failures")</f>
        <v>1+ Failures</v>
      </c>
      <c r="M2730" t="str">
        <f t="shared" si="128"/>
        <v>10-20hrs</v>
      </c>
      <c r="N2730" t="str">
        <f t="shared" si="126"/>
        <v>6-12months</v>
      </c>
      <c r="O2730" t="str">
        <f t="shared" si="127"/>
        <v>Premium</v>
      </c>
      <c r="P2730" s="7">
        <v>45657</v>
      </c>
    </row>
    <row r="2731" spans="1:16" x14ac:dyDescent="0.3">
      <c r="A2731">
        <v>2730</v>
      </c>
      <c r="B2731" s="7">
        <v>45629</v>
      </c>
      <c r="C2731" t="s">
        <v>10</v>
      </c>
      <c r="D2731">
        <v>699</v>
      </c>
      <c r="E2731">
        <v>24.8</v>
      </c>
      <c r="F2731">
        <v>1</v>
      </c>
      <c r="G2731">
        <v>3</v>
      </c>
      <c r="H2731">
        <v>11</v>
      </c>
      <c r="I2731">
        <v>43</v>
      </c>
      <c r="J2731" t="s">
        <v>13</v>
      </c>
      <c r="K2731">
        <f>IF(J2731="Yes", 1, 0)</f>
        <v>0</v>
      </c>
      <c r="L2731" t="str">
        <f>IF(G2731=0,"0 Failures","1+ Failures")</f>
        <v>1+ Failures</v>
      </c>
      <c r="M2731" t="str">
        <f t="shared" si="128"/>
        <v>20+ hrs</v>
      </c>
      <c r="N2731" t="str">
        <f t="shared" si="126"/>
        <v>6-12months</v>
      </c>
      <c r="O2731" t="str">
        <f t="shared" si="127"/>
        <v>Premium</v>
      </c>
      <c r="P2731" s="7">
        <v>45657</v>
      </c>
    </row>
    <row r="2732" spans="1:16" x14ac:dyDescent="0.3">
      <c r="A2732">
        <v>2731</v>
      </c>
      <c r="B2732" s="7">
        <v>45089</v>
      </c>
      <c r="C2732" t="s">
        <v>10</v>
      </c>
      <c r="D2732">
        <v>699</v>
      </c>
      <c r="E2732">
        <v>12</v>
      </c>
      <c r="F2732">
        <v>6</v>
      </c>
      <c r="G2732">
        <v>4</v>
      </c>
      <c r="H2732">
        <v>5</v>
      </c>
      <c r="I2732">
        <v>2</v>
      </c>
      <c r="J2732" t="s">
        <v>13</v>
      </c>
      <c r="K2732">
        <f>IF(J2732="Yes", 1, 0)</f>
        <v>0</v>
      </c>
      <c r="L2732" t="str">
        <f>IF(G2732=0,"0 Failures","1+ Failures")</f>
        <v>1+ Failures</v>
      </c>
      <c r="M2732" t="str">
        <f t="shared" si="128"/>
        <v>10-20hrs</v>
      </c>
      <c r="N2732" t="str">
        <f t="shared" si="126"/>
        <v>3-6months</v>
      </c>
      <c r="O2732" t="str">
        <f t="shared" si="127"/>
        <v>Premium</v>
      </c>
      <c r="P2732" s="7">
        <v>45657</v>
      </c>
    </row>
    <row r="2733" spans="1:16" x14ac:dyDescent="0.3">
      <c r="A2733">
        <v>2732</v>
      </c>
      <c r="B2733" s="7">
        <v>45481</v>
      </c>
      <c r="C2733" t="s">
        <v>10</v>
      </c>
      <c r="D2733">
        <v>699</v>
      </c>
      <c r="E2733">
        <v>5.8</v>
      </c>
      <c r="F2733">
        <v>0</v>
      </c>
      <c r="G2733">
        <v>2</v>
      </c>
      <c r="H2733">
        <v>34</v>
      </c>
      <c r="I2733">
        <v>15</v>
      </c>
      <c r="J2733" t="s">
        <v>13</v>
      </c>
      <c r="K2733">
        <f>IF(J2733="Yes", 1, 0)</f>
        <v>0</v>
      </c>
      <c r="L2733" t="str">
        <f>IF(G2733=0,"0 Failures","1+ Failures")</f>
        <v>1+ Failures</v>
      </c>
      <c r="M2733" t="str">
        <f t="shared" si="128"/>
        <v>5-10 hrs</v>
      </c>
      <c r="N2733" t="str">
        <f t="shared" si="126"/>
        <v>12+ months</v>
      </c>
      <c r="O2733" t="str">
        <f t="shared" si="127"/>
        <v>Premium</v>
      </c>
      <c r="P2733" s="7">
        <v>45657</v>
      </c>
    </row>
    <row r="2734" spans="1:16" x14ac:dyDescent="0.3">
      <c r="A2734">
        <v>2733</v>
      </c>
      <c r="B2734" s="7">
        <v>45134</v>
      </c>
      <c r="C2734" t="s">
        <v>14</v>
      </c>
      <c r="D2734">
        <v>399</v>
      </c>
      <c r="E2734">
        <v>15.7</v>
      </c>
      <c r="F2734">
        <v>6</v>
      </c>
      <c r="G2734">
        <v>1</v>
      </c>
      <c r="H2734">
        <v>5</v>
      </c>
      <c r="I2734">
        <v>9</v>
      </c>
      <c r="J2734" t="s">
        <v>13</v>
      </c>
      <c r="K2734">
        <f>IF(J2734="Yes", 1, 0)</f>
        <v>0</v>
      </c>
      <c r="L2734" t="str">
        <f>IF(G2734=0,"0 Failures","1+ Failures")</f>
        <v>1+ Failures</v>
      </c>
      <c r="M2734" t="str">
        <f t="shared" si="128"/>
        <v>10-20hrs</v>
      </c>
      <c r="N2734" t="str">
        <f t="shared" si="126"/>
        <v>3-6months</v>
      </c>
      <c r="O2734" t="str">
        <f t="shared" si="127"/>
        <v>Basic</v>
      </c>
      <c r="P2734" s="7">
        <v>45657</v>
      </c>
    </row>
    <row r="2735" spans="1:16" x14ac:dyDescent="0.3">
      <c r="A2735">
        <v>2734</v>
      </c>
      <c r="B2735" s="7">
        <v>45304</v>
      </c>
      <c r="C2735" t="s">
        <v>12</v>
      </c>
      <c r="D2735">
        <v>199</v>
      </c>
      <c r="E2735">
        <v>12.4</v>
      </c>
      <c r="F2735">
        <v>8</v>
      </c>
      <c r="G2735">
        <v>0</v>
      </c>
      <c r="H2735">
        <v>27</v>
      </c>
      <c r="I2735">
        <v>23</v>
      </c>
      <c r="J2735" t="s">
        <v>11</v>
      </c>
      <c r="K2735">
        <f>IF(J2735="Yes", 1, 0)</f>
        <v>1</v>
      </c>
      <c r="L2735" t="str">
        <f>IF(G2735=0,"0 Failures","1+ Failures")</f>
        <v>0 Failures</v>
      </c>
      <c r="M2735" t="str">
        <f t="shared" si="128"/>
        <v>10-20hrs</v>
      </c>
      <c r="N2735" t="str">
        <f t="shared" si="126"/>
        <v>12+ months</v>
      </c>
      <c r="O2735" t="str">
        <f t="shared" si="127"/>
        <v>Basic</v>
      </c>
      <c r="P2735" s="7">
        <v>45657</v>
      </c>
    </row>
    <row r="2736" spans="1:16" x14ac:dyDescent="0.3">
      <c r="A2736">
        <v>2735</v>
      </c>
      <c r="B2736" s="7">
        <v>45083</v>
      </c>
      <c r="C2736" t="s">
        <v>14</v>
      </c>
      <c r="D2736">
        <v>399</v>
      </c>
      <c r="E2736">
        <v>11.8</v>
      </c>
      <c r="F2736">
        <v>0</v>
      </c>
      <c r="G2736">
        <v>3</v>
      </c>
      <c r="H2736">
        <v>26</v>
      </c>
      <c r="I2736">
        <v>14</v>
      </c>
      <c r="J2736" t="s">
        <v>13</v>
      </c>
      <c r="K2736">
        <f>IF(J2736="Yes", 1, 0)</f>
        <v>0</v>
      </c>
      <c r="L2736" t="str">
        <f>IF(G2736=0,"0 Failures","1+ Failures")</f>
        <v>1+ Failures</v>
      </c>
      <c r="M2736" t="str">
        <f t="shared" si="128"/>
        <v>10-20hrs</v>
      </c>
      <c r="N2736" t="str">
        <f t="shared" si="126"/>
        <v>12+ months</v>
      </c>
      <c r="O2736" t="str">
        <f t="shared" si="127"/>
        <v>Basic</v>
      </c>
      <c r="P2736" s="7">
        <v>45657</v>
      </c>
    </row>
    <row r="2737" spans="1:16" x14ac:dyDescent="0.3">
      <c r="A2737">
        <v>2736</v>
      </c>
      <c r="B2737" s="7">
        <v>45220</v>
      </c>
      <c r="C2737" t="s">
        <v>12</v>
      </c>
      <c r="D2737">
        <v>199</v>
      </c>
      <c r="E2737">
        <v>20.2</v>
      </c>
      <c r="F2737">
        <v>5</v>
      </c>
      <c r="G2737">
        <v>2</v>
      </c>
      <c r="H2737">
        <v>33</v>
      </c>
      <c r="I2737">
        <v>3</v>
      </c>
      <c r="J2737" t="s">
        <v>11</v>
      </c>
      <c r="K2737">
        <f>IF(J2737="Yes", 1, 0)</f>
        <v>1</v>
      </c>
      <c r="L2737" t="str">
        <f>IF(G2737=0,"0 Failures","1+ Failures")</f>
        <v>1+ Failures</v>
      </c>
      <c r="M2737" t="str">
        <f t="shared" si="128"/>
        <v>20+ hrs</v>
      </c>
      <c r="N2737" t="str">
        <f t="shared" si="126"/>
        <v>12+ months</v>
      </c>
      <c r="O2737" t="str">
        <f t="shared" si="127"/>
        <v>Basic</v>
      </c>
      <c r="P2737" s="7">
        <v>45657</v>
      </c>
    </row>
    <row r="2738" spans="1:16" x14ac:dyDescent="0.3">
      <c r="A2738">
        <v>2737</v>
      </c>
      <c r="B2738" s="7">
        <v>45628</v>
      </c>
      <c r="C2738" t="s">
        <v>14</v>
      </c>
      <c r="D2738">
        <v>399</v>
      </c>
      <c r="E2738">
        <v>16.600000000000001</v>
      </c>
      <c r="F2738">
        <v>7</v>
      </c>
      <c r="G2738">
        <v>3</v>
      </c>
      <c r="H2738">
        <v>20</v>
      </c>
      <c r="I2738">
        <v>25</v>
      </c>
      <c r="J2738" t="s">
        <v>13</v>
      </c>
      <c r="K2738">
        <f>IF(J2738="Yes", 1, 0)</f>
        <v>0</v>
      </c>
      <c r="L2738" t="str">
        <f>IF(G2738=0,"0 Failures","1+ Failures")</f>
        <v>1+ Failures</v>
      </c>
      <c r="M2738" t="str">
        <f t="shared" si="128"/>
        <v>10-20hrs</v>
      </c>
      <c r="N2738" t="str">
        <f t="shared" si="126"/>
        <v>12+ months</v>
      </c>
      <c r="O2738" t="str">
        <f t="shared" si="127"/>
        <v>Basic</v>
      </c>
      <c r="P2738" s="7">
        <v>45657</v>
      </c>
    </row>
    <row r="2739" spans="1:16" x14ac:dyDescent="0.3">
      <c r="A2739">
        <v>2738</v>
      </c>
      <c r="B2739" s="7">
        <v>45546</v>
      </c>
      <c r="C2739" t="s">
        <v>14</v>
      </c>
      <c r="D2739">
        <v>399</v>
      </c>
      <c r="E2739">
        <v>18.100000000000001</v>
      </c>
      <c r="F2739">
        <v>6</v>
      </c>
      <c r="G2739">
        <v>2</v>
      </c>
      <c r="H2739">
        <v>13</v>
      </c>
      <c r="I2739">
        <v>0</v>
      </c>
      <c r="J2739" t="s">
        <v>11</v>
      </c>
      <c r="K2739">
        <f>IF(J2739="Yes", 1, 0)</f>
        <v>1</v>
      </c>
      <c r="L2739" t="str">
        <f>IF(G2739=0,"0 Failures","1+ Failures")</f>
        <v>1+ Failures</v>
      </c>
      <c r="M2739" t="str">
        <f t="shared" si="128"/>
        <v>10-20hrs</v>
      </c>
      <c r="N2739" t="str">
        <f t="shared" si="126"/>
        <v>12+ months</v>
      </c>
      <c r="O2739" t="str">
        <f t="shared" si="127"/>
        <v>Basic</v>
      </c>
      <c r="P2739" s="7">
        <v>45657</v>
      </c>
    </row>
    <row r="2740" spans="1:16" x14ac:dyDescent="0.3">
      <c r="A2740">
        <v>2739</v>
      </c>
      <c r="B2740" s="7">
        <v>45047</v>
      </c>
      <c r="C2740" t="s">
        <v>14</v>
      </c>
      <c r="D2740">
        <v>399</v>
      </c>
      <c r="E2740">
        <v>11.6</v>
      </c>
      <c r="F2740">
        <v>2</v>
      </c>
      <c r="G2740">
        <v>1</v>
      </c>
      <c r="H2740">
        <v>11</v>
      </c>
      <c r="I2740">
        <v>24</v>
      </c>
      <c r="J2740" t="s">
        <v>11</v>
      </c>
      <c r="K2740">
        <f>IF(J2740="Yes", 1, 0)</f>
        <v>1</v>
      </c>
      <c r="L2740" t="str">
        <f>IF(G2740=0,"0 Failures","1+ Failures")</f>
        <v>1+ Failures</v>
      </c>
      <c r="M2740" t="str">
        <f t="shared" si="128"/>
        <v>10-20hrs</v>
      </c>
      <c r="N2740" t="str">
        <f t="shared" si="126"/>
        <v>6-12months</v>
      </c>
      <c r="O2740" t="str">
        <f t="shared" si="127"/>
        <v>Basic</v>
      </c>
      <c r="P2740" s="7">
        <v>45657</v>
      </c>
    </row>
    <row r="2741" spans="1:16" x14ac:dyDescent="0.3">
      <c r="A2741">
        <v>2740</v>
      </c>
      <c r="B2741" s="7">
        <v>45067</v>
      </c>
      <c r="C2741" t="s">
        <v>12</v>
      </c>
      <c r="D2741">
        <v>199</v>
      </c>
      <c r="E2741">
        <v>24.2</v>
      </c>
      <c r="F2741">
        <v>4</v>
      </c>
      <c r="G2741">
        <v>1</v>
      </c>
      <c r="H2741">
        <v>19</v>
      </c>
      <c r="I2741">
        <v>50</v>
      </c>
      <c r="J2741" t="s">
        <v>11</v>
      </c>
      <c r="K2741">
        <f>IF(J2741="Yes", 1, 0)</f>
        <v>1</v>
      </c>
      <c r="L2741" t="str">
        <f>IF(G2741=0,"0 Failures","1+ Failures")</f>
        <v>1+ Failures</v>
      </c>
      <c r="M2741" t="str">
        <f t="shared" si="128"/>
        <v>20+ hrs</v>
      </c>
      <c r="N2741" t="str">
        <f t="shared" si="126"/>
        <v>12+ months</v>
      </c>
      <c r="O2741" t="str">
        <f t="shared" si="127"/>
        <v>Basic</v>
      </c>
      <c r="P2741" s="7">
        <v>45657</v>
      </c>
    </row>
    <row r="2742" spans="1:16" x14ac:dyDescent="0.3">
      <c r="A2742">
        <v>2741</v>
      </c>
      <c r="B2742" s="7">
        <v>45081</v>
      </c>
      <c r="C2742" t="s">
        <v>10</v>
      </c>
      <c r="D2742">
        <v>699</v>
      </c>
      <c r="E2742">
        <v>23.6</v>
      </c>
      <c r="F2742">
        <v>8</v>
      </c>
      <c r="G2742">
        <v>5</v>
      </c>
      <c r="H2742">
        <v>22</v>
      </c>
      <c r="I2742">
        <v>20</v>
      </c>
      <c r="J2742" t="s">
        <v>11</v>
      </c>
      <c r="K2742">
        <f>IF(J2742="Yes", 1, 0)</f>
        <v>1</v>
      </c>
      <c r="L2742" t="str">
        <f>IF(G2742=0,"0 Failures","1+ Failures")</f>
        <v>1+ Failures</v>
      </c>
      <c r="M2742" t="str">
        <f t="shared" si="128"/>
        <v>20+ hrs</v>
      </c>
      <c r="N2742" t="str">
        <f t="shared" si="126"/>
        <v>12+ months</v>
      </c>
      <c r="O2742" t="str">
        <f t="shared" si="127"/>
        <v>Premium</v>
      </c>
      <c r="P2742" s="7">
        <v>45657</v>
      </c>
    </row>
    <row r="2743" spans="1:16" x14ac:dyDescent="0.3">
      <c r="A2743">
        <v>2742</v>
      </c>
      <c r="B2743" s="7">
        <v>45535</v>
      </c>
      <c r="C2743" t="s">
        <v>12</v>
      </c>
      <c r="D2743">
        <v>199</v>
      </c>
      <c r="E2743">
        <v>21.3</v>
      </c>
      <c r="F2743">
        <v>0</v>
      </c>
      <c r="G2743">
        <v>4</v>
      </c>
      <c r="H2743">
        <v>33</v>
      </c>
      <c r="I2743">
        <v>47</v>
      </c>
      <c r="J2743" t="s">
        <v>11</v>
      </c>
      <c r="K2743">
        <f>IF(J2743="Yes", 1, 0)</f>
        <v>1</v>
      </c>
      <c r="L2743" t="str">
        <f>IF(G2743=0,"0 Failures","1+ Failures")</f>
        <v>1+ Failures</v>
      </c>
      <c r="M2743" t="str">
        <f t="shared" si="128"/>
        <v>20+ hrs</v>
      </c>
      <c r="N2743" t="str">
        <f t="shared" si="126"/>
        <v>12+ months</v>
      </c>
      <c r="O2743" t="str">
        <f t="shared" si="127"/>
        <v>Basic</v>
      </c>
      <c r="P2743" s="7">
        <v>45657</v>
      </c>
    </row>
    <row r="2744" spans="1:16" x14ac:dyDescent="0.3">
      <c r="A2744">
        <v>2743</v>
      </c>
      <c r="B2744" s="7">
        <v>45245</v>
      </c>
      <c r="C2744" t="s">
        <v>10</v>
      </c>
      <c r="D2744">
        <v>699</v>
      </c>
      <c r="E2744">
        <v>18.600000000000001</v>
      </c>
      <c r="F2744">
        <v>6</v>
      </c>
      <c r="G2744">
        <v>1</v>
      </c>
      <c r="H2744">
        <v>7</v>
      </c>
      <c r="I2744">
        <v>40</v>
      </c>
      <c r="J2744" t="s">
        <v>11</v>
      </c>
      <c r="K2744">
        <f>IF(J2744="Yes", 1, 0)</f>
        <v>1</v>
      </c>
      <c r="L2744" t="str">
        <f>IF(G2744=0,"0 Failures","1+ Failures")</f>
        <v>1+ Failures</v>
      </c>
      <c r="M2744" t="str">
        <f t="shared" si="128"/>
        <v>10-20hrs</v>
      </c>
      <c r="N2744" t="str">
        <f t="shared" si="126"/>
        <v>6-12months</v>
      </c>
      <c r="O2744" t="str">
        <f t="shared" si="127"/>
        <v>Premium</v>
      </c>
      <c r="P2744" s="7">
        <v>45657</v>
      </c>
    </row>
    <row r="2745" spans="1:16" x14ac:dyDescent="0.3">
      <c r="A2745">
        <v>2744</v>
      </c>
      <c r="B2745" s="7">
        <v>45273</v>
      </c>
      <c r="C2745" t="s">
        <v>10</v>
      </c>
      <c r="D2745">
        <v>699</v>
      </c>
      <c r="E2745">
        <v>16.600000000000001</v>
      </c>
      <c r="F2745">
        <v>6</v>
      </c>
      <c r="G2745">
        <v>2</v>
      </c>
      <c r="H2745">
        <v>6</v>
      </c>
      <c r="I2745">
        <v>14</v>
      </c>
      <c r="J2745" t="s">
        <v>11</v>
      </c>
      <c r="K2745">
        <f>IF(J2745="Yes", 1, 0)</f>
        <v>1</v>
      </c>
      <c r="L2745" t="str">
        <f>IF(G2745=0,"0 Failures","1+ Failures")</f>
        <v>1+ Failures</v>
      </c>
      <c r="M2745" t="str">
        <f t="shared" si="128"/>
        <v>10-20hrs</v>
      </c>
      <c r="N2745" t="str">
        <f t="shared" si="126"/>
        <v>3-6months</v>
      </c>
      <c r="O2745" t="str">
        <f t="shared" si="127"/>
        <v>Premium</v>
      </c>
      <c r="P2745" s="7">
        <v>45657</v>
      </c>
    </row>
    <row r="2746" spans="1:16" x14ac:dyDescent="0.3">
      <c r="A2746">
        <v>2745</v>
      </c>
      <c r="B2746" s="7">
        <v>45609</v>
      </c>
      <c r="C2746" t="s">
        <v>12</v>
      </c>
      <c r="D2746">
        <v>199</v>
      </c>
      <c r="E2746">
        <v>18.100000000000001</v>
      </c>
      <c r="F2746">
        <v>4</v>
      </c>
      <c r="G2746">
        <v>3</v>
      </c>
      <c r="H2746">
        <v>9</v>
      </c>
      <c r="I2746">
        <v>11</v>
      </c>
      <c r="J2746" t="s">
        <v>13</v>
      </c>
      <c r="K2746">
        <f>IF(J2746="Yes", 1, 0)</f>
        <v>0</v>
      </c>
      <c r="L2746" t="str">
        <f>IF(G2746=0,"0 Failures","1+ Failures")</f>
        <v>1+ Failures</v>
      </c>
      <c r="M2746" t="str">
        <f t="shared" si="128"/>
        <v>10-20hrs</v>
      </c>
      <c r="N2746" t="str">
        <f t="shared" si="126"/>
        <v>6-12months</v>
      </c>
      <c r="O2746" t="str">
        <f t="shared" si="127"/>
        <v>Basic</v>
      </c>
      <c r="P2746" s="7">
        <v>45657</v>
      </c>
    </row>
    <row r="2747" spans="1:16" x14ac:dyDescent="0.3">
      <c r="A2747">
        <v>2746</v>
      </c>
      <c r="B2747" s="7">
        <v>44962</v>
      </c>
      <c r="C2747" t="s">
        <v>12</v>
      </c>
      <c r="D2747">
        <v>199</v>
      </c>
      <c r="E2747">
        <v>13.5</v>
      </c>
      <c r="F2747">
        <v>3</v>
      </c>
      <c r="G2747">
        <v>1</v>
      </c>
      <c r="H2747">
        <v>24</v>
      </c>
      <c r="I2747">
        <v>16</v>
      </c>
      <c r="J2747" t="s">
        <v>13</v>
      </c>
      <c r="K2747">
        <f>IF(J2747="Yes", 1, 0)</f>
        <v>0</v>
      </c>
      <c r="L2747" t="str">
        <f>IF(G2747=0,"0 Failures","1+ Failures")</f>
        <v>1+ Failures</v>
      </c>
      <c r="M2747" t="str">
        <f t="shared" si="128"/>
        <v>10-20hrs</v>
      </c>
      <c r="N2747" t="str">
        <f t="shared" si="126"/>
        <v>12+ months</v>
      </c>
      <c r="O2747" t="str">
        <f t="shared" si="127"/>
        <v>Basic</v>
      </c>
      <c r="P2747" s="7">
        <v>45657</v>
      </c>
    </row>
    <row r="2748" spans="1:16" x14ac:dyDescent="0.3">
      <c r="A2748">
        <v>2747</v>
      </c>
      <c r="B2748" s="7">
        <v>44955</v>
      </c>
      <c r="C2748" t="s">
        <v>10</v>
      </c>
      <c r="D2748">
        <v>699</v>
      </c>
      <c r="E2748">
        <v>2.4</v>
      </c>
      <c r="F2748">
        <v>5</v>
      </c>
      <c r="G2748">
        <v>5</v>
      </c>
      <c r="H2748">
        <v>16</v>
      </c>
      <c r="I2748">
        <v>33</v>
      </c>
      <c r="J2748" t="s">
        <v>11</v>
      </c>
      <c r="K2748">
        <f>IF(J2748="Yes", 1, 0)</f>
        <v>1</v>
      </c>
      <c r="L2748" t="str">
        <f>IF(G2748=0,"0 Failures","1+ Failures")</f>
        <v>1+ Failures</v>
      </c>
      <c r="M2748" t="str">
        <f t="shared" si="128"/>
        <v>0-5 hrs</v>
      </c>
      <c r="N2748" t="str">
        <f t="shared" si="126"/>
        <v>12+ months</v>
      </c>
      <c r="O2748" t="str">
        <f t="shared" si="127"/>
        <v>Premium</v>
      </c>
      <c r="P2748" s="7">
        <v>45657</v>
      </c>
    </row>
    <row r="2749" spans="1:16" x14ac:dyDescent="0.3">
      <c r="A2749">
        <v>2748</v>
      </c>
      <c r="B2749" s="7">
        <v>45504</v>
      </c>
      <c r="C2749" t="s">
        <v>14</v>
      </c>
      <c r="D2749">
        <v>399</v>
      </c>
      <c r="E2749">
        <v>9.6</v>
      </c>
      <c r="F2749">
        <v>7</v>
      </c>
      <c r="G2749">
        <v>5</v>
      </c>
      <c r="H2749">
        <v>18</v>
      </c>
      <c r="I2749">
        <v>24</v>
      </c>
      <c r="J2749" t="s">
        <v>13</v>
      </c>
      <c r="K2749">
        <f>IF(J2749="Yes", 1, 0)</f>
        <v>0</v>
      </c>
      <c r="L2749" t="str">
        <f>IF(G2749=0,"0 Failures","1+ Failures")</f>
        <v>1+ Failures</v>
      </c>
      <c r="M2749" t="str">
        <f t="shared" si="128"/>
        <v>5-10 hrs</v>
      </c>
      <c r="N2749" t="str">
        <f t="shared" si="126"/>
        <v>12+ months</v>
      </c>
      <c r="O2749" t="str">
        <f t="shared" si="127"/>
        <v>Basic</v>
      </c>
      <c r="P2749" s="7">
        <v>45657</v>
      </c>
    </row>
    <row r="2750" spans="1:16" x14ac:dyDescent="0.3">
      <c r="A2750">
        <v>2749</v>
      </c>
      <c r="B2750" s="7">
        <v>45201</v>
      </c>
      <c r="C2750" t="s">
        <v>10</v>
      </c>
      <c r="D2750">
        <v>699</v>
      </c>
      <c r="E2750">
        <v>12.7</v>
      </c>
      <c r="F2750">
        <v>7</v>
      </c>
      <c r="G2750">
        <v>3</v>
      </c>
      <c r="H2750">
        <v>18</v>
      </c>
      <c r="I2750">
        <v>37</v>
      </c>
      <c r="J2750" t="s">
        <v>11</v>
      </c>
      <c r="K2750">
        <f>IF(J2750="Yes", 1, 0)</f>
        <v>1</v>
      </c>
      <c r="L2750" t="str">
        <f>IF(G2750=0,"0 Failures","1+ Failures")</f>
        <v>1+ Failures</v>
      </c>
      <c r="M2750" t="str">
        <f t="shared" si="128"/>
        <v>10-20hrs</v>
      </c>
      <c r="N2750" t="str">
        <f t="shared" si="126"/>
        <v>12+ months</v>
      </c>
      <c r="O2750" t="str">
        <f t="shared" si="127"/>
        <v>Premium</v>
      </c>
      <c r="P2750" s="7">
        <v>45657</v>
      </c>
    </row>
    <row r="2751" spans="1:16" x14ac:dyDescent="0.3">
      <c r="A2751">
        <v>2750</v>
      </c>
      <c r="B2751" s="7">
        <v>45410</v>
      </c>
      <c r="C2751" t="s">
        <v>10</v>
      </c>
      <c r="D2751">
        <v>699</v>
      </c>
      <c r="E2751">
        <v>23.7</v>
      </c>
      <c r="F2751">
        <v>5</v>
      </c>
      <c r="G2751">
        <v>1</v>
      </c>
      <c r="H2751">
        <v>22</v>
      </c>
      <c r="I2751">
        <v>27</v>
      </c>
      <c r="J2751" t="s">
        <v>11</v>
      </c>
      <c r="K2751">
        <f>IF(J2751="Yes", 1, 0)</f>
        <v>1</v>
      </c>
      <c r="L2751" t="str">
        <f>IF(G2751=0,"0 Failures","1+ Failures")</f>
        <v>1+ Failures</v>
      </c>
      <c r="M2751" t="str">
        <f t="shared" si="128"/>
        <v>20+ hrs</v>
      </c>
      <c r="N2751" t="str">
        <f t="shared" si="126"/>
        <v>12+ months</v>
      </c>
      <c r="O2751" t="str">
        <f t="shared" si="127"/>
        <v>Premium</v>
      </c>
      <c r="P2751" s="7">
        <v>45657</v>
      </c>
    </row>
    <row r="2752" spans="1:16" x14ac:dyDescent="0.3">
      <c r="A2752">
        <v>2751</v>
      </c>
      <c r="B2752" s="7">
        <v>45140</v>
      </c>
      <c r="C2752" t="s">
        <v>14</v>
      </c>
      <c r="D2752">
        <v>399</v>
      </c>
      <c r="E2752">
        <v>10</v>
      </c>
      <c r="F2752">
        <v>8</v>
      </c>
      <c r="G2752">
        <v>3</v>
      </c>
      <c r="H2752">
        <v>26</v>
      </c>
      <c r="I2752">
        <v>51</v>
      </c>
      <c r="J2752" t="s">
        <v>11</v>
      </c>
      <c r="K2752">
        <f>IF(J2752="Yes", 1, 0)</f>
        <v>1</v>
      </c>
      <c r="L2752" t="str">
        <f>IF(G2752=0,"0 Failures","1+ Failures")</f>
        <v>1+ Failures</v>
      </c>
      <c r="M2752" t="str">
        <f t="shared" si="128"/>
        <v>5-10 hrs</v>
      </c>
      <c r="N2752" t="str">
        <f t="shared" si="126"/>
        <v>12+ months</v>
      </c>
      <c r="O2752" t="str">
        <f t="shared" si="127"/>
        <v>Basic</v>
      </c>
      <c r="P2752" s="7">
        <v>45657</v>
      </c>
    </row>
    <row r="2753" spans="1:16" x14ac:dyDescent="0.3">
      <c r="A2753">
        <v>2752</v>
      </c>
      <c r="B2753" s="7">
        <v>45641</v>
      </c>
      <c r="C2753" t="s">
        <v>14</v>
      </c>
      <c r="D2753">
        <v>399</v>
      </c>
      <c r="E2753">
        <v>2.4</v>
      </c>
      <c r="F2753">
        <v>5</v>
      </c>
      <c r="G2753">
        <v>2</v>
      </c>
      <c r="H2753">
        <v>9</v>
      </c>
      <c r="I2753">
        <v>23</v>
      </c>
      <c r="J2753" t="s">
        <v>11</v>
      </c>
      <c r="K2753">
        <f>IF(J2753="Yes", 1, 0)</f>
        <v>1</v>
      </c>
      <c r="L2753" t="str">
        <f>IF(G2753=0,"0 Failures","1+ Failures")</f>
        <v>1+ Failures</v>
      </c>
      <c r="M2753" t="str">
        <f t="shared" si="128"/>
        <v>0-5 hrs</v>
      </c>
      <c r="N2753" t="str">
        <f t="shared" si="126"/>
        <v>6-12months</v>
      </c>
      <c r="O2753" t="str">
        <f t="shared" si="127"/>
        <v>Basic</v>
      </c>
      <c r="P2753" s="7">
        <v>45657</v>
      </c>
    </row>
    <row r="2754" spans="1:16" x14ac:dyDescent="0.3">
      <c r="A2754">
        <v>2753</v>
      </c>
      <c r="B2754" s="7">
        <v>45116</v>
      </c>
      <c r="C2754" t="s">
        <v>12</v>
      </c>
      <c r="D2754">
        <v>199</v>
      </c>
      <c r="E2754">
        <v>23.2</v>
      </c>
      <c r="F2754">
        <v>4</v>
      </c>
      <c r="G2754">
        <v>4</v>
      </c>
      <c r="H2754">
        <v>22</v>
      </c>
      <c r="I2754">
        <v>5</v>
      </c>
      <c r="J2754" t="s">
        <v>13</v>
      </c>
      <c r="K2754">
        <f>IF(J2754="Yes", 1, 0)</f>
        <v>0</v>
      </c>
      <c r="L2754" t="str">
        <f>IF(G2754=0,"0 Failures","1+ Failures")</f>
        <v>1+ Failures</v>
      </c>
      <c r="M2754" t="str">
        <f t="shared" si="128"/>
        <v>20+ hrs</v>
      </c>
      <c r="N2754" t="str">
        <f t="shared" si="126"/>
        <v>12+ months</v>
      </c>
      <c r="O2754" t="str">
        <f t="shared" si="127"/>
        <v>Basic</v>
      </c>
      <c r="P2754" s="7">
        <v>45657</v>
      </c>
    </row>
    <row r="2755" spans="1:16" x14ac:dyDescent="0.3">
      <c r="A2755">
        <v>2754</v>
      </c>
      <c r="B2755" s="7">
        <v>45384</v>
      </c>
      <c r="C2755" t="s">
        <v>14</v>
      </c>
      <c r="D2755">
        <v>399</v>
      </c>
      <c r="E2755">
        <v>8.4</v>
      </c>
      <c r="F2755">
        <v>5</v>
      </c>
      <c r="G2755">
        <v>4</v>
      </c>
      <c r="H2755">
        <v>10</v>
      </c>
      <c r="I2755">
        <v>24</v>
      </c>
      <c r="J2755" t="s">
        <v>11</v>
      </c>
      <c r="K2755">
        <f>IF(J2755="Yes", 1, 0)</f>
        <v>1</v>
      </c>
      <c r="L2755" t="str">
        <f>IF(G2755=0,"0 Failures","1+ Failures")</f>
        <v>1+ Failures</v>
      </c>
      <c r="M2755" t="str">
        <f t="shared" si="128"/>
        <v>5-10 hrs</v>
      </c>
      <c r="N2755" t="str">
        <f t="shared" ref="N2755:N2801" si="129">IF(H2755&lt;=3, "0-3months", IF(H2755&lt;=6, "3-6months", IF(H2755&lt;=12, "6-12months", "12+ months")))</f>
        <v>6-12months</v>
      </c>
      <c r="O2755" t="str">
        <f t="shared" ref="O2755:O2801" si="130">IF(C2755="premium", "Premium", "Basic")</f>
        <v>Basic</v>
      </c>
      <c r="P2755" s="7">
        <v>45657</v>
      </c>
    </row>
    <row r="2756" spans="1:16" x14ac:dyDescent="0.3">
      <c r="A2756">
        <v>2755</v>
      </c>
      <c r="B2756" s="7">
        <v>45209</v>
      </c>
      <c r="C2756" t="s">
        <v>12</v>
      </c>
      <c r="D2756">
        <v>199</v>
      </c>
      <c r="E2756">
        <v>21.4</v>
      </c>
      <c r="F2756">
        <v>3</v>
      </c>
      <c r="G2756">
        <v>0</v>
      </c>
      <c r="H2756">
        <v>8</v>
      </c>
      <c r="I2756">
        <v>29</v>
      </c>
      <c r="J2756" t="s">
        <v>13</v>
      </c>
      <c r="K2756">
        <f>IF(J2756="Yes", 1, 0)</f>
        <v>0</v>
      </c>
      <c r="L2756" t="str">
        <f>IF(G2756=0,"0 Failures","1+ Failures")</f>
        <v>0 Failures</v>
      </c>
      <c r="M2756" t="str">
        <f t="shared" si="128"/>
        <v>20+ hrs</v>
      </c>
      <c r="N2756" t="str">
        <f t="shared" si="129"/>
        <v>6-12months</v>
      </c>
      <c r="O2756" t="str">
        <f t="shared" si="130"/>
        <v>Basic</v>
      </c>
      <c r="P2756" s="7">
        <v>45657</v>
      </c>
    </row>
    <row r="2757" spans="1:16" x14ac:dyDescent="0.3">
      <c r="A2757">
        <v>2756</v>
      </c>
      <c r="B2757" s="7">
        <v>45219</v>
      </c>
      <c r="C2757" t="s">
        <v>12</v>
      </c>
      <c r="D2757">
        <v>199</v>
      </c>
      <c r="E2757">
        <v>9.5</v>
      </c>
      <c r="F2757">
        <v>1</v>
      </c>
      <c r="G2757">
        <v>2</v>
      </c>
      <c r="H2757">
        <v>16</v>
      </c>
      <c r="I2757">
        <v>11</v>
      </c>
      <c r="J2757" t="s">
        <v>13</v>
      </c>
      <c r="K2757">
        <f>IF(J2757="Yes", 1, 0)</f>
        <v>0</v>
      </c>
      <c r="L2757" t="str">
        <f>IF(G2757=0,"0 Failures","1+ Failures")</f>
        <v>1+ Failures</v>
      </c>
      <c r="M2757" t="str">
        <f t="shared" si="128"/>
        <v>5-10 hrs</v>
      </c>
      <c r="N2757" t="str">
        <f t="shared" si="129"/>
        <v>12+ months</v>
      </c>
      <c r="O2757" t="str">
        <f t="shared" si="130"/>
        <v>Basic</v>
      </c>
      <c r="P2757" s="7">
        <v>45657</v>
      </c>
    </row>
    <row r="2758" spans="1:16" x14ac:dyDescent="0.3">
      <c r="A2758">
        <v>2757</v>
      </c>
      <c r="B2758" s="7">
        <v>45352</v>
      </c>
      <c r="C2758" t="s">
        <v>12</v>
      </c>
      <c r="D2758">
        <v>199</v>
      </c>
      <c r="E2758">
        <v>16.399999999999999</v>
      </c>
      <c r="F2758">
        <v>3</v>
      </c>
      <c r="G2758">
        <v>1</v>
      </c>
      <c r="H2758">
        <v>17</v>
      </c>
      <c r="I2758">
        <v>50</v>
      </c>
      <c r="J2758" t="s">
        <v>13</v>
      </c>
      <c r="K2758">
        <f>IF(J2758="Yes", 1, 0)</f>
        <v>0</v>
      </c>
      <c r="L2758" t="str">
        <f>IF(G2758=0,"0 Failures","1+ Failures")</f>
        <v>1+ Failures</v>
      </c>
      <c r="M2758" t="str">
        <f t="shared" si="128"/>
        <v>10-20hrs</v>
      </c>
      <c r="N2758" t="str">
        <f t="shared" si="129"/>
        <v>12+ months</v>
      </c>
      <c r="O2758" t="str">
        <f t="shared" si="130"/>
        <v>Basic</v>
      </c>
      <c r="P2758" s="7">
        <v>45657</v>
      </c>
    </row>
    <row r="2759" spans="1:16" x14ac:dyDescent="0.3">
      <c r="A2759">
        <v>2758</v>
      </c>
      <c r="B2759" s="7">
        <v>45390</v>
      </c>
      <c r="C2759" t="s">
        <v>12</v>
      </c>
      <c r="D2759">
        <v>199</v>
      </c>
      <c r="E2759">
        <v>19.5</v>
      </c>
      <c r="F2759">
        <v>4</v>
      </c>
      <c r="G2759">
        <v>1</v>
      </c>
      <c r="H2759">
        <v>20</v>
      </c>
      <c r="I2759">
        <v>45</v>
      </c>
      <c r="J2759" t="s">
        <v>13</v>
      </c>
      <c r="K2759">
        <f>IF(J2759="Yes", 1, 0)</f>
        <v>0</v>
      </c>
      <c r="L2759" t="str">
        <f>IF(G2759=0,"0 Failures","1+ Failures")</f>
        <v>1+ Failures</v>
      </c>
      <c r="M2759" t="str">
        <f t="shared" si="128"/>
        <v>10-20hrs</v>
      </c>
      <c r="N2759" t="str">
        <f t="shared" si="129"/>
        <v>12+ months</v>
      </c>
      <c r="O2759" t="str">
        <f t="shared" si="130"/>
        <v>Basic</v>
      </c>
      <c r="P2759" s="7">
        <v>45657</v>
      </c>
    </row>
    <row r="2760" spans="1:16" x14ac:dyDescent="0.3">
      <c r="A2760">
        <v>2759</v>
      </c>
      <c r="B2760" s="7">
        <v>45624</v>
      </c>
      <c r="C2760" t="s">
        <v>10</v>
      </c>
      <c r="D2760">
        <v>699</v>
      </c>
      <c r="E2760">
        <v>5.9</v>
      </c>
      <c r="F2760">
        <v>7</v>
      </c>
      <c r="G2760">
        <v>1</v>
      </c>
      <c r="H2760">
        <v>27</v>
      </c>
      <c r="I2760">
        <v>6</v>
      </c>
      <c r="J2760" t="s">
        <v>13</v>
      </c>
      <c r="K2760">
        <f>IF(J2760="Yes", 1, 0)</f>
        <v>0</v>
      </c>
      <c r="L2760" t="str">
        <f>IF(G2760=0,"0 Failures","1+ Failures")</f>
        <v>1+ Failures</v>
      </c>
      <c r="M2760" t="str">
        <f t="shared" si="128"/>
        <v>5-10 hrs</v>
      </c>
      <c r="N2760" t="str">
        <f t="shared" si="129"/>
        <v>12+ months</v>
      </c>
      <c r="O2760" t="str">
        <f t="shared" si="130"/>
        <v>Premium</v>
      </c>
      <c r="P2760" s="7">
        <v>45657</v>
      </c>
    </row>
    <row r="2761" spans="1:16" x14ac:dyDescent="0.3">
      <c r="A2761">
        <v>2760</v>
      </c>
      <c r="B2761" s="7">
        <v>45291</v>
      </c>
      <c r="C2761" t="s">
        <v>12</v>
      </c>
      <c r="D2761">
        <v>199</v>
      </c>
      <c r="E2761">
        <v>13.6</v>
      </c>
      <c r="F2761">
        <v>1</v>
      </c>
      <c r="G2761">
        <v>3</v>
      </c>
      <c r="H2761">
        <v>2</v>
      </c>
      <c r="I2761">
        <v>60</v>
      </c>
      <c r="J2761" t="s">
        <v>11</v>
      </c>
      <c r="K2761">
        <f>IF(J2761="Yes", 1, 0)</f>
        <v>1</v>
      </c>
      <c r="L2761" t="str">
        <f>IF(G2761=0,"0 Failures","1+ Failures")</f>
        <v>1+ Failures</v>
      </c>
      <c r="M2761" t="str">
        <f t="shared" si="128"/>
        <v>10-20hrs</v>
      </c>
      <c r="N2761" t="str">
        <f t="shared" si="129"/>
        <v>0-3months</v>
      </c>
      <c r="O2761" t="str">
        <f t="shared" si="130"/>
        <v>Basic</v>
      </c>
      <c r="P2761" s="7">
        <v>45657</v>
      </c>
    </row>
    <row r="2762" spans="1:16" x14ac:dyDescent="0.3">
      <c r="A2762">
        <v>2761</v>
      </c>
      <c r="B2762" s="7">
        <v>45021</v>
      </c>
      <c r="C2762" t="s">
        <v>12</v>
      </c>
      <c r="D2762">
        <v>199</v>
      </c>
      <c r="E2762">
        <v>23.3</v>
      </c>
      <c r="F2762">
        <v>1</v>
      </c>
      <c r="G2762">
        <v>2</v>
      </c>
      <c r="H2762">
        <v>10</v>
      </c>
      <c r="I2762">
        <v>46</v>
      </c>
      <c r="J2762" t="s">
        <v>11</v>
      </c>
      <c r="K2762">
        <f>IF(J2762="Yes", 1, 0)</f>
        <v>1</v>
      </c>
      <c r="L2762" t="str">
        <f>IF(G2762=0,"0 Failures","1+ Failures")</f>
        <v>1+ Failures</v>
      </c>
      <c r="M2762" t="str">
        <f t="shared" si="128"/>
        <v>20+ hrs</v>
      </c>
      <c r="N2762" t="str">
        <f t="shared" si="129"/>
        <v>6-12months</v>
      </c>
      <c r="O2762" t="str">
        <f t="shared" si="130"/>
        <v>Basic</v>
      </c>
      <c r="P2762" s="7">
        <v>45657</v>
      </c>
    </row>
    <row r="2763" spans="1:16" x14ac:dyDescent="0.3">
      <c r="A2763">
        <v>2762</v>
      </c>
      <c r="B2763" s="7">
        <v>45213</v>
      </c>
      <c r="C2763" t="s">
        <v>10</v>
      </c>
      <c r="D2763">
        <v>699</v>
      </c>
      <c r="E2763">
        <v>8.3000000000000007</v>
      </c>
      <c r="F2763">
        <v>3</v>
      </c>
      <c r="G2763">
        <v>2</v>
      </c>
      <c r="H2763">
        <v>18</v>
      </c>
      <c r="I2763">
        <v>52</v>
      </c>
      <c r="J2763" t="s">
        <v>13</v>
      </c>
      <c r="K2763">
        <f>IF(J2763="Yes", 1, 0)</f>
        <v>0</v>
      </c>
      <c r="L2763" t="str">
        <f>IF(G2763=0,"0 Failures","1+ Failures")</f>
        <v>1+ Failures</v>
      </c>
      <c r="M2763" t="str">
        <f t="shared" ref="M2763:M2801" si="131">IF(E2763&lt;=5, "0-5 hrs",    IF(E2763&lt;=10, "5-10 hrs",    IF(E2763&lt;=20, "10-20hrs", "20+ hrs")))</f>
        <v>5-10 hrs</v>
      </c>
      <c r="N2763" t="str">
        <f t="shared" si="129"/>
        <v>12+ months</v>
      </c>
      <c r="O2763" t="str">
        <f t="shared" si="130"/>
        <v>Premium</v>
      </c>
      <c r="P2763" s="7">
        <v>45657</v>
      </c>
    </row>
    <row r="2764" spans="1:16" x14ac:dyDescent="0.3">
      <c r="A2764">
        <v>2763</v>
      </c>
      <c r="B2764" s="7">
        <v>45623</v>
      </c>
      <c r="C2764" t="s">
        <v>10</v>
      </c>
      <c r="D2764">
        <v>699</v>
      </c>
      <c r="E2764">
        <v>11.1</v>
      </c>
      <c r="F2764">
        <v>8</v>
      </c>
      <c r="G2764">
        <v>3</v>
      </c>
      <c r="H2764">
        <v>12</v>
      </c>
      <c r="I2764">
        <v>16</v>
      </c>
      <c r="J2764" t="s">
        <v>11</v>
      </c>
      <c r="K2764">
        <f>IF(J2764="Yes", 1, 0)</f>
        <v>1</v>
      </c>
      <c r="L2764" t="str">
        <f>IF(G2764=0,"0 Failures","1+ Failures")</f>
        <v>1+ Failures</v>
      </c>
      <c r="M2764" t="str">
        <f t="shared" si="131"/>
        <v>10-20hrs</v>
      </c>
      <c r="N2764" t="str">
        <f t="shared" si="129"/>
        <v>6-12months</v>
      </c>
      <c r="O2764" t="str">
        <f t="shared" si="130"/>
        <v>Premium</v>
      </c>
      <c r="P2764" s="7">
        <v>45657</v>
      </c>
    </row>
    <row r="2765" spans="1:16" x14ac:dyDescent="0.3">
      <c r="A2765">
        <v>2764</v>
      </c>
      <c r="B2765" s="7">
        <v>45590</v>
      </c>
      <c r="C2765" t="s">
        <v>10</v>
      </c>
      <c r="D2765">
        <v>699</v>
      </c>
      <c r="E2765">
        <v>1.7</v>
      </c>
      <c r="F2765">
        <v>7</v>
      </c>
      <c r="G2765">
        <v>1</v>
      </c>
      <c r="H2765">
        <v>32</v>
      </c>
      <c r="I2765">
        <v>41</v>
      </c>
      <c r="J2765" t="s">
        <v>13</v>
      </c>
      <c r="K2765">
        <f>IF(J2765="Yes", 1, 0)</f>
        <v>0</v>
      </c>
      <c r="L2765" t="str">
        <f>IF(G2765=0,"0 Failures","1+ Failures")</f>
        <v>1+ Failures</v>
      </c>
      <c r="M2765" t="str">
        <f t="shared" si="131"/>
        <v>0-5 hrs</v>
      </c>
      <c r="N2765" t="str">
        <f t="shared" si="129"/>
        <v>12+ months</v>
      </c>
      <c r="O2765" t="str">
        <f t="shared" si="130"/>
        <v>Premium</v>
      </c>
      <c r="P2765" s="7">
        <v>45657</v>
      </c>
    </row>
    <row r="2766" spans="1:16" x14ac:dyDescent="0.3">
      <c r="A2766">
        <v>2765</v>
      </c>
      <c r="B2766" s="7">
        <v>45078</v>
      </c>
      <c r="C2766" t="s">
        <v>10</v>
      </c>
      <c r="D2766">
        <v>699</v>
      </c>
      <c r="E2766">
        <v>17.399999999999999</v>
      </c>
      <c r="F2766">
        <v>6</v>
      </c>
      <c r="G2766">
        <v>2</v>
      </c>
      <c r="H2766">
        <v>2</v>
      </c>
      <c r="I2766">
        <v>56</v>
      </c>
      <c r="J2766" t="s">
        <v>11</v>
      </c>
      <c r="K2766">
        <f>IF(J2766="Yes", 1, 0)</f>
        <v>1</v>
      </c>
      <c r="L2766" t="str">
        <f>IF(G2766=0,"0 Failures","1+ Failures")</f>
        <v>1+ Failures</v>
      </c>
      <c r="M2766" t="str">
        <f t="shared" si="131"/>
        <v>10-20hrs</v>
      </c>
      <c r="N2766" t="str">
        <f t="shared" si="129"/>
        <v>0-3months</v>
      </c>
      <c r="O2766" t="str">
        <f t="shared" si="130"/>
        <v>Premium</v>
      </c>
      <c r="P2766" s="7">
        <v>45657</v>
      </c>
    </row>
    <row r="2767" spans="1:16" x14ac:dyDescent="0.3">
      <c r="A2767">
        <v>2766</v>
      </c>
      <c r="B2767" s="7">
        <v>45258</v>
      </c>
      <c r="C2767" t="s">
        <v>12</v>
      </c>
      <c r="D2767">
        <v>199</v>
      </c>
      <c r="E2767">
        <v>11.8</v>
      </c>
      <c r="F2767">
        <v>2</v>
      </c>
      <c r="G2767">
        <v>4</v>
      </c>
      <c r="H2767">
        <v>29</v>
      </c>
      <c r="I2767">
        <v>27</v>
      </c>
      <c r="J2767" t="s">
        <v>11</v>
      </c>
      <c r="K2767">
        <f>IF(J2767="Yes", 1, 0)</f>
        <v>1</v>
      </c>
      <c r="L2767" t="str">
        <f>IF(G2767=0,"0 Failures","1+ Failures")</f>
        <v>1+ Failures</v>
      </c>
      <c r="M2767" t="str">
        <f t="shared" si="131"/>
        <v>10-20hrs</v>
      </c>
      <c r="N2767" t="str">
        <f t="shared" si="129"/>
        <v>12+ months</v>
      </c>
      <c r="O2767" t="str">
        <f t="shared" si="130"/>
        <v>Basic</v>
      </c>
      <c r="P2767" s="7">
        <v>45657</v>
      </c>
    </row>
    <row r="2768" spans="1:16" x14ac:dyDescent="0.3">
      <c r="A2768">
        <v>2767</v>
      </c>
      <c r="B2768" s="7">
        <v>45588</v>
      </c>
      <c r="C2768" t="s">
        <v>14</v>
      </c>
      <c r="D2768">
        <v>399</v>
      </c>
      <c r="E2768">
        <v>5.3</v>
      </c>
      <c r="F2768">
        <v>0</v>
      </c>
      <c r="G2768">
        <v>0</v>
      </c>
      <c r="H2768">
        <v>13</v>
      </c>
      <c r="I2768">
        <v>17</v>
      </c>
      <c r="J2768" t="s">
        <v>13</v>
      </c>
      <c r="K2768">
        <f>IF(J2768="Yes", 1, 0)</f>
        <v>0</v>
      </c>
      <c r="L2768" t="str">
        <f>IF(G2768=0,"0 Failures","1+ Failures")</f>
        <v>0 Failures</v>
      </c>
      <c r="M2768" t="str">
        <f t="shared" si="131"/>
        <v>5-10 hrs</v>
      </c>
      <c r="N2768" t="str">
        <f t="shared" si="129"/>
        <v>12+ months</v>
      </c>
      <c r="O2768" t="str">
        <f t="shared" si="130"/>
        <v>Basic</v>
      </c>
      <c r="P2768" s="7">
        <v>45657</v>
      </c>
    </row>
    <row r="2769" spans="1:16" x14ac:dyDescent="0.3">
      <c r="A2769">
        <v>2768</v>
      </c>
      <c r="B2769" s="7">
        <v>45303</v>
      </c>
      <c r="C2769" t="s">
        <v>12</v>
      </c>
      <c r="D2769">
        <v>199</v>
      </c>
      <c r="E2769">
        <v>20.5</v>
      </c>
      <c r="F2769">
        <v>7</v>
      </c>
      <c r="G2769">
        <v>4</v>
      </c>
      <c r="H2769">
        <v>23</v>
      </c>
      <c r="I2769">
        <v>4</v>
      </c>
      <c r="J2769" t="s">
        <v>11</v>
      </c>
      <c r="K2769">
        <f>IF(J2769="Yes", 1, 0)</f>
        <v>1</v>
      </c>
      <c r="L2769" t="str">
        <f>IF(G2769=0,"0 Failures","1+ Failures")</f>
        <v>1+ Failures</v>
      </c>
      <c r="M2769" t="str">
        <f t="shared" si="131"/>
        <v>20+ hrs</v>
      </c>
      <c r="N2769" t="str">
        <f t="shared" si="129"/>
        <v>12+ months</v>
      </c>
      <c r="O2769" t="str">
        <f t="shared" si="130"/>
        <v>Basic</v>
      </c>
      <c r="P2769" s="7">
        <v>45657</v>
      </c>
    </row>
    <row r="2770" spans="1:16" x14ac:dyDescent="0.3">
      <c r="A2770">
        <v>2769</v>
      </c>
      <c r="B2770" s="7">
        <v>45422</v>
      </c>
      <c r="C2770" t="s">
        <v>14</v>
      </c>
      <c r="D2770">
        <v>399</v>
      </c>
      <c r="E2770">
        <v>16.600000000000001</v>
      </c>
      <c r="F2770">
        <v>0</v>
      </c>
      <c r="G2770">
        <v>0</v>
      </c>
      <c r="H2770">
        <v>34</v>
      </c>
      <c r="I2770">
        <v>1</v>
      </c>
      <c r="J2770" t="s">
        <v>13</v>
      </c>
      <c r="K2770">
        <f>IF(J2770="Yes", 1, 0)</f>
        <v>0</v>
      </c>
      <c r="L2770" t="str">
        <f>IF(G2770=0,"0 Failures","1+ Failures")</f>
        <v>0 Failures</v>
      </c>
      <c r="M2770" t="str">
        <f t="shared" si="131"/>
        <v>10-20hrs</v>
      </c>
      <c r="N2770" t="str">
        <f t="shared" si="129"/>
        <v>12+ months</v>
      </c>
      <c r="O2770" t="str">
        <f t="shared" si="130"/>
        <v>Basic</v>
      </c>
      <c r="P2770" s="7">
        <v>45657</v>
      </c>
    </row>
    <row r="2771" spans="1:16" x14ac:dyDescent="0.3">
      <c r="A2771">
        <v>2770</v>
      </c>
      <c r="B2771" s="7">
        <v>45605</v>
      </c>
      <c r="C2771" t="s">
        <v>10</v>
      </c>
      <c r="D2771">
        <v>699</v>
      </c>
      <c r="E2771">
        <v>18.399999999999999</v>
      </c>
      <c r="F2771">
        <v>1</v>
      </c>
      <c r="G2771">
        <v>2</v>
      </c>
      <c r="H2771">
        <v>12</v>
      </c>
      <c r="I2771">
        <v>11</v>
      </c>
      <c r="J2771" t="s">
        <v>11</v>
      </c>
      <c r="K2771">
        <f>IF(J2771="Yes", 1, 0)</f>
        <v>1</v>
      </c>
      <c r="L2771" t="str">
        <f>IF(G2771=0,"0 Failures","1+ Failures")</f>
        <v>1+ Failures</v>
      </c>
      <c r="M2771" t="str">
        <f t="shared" si="131"/>
        <v>10-20hrs</v>
      </c>
      <c r="N2771" t="str">
        <f t="shared" si="129"/>
        <v>6-12months</v>
      </c>
      <c r="O2771" t="str">
        <f t="shared" si="130"/>
        <v>Premium</v>
      </c>
      <c r="P2771" s="7">
        <v>45657</v>
      </c>
    </row>
    <row r="2772" spans="1:16" x14ac:dyDescent="0.3">
      <c r="A2772">
        <v>2771</v>
      </c>
      <c r="B2772" s="7">
        <v>45053</v>
      </c>
      <c r="C2772" t="s">
        <v>12</v>
      </c>
      <c r="D2772">
        <v>199</v>
      </c>
      <c r="E2772">
        <v>10.9</v>
      </c>
      <c r="F2772">
        <v>4</v>
      </c>
      <c r="G2772">
        <v>1</v>
      </c>
      <c r="H2772">
        <v>8</v>
      </c>
      <c r="I2772">
        <v>36</v>
      </c>
      <c r="J2772" t="s">
        <v>13</v>
      </c>
      <c r="K2772">
        <f>IF(J2772="Yes", 1, 0)</f>
        <v>0</v>
      </c>
      <c r="L2772" t="str">
        <f>IF(G2772=0,"0 Failures","1+ Failures")</f>
        <v>1+ Failures</v>
      </c>
      <c r="M2772" t="str">
        <f t="shared" si="131"/>
        <v>10-20hrs</v>
      </c>
      <c r="N2772" t="str">
        <f t="shared" si="129"/>
        <v>6-12months</v>
      </c>
      <c r="O2772" t="str">
        <f t="shared" si="130"/>
        <v>Basic</v>
      </c>
      <c r="P2772" s="7">
        <v>45657</v>
      </c>
    </row>
    <row r="2773" spans="1:16" x14ac:dyDescent="0.3">
      <c r="A2773">
        <v>2772</v>
      </c>
      <c r="B2773" s="7">
        <v>45130</v>
      </c>
      <c r="C2773" t="s">
        <v>12</v>
      </c>
      <c r="D2773">
        <v>199</v>
      </c>
      <c r="E2773">
        <v>13.5</v>
      </c>
      <c r="F2773">
        <v>1</v>
      </c>
      <c r="G2773">
        <v>3</v>
      </c>
      <c r="H2773">
        <v>26</v>
      </c>
      <c r="I2773">
        <v>10</v>
      </c>
      <c r="J2773" t="s">
        <v>13</v>
      </c>
      <c r="K2773">
        <f>IF(J2773="Yes", 1, 0)</f>
        <v>0</v>
      </c>
      <c r="L2773" t="str">
        <f>IF(G2773=0,"0 Failures","1+ Failures")</f>
        <v>1+ Failures</v>
      </c>
      <c r="M2773" t="str">
        <f t="shared" si="131"/>
        <v>10-20hrs</v>
      </c>
      <c r="N2773" t="str">
        <f t="shared" si="129"/>
        <v>12+ months</v>
      </c>
      <c r="O2773" t="str">
        <f t="shared" si="130"/>
        <v>Basic</v>
      </c>
      <c r="P2773" s="7">
        <v>45657</v>
      </c>
    </row>
    <row r="2774" spans="1:16" x14ac:dyDescent="0.3">
      <c r="A2774">
        <v>2773</v>
      </c>
      <c r="B2774" s="7">
        <v>45327</v>
      </c>
      <c r="C2774" t="s">
        <v>12</v>
      </c>
      <c r="D2774">
        <v>199</v>
      </c>
      <c r="E2774">
        <v>9.8000000000000007</v>
      </c>
      <c r="F2774">
        <v>5</v>
      </c>
      <c r="G2774">
        <v>2</v>
      </c>
      <c r="H2774">
        <v>13</v>
      </c>
      <c r="I2774">
        <v>45</v>
      </c>
      <c r="J2774" t="s">
        <v>11</v>
      </c>
      <c r="K2774">
        <f>IF(J2774="Yes", 1, 0)</f>
        <v>1</v>
      </c>
      <c r="L2774" t="str">
        <f>IF(G2774=0,"0 Failures","1+ Failures")</f>
        <v>1+ Failures</v>
      </c>
      <c r="M2774" t="str">
        <f t="shared" si="131"/>
        <v>5-10 hrs</v>
      </c>
      <c r="N2774" t="str">
        <f t="shared" si="129"/>
        <v>12+ months</v>
      </c>
      <c r="O2774" t="str">
        <f t="shared" si="130"/>
        <v>Basic</v>
      </c>
      <c r="P2774" s="7">
        <v>45657</v>
      </c>
    </row>
    <row r="2775" spans="1:16" x14ac:dyDescent="0.3">
      <c r="A2775">
        <v>2774</v>
      </c>
      <c r="B2775" s="7">
        <v>45423</v>
      </c>
      <c r="C2775" t="s">
        <v>12</v>
      </c>
      <c r="D2775">
        <v>199</v>
      </c>
      <c r="E2775">
        <v>15.2</v>
      </c>
      <c r="F2775">
        <v>2</v>
      </c>
      <c r="G2775">
        <v>4</v>
      </c>
      <c r="H2775">
        <v>2</v>
      </c>
      <c r="I2775">
        <v>46</v>
      </c>
      <c r="J2775" t="s">
        <v>13</v>
      </c>
      <c r="K2775">
        <f>IF(J2775="Yes", 1, 0)</f>
        <v>0</v>
      </c>
      <c r="L2775" t="str">
        <f>IF(G2775=0,"0 Failures","1+ Failures")</f>
        <v>1+ Failures</v>
      </c>
      <c r="M2775" t="str">
        <f t="shared" si="131"/>
        <v>10-20hrs</v>
      </c>
      <c r="N2775" t="str">
        <f t="shared" si="129"/>
        <v>0-3months</v>
      </c>
      <c r="O2775" t="str">
        <f t="shared" si="130"/>
        <v>Basic</v>
      </c>
      <c r="P2775" s="7">
        <v>45657</v>
      </c>
    </row>
    <row r="2776" spans="1:16" x14ac:dyDescent="0.3">
      <c r="A2776">
        <v>2775</v>
      </c>
      <c r="B2776" s="7">
        <v>45602</v>
      </c>
      <c r="C2776" t="s">
        <v>12</v>
      </c>
      <c r="D2776">
        <v>199</v>
      </c>
      <c r="E2776">
        <v>3.6</v>
      </c>
      <c r="F2776">
        <v>5</v>
      </c>
      <c r="G2776">
        <v>4</v>
      </c>
      <c r="H2776">
        <v>23</v>
      </c>
      <c r="I2776">
        <v>22</v>
      </c>
      <c r="J2776" t="s">
        <v>11</v>
      </c>
      <c r="K2776">
        <f>IF(J2776="Yes", 1, 0)</f>
        <v>1</v>
      </c>
      <c r="L2776" t="str">
        <f>IF(G2776=0,"0 Failures","1+ Failures")</f>
        <v>1+ Failures</v>
      </c>
      <c r="M2776" t="str">
        <f t="shared" si="131"/>
        <v>0-5 hrs</v>
      </c>
      <c r="N2776" t="str">
        <f t="shared" si="129"/>
        <v>12+ months</v>
      </c>
      <c r="O2776" t="str">
        <f t="shared" si="130"/>
        <v>Basic</v>
      </c>
      <c r="P2776" s="7">
        <v>45657</v>
      </c>
    </row>
    <row r="2777" spans="1:16" x14ac:dyDescent="0.3">
      <c r="A2777">
        <v>2776</v>
      </c>
      <c r="B2777" s="7">
        <v>45380</v>
      </c>
      <c r="C2777" t="s">
        <v>10</v>
      </c>
      <c r="D2777">
        <v>699</v>
      </c>
      <c r="E2777">
        <v>22.8</v>
      </c>
      <c r="F2777">
        <v>2</v>
      </c>
      <c r="G2777">
        <v>1</v>
      </c>
      <c r="H2777">
        <v>14</v>
      </c>
      <c r="I2777">
        <v>9</v>
      </c>
      <c r="J2777" t="s">
        <v>13</v>
      </c>
      <c r="K2777">
        <f>IF(J2777="Yes", 1, 0)</f>
        <v>0</v>
      </c>
      <c r="L2777" t="str">
        <f>IF(G2777=0,"0 Failures","1+ Failures")</f>
        <v>1+ Failures</v>
      </c>
      <c r="M2777" t="str">
        <f t="shared" si="131"/>
        <v>20+ hrs</v>
      </c>
      <c r="N2777" t="str">
        <f t="shared" si="129"/>
        <v>12+ months</v>
      </c>
      <c r="O2777" t="str">
        <f t="shared" si="130"/>
        <v>Premium</v>
      </c>
      <c r="P2777" s="7">
        <v>45657</v>
      </c>
    </row>
    <row r="2778" spans="1:16" x14ac:dyDescent="0.3">
      <c r="A2778">
        <v>2777</v>
      </c>
      <c r="B2778" s="7">
        <v>45412</v>
      </c>
      <c r="C2778" t="s">
        <v>12</v>
      </c>
      <c r="D2778">
        <v>199</v>
      </c>
      <c r="E2778">
        <v>22.4</v>
      </c>
      <c r="F2778">
        <v>2</v>
      </c>
      <c r="G2778">
        <v>0</v>
      </c>
      <c r="H2778">
        <v>13</v>
      </c>
      <c r="I2778">
        <v>18</v>
      </c>
      <c r="J2778" t="s">
        <v>13</v>
      </c>
      <c r="K2778">
        <f>IF(J2778="Yes", 1, 0)</f>
        <v>0</v>
      </c>
      <c r="L2778" t="str">
        <f>IF(G2778=0,"0 Failures","1+ Failures")</f>
        <v>0 Failures</v>
      </c>
      <c r="M2778" t="str">
        <f t="shared" si="131"/>
        <v>20+ hrs</v>
      </c>
      <c r="N2778" t="str">
        <f t="shared" si="129"/>
        <v>12+ months</v>
      </c>
      <c r="O2778" t="str">
        <f t="shared" si="130"/>
        <v>Basic</v>
      </c>
      <c r="P2778" s="7">
        <v>45657</v>
      </c>
    </row>
    <row r="2779" spans="1:16" x14ac:dyDescent="0.3">
      <c r="A2779">
        <v>2778</v>
      </c>
      <c r="B2779" s="7">
        <v>45016</v>
      </c>
      <c r="C2779" t="s">
        <v>10</v>
      </c>
      <c r="D2779">
        <v>699</v>
      </c>
      <c r="E2779">
        <v>19.7</v>
      </c>
      <c r="F2779">
        <v>3</v>
      </c>
      <c r="G2779">
        <v>1</v>
      </c>
      <c r="H2779">
        <v>15</v>
      </c>
      <c r="I2779">
        <v>14</v>
      </c>
      <c r="J2779" t="s">
        <v>13</v>
      </c>
      <c r="K2779">
        <f>IF(J2779="Yes", 1, 0)</f>
        <v>0</v>
      </c>
      <c r="L2779" t="str">
        <f>IF(G2779=0,"0 Failures","1+ Failures")</f>
        <v>1+ Failures</v>
      </c>
      <c r="M2779" t="str">
        <f t="shared" si="131"/>
        <v>10-20hrs</v>
      </c>
      <c r="N2779" t="str">
        <f t="shared" si="129"/>
        <v>12+ months</v>
      </c>
      <c r="O2779" t="str">
        <f t="shared" si="130"/>
        <v>Premium</v>
      </c>
      <c r="P2779" s="7">
        <v>45657</v>
      </c>
    </row>
    <row r="2780" spans="1:16" x14ac:dyDescent="0.3">
      <c r="A2780">
        <v>2779</v>
      </c>
      <c r="B2780" s="7">
        <v>45491</v>
      </c>
      <c r="C2780" t="s">
        <v>10</v>
      </c>
      <c r="D2780">
        <v>699</v>
      </c>
      <c r="E2780">
        <v>24.3</v>
      </c>
      <c r="F2780">
        <v>7</v>
      </c>
      <c r="G2780">
        <v>3</v>
      </c>
      <c r="H2780">
        <v>23</v>
      </c>
      <c r="I2780">
        <v>5</v>
      </c>
      <c r="J2780" t="s">
        <v>13</v>
      </c>
      <c r="K2780">
        <f>IF(J2780="Yes", 1, 0)</f>
        <v>0</v>
      </c>
      <c r="L2780" t="str">
        <f>IF(G2780=0,"0 Failures","1+ Failures")</f>
        <v>1+ Failures</v>
      </c>
      <c r="M2780" t="str">
        <f t="shared" si="131"/>
        <v>20+ hrs</v>
      </c>
      <c r="N2780" t="str">
        <f t="shared" si="129"/>
        <v>12+ months</v>
      </c>
      <c r="O2780" t="str">
        <f t="shared" si="130"/>
        <v>Premium</v>
      </c>
      <c r="P2780" s="7">
        <v>45657</v>
      </c>
    </row>
    <row r="2781" spans="1:16" x14ac:dyDescent="0.3">
      <c r="A2781">
        <v>2780</v>
      </c>
      <c r="B2781" s="7">
        <v>45050</v>
      </c>
      <c r="C2781" t="s">
        <v>14</v>
      </c>
      <c r="D2781">
        <v>399</v>
      </c>
      <c r="E2781">
        <v>13</v>
      </c>
      <c r="F2781">
        <v>6</v>
      </c>
      <c r="G2781">
        <v>4</v>
      </c>
      <c r="H2781">
        <v>3</v>
      </c>
      <c r="I2781">
        <v>31</v>
      </c>
      <c r="J2781" t="s">
        <v>13</v>
      </c>
      <c r="K2781">
        <f>IF(J2781="Yes", 1, 0)</f>
        <v>0</v>
      </c>
      <c r="L2781" t="str">
        <f>IF(G2781=0,"0 Failures","1+ Failures")</f>
        <v>1+ Failures</v>
      </c>
      <c r="M2781" t="str">
        <f t="shared" si="131"/>
        <v>10-20hrs</v>
      </c>
      <c r="N2781" t="str">
        <f t="shared" si="129"/>
        <v>0-3months</v>
      </c>
      <c r="O2781" t="str">
        <f t="shared" si="130"/>
        <v>Basic</v>
      </c>
      <c r="P2781" s="7">
        <v>45657</v>
      </c>
    </row>
    <row r="2782" spans="1:16" x14ac:dyDescent="0.3">
      <c r="A2782">
        <v>2781</v>
      </c>
      <c r="B2782" s="7">
        <v>45430</v>
      </c>
      <c r="C2782" t="s">
        <v>10</v>
      </c>
      <c r="D2782">
        <v>699</v>
      </c>
      <c r="E2782">
        <v>20.8</v>
      </c>
      <c r="F2782">
        <v>3</v>
      </c>
      <c r="G2782">
        <v>3</v>
      </c>
      <c r="H2782">
        <v>11</v>
      </c>
      <c r="I2782">
        <v>2</v>
      </c>
      <c r="J2782" t="s">
        <v>11</v>
      </c>
      <c r="K2782">
        <f>IF(J2782="Yes", 1, 0)</f>
        <v>1</v>
      </c>
      <c r="L2782" t="str">
        <f>IF(G2782=0,"0 Failures","1+ Failures")</f>
        <v>1+ Failures</v>
      </c>
      <c r="M2782" t="str">
        <f t="shared" si="131"/>
        <v>20+ hrs</v>
      </c>
      <c r="N2782" t="str">
        <f t="shared" si="129"/>
        <v>6-12months</v>
      </c>
      <c r="O2782" t="str">
        <f t="shared" si="130"/>
        <v>Premium</v>
      </c>
      <c r="P2782" s="7">
        <v>45657</v>
      </c>
    </row>
    <row r="2783" spans="1:16" x14ac:dyDescent="0.3">
      <c r="A2783">
        <v>2782</v>
      </c>
      <c r="B2783" s="7">
        <v>45493</v>
      </c>
      <c r="C2783" t="s">
        <v>12</v>
      </c>
      <c r="D2783">
        <v>199</v>
      </c>
      <c r="E2783">
        <v>10.199999999999999</v>
      </c>
      <c r="F2783">
        <v>5</v>
      </c>
      <c r="G2783">
        <v>5</v>
      </c>
      <c r="H2783">
        <v>10</v>
      </c>
      <c r="I2783">
        <v>54</v>
      </c>
      <c r="J2783" t="s">
        <v>13</v>
      </c>
      <c r="K2783">
        <f>IF(J2783="Yes", 1, 0)</f>
        <v>0</v>
      </c>
      <c r="L2783" t="str">
        <f>IF(G2783=0,"0 Failures","1+ Failures")</f>
        <v>1+ Failures</v>
      </c>
      <c r="M2783" t="str">
        <f t="shared" si="131"/>
        <v>10-20hrs</v>
      </c>
      <c r="N2783" t="str">
        <f t="shared" si="129"/>
        <v>6-12months</v>
      </c>
      <c r="O2783" t="str">
        <f t="shared" si="130"/>
        <v>Basic</v>
      </c>
      <c r="P2783" s="7">
        <v>45657</v>
      </c>
    </row>
    <row r="2784" spans="1:16" x14ac:dyDescent="0.3">
      <c r="A2784">
        <v>2783</v>
      </c>
      <c r="B2784" s="7">
        <v>45431</v>
      </c>
      <c r="C2784" t="s">
        <v>12</v>
      </c>
      <c r="D2784">
        <v>199</v>
      </c>
      <c r="E2784">
        <v>17.100000000000001</v>
      </c>
      <c r="F2784">
        <v>2</v>
      </c>
      <c r="G2784">
        <v>5</v>
      </c>
      <c r="H2784">
        <v>36</v>
      </c>
      <c r="I2784">
        <v>5</v>
      </c>
      <c r="J2784" t="s">
        <v>13</v>
      </c>
      <c r="K2784">
        <f>IF(J2784="Yes", 1, 0)</f>
        <v>0</v>
      </c>
      <c r="L2784" t="str">
        <f>IF(G2784=0,"0 Failures","1+ Failures")</f>
        <v>1+ Failures</v>
      </c>
      <c r="M2784" t="str">
        <f t="shared" si="131"/>
        <v>10-20hrs</v>
      </c>
      <c r="N2784" t="str">
        <f t="shared" si="129"/>
        <v>12+ months</v>
      </c>
      <c r="O2784" t="str">
        <f t="shared" si="130"/>
        <v>Basic</v>
      </c>
      <c r="P2784" s="7">
        <v>45657</v>
      </c>
    </row>
    <row r="2785" spans="1:16" x14ac:dyDescent="0.3">
      <c r="A2785">
        <v>2784</v>
      </c>
      <c r="B2785" s="7">
        <v>45339</v>
      </c>
      <c r="C2785" t="s">
        <v>10</v>
      </c>
      <c r="D2785">
        <v>699</v>
      </c>
      <c r="E2785">
        <v>23.1</v>
      </c>
      <c r="F2785">
        <v>4</v>
      </c>
      <c r="G2785">
        <v>4</v>
      </c>
      <c r="H2785">
        <v>28</v>
      </c>
      <c r="I2785">
        <v>55</v>
      </c>
      <c r="J2785" t="s">
        <v>11</v>
      </c>
      <c r="K2785">
        <f>IF(J2785="Yes", 1, 0)</f>
        <v>1</v>
      </c>
      <c r="L2785" t="str">
        <f>IF(G2785=0,"0 Failures","1+ Failures")</f>
        <v>1+ Failures</v>
      </c>
      <c r="M2785" t="str">
        <f t="shared" si="131"/>
        <v>20+ hrs</v>
      </c>
      <c r="N2785" t="str">
        <f t="shared" si="129"/>
        <v>12+ months</v>
      </c>
      <c r="O2785" t="str">
        <f t="shared" si="130"/>
        <v>Premium</v>
      </c>
      <c r="P2785" s="7">
        <v>45657</v>
      </c>
    </row>
    <row r="2786" spans="1:16" x14ac:dyDescent="0.3">
      <c r="A2786">
        <v>2785</v>
      </c>
      <c r="B2786" s="7">
        <v>45148</v>
      </c>
      <c r="C2786" t="s">
        <v>14</v>
      </c>
      <c r="D2786">
        <v>399</v>
      </c>
      <c r="E2786">
        <v>8.4</v>
      </c>
      <c r="F2786">
        <v>4</v>
      </c>
      <c r="G2786">
        <v>1</v>
      </c>
      <c r="H2786">
        <v>13</v>
      </c>
      <c r="I2786">
        <v>9</v>
      </c>
      <c r="J2786" t="s">
        <v>11</v>
      </c>
      <c r="K2786">
        <f>IF(J2786="Yes", 1, 0)</f>
        <v>1</v>
      </c>
      <c r="L2786" t="str">
        <f>IF(G2786=0,"0 Failures","1+ Failures")</f>
        <v>1+ Failures</v>
      </c>
      <c r="M2786" t="str">
        <f t="shared" si="131"/>
        <v>5-10 hrs</v>
      </c>
      <c r="N2786" t="str">
        <f t="shared" si="129"/>
        <v>12+ months</v>
      </c>
      <c r="O2786" t="str">
        <f t="shared" si="130"/>
        <v>Basic</v>
      </c>
      <c r="P2786" s="7">
        <v>45657</v>
      </c>
    </row>
    <row r="2787" spans="1:16" x14ac:dyDescent="0.3">
      <c r="A2787">
        <v>2786</v>
      </c>
      <c r="B2787" s="7">
        <v>45035</v>
      </c>
      <c r="C2787" t="s">
        <v>10</v>
      </c>
      <c r="D2787">
        <v>699</v>
      </c>
      <c r="E2787">
        <v>4</v>
      </c>
      <c r="F2787">
        <v>2</v>
      </c>
      <c r="G2787">
        <v>5</v>
      </c>
      <c r="H2787">
        <v>10</v>
      </c>
      <c r="I2787">
        <v>32</v>
      </c>
      <c r="J2787" t="s">
        <v>11</v>
      </c>
      <c r="K2787">
        <f>IF(J2787="Yes", 1, 0)</f>
        <v>1</v>
      </c>
      <c r="L2787" t="str">
        <f>IF(G2787=0,"0 Failures","1+ Failures")</f>
        <v>1+ Failures</v>
      </c>
      <c r="M2787" t="str">
        <f t="shared" si="131"/>
        <v>0-5 hrs</v>
      </c>
      <c r="N2787" t="str">
        <f t="shared" si="129"/>
        <v>6-12months</v>
      </c>
      <c r="O2787" t="str">
        <f t="shared" si="130"/>
        <v>Premium</v>
      </c>
      <c r="P2787" s="7">
        <v>45657</v>
      </c>
    </row>
    <row r="2788" spans="1:16" x14ac:dyDescent="0.3">
      <c r="A2788">
        <v>2787</v>
      </c>
      <c r="B2788" s="7">
        <v>45506</v>
      </c>
      <c r="C2788" t="s">
        <v>10</v>
      </c>
      <c r="D2788">
        <v>699</v>
      </c>
      <c r="E2788">
        <v>6.7</v>
      </c>
      <c r="F2788">
        <v>2</v>
      </c>
      <c r="G2788">
        <v>2</v>
      </c>
      <c r="H2788">
        <v>19</v>
      </c>
      <c r="I2788">
        <v>35</v>
      </c>
      <c r="J2788" t="s">
        <v>13</v>
      </c>
      <c r="K2788">
        <f>IF(J2788="Yes", 1, 0)</f>
        <v>0</v>
      </c>
      <c r="L2788" t="str">
        <f>IF(G2788=0,"0 Failures","1+ Failures")</f>
        <v>1+ Failures</v>
      </c>
      <c r="M2788" t="str">
        <f t="shared" si="131"/>
        <v>5-10 hrs</v>
      </c>
      <c r="N2788" t="str">
        <f t="shared" si="129"/>
        <v>12+ months</v>
      </c>
      <c r="O2788" t="str">
        <f t="shared" si="130"/>
        <v>Premium</v>
      </c>
      <c r="P2788" s="7">
        <v>45657</v>
      </c>
    </row>
    <row r="2789" spans="1:16" x14ac:dyDescent="0.3">
      <c r="A2789">
        <v>2788</v>
      </c>
      <c r="B2789" s="7">
        <v>45559</v>
      </c>
      <c r="C2789" t="s">
        <v>12</v>
      </c>
      <c r="D2789">
        <v>199</v>
      </c>
      <c r="E2789">
        <v>4.9000000000000004</v>
      </c>
      <c r="F2789">
        <v>5</v>
      </c>
      <c r="G2789">
        <v>3</v>
      </c>
      <c r="H2789">
        <v>12</v>
      </c>
      <c r="I2789">
        <v>3</v>
      </c>
      <c r="J2789" t="s">
        <v>11</v>
      </c>
      <c r="K2789">
        <f>IF(J2789="Yes", 1, 0)</f>
        <v>1</v>
      </c>
      <c r="L2789" t="str">
        <f>IF(G2789=0,"0 Failures","1+ Failures")</f>
        <v>1+ Failures</v>
      </c>
      <c r="M2789" t="str">
        <f t="shared" si="131"/>
        <v>0-5 hrs</v>
      </c>
      <c r="N2789" t="str">
        <f t="shared" si="129"/>
        <v>6-12months</v>
      </c>
      <c r="O2789" t="str">
        <f t="shared" si="130"/>
        <v>Basic</v>
      </c>
      <c r="P2789" s="7">
        <v>45657</v>
      </c>
    </row>
    <row r="2790" spans="1:16" x14ac:dyDescent="0.3">
      <c r="A2790">
        <v>2789</v>
      </c>
      <c r="B2790" s="7">
        <v>45577</v>
      </c>
      <c r="C2790" t="s">
        <v>14</v>
      </c>
      <c r="D2790">
        <v>399</v>
      </c>
      <c r="E2790">
        <v>9.6</v>
      </c>
      <c r="F2790">
        <v>0</v>
      </c>
      <c r="G2790">
        <v>3</v>
      </c>
      <c r="H2790">
        <v>14</v>
      </c>
      <c r="I2790">
        <v>15</v>
      </c>
      <c r="J2790" t="s">
        <v>13</v>
      </c>
      <c r="K2790">
        <f>IF(J2790="Yes", 1, 0)</f>
        <v>0</v>
      </c>
      <c r="L2790" t="str">
        <f>IF(G2790=0,"0 Failures","1+ Failures")</f>
        <v>1+ Failures</v>
      </c>
      <c r="M2790" t="str">
        <f t="shared" si="131"/>
        <v>5-10 hrs</v>
      </c>
      <c r="N2790" t="str">
        <f t="shared" si="129"/>
        <v>12+ months</v>
      </c>
      <c r="O2790" t="str">
        <f t="shared" si="130"/>
        <v>Basic</v>
      </c>
      <c r="P2790" s="7">
        <v>45657</v>
      </c>
    </row>
    <row r="2791" spans="1:16" x14ac:dyDescent="0.3">
      <c r="A2791">
        <v>2790</v>
      </c>
      <c r="B2791" s="7">
        <v>45471</v>
      </c>
      <c r="C2791" t="s">
        <v>10</v>
      </c>
      <c r="D2791">
        <v>699</v>
      </c>
      <c r="E2791">
        <v>21.7</v>
      </c>
      <c r="F2791">
        <v>3</v>
      </c>
      <c r="G2791">
        <v>0</v>
      </c>
      <c r="H2791">
        <v>31</v>
      </c>
      <c r="I2791">
        <v>54</v>
      </c>
      <c r="J2791" t="s">
        <v>13</v>
      </c>
      <c r="K2791">
        <f>IF(J2791="Yes", 1, 0)</f>
        <v>0</v>
      </c>
      <c r="L2791" t="str">
        <f>IF(G2791=0,"0 Failures","1+ Failures")</f>
        <v>0 Failures</v>
      </c>
      <c r="M2791" t="str">
        <f t="shared" si="131"/>
        <v>20+ hrs</v>
      </c>
      <c r="N2791" t="str">
        <f t="shared" si="129"/>
        <v>12+ months</v>
      </c>
      <c r="O2791" t="str">
        <f t="shared" si="130"/>
        <v>Premium</v>
      </c>
      <c r="P2791" s="7">
        <v>45657</v>
      </c>
    </row>
    <row r="2792" spans="1:16" x14ac:dyDescent="0.3">
      <c r="A2792">
        <v>2791</v>
      </c>
      <c r="B2792" s="7">
        <v>44933</v>
      </c>
      <c r="C2792" t="s">
        <v>12</v>
      </c>
      <c r="D2792">
        <v>199</v>
      </c>
      <c r="E2792">
        <v>10.199999999999999</v>
      </c>
      <c r="F2792">
        <v>7</v>
      </c>
      <c r="G2792">
        <v>2</v>
      </c>
      <c r="H2792">
        <v>18</v>
      </c>
      <c r="I2792">
        <v>6</v>
      </c>
      <c r="J2792" t="s">
        <v>13</v>
      </c>
      <c r="K2792">
        <f>IF(J2792="Yes", 1, 0)</f>
        <v>0</v>
      </c>
      <c r="L2792" t="str">
        <f>IF(G2792=0,"0 Failures","1+ Failures")</f>
        <v>1+ Failures</v>
      </c>
      <c r="M2792" t="str">
        <f t="shared" si="131"/>
        <v>10-20hrs</v>
      </c>
      <c r="N2792" t="str">
        <f t="shared" si="129"/>
        <v>12+ months</v>
      </c>
      <c r="O2792" t="str">
        <f t="shared" si="130"/>
        <v>Basic</v>
      </c>
      <c r="P2792" s="7">
        <v>45657</v>
      </c>
    </row>
    <row r="2793" spans="1:16" x14ac:dyDescent="0.3">
      <c r="A2793">
        <v>2792</v>
      </c>
      <c r="B2793" s="7">
        <v>45502</v>
      </c>
      <c r="C2793" t="s">
        <v>14</v>
      </c>
      <c r="D2793">
        <v>399</v>
      </c>
      <c r="E2793">
        <v>6.1</v>
      </c>
      <c r="F2793">
        <v>8</v>
      </c>
      <c r="G2793">
        <v>2</v>
      </c>
      <c r="H2793">
        <v>21</v>
      </c>
      <c r="I2793">
        <v>49</v>
      </c>
      <c r="J2793" t="s">
        <v>11</v>
      </c>
      <c r="K2793">
        <f>IF(J2793="Yes", 1, 0)</f>
        <v>1</v>
      </c>
      <c r="L2793" t="str">
        <f>IF(G2793=0,"0 Failures","1+ Failures")</f>
        <v>1+ Failures</v>
      </c>
      <c r="M2793" t="str">
        <f t="shared" si="131"/>
        <v>5-10 hrs</v>
      </c>
      <c r="N2793" t="str">
        <f t="shared" si="129"/>
        <v>12+ months</v>
      </c>
      <c r="O2793" t="str">
        <f t="shared" si="130"/>
        <v>Basic</v>
      </c>
      <c r="P2793" s="7">
        <v>45657</v>
      </c>
    </row>
    <row r="2794" spans="1:16" x14ac:dyDescent="0.3">
      <c r="A2794">
        <v>2793</v>
      </c>
      <c r="B2794" s="7">
        <v>45337</v>
      </c>
      <c r="C2794" t="s">
        <v>14</v>
      </c>
      <c r="D2794">
        <v>399</v>
      </c>
      <c r="E2794">
        <v>0.8</v>
      </c>
      <c r="F2794">
        <v>1</v>
      </c>
      <c r="G2794">
        <v>1</v>
      </c>
      <c r="H2794">
        <v>10</v>
      </c>
      <c r="I2794">
        <v>49</v>
      </c>
      <c r="J2794" t="s">
        <v>11</v>
      </c>
      <c r="K2794">
        <f>IF(J2794="Yes", 1, 0)</f>
        <v>1</v>
      </c>
      <c r="L2794" t="str">
        <f>IF(G2794=0,"0 Failures","1+ Failures")</f>
        <v>1+ Failures</v>
      </c>
      <c r="M2794" t="str">
        <f t="shared" si="131"/>
        <v>0-5 hrs</v>
      </c>
      <c r="N2794" t="str">
        <f t="shared" si="129"/>
        <v>6-12months</v>
      </c>
      <c r="O2794" t="str">
        <f t="shared" si="130"/>
        <v>Basic</v>
      </c>
      <c r="P2794" s="7">
        <v>45657</v>
      </c>
    </row>
    <row r="2795" spans="1:16" x14ac:dyDescent="0.3">
      <c r="A2795">
        <v>2794</v>
      </c>
      <c r="B2795" s="7">
        <v>45411</v>
      </c>
      <c r="C2795" t="s">
        <v>10</v>
      </c>
      <c r="D2795">
        <v>699</v>
      </c>
      <c r="E2795">
        <v>13</v>
      </c>
      <c r="F2795">
        <v>4</v>
      </c>
      <c r="G2795">
        <v>5</v>
      </c>
      <c r="H2795">
        <v>4</v>
      </c>
      <c r="I2795">
        <v>25</v>
      </c>
      <c r="J2795" t="s">
        <v>11</v>
      </c>
      <c r="K2795">
        <f>IF(J2795="Yes", 1, 0)</f>
        <v>1</v>
      </c>
      <c r="L2795" t="str">
        <f>IF(G2795=0,"0 Failures","1+ Failures")</f>
        <v>1+ Failures</v>
      </c>
      <c r="M2795" t="str">
        <f t="shared" si="131"/>
        <v>10-20hrs</v>
      </c>
      <c r="N2795" t="str">
        <f t="shared" si="129"/>
        <v>3-6months</v>
      </c>
      <c r="O2795" t="str">
        <f t="shared" si="130"/>
        <v>Premium</v>
      </c>
      <c r="P2795" s="7">
        <v>45657</v>
      </c>
    </row>
    <row r="2796" spans="1:16" x14ac:dyDescent="0.3">
      <c r="A2796">
        <v>2795</v>
      </c>
      <c r="B2796" s="7">
        <v>44973</v>
      </c>
      <c r="C2796" t="s">
        <v>10</v>
      </c>
      <c r="D2796">
        <v>699</v>
      </c>
      <c r="E2796">
        <v>10</v>
      </c>
      <c r="F2796">
        <v>5</v>
      </c>
      <c r="G2796">
        <v>5</v>
      </c>
      <c r="H2796">
        <v>24</v>
      </c>
      <c r="I2796">
        <v>17</v>
      </c>
      <c r="J2796" t="s">
        <v>13</v>
      </c>
      <c r="K2796">
        <f>IF(J2796="Yes", 1, 0)</f>
        <v>0</v>
      </c>
      <c r="L2796" t="str">
        <f>IF(G2796=0,"0 Failures","1+ Failures")</f>
        <v>1+ Failures</v>
      </c>
      <c r="M2796" t="str">
        <f t="shared" si="131"/>
        <v>5-10 hrs</v>
      </c>
      <c r="N2796" t="str">
        <f t="shared" si="129"/>
        <v>12+ months</v>
      </c>
      <c r="O2796" t="str">
        <f t="shared" si="130"/>
        <v>Premium</v>
      </c>
      <c r="P2796" s="7">
        <v>45657</v>
      </c>
    </row>
    <row r="2797" spans="1:16" x14ac:dyDescent="0.3">
      <c r="A2797">
        <v>2796</v>
      </c>
      <c r="B2797" s="7">
        <v>44995</v>
      </c>
      <c r="C2797" t="s">
        <v>14</v>
      </c>
      <c r="D2797">
        <v>399</v>
      </c>
      <c r="E2797">
        <v>6.7</v>
      </c>
      <c r="F2797">
        <v>1</v>
      </c>
      <c r="G2797">
        <v>1</v>
      </c>
      <c r="H2797">
        <v>21</v>
      </c>
      <c r="I2797">
        <v>59</v>
      </c>
      <c r="J2797" t="s">
        <v>13</v>
      </c>
      <c r="K2797">
        <f>IF(J2797="Yes", 1, 0)</f>
        <v>0</v>
      </c>
      <c r="L2797" t="str">
        <f>IF(G2797=0,"0 Failures","1+ Failures")</f>
        <v>1+ Failures</v>
      </c>
      <c r="M2797" t="str">
        <f t="shared" si="131"/>
        <v>5-10 hrs</v>
      </c>
      <c r="N2797" t="str">
        <f t="shared" si="129"/>
        <v>12+ months</v>
      </c>
      <c r="O2797" t="str">
        <f t="shared" si="130"/>
        <v>Basic</v>
      </c>
      <c r="P2797" s="7">
        <v>45657</v>
      </c>
    </row>
    <row r="2798" spans="1:16" x14ac:dyDescent="0.3">
      <c r="A2798">
        <v>2797</v>
      </c>
      <c r="B2798" s="7">
        <v>45616</v>
      </c>
      <c r="C2798" t="s">
        <v>14</v>
      </c>
      <c r="D2798">
        <v>399</v>
      </c>
      <c r="E2798">
        <v>11</v>
      </c>
      <c r="F2798">
        <v>4</v>
      </c>
      <c r="G2798">
        <v>0</v>
      </c>
      <c r="H2798">
        <v>6</v>
      </c>
      <c r="I2798">
        <v>4</v>
      </c>
      <c r="J2798" t="s">
        <v>13</v>
      </c>
      <c r="K2798">
        <f>IF(J2798="Yes", 1, 0)</f>
        <v>0</v>
      </c>
      <c r="L2798" t="str">
        <f>IF(G2798=0,"0 Failures","1+ Failures")</f>
        <v>0 Failures</v>
      </c>
      <c r="M2798" t="str">
        <f t="shared" si="131"/>
        <v>10-20hrs</v>
      </c>
      <c r="N2798" t="str">
        <f t="shared" si="129"/>
        <v>3-6months</v>
      </c>
      <c r="O2798" t="str">
        <f t="shared" si="130"/>
        <v>Basic</v>
      </c>
      <c r="P2798" s="7">
        <v>45657</v>
      </c>
    </row>
    <row r="2799" spans="1:16" x14ac:dyDescent="0.3">
      <c r="A2799">
        <v>2798</v>
      </c>
      <c r="B2799" s="7">
        <v>45517</v>
      </c>
      <c r="C2799" t="s">
        <v>14</v>
      </c>
      <c r="D2799">
        <v>399</v>
      </c>
      <c r="E2799">
        <v>11</v>
      </c>
      <c r="F2799">
        <v>0</v>
      </c>
      <c r="G2799">
        <v>4</v>
      </c>
      <c r="H2799">
        <v>22</v>
      </c>
      <c r="I2799">
        <v>59</v>
      </c>
      <c r="J2799" t="s">
        <v>13</v>
      </c>
      <c r="K2799">
        <f>IF(J2799="Yes", 1, 0)</f>
        <v>0</v>
      </c>
      <c r="L2799" t="str">
        <f>IF(G2799=0,"0 Failures","1+ Failures")</f>
        <v>1+ Failures</v>
      </c>
      <c r="M2799" t="str">
        <f t="shared" si="131"/>
        <v>10-20hrs</v>
      </c>
      <c r="N2799" t="str">
        <f t="shared" si="129"/>
        <v>12+ months</v>
      </c>
      <c r="O2799" t="str">
        <f t="shared" si="130"/>
        <v>Basic</v>
      </c>
      <c r="P2799" s="7">
        <v>45657</v>
      </c>
    </row>
    <row r="2800" spans="1:16" x14ac:dyDescent="0.3">
      <c r="A2800">
        <v>2799</v>
      </c>
      <c r="B2800" s="7">
        <v>45435</v>
      </c>
      <c r="C2800" t="s">
        <v>10</v>
      </c>
      <c r="D2800">
        <v>699</v>
      </c>
      <c r="E2800">
        <v>15</v>
      </c>
      <c r="F2800">
        <v>3</v>
      </c>
      <c r="G2800">
        <v>4</v>
      </c>
      <c r="H2800">
        <v>25</v>
      </c>
      <c r="I2800">
        <v>20</v>
      </c>
      <c r="J2800" t="s">
        <v>13</v>
      </c>
      <c r="K2800">
        <f>IF(J2800="Yes", 1, 0)</f>
        <v>0</v>
      </c>
      <c r="L2800" t="str">
        <f>IF(G2800=0,"0 Failures","1+ Failures")</f>
        <v>1+ Failures</v>
      </c>
      <c r="M2800" t="str">
        <f t="shared" si="131"/>
        <v>10-20hrs</v>
      </c>
      <c r="N2800" t="str">
        <f t="shared" si="129"/>
        <v>12+ months</v>
      </c>
      <c r="O2800" t="str">
        <f t="shared" si="130"/>
        <v>Premium</v>
      </c>
      <c r="P2800" s="7">
        <v>45657</v>
      </c>
    </row>
    <row r="2801" spans="1:16" x14ac:dyDescent="0.3">
      <c r="A2801">
        <v>2800</v>
      </c>
      <c r="B2801" s="7">
        <v>45372</v>
      </c>
      <c r="C2801" t="s">
        <v>14</v>
      </c>
      <c r="D2801">
        <v>399</v>
      </c>
      <c r="E2801">
        <v>2</v>
      </c>
      <c r="F2801">
        <v>0</v>
      </c>
      <c r="G2801">
        <v>1</v>
      </c>
      <c r="H2801">
        <v>12</v>
      </c>
      <c r="I2801">
        <v>1</v>
      </c>
      <c r="J2801" t="s">
        <v>11</v>
      </c>
      <c r="K2801">
        <f>IF(J2801="Yes", 1, 0)</f>
        <v>1</v>
      </c>
      <c r="L2801" t="str">
        <f>IF(G2801=0,"0 Failures","1+ Failures")</f>
        <v>1+ Failures</v>
      </c>
      <c r="M2801" t="str">
        <f t="shared" si="131"/>
        <v>0-5 hrs</v>
      </c>
      <c r="N2801" t="str">
        <f t="shared" si="129"/>
        <v>6-12months</v>
      </c>
      <c r="O2801" t="str">
        <f t="shared" si="130"/>
        <v>Basic</v>
      </c>
      <c r="P2801" s="7">
        <v>45657</v>
      </c>
    </row>
  </sheetData>
  <pageMargins left="0.7" right="0.7" top="0.75" bottom="0.75" header="0.3" footer="0.3"/>
  <pageSetup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62B0-D1B2-4C46-B20B-19332385E1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customer_subscriptions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jbeily</dc:creator>
  <cp:lastModifiedBy>Adam jbeily</cp:lastModifiedBy>
  <dcterms:created xsi:type="dcterms:W3CDTF">2026-02-01T20:25:27Z</dcterms:created>
  <dcterms:modified xsi:type="dcterms:W3CDTF">2026-02-03T17:21:26Z</dcterms:modified>
</cp:coreProperties>
</file>